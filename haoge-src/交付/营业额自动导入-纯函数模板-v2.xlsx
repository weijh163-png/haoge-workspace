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1805" tabRatio="600" firstSheet="1" activeTab="1" autoFilterDateGrouping="1"/>
  </bookViews>
  <sheets>
    <sheet xmlns:r="http://schemas.openxmlformats.org/officeDocument/2006/relationships" name="使用说明" sheetId="1" state="visible" r:id="rId1"/>
    <sheet xmlns:r="http://schemas.openxmlformats.org/officeDocument/2006/relationships" name="各项指标明细（最终表）" sheetId="2" state="visible" r:id="rId2"/>
    <sheet xmlns:r="http://schemas.openxmlformats.org/officeDocument/2006/relationships" name="营业额数据源" sheetId="3" state="visible" r:id="rId3"/>
    <sheet xmlns:r="http://schemas.openxmlformats.org/officeDocument/2006/relationships" name="营业额导入核验" sheetId="4" state="visible" r:id="rId4"/>
    <sheet xmlns:r="http://schemas.openxmlformats.org/officeDocument/2006/relationships" name="人工营业额覆盖" sheetId="5" state="visible" r:id="rId5"/>
    <sheet xmlns:r="http://schemas.openxmlformats.org/officeDocument/2006/relationships" name=" 2026年科桥餐饮公司各项指标明细" sheetId="6" state="hidden" r:id="rId6"/>
    <sheet xmlns:r="http://schemas.openxmlformats.org/officeDocument/2006/relationships" name=" 2026年科桥餐饮公司各项指标明细 (完整版)" sheetId="7" state="hidden" r:id="rId7"/>
    <sheet xmlns:r="http://schemas.openxmlformats.org/officeDocument/2006/relationships" name=" 2026年科桥餐饮公司各项指标明细 (删减版）" sheetId="8" state="hidden" r:id="rId8"/>
    <sheet xmlns:r="http://schemas.openxmlformats.org/officeDocument/2006/relationships" name="Sheet1" sheetId="9" state="hidden" r:id="rId9"/>
    <sheet xmlns:r="http://schemas.openxmlformats.org/officeDocument/2006/relationships" name="目标基准" sheetId="10" state="hidden" r:id="rId10"/>
    <sheet xmlns:r="http://schemas.openxmlformats.org/officeDocument/2006/relationships" name="函数目标输出" sheetId="11" state="hidden" r:id="rId11"/>
  </sheets>
  <definedNames>
    <definedName name="_xlnm._FilterDatabase" localSheetId="5" hidden="1">' 2026年科桥餐饮公司各项指标明细'!$A$2:$AF$420</definedName>
    <definedName name="_xlnm._FilterDatabase" localSheetId="6" hidden="1">' 2026年科桥餐饮公司各项指标明细 (完整版)'!$A$2:$AE$436</definedName>
    <definedName name="_xlnm._FilterDatabase" localSheetId="7" hidden="1">' 2026年科桥餐饮公司各项指标明细 (删减版）'!$A$2:$AE$429</definedName>
  </definedNames>
  <calcPr calcId="191029" fullCalcOnLoad="1" forceFullCalc="1"/>
</workbook>
</file>

<file path=xl/styles.xml><?xml version="1.0" encoding="utf-8"?>
<styleSheet xmlns="http://schemas.openxmlformats.org/spreadsheetml/2006/main">
  <numFmts count="7">
    <numFmt numFmtId="164" formatCode="_ * #,##0.00_ ;_ * \-#,##0.00_ ;_ * &quot;-&quot;??_ ;_ @_ "/>
    <numFmt numFmtId="165" formatCode="0_ "/>
    <numFmt numFmtId="166" formatCode="0.0%"/>
    <numFmt numFmtId="167" formatCode="0.00_ "/>
    <numFmt numFmtId="168" formatCode="0.00_);[Red]\(0.00\)"/>
    <numFmt numFmtId="169" formatCode="0.00;[Red]0.00"/>
    <numFmt numFmtId="170" formatCode="0.00_ ;[Red]\-0.00\ "/>
  </numFmts>
  <fonts count="53">
    <font>
      <name val="宋体"/>
      <charset val="134"/>
      <color theme="1"/>
      <sz val="11"/>
      <scheme val="minor"/>
    </font>
    <font>
      <name val="宋体"/>
      <charset val="134"/>
      <b val="1"/>
      <sz val="10"/>
      <scheme val="minor"/>
    </font>
    <font>
      <name val="宋体"/>
      <charset val="134"/>
      <sz val="10"/>
      <scheme val="minor"/>
    </font>
    <font>
      <name val="宋体"/>
      <charset val="134"/>
      <b val="1"/>
      <color rgb="FF000000"/>
      <sz val="10"/>
    </font>
    <font>
      <name val="宋体"/>
      <charset val="134"/>
      <b val="1"/>
      <sz val="10"/>
    </font>
    <font>
      <name val="宋体"/>
      <charset val="134"/>
      <sz val="10"/>
    </font>
    <font>
      <name val="宋体"/>
      <charset val="134"/>
      <color rgb="FF000000"/>
      <sz val="10"/>
    </font>
    <font>
      <name val="宋体"/>
      <charset val="134"/>
      <sz val="11"/>
      <scheme val="minor"/>
    </font>
    <font>
      <name val="宋体"/>
      <charset val="134"/>
      <b val="1"/>
      <sz val="14"/>
      <scheme val="minor"/>
    </font>
    <font>
      <name val="宋体"/>
      <charset val="134"/>
      <b val="1"/>
      <sz val="11"/>
      <scheme val="minor"/>
    </font>
    <font>
      <name val="宋体"/>
      <charset val="134"/>
      <color rgb="FF000000"/>
      <sz val="10"/>
      <scheme val="minor"/>
    </font>
    <font>
      <name val="仿宋"/>
      <charset val="134"/>
      <color rgb="FF000000"/>
      <sz val="14"/>
    </font>
    <font>
      <name val="仿宋"/>
      <charset val="134"/>
      <b val="1"/>
      <color rgb="FF000000"/>
      <sz val="16"/>
    </font>
    <font>
      <name val="仿宋"/>
      <charset val="134"/>
      <sz val="14"/>
    </font>
    <font>
      <name val="仿宋"/>
      <charset val="134"/>
      <color rgb="FF000000"/>
      <sz val="8"/>
    </font>
    <font>
      <name val="Malgun Gothic"/>
      <charset val="129"/>
      <b val="1"/>
      <color rgb="FF000000"/>
      <sz val="9"/>
    </font>
    <font>
      <name val="宋体"/>
      <charset val="134"/>
      <color rgb="FFFF0000"/>
      <sz val="10"/>
    </font>
    <font>
      <name val="宋体"/>
      <charset val="134"/>
      <color theme="1"/>
      <sz val="10"/>
    </font>
    <font>
      <name val="宋体"/>
      <charset val="134"/>
      <b val="1"/>
      <color rgb="FF000000"/>
      <sz val="11"/>
      <scheme val="minor"/>
    </font>
    <font>
      <name val="仿宋"/>
      <charset val="134"/>
      <b val="1"/>
      <color rgb="FF000000"/>
      <sz val="11"/>
    </font>
    <font>
      <name val="宋体"/>
      <charset val="134"/>
      <color rgb="FF000000"/>
      <sz val="14"/>
      <scheme val="minor"/>
    </font>
    <font>
      <name val="宋体"/>
      <charset val="0"/>
      <b val="1"/>
      <color rgb="FF000000"/>
      <sz val="11"/>
      <scheme val="minor"/>
    </font>
    <font>
      <name val="宋体"/>
      <charset val="134"/>
      <color rgb="FF000000"/>
      <sz val="12"/>
      <scheme val="minor"/>
    </font>
    <font>
      <name val="等线"/>
      <charset val="134"/>
      <color rgb="FF000000"/>
      <sz val="10"/>
    </font>
    <font>
      <name val="等线"/>
      <charset val="134"/>
      <b val="1"/>
      <color rgb="FF000000"/>
      <sz val="11"/>
    </font>
    <font>
      <name val="等线"/>
      <charset val="134"/>
      <color rgb="FF000000"/>
      <sz val="11"/>
    </font>
    <font>
      <name val="宋体"/>
      <charset val="134"/>
      <color rgb="FF000000"/>
      <sz val="11"/>
      <scheme val="minor"/>
    </font>
    <font>
      <name val="宋体"/>
      <charset val="134"/>
      <sz val="11"/>
    </font>
    <font>
      <name val="宋体"/>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color rgb="00173D3A"/>
      <sz val="18"/>
    </font>
    <font>
      <b val="1"/>
      <color rgb="00173D3A"/>
      <sz val="12"/>
    </font>
    <font>
      <b val="1"/>
      <color rgb="00173D3A"/>
      <sz val="15"/>
    </font>
    <font>
      <b val="1"/>
      <color rgb="00FFFFFF"/>
    </font>
    <font>
      <b val="1"/>
      <color rgb="00173D3A"/>
    </font>
  </fonts>
  <fills count="49">
    <fill>
      <patternFill/>
    </fill>
    <fill>
      <patternFill patternType="gray125"/>
    </fill>
    <fill>
      <patternFill patternType="solid">
        <fgColor theme="6" tint="0.599993896298105"/>
        <bgColor indexed="64"/>
      </patternFill>
    </fill>
    <fill>
      <patternFill patternType="solid">
        <fgColor theme="7"/>
        <bgColor indexed="64"/>
      </patternFill>
    </fill>
    <fill>
      <patternFill patternType="solid">
        <fgColor theme="8" tint="0.599993896298105"/>
        <bgColor indexed="64"/>
      </patternFill>
    </fill>
    <fill>
      <patternFill patternType="solid">
        <fgColor theme="6" tint="0.799798577837458"/>
        <bgColor indexed="64"/>
      </patternFill>
    </fill>
    <fill>
      <patternFill patternType="solid">
        <fgColor rgb="FFA8EAE4"/>
        <bgColor indexed="64"/>
      </patternFill>
    </fill>
    <fill>
      <patternFill patternType="solid">
        <fgColor rgb="FFC5E0B4"/>
        <bgColor indexed="64"/>
      </patternFill>
    </fill>
    <fill>
      <patternFill patternType="solid">
        <fgColor rgb="FFFFFF00"/>
        <bgColor indexed="64"/>
      </patternFill>
    </fill>
    <fill>
      <patternFill patternType="solid">
        <fgColor theme="4" tint="0.399914548173467"/>
        <bgColor indexed="64"/>
      </patternFill>
    </fill>
    <fill>
      <patternFill patternType="solid">
        <fgColor theme="9" tint="0.599993896298105"/>
        <bgColor indexed="64"/>
      </patternFill>
    </fill>
    <fill>
      <patternFill patternType="solid">
        <fgColor rgb="FFD9E1F4"/>
        <bgColor indexed="64"/>
      </patternFill>
    </fill>
    <fill>
      <patternFill patternType="solid">
        <fgColor rgb="FFD9E1F2"/>
        <bgColor indexed="64"/>
      </patternFill>
    </fill>
    <fill>
      <patternFill patternType="solid">
        <fgColor rgb="FFFFFFFF"/>
        <bgColor indexed="64"/>
      </patternFill>
    </fill>
    <fill>
      <patternFill patternType="solid">
        <fgColor rgb="FFB4C6E7"/>
        <bgColor indexed="64"/>
      </patternFill>
    </fill>
    <fill>
      <patternFill patternType="solid">
        <fgColor rgb="FFDEEAF6"/>
        <bgColor indexed="64"/>
      </patternFill>
    </fill>
    <fill>
      <patternFill patternType="solid">
        <fgColor rgb="FF92D050"/>
        <bgColor indexed="64"/>
      </patternFill>
    </fill>
    <fill>
      <patternFill patternType="solid">
        <fgColor rgb="FFEF949F"/>
        <bgColor indexed="64"/>
      </patternFill>
    </fill>
    <fill>
      <patternFill patternType="solid">
        <fgColor rgb="FFCC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rgb="00FCE8E6"/>
      </patternFill>
    </fill>
    <fill>
      <patternFill patternType="solid">
        <fgColor rgb="001F5F5B"/>
      </patternFill>
    </fill>
    <fill>
      <patternFill patternType="solid">
        <fgColor rgb="00DFF0EC"/>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medium">
        <color rgb="FF000000"/>
      </bottom>
      <diagonal/>
    </border>
    <border>
      <left style="thin">
        <color rgb="FF000000"/>
      </left>
      <right style="double">
        <color rgb="FF000000"/>
      </right>
      <top style="thin">
        <color rgb="FF000000"/>
      </top>
      <bottom style="thin">
        <color rgb="FF000000"/>
      </bottom>
      <diagonal/>
    </border>
    <border>
      <left style="thin">
        <color auto="1"/>
      </left>
      <right/>
      <top style="thin">
        <color auto="1"/>
      </top>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9" fillId="0" borderId="0" applyAlignment="1">
      <alignment vertical="center"/>
    </xf>
    <xf numFmtId="0" fontId="30" fillId="0" borderId="0" applyAlignment="1">
      <alignment vertical="center"/>
    </xf>
    <xf numFmtId="0" fontId="0" fillId="19" borderId="19" applyAlignment="1">
      <alignment vertical="center"/>
    </xf>
    <xf numFmtId="0" fontId="31" fillId="0" borderId="0" applyAlignment="1">
      <alignment vertical="center"/>
    </xf>
    <xf numFmtId="0" fontId="32" fillId="0" borderId="0" applyAlignment="1">
      <alignment vertical="center"/>
    </xf>
    <xf numFmtId="0" fontId="33" fillId="0" borderId="0" applyAlignment="1">
      <alignment vertical="center"/>
    </xf>
    <xf numFmtId="0" fontId="34" fillId="0" borderId="20" applyAlignment="1">
      <alignment vertical="center"/>
    </xf>
    <xf numFmtId="0" fontId="35" fillId="0" borderId="20" applyAlignment="1">
      <alignment vertical="center"/>
    </xf>
    <xf numFmtId="0" fontId="36" fillId="0" borderId="21" applyAlignment="1">
      <alignment vertical="center"/>
    </xf>
    <xf numFmtId="0" fontId="36" fillId="0" borderId="0" applyAlignment="1">
      <alignment vertical="center"/>
    </xf>
    <xf numFmtId="0" fontId="37" fillId="20" borderId="22" applyAlignment="1">
      <alignment vertical="center"/>
    </xf>
    <xf numFmtId="0" fontId="38" fillId="21" borderId="23" applyAlignment="1">
      <alignment vertical="center"/>
    </xf>
    <xf numFmtId="0" fontId="39" fillId="21" borderId="22" applyAlignment="1">
      <alignment vertical="center"/>
    </xf>
    <xf numFmtId="0" fontId="40" fillId="22" borderId="24" applyAlignment="1">
      <alignment vertical="center"/>
    </xf>
    <xf numFmtId="0" fontId="41" fillId="0" borderId="25" applyAlignment="1">
      <alignment vertical="center"/>
    </xf>
    <xf numFmtId="0" fontId="42" fillId="0" borderId="26" applyAlignment="1">
      <alignment vertical="center"/>
    </xf>
    <xf numFmtId="0" fontId="43" fillId="23" borderId="0" applyAlignment="1">
      <alignment vertical="center"/>
    </xf>
    <xf numFmtId="0" fontId="44" fillId="24" borderId="0" applyAlignment="1">
      <alignment vertical="center"/>
    </xf>
    <xf numFmtId="0" fontId="45" fillId="25" borderId="0" applyAlignment="1">
      <alignment vertical="center"/>
    </xf>
    <xf numFmtId="0" fontId="46" fillId="26" borderId="0" applyAlignment="1">
      <alignment vertical="center"/>
    </xf>
    <xf numFmtId="0" fontId="47" fillId="27" borderId="0" applyAlignment="1">
      <alignment vertical="center"/>
    </xf>
    <xf numFmtId="0" fontId="47" fillId="28" borderId="0" applyAlignment="1">
      <alignment vertical="center"/>
    </xf>
    <xf numFmtId="0" fontId="46" fillId="29" borderId="0" applyAlignment="1">
      <alignment vertical="center"/>
    </xf>
    <xf numFmtId="0" fontId="46" fillId="30" borderId="0" applyAlignment="1">
      <alignment vertical="center"/>
    </xf>
    <xf numFmtId="0" fontId="47" fillId="31" borderId="0" applyAlignment="1">
      <alignment vertical="center"/>
    </xf>
    <xf numFmtId="0" fontId="47" fillId="32" borderId="0" applyAlignment="1">
      <alignment vertical="center"/>
    </xf>
    <xf numFmtId="0" fontId="46" fillId="33" borderId="0" applyAlignment="1">
      <alignment vertical="center"/>
    </xf>
    <xf numFmtId="0" fontId="46" fillId="34" borderId="0" applyAlignment="1">
      <alignment vertical="center"/>
    </xf>
    <xf numFmtId="0" fontId="47" fillId="35" borderId="0" applyAlignment="1">
      <alignment vertical="center"/>
    </xf>
    <xf numFmtId="0" fontId="47" fillId="2" borderId="0" applyAlignment="1">
      <alignment vertical="center"/>
    </xf>
    <xf numFmtId="0" fontId="46" fillId="36" borderId="0" applyAlignment="1">
      <alignment vertical="center"/>
    </xf>
    <xf numFmtId="0" fontId="46" fillId="3" borderId="0" applyAlignment="1">
      <alignment vertical="center"/>
    </xf>
    <xf numFmtId="0" fontId="47" fillId="37" borderId="0" applyAlignment="1">
      <alignment vertical="center"/>
    </xf>
    <xf numFmtId="0" fontId="47" fillId="38" borderId="0" applyAlignment="1">
      <alignment vertical="center"/>
    </xf>
    <xf numFmtId="0" fontId="46" fillId="39" borderId="0" applyAlignment="1">
      <alignment vertical="center"/>
    </xf>
    <xf numFmtId="0" fontId="46" fillId="40" borderId="0" applyAlignment="1">
      <alignment vertical="center"/>
    </xf>
    <xf numFmtId="0" fontId="47" fillId="41" borderId="0" applyAlignment="1">
      <alignment vertical="center"/>
    </xf>
    <xf numFmtId="0" fontId="47" fillId="4" borderId="0" applyAlignment="1">
      <alignment vertical="center"/>
    </xf>
    <xf numFmtId="0" fontId="46" fillId="42" borderId="0" applyAlignment="1">
      <alignment vertical="center"/>
    </xf>
    <xf numFmtId="0" fontId="46" fillId="43" borderId="0" applyAlignment="1">
      <alignment vertical="center"/>
    </xf>
    <xf numFmtId="0" fontId="47" fillId="44" borderId="0" applyAlignment="1">
      <alignment vertical="center"/>
    </xf>
    <xf numFmtId="0" fontId="47" fillId="10" borderId="0" applyAlignment="1">
      <alignment vertical="center"/>
    </xf>
    <xf numFmtId="0" fontId="46" fillId="45" borderId="0" applyAlignment="1">
      <alignment vertical="center"/>
    </xf>
  </cellStyleXfs>
  <cellXfs count="670">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vertical="center"/>
    </xf>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1" applyAlignment="1" pivotButton="0" quotePrefix="0" xfId="0">
      <alignment horizontal="center" vertical="center" wrapText="1"/>
    </xf>
    <xf numFmtId="164" fontId="1" fillId="2" borderId="1" applyAlignment="1" pivotButton="0" quotePrefix="0" xfId="1">
      <alignment horizontal="center" vertical="center" wrapText="1"/>
    </xf>
    <xf numFmtId="10" fontId="4" fillId="2" borderId="1" applyAlignment="1" pivotButton="0" quotePrefix="0" xfId="0">
      <alignment horizontal="center" vertical="center" wrapText="1"/>
    </xf>
    <xf numFmtId="10" fontId="1" fillId="2" borderId="1" applyAlignment="1" pivotButton="0" quotePrefix="0" xfId="0">
      <alignment horizontal="center" vertical="center" wrapText="1"/>
    </xf>
    <xf numFmtId="0" fontId="4" fillId="3" borderId="1" applyAlignment="1" pivotButton="0" quotePrefix="0" xfId="0">
      <alignment horizontal="center" vertical="center" wrapText="1"/>
    </xf>
    <xf numFmtId="10" fontId="1" fillId="4"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0" borderId="1" applyAlignment="1" applyProtection="1" pivotButton="0" quotePrefix="0" xfId="0">
      <alignment horizontal="center" vertical="center" wrapText="1"/>
      <protection locked="0" hidden="0"/>
    </xf>
    <xf numFmtId="0" fontId="5" fillId="5" borderId="2" applyAlignment="1" applyProtection="1" pivotButton="0" quotePrefix="0" xfId="0">
      <alignment horizontal="center" vertical="center"/>
      <protection locked="0" hidden="0"/>
    </xf>
    <xf numFmtId="0" fontId="2" fillId="0" borderId="1" applyAlignment="1" applyProtection="1" pivotButton="0" quotePrefix="0" xfId="0">
      <alignment vertical="center"/>
      <protection locked="0" hidden="0"/>
    </xf>
    <xf numFmtId="0" fontId="2" fillId="0" borderId="1" applyAlignment="1" applyProtection="1" pivotButton="0" quotePrefix="0" xfId="0">
      <alignment horizontal="center" vertical="center"/>
      <protection locked="0" hidden="0"/>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9" fontId="6" fillId="0" borderId="1" applyAlignment="1" pivotButton="0" quotePrefix="0" xfId="0">
      <alignment horizontal="center" vertical="center" wrapText="1"/>
    </xf>
    <xf numFmtId="9" fontId="2" fillId="0" borderId="1" applyAlignment="1" pivotButton="0" quotePrefix="0" xfId="0">
      <alignment horizontal="center" vertical="center" wrapText="1"/>
    </xf>
    <xf numFmtId="164" fontId="2" fillId="0" borderId="1" applyAlignment="1" pivotButton="0" quotePrefix="0" xfId="1">
      <alignment horizontal="right" vertical="center" wrapText="1"/>
    </xf>
    <xf numFmtId="10" fontId="2" fillId="0" borderId="1" applyAlignment="1" pivotButton="0" quotePrefix="0" xfId="0">
      <alignment horizontal="center" vertical="center" wrapText="1"/>
    </xf>
    <xf numFmtId="9" fontId="2" fillId="6"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3" applyAlignment="1" pivotButton="0" quotePrefix="0" xfId="0">
      <alignment horizontal="left" vertical="center" wrapText="1"/>
    </xf>
    <xf numFmtId="165" fontId="2" fillId="0" borderId="1" applyAlignment="1" pivotButton="0" quotePrefix="0" xfId="0">
      <alignment horizontal="center" vertical="center" wrapText="1"/>
    </xf>
    <xf numFmtId="0" fontId="7" fillId="0" borderId="0" applyAlignment="1" pivotButton="0" quotePrefix="0" xfId="0">
      <alignment horizontal="center" vertical="center"/>
    </xf>
    <xf numFmtId="0" fontId="7" fillId="0" borderId="0" applyAlignment="1" pivotButton="0" quotePrefix="0" xfId="0">
      <alignment vertical="center"/>
    </xf>
    <xf numFmtId="0" fontId="7" fillId="0" borderId="0" applyAlignment="1" pivotButton="0" quotePrefix="0" xfId="0">
      <alignment vertical="center" wrapText="1"/>
    </xf>
    <xf numFmtId="0" fontId="7" fillId="0" borderId="0" applyAlignment="1" pivotButton="0" quotePrefix="0" xfId="0">
      <alignment horizontal="left" vertical="center" wrapText="1"/>
    </xf>
    <xf numFmtId="0" fontId="7" fillId="0" borderId="0" applyAlignment="1" pivotButton="0" quotePrefix="0" xfId="0">
      <alignment horizontal="center" vertical="center" wrapText="1"/>
    </xf>
    <xf numFmtId="164" fontId="7" fillId="0" borderId="0" applyAlignment="1" pivotButton="0" quotePrefix="0" xfId="1">
      <alignment horizontal="right" vertical="center"/>
    </xf>
    <xf numFmtId="10" fontId="7" fillId="0" borderId="0" applyAlignment="1" pivotButton="0" quotePrefix="0" xfId="0">
      <alignment horizontal="center" vertical="center"/>
    </xf>
    <xf numFmtId="10" fontId="7" fillId="0" borderId="0" applyAlignment="1" pivotButton="0" quotePrefix="0" xfId="0">
      <alignment horizontal="center" vertical="center" wrapText="1"/>
    </xf>
    <xf numFmtId="10" fontId="7" fillId="0" borderId="0" applyAlignment="1" pivotButton="0" quotePrefix="0" xfId="0">
      <alignment vertical="center"/>
    </xf>
    <xf numFmtId="0" fontId="8" fillId="0" borderId="4" applyAlignment="1" pivotButton="0" quotePrefix="0" xfId="0">
      <alignment horizontal="center" vertical="center"/>
    </xf>
    <xf numFmtId="0" fontId="0" fillId="0" borderId="4" pivotButton="0" quotePrefix="0" xfId="0"/>
    <xf numFmtId="0" fontId="9" fillId="0" borderId="4" applyAlignment="1" pivotButton="0" quotePrefix="0" xfId="0">
      <alignment vertical="center"/>
    </xf>
    <xf numFmtId="0" fontId="9" fillId="0" borderId="4" applyAlignment="1" pivotButton="0" quotePrefix="0" xfId="0">
      <alignment horizontal="center" vertical="center"/>
    </xf>
    <xf numFmtId="0" fontId="9" fillId="0" borderId="4" applyAlignment="1" pivotButton="0" quotePrefix="0" xfId="0">
      <alignment horizontal="center" vertical="center" wrapText="1"/>
    </xf>
    <xf numFmtId="10" fontId="9" fillId="0" borderId="4" applyAlignment="1" pivotButton="0" quotePrefix="0" xfId="0">
      <alignment vertical="center"/>
    </xf>
    <xf numFmtId="0" fontId="9" fillId="0" borderId="4" applyAlignment="1" pivotButton="0" quotePrefix="0" xfId="0">
      <alignment vertical="center" wrapText="1"/>
    </xf>
    <xf numFmtId="0" fontId="2" fillId="0" borderId="1" applyAlignment="1" applyProtection="1" pivotButton="0" quotePrefix="0" xfId="0">
      <alignment horizontal="left" vertical="center" wrapText="1"/>
      <protection locked="0" hidden="0"/>
    </xf>
    <xf numFmtId="0" fontId="6" fillId="6" borderId="1" applyAlignment="1" pivotButton="0" quotePrefix="0" xfId="0">
      <alignment horizontal="center" vertical="center" wrapText="1"/>
    </xf>
    <xf numFmtId="0" fontId="5" fillId="0" borderId="1" applyAlignment="1" pivotButton="0" quotePrefix="0" xfId="0">
      <alignment horizontal="center" vertical="center" wrapText="1"/>
    </xf>
    <xf numFmtId="10" fontId="2" fillId="0" borderId="1" applyAlignment="1" applyProtection="1" pivotButton="0" quotePrefix="0" xfId="0">
      <alignment horizontal="center" vertical="center"/>
      <protection locked="0" hidden="0"/>
    </xf>
    <xf numFmtId="9" fontId="6" fillId="6" borderId="1" applyAlignment="1" pivotButton="0" quotePrefix="0" xfId="0">
      <alignment horizontal="center" vertical="center" wrapText="1"/>
    </xf>
    <xf numFmtId="0" fontId="6" fillId="0" borderId="1" applyAlignment="1" pivotButton="0" quotePrefix="0" xfId="0">
      <alignment horizontal="left" vertical="center" wrapText="1"/>
    </xf>
    <xf numFmtId="9" fontId="2" fillId="6" borderId="1" applyAlignment="1" pivotButton="0" quotePrefix="0" xfId="0">
      <alignment horizontal="center" vertical="center"/>
    </xf>
    <xf numFmtId="0" fontId="2" fillId="6" borderId="1" applyAlignment="1" pivotButton="0" quotePrefix="0" xfId="0">
      <alignment horizontal="center" vertical="center" wrapText="1"/>
    </xf>
    <xf numFmtId="9" fontId="2" fillId="0" borderId="1" applyAlignment="1" applyProtection="1" pivotButton="0" quotePrefix="0" xfId="0">
      <alignment horizontal="center" vertical="center"/>
      <protection locked="0" hidden="0"/>
    </xf>
    <xf numFmtId="164" fontId="2" fillId="0" borderId="1" applyAlignment="1" applyProtection="1" pivotButton="0" quotePrefix="0" xfId="1">
      <alignment horizontal="center" vertical="center"/>
      <protection locked="0" hidden="0"/>
    </xf>
    <xf numFmtId="0" fontId="6" fillId="0" borderId="3" applyAlignment="1" pivotButton="0" quotePrefix="0" xfId="0">
      <alignment horizontal="left" vertical="center" wrapText="1"/>
    </xf>
    <xf numFmtId="10" fontId="2" fillId="0" borderId="1" applyAlignment="1" applyProtection="1" pivotButton="0" quotePrefix="0" xfId="1">
      <alignment horizontal="center" vertical="center"/>
      <protection locked="0" hidden="0"/>
    </xf>
    <xf numFmtId="0" fontId="6" fillId="0" borderId="1" applyAlignment="1" pivotButton="0" quotePrefix="0" xfId="0">
      <alignment horizontal="center" vertical="center" wrapText="1"/>
    </xf>
    <xf numFmtId="164" fontId="6" fillId="0" borderId="1" applyAlignment="1" applyProtection="1" pivotButton="0" quotePrefix="0" xfId="1">
      <alignment horizontal="center" vertical="center"/>
      <protection locked="0" hidden="0"/>
    </xf>
    <xf numFmtId="9" fontId="6" fillId="0" borderId="1" applyAlignment="1" pivotButton="0" quotePrefix="0" xfId="0">
      <alignment horizontal="left" vertical="center" wrapText="1"/>
    </xf>
    <xf numFmtId="166" fontId="2" fillId="0" borderId="1" applyAlignment="1" pivotButton="0" quotePrefix="0" xfId="0">
      <alignment horizontal="center" vertical="center" wrapText="1"/>
    </xf>
    <xf numFmtId="10" fontId="6" fillId="0" borderId="1" applyAlignment="1" pivotButton="0" quotePrefix="0" xfId="0">
      <alignment horizontal="center" vertical="center" wrapText="1"/>
    </xf>
    <xf numFmtId="9" fontId="2" fillId="0" borderId="1" applyAlignment="1" pivotButton="0" quotePrefix="0" xfId="0">
      <alignment horizontal="left" vertical="center" wrapText="1"/>
    </xf>
    <xf numFmtId="0" fontId="2" fillId="7" borderId="1" applyAlignment="1" applyProtection="1" pivotButton="0" quotePrefix="0" xfId="0">
      <alignment vertical="center"/>
      <protection locked="0" hidden="0"/>
    </xf>
    <xf numFmtId="10" fontId="5" fillId="6" borderId="1" applyAlignment="1" pivotButton="0" quotePrefix="0" xfId="0">
      <alignment horizontal="center" vertical="center" wrapText="1"/>
    </xf>
    <xf numFmtId="10" fontId="10" fillId="0" borderId="1" applyAlignment="1" pivotButton="0" quotePrefix="0" xfId="0">
      <alignment horizontal="center" vertical="center"/>
    </xf>
    <xf numFmtId="0" fontId="10" fillId="0" borderId="1" applyAlignment="1" pivotButton="0" quotePrefix="0" xfId="0">
      <alignment horizontal="center" vertical="center"/>
    </xf>
    <xf numFmtId="0"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9" fontId="10" fillId="0" borderId="1" applyAlignment="1" pivotButton="0" quotePrefix="0" xfId="0">
      <alignment horizontal="center" vertical="center" wrapText="1"/>
    </xf>
    <xf numFmtId="10" fontId="10" fillId="6" borderId="1" applyAlignment="1" pivotButton="0" quotePrefix="0" xfId="0">
      <alignment horizontal="center" vertical="center" wrapText="1"/>
    </xf>
    <xf numFmtId="0" fontId="10" fillId="0" borderId="1" applyAlignment="1" pivotButton="0" quotePrefix="0" xfId="0">
      <alignment horizontal="left" vertical="center" wrapText="1"/>
    </xf>
    <xf numFmtId="10" fontId="10" fillId="0" borderId="5" applyAlignment="1" pivotButton="0" quotePrefix="0" xfId="0">
      <alignment horizontal="center" vertical="center"/>
    </xf>
    <xf numFmtId="0" fontId="10" fillId="0" borderId="5" applyAlignment="1" pivotButton="0" quotePrefix="0" xfId="0">
      <alignment horizontal="center" vertical="center"/>
    </xf>
    <xf numFmtId="0" fontId="10" fillId="0" borderId="5" applyAlignment="1" pivotButton="0" quotePrefix="0" xfId="0">
      <alignment horizontal="center" vertical="center" wrapText="1"/>
    </xf>
    <xf numFmtId="165" fontId="10" fillId="0" borderId="5" applyAlignment="1" pivotButton="0" quotePrefix="0" xfId="0">
      <alignment horizontal="center" vertical="center" wrapText="1"/>
    </xf>
    <xf numFmtId="0" fontId="10" fillId="6" borderId="5" applyAlignment="1" pivotButton="0" quotePrefix="0" xfId="0">
      <alignment horizontal="center" vertical="center" wrapText="1"/>
    </xf>
    <xf numFmtId="10" fontId="10" fillId="6" borderId="5" applyAlignment="1" pivotButton="0" quotePrefix="0" xfId="0">
      <alignment horizontal="center" vertical="center" wrapText="1"/>
    </xf>
    <xf numFmtId="0" fontId="10" fillId="0" borderId="6" applyAlignment="1" pivotButton="0" quotePrefix="0" xfId="0">
      <alignment horizontal="left" vertical="center" wrapText="1"/>
    </xf>
    <xf numFmtId="9" fontId="10" fillId="0" borderId="5" applyAlignment="1" pivotButton="0" quotePrefix="0" xfId="0">
      <alignment horizontal="center" vertical="center" wrapText="1"/>
    </xf>
    <xf numFmtId="9" fontId="6" fillId="6" borderId="5" applyAlignment="1" pivotButton="0" quotePrefix="0" xfId="0">
      <alignment horizontal="center" vertical="center" wrapText="1"/>
    </xf>
    <xf numFmtId="9" fontId="10" fillId="6" borderId="5" applyAlignment="1" pivotButton="0" quotePrefix="0" xfId="0">
      <alignment horizontal="center" vertical="center" wrapText="1"/>
    </xf>
    <xf numFmtId="0" fontId="6" fillId="6" borderId="5" applyAlignment="1" pivotButton="0" quotePrefix="0" xfId="0">
      <alignment horizontal="center" vertical="center" wrapText="1"/>
    </xf>
    <xf numFmtId="10" fontId="10" fillId="0" borderId="5" applyAlignment="1" pivotButton="0" quotePrefix="0" xfId="0">
      <alignment horizontal="center" vertical="center" wrapText="1"/>
    </xf>
    <xf numFmtId="0" fontId="10" fillId="0" borderId="5" applyAlignment="1" pivotButton="0" quotePrefix="0" xfId="0">
      <alignment horizontal="left" vertical="center" wrapText="1"/>
    </xf>
    <xf numFmtId="9" fontId="2" fillId="6" borderId="5" applyAlignment="1" pivotButton="0" quotePrefix="0" xfId="0">
      <alignment horizontal="center" vertical="center" wrapText="1"/>
    </xf>
    <xf numFmtId="9" fontId="10" fillId="0" borderId="5" applyAlignment="1" pivotButton="0" quotePrefix="0" xfId="0">
      <alignment horizontal="center" vertical="center"/>
    </xf>
    <xf numFmtId="0" fontId="2" fillId="0" borderId="5" applyAlignment="1" pivotButton="0" quotePrefix="0" xfId="0">
      <alignment horizontal="center" vertical="center"/>
    </xf>
    <xf numFmtId="0" fontId="6" fillId="0" borderId="1" applyAlignment="1" applyProtection="1" pivotButton="0" quotePrefix="0" xfId="0">
      <alignment vertical="center"/>
      <protection locked="0" hidden="0"/>
    </xf>
    <xf numFmtId="0" fontId="6" fillId="7" borderId="1" applyAlignment="1" applyProtection="1" pivotButton="0" quotePrefix="0" xfId="0">
      <alignment vertical="center"/>
      <protection locked="0" hidden="0"/>
    </xf>
    <xf numFmtId="0" fontId="6" fillId="0" borderId="1" applyAlignment="1" applyProtection="1" pivotButton="0" quotePrefix="0" xfId="0">
      <alignment horizontal="center" vertical="center" wrapText="1"/>
      <protection locked="0" hidden="0"/>
    </xf>
    <xf numFmtId="0" fontId="6" fillId="0" borderId="1" applyAlignment="1" applyProtection="1" pivotButton="0" quotePrefix="0" xfId="0">
      <alignment horizontal="center" vertical="center"/>
      <protection locked="0" hidden="0"/>
    </xf>
    <xf numFmtId="0" fontId="6" fillId="0" borderId="1" applyAlignment="1" pivotButton="0" quotePrefix="0" xfId="0">
      <alignment horizontal="center" vertical="center"/>
    </xf>
    <xf numFmtId="10" fontId="6" fillId="0" borderId="1" applyAlignment="1" pivotButton="0" quotePrefix="0" xfId="0">
      <alignment horizontal="center" vertical="center"/>
    </xf>
    <xf numFmtId="9" fontId="6" fillId="0" borderId="1" applyAlignment="1" pivotButton="0" quotePrefix="0" xfId="0">
      <alignment horizontal="center" vertical="center"/>
    </xf>
    <xf numFmtId="0" fontId="2" fillId="0" borderId="5" applyAlignment="1" pivotButton="0" quotePrefix="0" xfId="0">
      <alignment horizontal="center" vertical="center" wrapText="1"/>
    </xf>
    <xf numFmtId="0" fontId="10" fillId="6" borderId="5" applyAlignment="1" pivotButton="0" quotePrefix="0" xfId="0">
      <alignment horizontal="center" vertical="center"/>
    </xf>
    <xf numFmtId="10" fontId="10" fillId="6" borderId="5" applyAlignment="1" pivotButton="0" quotePrefix="0" xfId="0">
      <alignment horizontal="center" vertical="center"/>
    </xf>
    <xf numFmtId="0" fontId="11" fillId="0" borderId="7" applyAlignment="1" pivotButton="0" quotePrefix="0" xfId="0">
      <alignment horizontal="center" vertical="center" wrapText="1"/>
    </xf>
    <xf numFmtId="9" fontId="2" fillId="0" borderId="5" applyAlignment="1" pivotButton="0" quotePrefix="0" xfId="0">
      <alignment horizontal="center" vertical="center" wrapText="1"/>
    </xf>
    <xf numFmtId="0" fontId="2" fillId="0" borderId="5" applyAlignment="1" pivotButton="0" quotePrefix="0" xfId="0">
      <alignment horizontal="left" vertical="center" wrapText="1"/>
    </xf>
    <xf numFmtId="0" fontId="11" fillId="0" borderId="5" applyAlignment="1" pivotButton="0" quotePrefix="0" xfId="0">
      <alignment horizontal="center" vertical="center" wrapText="1"/>
    </xf>
    <xf numFmtId="0" fontId="11" fillId="0" borderId="6" applyAlignment="1" pivotButton="0" quotePrefix="0" xfId="0">
      <alignment horizontal="center" vertical="center" wrapText="1"/>
    </xf>
    <xf numFmtId="0" fontId="11" fillId="0" borderId="8" applyAlignment="1" pivotButton="0" quotePrefix="0" xfId="0">
      <alignment horizontal="center" vertical="center" wrapText="1"/>
    </xf>
    <xf numFmtId="10" fontId="2" fillId="0" borderId="5" applyAlignment="1" pivotButton="0" quotePrefix="0" xfId="0">
      <alignment horizontal="center" vertical="center" wrapText="1"/>
    </xf>
    <xf numFmtId="10" fontId="6" fillId="0" borderId="5" applyAlignment="1" pivotButton="0" quotePrefix="0" xfId="0">
      <alignment horizontal="center" vertical="center" wrapText="1"/>
    </xf>
    <xf numFmtId="9" fontId="6" fillId="0" borderId="5" applyAlignment="1" pivotButton="0" quotePrefix="0" xfId="0">
      <alignment horizontal="left" vertical="center" wrapText="1"/>
    </xf>
    <xf numFmtId="164" fontId="6" fillId="0" borderId="1" applyAlignment="1" pivotButton="0" quotePrefix="0" xfId="1">
      <alignment horizontal="center" vertical="center" wrapText="1"/>
    </xf>
    <xf numFmtId="0" fontId="6" fillId="6" borderId="1" applyAlignment="1" pivotButton="0" quotePrefix="0" xfId="0">
      <alignment horizontal="center" vertical="center"/>
    </xf>
    <xf numFmtId="10" fontId="10" fillId="0" borderId="1" applyAlignment="1" pivotButton="0" quotePrefix="0" xfId="0">
      <alignment horizontal="center" vertical="center" wrapText="1"/>
    </xf>
    <xf numFmtId="167" fontId="2" fillId="0" borderId="1" applyAlignment="1" pivotButton="0" quotePrefix="0" xfId="0">
      <alignment horizontal="center" vertical="center" wrapText="1"/>
    </xf>
    <xf numFmtId="10" fontId="2" fillId="0" borderId="9" applyAlignment="1" pivotButton="0" quotePrefix="0" xfId="0">
      <alignment horizontal="center" vertical="center" wrapText="1"/>
    </xf>
    <xf numFmtId="0" fontId="2" fillId="0" borderId="2" applyAlignment="1" pivotButton="0" quotePrefix="0" xfId="0">
      <alignment horizontal="center" vertical="center"/>
    </xf>
    <xf numFmtId="9" fontId="2" fillId="0" borderId="10" applyAlignment="1" pivotButton="0" quotePrefix="0" xfId="0">
      <alignment horizontal="center" vertical="center" wrapText="1"/>
    </xf>
    <xf numFmtId="10" fontId="2" fillId="0" borderId="3" applyAlignment="1" pivotButton="0" quotePrefix="0" xfId="0">
      <alignment horizontal="center" vertical="center" wrapText="1"/>
    </xf>
    <xf numFmtId="9" fontId="2" fillId="0" borderId="1" applyAlignment="1" pivotButton="0" quotePrefix="0" xfId="0">
      <alignment horizontal="center" vertical="center"/>
    </xf>
    <xf numFmtId="9" fontId="2" fillId="0" borderId="1" applyAlignment="1" pivotButton="0" quotePrefix="0" xfId="3">
      <alignment horizontal="center" vertical="center" wrapText="1"/>
    </xf>
    <xf numFmtId="9" fontId="6" fillId="0" borderId="1" applyAlignment="1" applyProtection="1" pivotButton="0" quotePrefix="0" xfId="0">
      <alignment horizontal="center" vertical="center"/>
      <protection locked="0" hidden="0"/>
    </xf>
    <xf numFmtId="10" fontId="2" fillId="0" borderId="1" applyAlignment="1" pivotButton="0" quotePrefix="0" xfId="0">
      <alignment horizontal="center" vertical="center"/>
    </xf>
    <xf numFmtId="10" fontId="2" fillId="6" borderId="1" applyAlignment="1" pivotButton="0" quotePrefix="0" xfId="0">
      <alignment horizontal="center" vertical="center" wrapText="1"/>
    </xf>
    <xf numFmtId="10" fontId="6" fillId="0" borderId="1" applyAlignment="1" applyProtection="1" pivotButton="0" quotePrefix="0" xfId="0">
      <alignment horizontal="center" vertical="center"/>
      <protection locked="0" hidden="0"/>
    </xf>
    <xf numFmtId="165" fontId="6" fillId="6" borderId="1" applyAlignment="1" pivotButton="0" quotePrefix="0" xfId="0">
      <alignment horizontal="center"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9" fontId="6" fillId="6" borderId="1" applyAlignment="1" applyProtection="1" pivotButton="0" quotePrefix="0" xfId="0">
      <alignment horizontal="center" vertical="center"/>
      <protection locked="0" hidden="0"/>
    </xf>
    <xf numFmtId="0" fontId="6" fillId="0" borderId="5" applyAlignment="1" pivotButton="0" quotePrefix="0" xfId="0">
      <alignment horizontal="center" vertical="center" wrapText="1"/>
    </xf>
    <xf numFmtId="165" fontId="2" fillId="6" borderId="1" applyAlignment="1" applyProtection="1" pivotButton="0" quotePrefix="0" xfId="0">
      <alignment horizontal="center" vertical="center"/>
      <protection locked="0" hidden="0"/>
    </xf>
    <xf numFmtId="0" fontId="5" fillId="0" borderId="3" applyAlignment="1" pivotButton="0" quotePrefix="0" xfId="0">
      <alignment horizontal="left" vertical="center" wrapText="1"/>
    </xf>
    <xf numFmtId="165" fontId="6" fillId="6" borderId="1" applyAlignment="1" applyProtection="1" pivotButton="0" quotePrefix="0" xfId="0">
      <alignment horizontal="center" vertical="center"/>
      <protection locked="0" hidden="0"/>
    </xf>
    <xf numFmtId="0" fontId="2" fillId="0" borderId="5" applyAlignment="1" applyProtection="1" pivotButton="0" quotePrefix="0" xfId="0">
      <alignment vertical="center"/>
      <protection locked="0" hidden="0"/>
    </xf>
    <xf numFmtId="9" fontId="10" fillId="0" borderId="1" applyAlignment="1" pivotButton="0" quotePrefix="0" xfId="3">
      <alignment horizontal="center" vertical="center" wrapText="1"/>
    </xf>
    <xf numFmtId="0" fontId="2" fillId="0" borderId="9"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9" fontId="10" fillId="0" borderId="5" applyAlignment="1" pivotButton="0" quotePrefix="0" xfId="3">
      <alignment horizontal="center" vertical="center" wrapText="1"/>
    </xf>
    <xf numFmtId="0" fontId="2" fillId="7" borderId="2" applyAlignment="1" applyProtection="1" pivotButton="0" quotePrefix="0" xfId="0">
      <alignment vertical="center"/>
      <protection locked="0" hidden="0"/>
    </xf>
    <xf numFmtId="0" fontId="2" fillId="0" borderId="5" applyAlignment="1" applyProtection="1" pivotButton="0" quotePrefix="0" xfId="0">
      <alignment horizontal="center" vertical="center" wrapText="1"/>
      <protection locked="0" hidden="0"/>
    </xf>
    <xf numFmtId="0" fontId="2" fillId="0" borderId="5" applyAlignment="1" applyProtection="1" pivotButton="0" quotePrefix="0" xfId="0">
      <alignment horizontal="center" vertical="center"/>
      <protection locked="0" hidden="0"/>
    </xf>
    <xf numFmtId="0" fontId="2" fillId="0" borderId="5" applyAlignment="1" applyProtection="1" pivotButton="0" quotePrefix="0" xfId="0">
      <alignment horizontal="left" vertical="center" wrapText="1"/>
      <protection locked="0" hidden="0"/>
    </xf>
    <xf numFmtId="0" fontId="2" fillId="0" borderId="10" applyAlignment="1" applyProtection="1" pivotButton="0" quotePrefix="0" xfId="0">
      <alignment horizontal="center" vertical="center"/>
      <protection locked="0" hidden="0"/>
    </xf>
    <xf numFmtId="0" fontId="0" fillId="0" borderId="0" applyAlignment="1" pivotButton="0" quotePrefix="0" xfId="0">
      <alignment vertical="center" wrapText="1"/>
    </xf>
    <xf numFmtId="165" fontId="6" fillId="0" borderId="1" applyAlignment="1" pivotButton="0" quotePrefix="0" xfId="0">
      <alignment horizontal="center" vertical="center" wrapText="1"/>
    </xf>
    <xf numFmtId="0" fontId="2" fillId="0" borderId="10" applyAlignment="1" pivotButton="0" quotePrefix="0" xfId="0">
      <alignment horizontal="center" vertical="center" wrapText="1"/>
    </xf>
    <xf numFmtId="10" fontId="6" fillId="6" borderId="1" applyAlignment="1" pivotButton="0" quotePrefix="0" xfId="0">
      <alignment horizontal="center" vertical="center" wrapText="1"/>
    </xf>
    <xf numFmtId="0" fontId="10" fillId="0" borderId="6" applyAlignment="1" pivotButton="0" quotePrefix="0" xfId="0">
      <alignment horizontal="left" vertical="center"/>
    </xf>
    <xf numFmtId="0" fontId="10" fillId="0" borderId="5" applyAlignment="1" pivotButton="0" quotePrefix="0" xfId="0">
      <alignment horizontal="left" vertical="center"/>
    </xf>
    <xf numFmtId="0" fontId="2" fillId="7" borderId="1" applyAlignment="1" applyProtection="1" pivotButton="0" quotePrefix="0" xfId="0">
      <alignment horizontal="center" vertical="center" wrapText="1"/>
      <protection locked="0" hidden="0"/>
    </xf>
    <xf numFmtId="0" fontId="6" fillId="7" borderId="1" applyAlignment="1" applyProtection="1" pivotButton="0" quotePrefix="0" xfId="0">
      <alignment horizontal="center" vertical="center" wrapText="1"/>
      <protection locked="0" hidden="0"/>
    </xf>
    <xf numFmtId="0" fontId="10" fillId="0" borderId="5" applyAlignment="1" pivotButton="0" quotePrefix="0" xfId="0">
      <alignment vertical="center" wrapText="1"/>
    </xf>
    <xf numFmtId="9" fontId="2" fillId="0" borderId="5" applyAlignment="1" applyProtection="1" pivotButton="0" quotePrefix="0" xfId="0">
      <alignment horizontal="center" vertical="center"/>
      <protection locked="0" hidden="0"/>
    </xf>
    <xf numFmtId="9" fontId="2" fillId="0" borderId="5" applyAlignment="1" pivotButton="0" quotePrefix="0" xfId="0">
      <alignment horizontal="center" vertical="center"/>
    </xf>
    <xf numFmtId="0" fontId="6" fillId="0" borderId="5" applyAlignment="1" pivotButton="0" quotePrefix="0" xfId="0">
      <alignment horizontal="left" vertical="center" wrapText="1"/>
    </xf>
    <xf numFmtId="10" fontId="2" fillId="0" borderId="5" applyAlignment="1" pivotButton="0" quotePrefix="0" xfId="0">
      <alignment horizontal="center" vertical="center"/>
    </xf>
    <xf numFmtId="0" fontId="6" fillId="0" borderId="6" applyAlignment="1" pivotButton="0" quotePrefix="0" xfId="0">
      <alignment horizontal="left" vertical="center" wrapText="1"/>
    </xf>
    <xf numFmtId="9" fontId="2" fillId="4" borderId="1" applyAlignment="1" pivotButton="0" quotePrefix="0" xfId="0">
      <alignment horizontal="center" vertical="center" wrapText="1"/>
    </xf>
    <xf numFmtId="0" fontId="2" fillId="0" borderId="6" applyAlignment="1" pivotButton="0" quotePrefix="0" xfId="0">
      <alignment horizontal="left" vertical="center" wrapText="1"/>
    </xf>
    <xf numFmtId="9" fontId="10" fillId="0" borderId="1" applyAlignment="1" pivotButton="0" quotePrefix="0" xfId="0">
      <alignment horizontal="center" vertical="center"/>
    </xf>
    <xf numFmtId="9" fontId="10" fillId="6" borderId="1" applyAlignment="1" pivotButton="0" quotePrefix="0" xfId="0">
      <alignment horizontal="center" vertical="center" wrapText="1"/>
    </xf>
    <xf numFmtId="9" fontId="10" fillId="0" borderId="1" applyAlignment="1" pivotButton="0" quotePrefix="0" xfId="0">
      <alignment horizontal="left" vertical="center" wrapText="1"/>
    </xf>
    <xf numFmtId="0" fontId="10" fillId="6" borderId="1" applyAlignment="1" pivotButton="0" quotePrefix="0" xfId="0">
      <alignment horizontal="center" vertical="center" wrapText="1"/>
    </xf>
    <xf numFmtId="9" fontId="10" fillId="0" borderId="11" applyAlignment="1" pivotButton="0" quotePrefix="0" xfId="0">
      <alignment horizontal="center" vertical="center" wrapText="1"/>
    </xf>
    <xf numFmtId="0" fontId="10" fillId="0" borderId="12" applyAlignment="1" pivotButton="0" quotePrefix="0" xfId="0">
      <alignment horizontal="center" vertical="center"/>
    </xf>
    <xf numFmtId="0" fontId="10" fillId="0" borderId="7" applyAlignment="1" pivotButton="0" quotePrefix="0" xfId="0">
      <alignment horizontal="center" vertical="center" wrapText="1"/>
    </xf>
    <xf numFmtId="9" fontId="10" fillId="0" borderId="12" applyAlignment="1" pivotButton="0" quotePrefix="0" xfId="0">
      <alignment horizontal="center" vertical="center" wrapText="1"/>
    </xf>
    <xf numFmtId="0" fontId="6" fillId="6" borderId="6" applyAlignment="1" pivotButton="0" quotePrefix="0" xfId="0">
      <alignment horizontal="center" vertical="center" wrapText="1"/>
    </xf>
    <xf numFmtId="9" fontId="10" fillId="6" borderId="7" applyAlignment="1" pivotButton="0" quotePrefix="0" xfId="0">
      <alignment horizontal="center" vertical="center" wrapText="1"/>
    </xf>
    <xf numFmtId="9" fontId="10" fillId="0" borderId="6" applyAlignment="1" pivotButton="0" quotePrefix="0" xfId="0">
      <alignment horizontal="center" vertical="center" wrapText="1"/>
    </xf>
    <xf numFmtId="9" fontId="6" fillId="0" borderId="5" applyAlignment="1" pivotButton="0" quotePrefix="0" xfId="0">
      <alignment horizontal="center" vertical="center" wrapText="1"/>
    </xf>
    <xf numFmtId="9" fontId="2" fillId="0" borderId="5" applyAlignment="1" pivotButton="0" quotePrefix="0" xfId="3">
      <alignment horizontal="center" vertical="center" wrapText="1"/>
    </xf>
    <xf numFmtId="9" fontId="6" fillId="0" borderId="6" applyAlignment="1" pivotButton="0" quotePrefix="0" xfId="0">
      <alignment horizontal="left" vertical="center" wrapText="1"/>
    </xf>
    <xf numFmtId="0" fontId="2" fillId="0" borderId="1" applyAlignment="1" applyProtection="1" pivotButton="0" quotePrefix="0" xfId="0">
      <alignment horizontal="left" vertical="center"/>
      <protection locked="0" hidden="0"/>
    </xf>
    <xf numFmtId="0" fontId="2" fillId="6" borderId="5" applyAlignment="1" pivotButton="0" quotePrefix="0" xfId="0">
      <alignment horizontal="center" vertical="center" wrapText="1"/>
    </xf>
    <xf numFmtId="10" fontId="2" fillId="6" borderId="5" applyAlignment="1" pivotButton="0" quotePrefix="0" xfId="0">
      <alignment horizontal="center" vertical="center" wrapText="1"/>
    </xf>
    <xf numFmtId="165" fontId="2" fillId="6" borderId="5" applyAlignment="1" pivotButton="0" quotePrefix="0" xfId="0">
      <alignment horizontal="center" vertical="center" wrapText="1"/>
    </xf>
    <xf numFmtId="165" fontId="2" fillId="0" borderId="5" applyAlignment="1" pivotButton="0" quotePrefix="0" xfId="0">
      <alignment horizontal="center" vertical="center" wrapText="1"/>
    </xf>
    <xf numFmtId="165" fontId="2" fillId="6" borderId="1" applyAlignment="1" pivotButton="0" quotePrefix="0" xfId="0">
      <alignment horizontal="center" vertical="center" wrapText="1"/>
    </xf>
    <xf numFmtId="0" fontId="2" fillId="0" borderId="1" applyAlignment="1" applyProtection="1" pivotButton="0" quotePrefix="0" xfId="0">
      <alignment vertical="center" wrapText="1"/>
      <protection locked="0" hidden="0"/>
    </xf>
    <xf numFmtId="167" fontId="2" fillId="0" borderId="1" applyAlignment="1" applyProtection="1" pivotButton="0" quotePrefix="0" xfId="0">
      <alignment horizontal="center" vertical="center"/>
      <protection locked="0" hidden="0"/>
    </xf>
    <xf numFmtId="164" fontId="2" fillId="0" borderId="1" applyAlignment="1" applyProtection="1" pivotButton="0" quotePrefix="0" xfId="1">
      <alignment horizontal="right" vertical="center"/>
      <protection locked="0" hidden="0"/>
    </xf>
    <xf numFmtId="0" fontId="5" fillId="0" borderId="5" applyAlignment="1" pivotButton="0" quotePrefix="0" xfId="0">
      <alignment horizontal="center" vertical="center" wrapText="1"/>
    </xf>
    <xf numFmtId="0" fontId="2" fillId="8" borderId="0" applyAlignment="1" pivotButton="0" quotePrefix="0" xfId="0">
      <alignment vertical="center"/>
    </xf>
    <xf numFmtId="0" fontId="1" fillId="2" borderId="9" applyAlignment="1" pivotButton="0" quotePrefix="0" xfId="0">
      <alignment horizontal="center" vertical="center"/>
    </xf>
    <xf numFmtId="0" fontId="1" fillId="2" borderId="9" applyAlignment="1" pivotButton="0" quotePrefix="0" xfId="0">
      <alignment horizontal="center" vertical="center" wrapText="1"/>
    </xf>
    <xf numFmtId="0" fontId="3" fillId="2" borderId="9" applyAlignment="1" pivotButton="0" quotePrefix="0" xfId="0">
      <alignment horizontal="center" vertical="center" wrapText="1"/>
    </xf>
    <xf numFmtId="0" fontId="4" fillId="2" borderId="9" applyAlignment="1" pivotButton="0" quotePrefix="0" xfId="0">
      <alignment horizontal="center" vertical="center" wrapText="1"/>
    </xf>
    <xf numFmtId="164" fontId="1" fillId="2" borderId="9" applyAlignment="1" pivotButton="0" quotePrefix="0" xfId="1">
      <alignment horizontal="center" vertical="center" wrapText="1"/>
    </xf>
    <xf numFmtId="166" fontId="12" fillId="8" borderId="11" applyAlignment="1" pivotButton="0" quotePrefix="0" xfId="0">
      <alignment horizontal="center" vertical="center" wrapText="1"/>
    </xf>
    <xf numFmtId="0" fontId="12" fillId="8" borderId="11" applyAlignment="1" pivotButton="0" quotePrefix="0" xfId="0">
      <alignment horizontal="center" vertical="center" wrapText="1"/>
    </xf>
    <xf numFmtId="10" fontId="1" fillId="4" borderId="9" applyAlignment="1" pivotButton="0" quotePrefix="0" xfId="0">
      <alignment horizontal="center" vertical="center" wrapText="1"/>
    </xf>
    <xf numFmtId="0" fontId="1" fillId="4" borderId="9" applyAlignment="1" pivotButton="0" quotePrefix="0" xfId="0">
      <alignment horizontal="center" vertical="center" wrapText="1"/>
    </xf>
    <xf numFmtId="0" fontId="5" fillId="0" borderId="1" applyAlignment="1" applyProtection="1" pivotButton="0" quotePrefix="0" xfId="0">
      <alignment horizontal="center" vertical="center"/>
      <protection locked="0" hidden="0"/>
    </xf>
    <xf numFmtId="9"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1" applyAlignment="1" pivotButton="0" quotePrefix="0" xfId="0">
      <alignment horizontal="center" vertical="center"/>
    </xf>
    <xf numFmtId="9" fontId="5" fillId="0" borderId="1" applyAlignment="1" pivotButton="0" quotePrefix="0" xfId="0">
      <alignment horizontal="center" vertical="center"/>
    </xf>
    <xf numFmtId="165" fontId="5" fillId="0" borderId="1" applyAlignment="1" pivotButton="0" quotePrefix="0" xfId="0">
      <alignment horizontal="center" vertical="center" wrapText="1"/>
    </xf>
    <xf numFmtId="164" fontId="5" fillId="0" borderId="1" applyAlignment="1" applyProtection="1" pivotButton="0" quotePrefix="0" xfId="1">
      <alignment horizontal="center" vertical="center"/>
      <protection locked="0" hidden="0"/>
    </xf>
    <xf numFmtId="10" fontId="5" fillId="0" borderId="1" applyAlignment="1" pivotButton="0" quotePrefix="0" xfId="0">
      <alignment horizontal="center" vertical="center" wrapText="1"/>
    </xf>
    <xf numFmtId="9" fontId="5" fillId="0" borderId="1" applyAlignment="1" pivotButton="0" quotePrefix="0" xfId="0">
      <alignment horizontal="left" vertical="center" wrapText="1"/>
    </xf>
    <xf numFmtId="166" fontId="5" fillId="0" borderId="1" applyAlignment="1" pivotButton="0" quotePrefix="0" xfId="0">
      <alignment horizontal="center" vertical="center" wrapText="1"/>
    </xf>
    <xf numFmtId="0" fontId="5" fillId="0" borderId="1" applyAlignment="1" applyProtection="1" pivotButton="0" quotePrefix="0" xfId="0">
      <alignment vertical="center"/>
      <protection locked="0" hidden="0"/>
    </xf>
    <xf numFmtId="0" fontId="5" fillId="0" borderId="1" applyAlignment="1" applyProtection="1" pivotButton="0" quotePrefix="0" xfId="0">
      <alignment horizontal="center" vertical="center" wrapText="1"/>
      <protection locked="0" hidden="0"/>
    </xf>
    <xf numFmtId="10" fontId="5" fillId="0" borderId="1" applyAlignment="1" pivotButton="0" quotePrefix="0" xfId="0">
      <alignment horizontal="center" vertical="center"/>
    </xf>
    <xf numFmtId="0" fontId="13" fillId="0" borderId="1" applyAlignment="1" pivotButton="0" quotePrefix="0" xfId="0">
      <alignment horizontal="center" vertical="center" wrapText="1"/>
    </xf>
    <xf numFmtId="164" fontId="5" fillId="0" borderId="1" applyAlignment="1" pivotButton="0" quotePrefix="0" xfId="1">
      <alignment horizontal="center" vertical="center" wrapText="1"/>
    </xf>
    <xf numFmtId="167" fontId="5" fillId="0" borderId="1" applyAlignment="1" pivotButton="0" quotePrefix="0" xfId="0">
      <alignment horizontal="center" vertical="center" wrapText="1"/>
    </xf>
    <xf numFmtId="9" fontId="5" fillId="0" borderId="1" applyAlignment="1" pivotButton="0" quotePrefix="0" xfId="3">
      <alignment horizontal="center" vertical="center" wrapText="1"/>
    </xf>
    <xf numFmtId="10" fontId="5" fillId="0" borderId="1" applyAlignment="1" applyProtection="1" pivotButton="0" quotePrefix="0" xfId="0">
      <alignment horizontal="center" vertical="center"/>
      <protection locked="0" hidden="0"/>
    </xf>
    <xf numFmtId="0" fontId="7" fillId="0" borderId="1" applyAlignment="1" pivotButton="0" quotePrefix="0" xfId="0">
      <alignment vertical="center" wrapText="1"/>
    </xf>
    <xf numFmtId="0" fontId="2" fillId="0" borderId="1" applyAlignment="1" pivotButton="0" quotePrefix="0" xfId="0">
      <alignment horizontal="left" vertical="center"/>
    </xf>
    <xf numFmtId="0" fontId="2" fillId="0" borderId="1" applyAlignment="1" pivotButton="0" quotePrefix="0" xfId="0">
      <alignment vertical="center" wrapText="1"/>
    </xf>
    <xf numFmtId="9" fontId="5" fillId="0" borderId="1" applyAlignment="1" applyProtection="1" pivotButton="0" quotePrefix="0" xfId="0">
      <alignment horizontal="center" vertical="center"/>
      <protection locked="0" hidden="0"/>
    </xf>
    <xf numFmtId="0" fontId="2" fillId="0" borderId="0" applyAlignment="1" pivotButton="0" quotePrefix="0" xfId="0">
      <alignment vertical="center"/>
    </xf>
    <xf numFmtId="0" fontId="0" fillId="0" borderId="0" applyAlignment="1" pivotButton="0" quotePrefix="0" xfId="0">
      <alignment vertical="center"/>
    </xf>
    <xf numFmtId="0" fontId="0" fillId="8" borderId="0" applyAlignment="1" pivotButton="0" quotePrefix="0" xfId="0">
      <alignment vertical="center"/>
    </xf>
    <xf numFmtId="0" fontId="3" fillId="9" borderId="9" applyAlignment="1" pivotButton="0" quotePrefix="0" xfId="0">
      <alignment horizontal="center" vertical="center" wrapText="1"/>
    </xf>
    <xf numFmtId="0" fontId="4" fillId="8" borderId="9" applyAlignment="1" pivotButton="0" quotePrefix="0" xfId="0">
      <alignment horizontal="center" vertical="center" wrapText="1"/>
    </xf>
    <xf numFmtId="166" fontId="12" fillId="0" borderId="11" applyAlignment="1" pivotButton="0" quotePrefix="0" xfId="0">
      <alignment horizontal="center" vertical="center" wrapText="1"/>
    </xf>
    <xf numFmtId="0" fontId="12" fillId="10" borderId="11" applyAlignment="1" pivotButton="0" quotePrefix="0" xfId="0">
      <alignment horizontal="center" vertical="center" wrapText="1"/>
    </xf>
    <xf numFmtId="0" fontId="12" fillId="7" borderId="11" applyAlignment="1" pivotButton="0" quotePrefix="0" xfId="0">
      <alignment horizontal="center" vertical="center" wrapText="1"/>
    </xf>
    <xf numFmtId="0" fontId="12" fillId="0" borderId="11" applyAlignment="1" pivotButton="0" quotePrefix="0" xfId="0">
      <alignment horizontal="center" vertical="center" wrapText="1"/>
    </xf>
    <xf numFmtId="10" fontId="3" fillId="4" borderId="9" applyAlignment="1" pivotButton="0" quotePrefix="0" xfId="0">
      <alignment horizontal="center" vertical="center" wrapText="1"/>
    </xf>
    <xf numFmtId="0" fontId="2" fillId="0"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protection locked="0" hidden="0"/>
    </xf>
    <xf numFmtId="0" fontId="2" fillId="0" borderId="1" applyAlignment="1" applyProtection="1" pivotButton="0" quotePrefix="0" xfId="0">
      <alignment vertical="center"/>
      <protection locked="0" hidden="0"/>
    </xf>
    <xf numFmtId="0" fontId="2" fillId="0" borderId="1" applyAlignment="1" applyProtection="1" pivotButton="0" quotePrefix="0" xfId="0">
      <alignment horizontal="center" vertical="center"/>
      <protection locked="0" hidden="0"/>
    </xf>
    <xf numFmtId="164" fontId="10" fillId="0" borderId="1" applyAlignment="1" pivotButton="0" quotePrefix="0" xfId="0">
      <alignment vertical="center"/>
    </xf>
    <xf numFmtId="9" fontId="2" fillId="0" borderId="1" applyAlignment="1" pivotButton="0" quotePrefix="0" xfId="0">
      <alignment horizontal="center" vertical="center" wrapText="1"/>
    </xf>
    <xf numFmtId="167" fontId="5" fillId="0" borderId="10" applyAlignment="1" pivotButton="0" quotePrefix="0" xfId="0">
      <alignment horizontal="center" vertical="center" wrapText="1"/>
    </xf>
    <xf numFmtId="164" fontId="5" fillId="0" borderId="1" applyAlignment="1" pivotButton="0" quotePrefix="0" xfId="1">
      <alignment horizontal="right" vertical="center" wrapText="1"/>
    </xf>
    <xf numFmtId="0" fontId="5" fillId="0" borderId="1" applyAlignment="1" pivotButton="0" quotePrefix="0" xfId="0">
      <alignment horizontal="center" vertical="center"/>
    </xf>
    <xf numFmtId="0" fontId="5" fillId="0" borderId="1" applyAlignment="1" pivotButton="0" quotePrefix="0" xfId="0">
      <alignment horizontal="center" vertical="center" wrapText="1"/>
    </xf>
    <xf numFmtId="10" fontId="5" fillId="0" borderId="1" applyAlignment="1" applyProtection="1" pivotButton="0" quotePrefix="0" xfId="0">
      <alignment horizontal="center" vertical="center"/>
      <protection locked="0" hidden="0"/>
    </xf>
    <xf numFmtId="0" fontId="5" fillId="0" borderId="1" applyAlignment="1" pivotButton="0" quotePrefix="0" xfId="0">
      <alignment horizontal="left" vertical="center" wrapText="1"/>
    </xf>
    <xf numFmtId="0" fontId="7" fillId="0" borderId="0" applyAlignment="1" pivotButton="0" quotePrefix="0" xfId="0">
      <alignment vertical="center"/>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40" fontId="6" fillId="0" borderId="10" applyAlignment="1" pivotButton="0" quotePrefix="0" xfId="0">
      <alignment vertical="center" shrinkToFit="1"/>
    </xf>
    <xf numFmtId="9" fontId="5" fillId="0" borderId="1" applyAlignment="1" pivotButton="0" quotePrefix="0" xfId="0">
      <alignment horizontal="center" vertical="center" wrapText="1"/>
    </xf>
    <xf numFmtId="164" fontId="5" fillId="0" borderId="1" applyAlignment="1" applyProtection="1" pivotButton="0" quotePrefix="0" xfId="1">
      <alignment horizontal="center" vertical="center"/>
      <protection locked="0" hidden="0"/>
    </xf>
    <xf numFmtId="0" fontId="2" fillId="0" borderId="1" applyAlignment="1" applyProtection="1" pivotButton="0" quotePrefix="0" xfId="0">
      <alignment horizontal="left" vertical="center" wrapText="1"/>
      <protection locked="0" hidden="0"/>
    </xf>
    <xf numFmtId="168" fontId="5" fillId="0" borderId="10" applyAlignment="1" pivotButton="0" quotePrefix="0" xfId="0">
      <alignment horizontal="center" vertical="center" wrapText="1"/>
    </xf>
    <xf numFmtId="0" fontId="5" fillId="0" borderId="1" applyAlignment="1" applyProtection="1" pivotButton="0" quotePrefix="0" xfId="0">
      <alignment horizontal="center" vertical="center" wrapText="1"/>
      <protection locked="0" hidden="0"/>
    </xf>
    <xf numFmtId="165" fontId="5" fillId="0" borderId="1" applyAlignment="1" pivotButton="0" quotePrefix="0" xfId="0">
      <alignment horizontal="center" vertical="center" wrapText="1"/>
    </xf>
    <xf numFmtId="0" fontId="14" fillId="0" borderId="8" applyAlignment="1" pivotButton="0" quotePrefix="0" xfId="0">
      <alignment horizontal="center" vertical="center" wrapText="1"/>
    </xf>
    <xf numFmtId="0" fontId="2" fillId="8" borderId="1" applyAlignment="1" applyProtection="1" pivotButton="0" quotePrefix="0" xfId="0">
      <alignment vertical="center"/>
      <protection locked="0" hidden="0"/>
    </xf>
    <xf numFmtId="0" fontId="6" fillId="0" borderId="1" applyAlignment="1" applyProtection="1" pivotButton="0" quotePrefix="0" xfId="0">
      <alignment horizontal="center" vertical="center"/>
      <protection locked="0" hidden="0"/>
    </xf>
    <xf numFmtId="9" fontId="5" fillId="0" borderId="10" applyAlignment="1" pivotButton="0" quotePrefix="0" xfId="0">
      <alignment horizontal="center" vertical="center" wrapText="1"/>
    </xf>
    <xf numFmtId="10" fontId="5" fillId="0" borderId="1" applyAlignment="1" applyProtection="1" pivotButton="0" quotePrefix="0" xfId="1">
      <alignment horizontal="center" vertical="center"/>
      <protection locked="0" hidden="0"/>
    </xf>
    <xf numFmtId="40" fontId="15" fillId="11" borderId="5" applyAlignment="1" pivotButton="0" quotePrefix="0" xfId="0">
      <alignment horizontal="center" vertical="center" shrinkToFit="1"/>
    </xf>
    <xf numFmtId="10" fontId="5" fillId="0" borderId="1" applyAlignment="1" pivotButton="0" quotePrefix="0" xfId="0">
      <alignment horizontal="center" vertical="center" wrapText="1"/>
    </xf>
    <xf numFmtId="40" fontId="15" fillId="8" borderId="5" applyAlignment="1" pivotButton="0" quotePrefix="0" xfId="0">
      <alignment horizontal="center" vertical="center" shrinkToFit="1"/>
    </xf>
    <xf numFmtId="0" fontId="16" fillId="0" borderId="1" applyAlignment="1" pivotButton="0" quotePrefix="0" xfId="0">
      <alignment horizontal="center" vertical="center" wrapText="1"/>
    </xf>
    <xf numFmtId="9" fontId="5" fillId="0" borderId="1" applyAlignment="1" pivotButton="0" quotePrefix="0" xfId="0">
      <alignment horizontal="left" vertical="center" wrapText="1"/>
    </xf>
    <xf numFmtId="166" fontId="5" fillId="0" borderId="1" applyAlignment="1" pivotButton="0" quotePrefix="0" xfId="0">
      <alignment horizontal="center" vertical="center" wrapText="1"/>
    </xf>
    <xf numFmtId="40" fontId="15" fillId="0" borderId="5" applyAlignment="1" pivotButton="0" quotePrefix="0" xfId="0">
      <alignment horizontal="center" vertical="center" shrinkToFit="1"/>
    </xf>
    <xf numFmtId="0" fontId="5" fillId="0" borderId="10" applyAlignment="1" pivotButton="0" quotePrefix="0" xfId="0">
      <alignment horizontal="center" vertical="center" wrapText="1"/>
    </xf>
    <xf numFmtId="9" fontId="5" fillId="0" borderId="1" applyAlignment="1" applyProtection="1" pivotButton="0" quotePrefix="0" xfId="0">
      <alignment horizontal="center" vertical="center"/>
      <protection locked="0" hidden="0"/>
    </xf>
    <xf numFmtId="0" fontId="2" fillId="0" borderId="1" applyAlignment="1" pivotButton="0" quotePrefix="0" xfId="0">
      <alignment horizontal="center" vertical="center"/>
    </xf>
    <xf numFmtId="0" fontId="17" fillId="0" borderId="1" applyAlignment="1" applyProtection="1" pivotButton="0" quotePrefix="0" xfId="0">
      <alignment horizontal="right" vertical="center" wrapText="1"/>
      <protection locked="0" hidden="0"/>
    </xf>
    <xf numFmtId="164" fontId="6" fillId="0" borderId="10" applyAlignment="1" pivotButton="0" quotePrefix="0" xfId="0">
      <alignment horizontal="center" vertical="center" shrinkToFit="1"/>
    </xf>
    <xf numFmtId="4" fontId="17" fillId="0" borderId="1" applyAlignment="1" pivotButton="0" quotePrefix="0" xfId="0">
      <alignment vertical="center" wrapText="1"/>
    </xf>
    <xf numFmtId="164" fontId="6" fillId="0" borderId="1" applyAlignment="1" pivotButton="0" quotePrefix="0" xfId="0">
      <alignment horizontal="center" vertical="center" shrinkToFit="1"/>
    </xf>
    <xf numFmtId="4" fontId="5" fillId="0" borderId="1" applyAlignment="1" pivotButton="0" quotePrefix="0" xfId="0">
      <alignment horizontal="center" vertical="center" wrapText="1"/>
    </xf>
    <xf numFmtId="0" fontId="13" fillId="0" borderId="1" applyAlignment="1" pivotButton="0" quotePrefix="0" xfId="0">
      <alignment horizontal="center" vertical="center" wrapText="1"/>
    </xf>
    <xf numFmtId="169" fontId="6" fillId="0" borderId="10" applyAlignment="1" pivotButton="0" quotePrefix="0" xfId="0">
      <alignment horizontal="center" vertical="center" shrinkToFit="1"/>
    </xf>
    <xf numFmtId="0" fontId="17" fillId="0" borderId="1" applyAlignment="1" pivotButton="0" quotePrefix="0" xfId="0">
      <alignment vertical="center" wrapText="1"/>
    </xf>
    <xf numFmtId="169" fontId="6" fillId="0" borderId="1" applyAlignment="1" pivotButton="0" quotePrefix="0" xfId="0">
      <alignment horizontal="center" vertical="center" shrinkToFit="1"/>
    </xf>
    <xf numFmtId="0" fontId="6" fillId="0" borderId="1" applyAlignment="1" pivotButton="0" quotePrefix="0" xfId="0">
      <alignment horizontal="center" vertical="center" wrapText="1"/>
    </xf>
    <xf numFmtId="164" fontId="18" fillId="12" borderId="5" applyAlignment="1" pivotButton="0" quotePrefix="0" xfId="0">
      <alignment horizontal="center" vertical="center" shrinkToFit="1"/>
    </xf>
    <xf numFmtId="164" fontId="18" fillId="0" borderId="5" applyAlignment="1" pivotButton="0" quotePrefix="0" xfId="0">
      <alignment horizontal="center" vertical="center" shrinkToFit="1"/>
    </xf>
    <xf numFmtId="164" fontId="18" fillId="12" borderId="5" applyAlignment="1" applyProtection="1" pivotButton="0" quotePrefix="0" xfId="0">
      <alignment horizontal="center" vertical="center" shrinkToFit="1"/>
      <protection locked="0" hidden="0"/>
    </xf>
    <xf numFmtId="167" fontId="18" fillId="0" borderId="5" applyAlignment="1" pivotButton="0" quotePrefix="0" xfId="0">
      <alignment horizontal="center" vertical="center"/>
    </xf>
    <xf numFmtId="169" fontId="19" fillId="13" borderId="13" applyAlignment="1" applyProtection="1" pivotButton="0" quotePrefix="0" xfId="0">
      <alignment horizontal="center" vertical="center" shrinkToFit="1"/>
      <protection locked="0" hidden="0"/>
    </xf>
    <xf numFmtId="167" fontId="18" fillId="12" borderId="5" applyAlignment="1" applyProtection="1" pivotButton="0" quotePrefix="0" xfId="0">
      <alignment horizontal="center" vertical="center" shrinkToFit="1"/>
      <protection locked="0" hidden="0"/>
    </xf>
    <xf numFmtId="164" fontId="18" fillId="12" borderId="7" applyAlignment="1" applyProtection="1" pivotButton="0" quotePrefix="0" xfId="0">
      <alignment horizontal="center" vertical="center" shrinkToFit="1"/>
      <protection locked="0" hidden="0"/>
    </xf>
    <xf numFmtId="169" fontId="19" fillId="14" borderId="7" applyAlignment="1" applyProtection="1" pivotButton="0" quotePrefix="0" xfId="0">
      <alignment horizontal="center" vertical="center" shrinkToFit="1"/>
      <protection locked="0" hidden="0"/>
    </xf>
    <xf numFmtId="167" fontId="20" fillId="0" borderId="5" applyAlignment="1" pivotButton="0" quotePrefix="0" xfId="0">
      <alignment horizontal="center" vertical="center"/>
    </xf>
    <xf numFmtId="167" fontId="5" fillId="0" borderId="1" applyAlignment="1" pivotButton="0" quotePrefix="0" xfId="0">
      <alignment horizontal="center" vertical="center" wrapText="1"/>
    </xf>
    <xf numFmtId="9" fontId="5" fillId="0" borderId="1" applyAlignment="1" pivotButton="0" quotePrefix="0" xfId="0">
      <alignment horizontal="center" vertical="center"/>
    </xf>
    <xf numFmtId="4" fontId="17" fillId="0" borderId="1" applyAlignment="1" pivotButton="0" quotePrefix="0" xfId="0">
      <alignment horizontal="center" vertical="center" wrapText="1"/>
    </xf>
    <xf numFmtId="0" fontId="5" fillId="0" borderId="1" applyAlignment="1" pivotButton="0" quotePrefix="0" xfId="3">
      <alignment horizontal="center" vertical="center" wrapText="1"/>
    </xf>
    <xf numFmtId="9" fontId="5" fillId="0" borderId="1" applyAlignment="1" pivotButton="0" quotePrefix="0" xfId="3">
      <alignment horizontal="center" vertical="center" wrapText="1"/>
    </xf>
    <xf numFmtId="4" fontId="17" fillId="0" borderId="1" applyAlignment="1" applyProtection="1" pivotButton="0" quotePrefix="0" xfId="0">
      <alignment horizontal="center" vertical="center" wrapText="1"/>
      <protection locked="0" hidden="0"/>
    </xf>
    <xf numFmtId="0" fontId="17" fillId="0" borderId="1" applyAlignment="1" pivotButton="0" quotePrefix="0" xfId="0">
      <alignment horizontal="center" vertical="center" wrapText="1"/>
    </xf>
    <xf numFmtId="0" fontId="17" fillId="0" borderId="1" applyAlignment="1" applyProtection="1" pivotButton="0" quotePrefix="0" xfId="0">
      <alignment horizontal="center" vertical="center" wrapText="1"/>
      <protection locked="0" hidden="0"/>
    </xf>
    <xf numFmtId="164" fontId="21" fillId="15" borderId="5" applyAlignment="1" pivotButton="0" quotePrefix="0" xfId="0">
      <alignment horizontal="center" vertical="center" shrinkToFit="1"/>
    </xf>
    <xf numFmtId="10" fontId="5" fillId="0" borderId="1" applyAlignment="1" pivotButton="0" quotePrefix="0" xfId="0">
      <alignment horizontal="center" vertical="center"/>
    </xf>
    <xf numFmtId="164" fontId="22" fillId="0" borderId="5" applyAlignment="1" pivotButton="0" quotePrefix="0" xfId="0">
      <alignment horizontal="center" vertical="center" shrinkToFit="1"/>
    </xf>
    <xf numFmtId="164" fontId="22" fillId="11" borderId="5" applyAlignment="1" pivotButton="0" quotePrefix="0" xfId="0">
      <alignment horizontal="center" vertical="center" shrinkToFit="1"/>
    </xf>
    <xf numFmtId="164" fontId="22" fillId="0" borderId="14" applyAlignment="1" pivotButton="0" quotePrefix="0" xfId="0">
      <alignment horizontal="center" vertical="center" shrinkToFit="1"/>
    </xf>
    <xf numFmtId="169" fontId="18" fillId="0" borderId="15" applyAlignment="1" pivotButton="0" quotePrefix="0" xfId="0">
      <alignment horizontal="center" vertical="center" shrinkToFit="1"/>
    </xf>
    <xf numFmtId="0" fontId="10" fillId="0" borderId="5" applyAlignment="1" pivotButton="0" quotePrefix="0" xfId="0">
      <alignment vertical="center"/>
    </xf>
    <xf numFmtId="0" fontId="17" fillId="0" borderId="10" applyAlignment="1" pivotButton="0" quotePrefix="0" xfId="0">
      <alignment horizontal="right" vertical="center" wrapText="1"/>
    </xf>
    <xf numFmtId="0" fontId="10" fillId="0" borderId="5" applyAlignment="1" pivotButton="0" quotePrefix="0" xfId="0">
      <alignment horizontal="right" vertical="center" wrapText="1"/>
    </xf>
    <xf numFmtId="165" fontId="10" fillId="0" borderId="5" applyAlignment="1" pivotButton="0" quotePrefix="0" xfId="0">
      <alignment horizontal="center" vertical="center" wrapText="1"/>
    </xf>
    <xf numFmtId="0" fontId="17" fillId="0" borderId="1" applyAlignment="1" pivotButton="0" quotePrefix="0" xfId="0">
      <alignment horizontal="right" vertical="center" wrapText="1"/>
    </xf>
    <xf numFmtId="167" fontId="10" fillId="0" borderId="5" applyAlignment="1" pivotButton="0" quotePrefix="0" xfId="0">
      <alignment horizontal="center" vertical="center" wrapText="1"/>
    </xf>
    <xf numFmtId="0" fontId="10" fillId="0" borderId="5" applyAlignment="1" applyProtection="1" pivotButton="0" quotePrefix="0" xfId="0">
      <alignment horizontal="right" vertical="center" wrapText="1"/>
      <protection locked="0" hidden="0"/>
    </xf>
    <xf numFmtId="167" fontId="5" fillId="0" borderId="1" applyAlignment="1" applyProtection="1" pivotButton="0" quotePrefix="0" xfId="0">
      <alignment horizontal="center" vertical="center"/>
      <protection locked="0" hidden="0"/>
    </xf>
    <xf numFmtId="0" fontId="5" fillId="0" borderId="1" applyAlignment="1" pivotButton="0" quotePrefix="0" xfId="0">
      <alignment vertical="center" wrapText="1"/>
    </xf>
    <xf numFmtId="164" fontId="10" fillId="0" borderId="5" applyAlignment="1" pivotButton="0" quotePrefix="0" xfId="0">
      <alignment vertical="center"/>
    </xf>
    <xf numFmtId="167" fontId="18" fillId="0" borderId="5" applyAlignment="1" applyProtection="1" pivotButton="0" quotePrefix="0" xfId="0">
      <alignment horizontal="center" vertical="center"/>
      <protection locked="0" hidden="0"/>
    </xf>
    <xf numFmtId="0" fontId="2" fillId="8" borderId="1" applyAlignment="1" pivotButton="0" quotePrefix="0" xfId="0">
      <alignment horizontal="center" vertical="center" wrapText="1"/>
    </xf>
    <xf numFmtId="0" fontId="7" fillId="16" borderId="1" applyAlignment="1" pivotButton="0" quotePrefix="0" xfId="0">
      <alignment horizontal="center" vertical="center" wrapText="1"/>
    </xf>
    <xf numFmtId="10" fontId="7" fillId="16" borderId="1" applyAlignment="1" pivotButton="0" quotePrefix="0" xfId="0">
      <alignment vertical="center"/>
    </xf>
    <xf numFmtId="0" fontId="7" fillId="16" borderId="1" applyAlignment="1" pivotButton="0" quotePrefix="0" xfId="0">
      <alignment vertical="center"/>
    </xf>
    <xf numFmtId="0" fontId="7" fillId="16" borderId="1" applyAlignment="1" pivotButton="0" quotePrefix="0" xfId="0">
      <alignment vertical="center" wrapText="1"/>
    </xf>
    <xf numFmtId="0" fontId="7" fillId="16" borderId="1" applyAlignment="1" pivotButton="0" quotePrefix="0" xfId="0">
      <alignment horizontal="left" vertical="center" wrapText="1"/>
    </xf>
    <xf numFmtId="0" fontId="2" fillId="8" borderId="1" applyAlignment="1" applyProtection="1" pivotButton="0" quotePrefix="0" xfId="0">
      <alignment horizontal="center" vertical="center" wrapText="1"/>
      <protection locked="0" hidden="0"/>
    </xf>
    <xf numFmtId="0" fontId="5" fillId="8" borderId="1" applyAlignment="1" applyProtection="1" pivotButton="0" quotePrefix="0" xfId="0">
      <alignment horizontal="center" vertical="center"/>
      <protection locked="0" hidden="0"/>
    </xf>
    <xf numFmtId="0" fontId="2" fillId="8" borderId="1" applyAlignment="1" applyProtection="1" pivotButton="0" quotePrefix="0" xfId="0">
      <alignment horizontal="center" vertical="center"/>
      <protection locked="0" hidden="0"/>
    </xf>
    <xf numFmtId="0" fontId="2" fillId="8" borderId="1" applyAlignment="1" pivotButton="0" quotePrefix="0" xfId="0">
      <alignment horizontal="left" vertical="center" wrapText="1"/>
    </xf>
    <xf numFmtId="0" fontId="5" fillId="8" borderId="1" applyAlignment="1" pivotButton="0" quotePrefix="0" xfId="0">
      <alignment horizontal="center" vertical="center" wrapText="1"/>
    </xf>
    <xf numFmtId="164" fontId="10" fillId="8" borderId="1" applyAlignment="1" pivotButton="0" quotePrefix="0" xfId="0">
      <alignment vertical="center"/>
    </xf>
    <xf numFmtId="9" fontId="2" fillId="8" borderId="1" applyAlignment="1" pivotButton="0" quotePrefix="0" xfId="0">
      <alignment horizontal="center" vertical="center" wrapText="1"/>
    </xf>
    <xf numFmtId="170" fontId="6" fillId="8" borderId="10" applyAlignment="1" pivotButton="0" quotePrefix="0" xfId="0">
      <alignment horizontal="center" vertical="center" shrinkToFit="1"/>
    </xf>
    <xf numFmtId="164" fontId="5" fillId="8" borderId="1" applyAlignment="1" pivotButton="0" quotePrefix="0" xfId="1">
      <alignment horizontal="right" vertical="center" wrapText="1"/>
    </xf>
    <xf numFmtId="10" fontId="5" fillId="8" borderId="1" applyAlignment="1" pivotButton="0" quotePrefix="0" xfId="0">
      <alignment horizontal="center" vertical="center"/>
    </xf>
    <xf numFmtId="170" fontId="6" fillId="8" borderId="1" applyAlignment="1" pivotButton="0" quotePrefix="0" xfId="0">
      <alignment horizontal="center" vertical="center" shrinkToFit="1"/>
    </xf>
    <xf numFmtId="9" fontId="5" fillId="8" borderId="1" applyAlignment="1" pivotButton="0" quotePrefix="0" xfId="0">
      <alignment horizontal="center" vertical="center" wrapText="1"/>
    </xf>
    <xf numFmtId="0" fontId="6" fillId="8" borderId="1" applyAlignment="1" pivotButton="0" quotePrefix="0" xfId="0">
      <alignment horizontal="center" vertical="center"/>
    </xf>
    <xf numFmtId="0" fontId="5" fillId="8" borderId="1" applyAlignment="1" pivotButton="0" quotePrefix="0" xfId="0">
      <alignment horizontal="center" vertical="center"/>
    </xf>
    <xf numFmtId="165" fontId="5" fillId="8" borderId="1" applyAlignment="1" pivotButton="0" quotePrefix="0" xfId="0">
      <alignment horizontal="center" vertical="center" wrapText="1"/>
    </xf>
    <xf numFmtId="0" fontId="6" fillId="8" borderId="1" applyAlignment="1" pivotButton="0" quotePrefix="0" xfId="0">
      <alignment horizontal="center" vertical="center" wrapText="1"/>
    </xf>
    <xf numFmtId="170" fontId="6" fillId="8" borderId="1" applyAlignment="1" applyProtection="1" pivotButton="0" quotePrefix="0" xfId="0">
      <alignment horizontal="center" vertical="center" shrinkToFit="1"/>
      <protection locked="0" hidden="0"/>
    </xf>
    <xf numFmtId="10" fontId="5" fillId="8" borderId="1" applyAlignment="1" applyProtection="1" pivotButton="0" quotePrefix="0" xfId="0">
      <alignment horizontal="center" vertical="center"/>
      <protection locked="0" hidden="0"/>
    </xf>
    <xf numFmtId="0" fontId="5" fillId="8" borderId="1" applyAlignment="1" pivotButton="0" quotePrefix="0" xfId="0">
      <alignment horizontal="left" vertical="center" wrapText="1"/>
    </xf>
    <xf numFmtId="0" fontId="7" fillId="8" borderId="0" applyAlignment="1" pivotButton="0" quotePrefix="0" xfId="0">
      <alignment vertical="center"/>
    </xf>
    <xf numFmtId="0" fontId="2" fillId="8" borderId="1" applyAlignment="1" pivotButton="0" quotePrefix="0" xfId="0">
      <alignment horizontal="center" vertical="center" wrapText="1"/>
    </xf>
    <xf numFmtId="9" fontId="5" fillId="8" borderId="1" applyAlignment="1" pivotButton="0" quotePrefix="0" xfId="0">
      <alignment horizontal="center" vertical="center"/>
    </xf>
    <xf numFmtId="0" fontId="7" fillId="0" borderId="1" applyAlignment="1" pivotButton="0" quotePrefix="0" xfId="0">
      <alignment vertical="center" wrapText="1"/>
    </xf>
    <xf numFmtId="0" fontId="5" fillId="0" borderId="1" applyAlignment="1" pivotButton="0" quotePrefix="0" xfId="0">
      <alignment horizontal="left" vertical="center"/>
    </xf>
    <xf numFmtId="0" fontId="17" fillId="0" borderId="10" applyAlignment="1" pivotButton="0" quotePrefix="0" xfId="0">
      <alignment horizontal="center" vertical="center" wrapText="1"/>
    </xf>
    <xf numFmtId="168" fontId="17" fillId="0" borderId="1" applyAlignment="1" pivotButton="0" quotePrefix="0" xfId="0">
      <alignment horizontal="center" vertical="center" wrapText="1"/>
    </xf>
    <xf numFmtId="168" fontId="6" fillId="0" borderId="1" applyAlignment="1" pivotButton="0" quotePrefix="0" xfId="0">
      <alignment horizontal="center" vertical="center" wrapText="1"/>
    </xf>
    <xf numFmtId="168" fontId="6" fillId="0" borderId="1" applyAlignment="1" pivotButton="0" quotePrefix="0" xfId="0">
      <alignment horizontal="center" vertical="center"/>
    </xf>
    <xf numFmtId="168" fontId="6" fillId="0" borderId="1" applyAlignment="1" applyProtection="1" pivotButton="0" quotePrefix="0" xfId="0">
      <alignment horizontal="center" vertical="center"/>
      <protection locked="0" hidden="0"/>
    </xf>
    <xf numFmtId="0" fontId="6" fillId="0" borderId="1" applyAlignment="1" applyProtection="1" pivotButton="0" quotePrefix="0" xfId="0">
      <alignment horizontal="center" vertical="center" wrapText="1"/>
      <protection locked="0" hidden="0"/>
    </xf>
    <xf numFmtId="0" fontId="10" fillId="0" borderId="7" applyAlignment="1" pivotButton="0" quotePrefix="0" xfId="0">
      <alignment horizontal="center" vertical="center"/>
    </xf>
    <xf numFmtId="0" fontId="5" fillId="0" borderId="1" applyAlignment="1" applyProtection="1" pivotButton="0" quotePrefix="0" xfId="0">
      <alignment vertical="center"/>
      <protection locked="0" hidden="0"/>
    </xf>
    <xf numFmtId="0" fontId="5" fillId="0" borderId="10" applyAlignment="1" pivotButton="0" quotePrefix="0" xfId="0">
      <alignment horizontal="center" vertical="center"/>
    </xf>
    <xf numFmtId="0" fontId="10" fillId="17" borderId="12" applyAlignment="1" pivotButton="0" quotePrefix="0" xfId="0">
      <alignment horizontal="center" vertical="center" wrapText="1"/>
    </xf>
    <xf numFmtId="2" fontId="5" fillId="0" borderId="1" applyAlignment="1" pivotButton="0" quotePrefix="0" xfId="0">
      <alignment horizontal="center" vertical="center" wrapText="1"/>
    </xf>
    <xf numFmtId="167" fontId="6" fillId="0" borderId="1" applyAlignment="1" applyProtection="1" pivotButton="0" quotePrefix="0" xfId="0">
      <alignment horizontal="center" vertical="center"/>
      <protection locked="0" hidden="0"/>
    </xf>
    <xf numFmtId="4" fontId="17" fillId="0" borderId="10" applyAlignment="1" pivotButton="0" quotePrefix="0" xfId="0">
      <alignment vertical="center" wrapText="1"/>
    </xf>
    <xf numFmtId="4" fontId="17" fillId="0" borderId="1" applyAlignment="1" applyProtection="1" pivotButton="0" quotePrefix="0" xfId="0">
      <alignment vertical="center" wrapText="1"/>
      <protection locked="0" hidden="0"/>
    </xf>
    <xf numFmtId="40" fontId="6" fillId="0" borderId="10" applyAlignment="1" pivotButton="0" quotePrefix="0" xfId="0">
      <alignment horizontal="center" vertical="center" shrinkToFit="1"/>
    </xf>
    <xf numFmtId="40" fontId="6" fillId="0" borderId="1" applyAlignment="1" pivotButton="0" quotePrefix="0" xfId="0">
      <alignment vertical="center" shrinkToFit="1"/>
    </xf>
    <xf numFmtId="0" fontId="6" fillId="0" borderId="10" applyAlignment="1" pivotButton="0" quotePrefix="0" xfId="0">
      <alignment horizontal="center" vertical="center" shrinkToFit="1"/>
    </xf>
    <xf numFmtId="170" fontId="6" fillId="0" borderId="1" applyAlignment="1" pivotButton="0" quotePrefix="0" xfId="0">
      <alignment horizontal="center" vertical="center" shrinkToFit="1"/>
    </xf>
    <xf numFmtId="170" fontId="6" fillId="0" borderId="1" applyAlignment="1" applyProtection="1" pivotButton="0" quotePrefix="0" xfId="0">
      <alignment horizontal="center" vertical="center" shrinkToFit="1"/>
      <protection locked="0" hidden="0"/>
    </xf>
    <xf numFmtId="9" fontId="6" fillId="0" borderId="1" applyAlignment="1" pivotButton="0" quotePrefix="0" xfId="0">
      <alignment horizontal="center" vertical="center" wrapText="1"/>
    </xf>
    <xf numFmtId="169" fontId="19" fillId="0" borderId="5" applyAlignment="1" pivotButton="0" quotePrefix="0" xfId="0">
      <alignment horizontal="center" vertical="center" shrinkToFit="1"/>
    </xf>
    <xf numFmtId="164" fontId="6" fillId="0" borderId="1" applyAlignment="1" applyProtection="1" pivotButton="0" quotePrefix="0" xfId="0">
      <alignment horizontal="center" vertical="center" shrinkToFit="1"/>
      <protection locked="0" hidden="0"/>
    </xf>
    <xf numFmtId="0" fontId="6" fillId="0" borderId="1" applyAlignment="1" pivotButton="0" quotePrefix="0" xfId="0">
      <alignment horizontal="center" vertical="center"/>
    </xf>
    <xf numFmtId="164" fontId="18" fillId="0" borderId="5" applyAlignment="1" pivotButton="0" quotePrefix="0" xfId="0">
      <alignment horizontal="center" vertical="center" shrinkToFit="1"/>
    </xf>
    <xf numFmtId="164" fontId="18" fillId="12" borderId="12" applyAlignment="1" pivotButton="0" quotePrefix="0" xfId="0">
      <alignment horizontal="center" vertical="center" shrinkToFit="1"/>
    </xf>
    <xf numFmtId="0" fontId="2" fillId="0" borderId="1" applyAlignment="1" applyProtection="1" pivotButton="0" quotePrefix="0" xfId="0">
      <alignment horizontal="left" vertical="center"/>
      <protection locked="0" hidden="0"/>
    </xf>
    <xf numFmtId="164" fontId="18" fillId="12" borderId="16" applyAlignment="1" pivotButton="0" quotePrefix="0" xfId="0">
      <alignment horizontal="center" vertical="center" shrinkToFit="1"/>
    </xf>
    <xf numFmtId="0" fontId="23" fillId="0" borderId="5" applyAlignment="1" pivotButton="0" quotePrefix="0" xfId="0">
      <alignment vertical="center"/>
    </xf>
    <xf numFmtId="164" fontId="18" fillId="0" borderId="7" applyAlignment="1" pivotButton="0" quotePrefix="0" xfId="0">
      <alignment horizontal="center" vertical="center" shrinkToFit="1"/>
    </xf>
    <xf numFmtId="0" fontId="24" fillId="0" borderId="5" applyAlignment="1" pivotButton="0" quotePrefix="0" xfId="0">
      <alignment horizontal="center" vertical="center"/>
    </xf>
    <xf numFmtId="0" fontId="24" fillId="0" borderId="5" applyAlignment="1" applyProtection="1" pivotButton="0" quotePrefix="0" xfId="0">
      <alignment horizontal="center" vertical="center"/>
      <protection locked="0" hidden="0"/>
    </xf>
    <xf numFmtId="0" fontId="25" fillId="0" borderId="0" applyAlignment="1" pivotButton="0" quotePrefix="0" xfId="0">
      <alignment vertical="center"/>
    </xf>
    <xf numFmtId="0" fontId="25" fillId="13" borderId="5" applyAlignment="1" pivotButton="0" quotePrefix="0" xfId="0">
      <alignment horizontal="center" vertical="center"/>
    </xf>
    <xf numFmtId="164" fontId="18" fillId="13" borderId="5" applyAlignment="1" pivotButton="0" quotePrefix="0" xfId="0">
      <alignment horizontal="center" vertical="center" shrinkToFit="1"/>
    </xf>
    <xf numFmtId="0" fontId="24" fillId="18" borderId="5" applyAlignment="1" pivotButton="0" quotePrefix="0" xfId="0">
      <alignment horizontal="center" vertical="center"/>
    </xf>
    <xf numFmtId="0" fontId="24" fillId="18" borderId="5" applyAlignment="1" applyProtection="1" pivotButton="0" quotePrefix="0" xfId="0">
      <alignment horizontal="center" vertical="center"/>
      <protection locked="0" hidden="0"/>
    </xf>
    <xf numFmtId="164" fontId="18" fillId="18" borderId="5" applyAlignment="1" pivotButton="0" quotePrefix="0" xfId="0">
      <alignment horizontal="center" vertical="center" shrinkToFit="1"/>
    </xf>
    <xf numFmtId="0" fontId="24" fillId="0" borderId="5" applyAlignment="1" applyProtection="1" pivotButton="0" quotePrefix="0" xfId="0">
      <alignment horizontal="center" vertical="center"/>
      <protection locked="0" hidden="0"/>
    </xf>
    <xf numFmtId="164" fontId="5" fillId="0" borderId="1" applyAlignment="1" applyProtection="1" pivotButton="0" quotePrefix="0" xfId="1">
      <alignment horizontal="right" vertical="center"/>
      <protection locked="0" hidden="0"/>
    </xf>
    <xf numFmtId="167" fontId="6" fillId="0" borderId="1" applyAlignment="1" pivotButton="0" quotePrefix="0" xfId="0">
      <alignment horizontal="center" vertical="center" shrinkToFit="1"/>
    </xf>
    <xf numFmtId="2" fontId="5" fillId="0" borderId="1" applyAlignment="1" applyProtection="1" pivotButton="0" quotePrefix="0" xfId="0">
      <alignment horizontal="center" vertical="center"/>
      <protection locked="0" hidden="0"/>
    </xf>
    <xf numFmtId="0" fontId="6" fillId="0" borderId="1" applyAlignment="1" pivotButton="0" quotePrefix="0" xfId="0">
      <alignment horizontal="center" vertical="center" wrapText="1"/>
    </xf>
    <xf numFmtId="167" fontId="6" fillId="0" borderId="10" applyAlignment="1" pivotButton="0" quotePrefix="0" xfId="0">
      <alignment horizontal="center" vertical="center" wrapText="1"/>
    </xf>
    <xf numFmtId="0" fontId="7" fillId="0" borderId="1" applyAlignment="1" pivotButton="0" quotePrefix="0" xfId="0">
      <alignment horizontal="center" vertical="center"/>
    </xf>
    <xf numFmtId="164" fontId="6" fillId="0" borderId="1" applyAlignment="1" pivotButton="0" quotePrefix="0" xfId="0">
      <alignment horizontal="center" vertical="center" wrapText="1"/>
    </xf>
    <xf numFmtId="164" fontId="5" fillId="0" borderId="1" applyAlignment="1" pivotButton="0" quotePrefix="0" xfId="1">
      <alignment horizontal="right" vertical="center"/>
    </xf>
    <xf numFmtId="167" fontId="5" fillId="0" borderId="1" applyAlignment="1" applyProtection="1" pivotButton="0" quotePrefix="0" xfId="0">
      <alignment horizontal="center" vertical="center" wrapText="1"/>
      <protection locked="0" hidden="0"/>
    </xf>
    <xf numFmtId="10" fontId="5" fillId="0" borderId="1" applyAlignment="1" pivotButton="0" quotePrefix="0" xfId="0">
      <alignment vertical="center"/>
    </xf>
    <xf numFmtId="0" fontId="5" fillId="0" borderId="1" applyAlignment="1" pivotButton="0" quotePrefix="0" xfId="0">
      <alignment vertical="center"/>
    </xf>
    <xf numFmtId="167" fontId="10" fillId="0" borderId="7" applyAlignment="1" pivotButton="0" quotePrefix="0" xfId="0">
      <alignment horizontal="center" vertical="center" wrapText="1"/>
    </xf>
    <xf numFmtId="167" fontId="18" fillId="0" borderId="5" applyAlignment="1" pivotButton="0" quotePrefix="0" xfId="0">
      <alignment horizontal="center" vertical="center"/>
    </xf>
    <xf numFmtId="0" fontId="7" fillId="8" borderId="1" applyAlignment="1" pivotButton="0" quotePrefix="0" xfId="0">
      <alignment horizontal="center" vertical="center"/>
    </xf>
    <xf numFmtId="0" fontId="6" fillId="8" borderId="1" applyAlignment="1" applyProtection="1" pivotButton="0" quotePrefix="0" xfId="0">
      <alignment horizontal="center" vertical="center"/>
      <protection locked="0" hidden="0"/>
    </xf>
    <xf numFmtId="0" fontId="2" fillId="8" borderId="1" applyAlignment="1" applyProtection="1" pivotButton="0" quotePrefix="0" xfId="0">
      <alignment horizontal="left" vertical="center" wrapText="1"/>
      <protection locked="0" hidden="0"/>
    </xf>
    <xf numFmtId="164" fontId="6" fillId="8" borderId="1" applyAlignment="1" pivotButton="0" quotePrefix="0" xfId="0">
      <alignment horizontal="center" vertical="center" wrapText="1"/>
    </xf>
    <xf numFmtId="167" fontId="5" fillId="8" borderId="10" applyAlignment="1" pivotButton="0" quotePrefix="0" xfId="0">
      <alignment horizontal="center" vertical="center" wrapText="1"/>
    </xf>
    <xf numFmtId="164" fontId="5" fillId="8" borderId="1" applyAlignment="1" pivotButton="0" quotePrefix="0" xfId="1">
      <alignment horizontal="right" vertical="center"/>
    </xf>
    <xf numFmtId="10" fontId="5" fillId="8" borderId="1" applyAlignment="1" pivotButton="0" quotePrefix="0" xfId="0">
      <alignment vertical="center"/>
    </xf>
    <xf numFmtId="0" fontId="5" fillId="8" borderId="1" applyAlignment="1" pivotButton="0" quotePrefix="0" xfId="0">
      <alignment vertical="center"/>
    </xf>
    <xf numFmtId="0" fontId="5" fillId="8" borderId="1" applyAlignment="1" pivotButton="0" quotePrefix="0" xfId="0">
      <alignment vertical="center" wrapText="1"/>
    </xf>
    <xf numFmtId="0" fontId="5" fillId="0" borderId="9" applyAlignment="1" pivotButton="0" quotePrefix="0" xfId="0">
      <alignment horizontal="center" vertical="center"/>
    </xf>
    <xf numFmtId="0" fontId="5" fillId="0" borderId="2" applyAlignment="1" pivotButton="0" quotePrefix="0" xfId="0">
      <alignment horizontal="center" vertical="center" wrapText="1"/>
    </xf>
    <xf numFmtId="0" fontId="5" fillId="0" borderId="5" applyAlignment="1" pivotButton="0" quotePrefix="0" xfId="0">
      <alignment horizontal="center" vertical="center"/>
    </xf>
    <xf numFmtId="0" fontId="5" fillId="0" borderId="3" applyAlignment="1" pivotButton="0" quotePrefix="0" xfId="0">
      <alignment horizontal="center" vertical="center"/>
    </xf>
    <xf numFmtId="0" fontId="6" fillId="0" borderId="10" applyAlignment="1" pivotButton="0" quotePrefix="0" xfId="0">
      <alignment horizontal="center" vertical="center" wrapText="1"/>
    </xf>
    <xf numFmtId="0" fontId="10" fillId="0" borderId="1" applyAlignment="1" pivotButton="0" quotePrefix="0" xfId="0">
      <alignment horizontal="center" vertical="center"/>
    </xf>
    <xf numFmtId="167" fontId="6" fillId="0" borderId="1" applyAlignment="1" applyProtection="1" pivotButton="0" quotePrefix="0" xfId="0">
      <alignment horizontal="center" vertical="center" shrinkToFit="1"/>
      <protection locked="0" hidden="0"/>
    </xf>
    <xf numFmtId="0" fontId="10"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26" fillId="0" borderId="5" applyAlignment="1" pivotButton="0" quotePrefix="0" xfId="0">
      <alignment horizontal="center" vertical="center" wrapText="1"/>
    </xf>
    <xf numFmtId="164" fontId="7" fillId="0" borderId="1" applyAlignment="1" pivotButton="0" quotePrefix="0" xfId="1">
      <alignment horizontal="right" vertical="center"/>
    </xf>
    <xf numFmtId="10" fontId="7" fillId="0" borderId="1" applyAlignment="1" pivotButton="0" quotePrefix="0" xfId="0">
      <alignment horizontal="center" vertical="center"/>
    </xf>
    <xf numFmtId="164" fontId="18" fillId="0" borderId="5" applyAlignment="1" applyProtection="1" pivotButton="0" quotePrefix="0" xfId="0">
      <alignment horizontal="center" vertical="center" shrinkToFit="1"/>
      <protection locked="0" hidden="0"/>
    </xf>
    <xf numFmtId="167" fontId="18" fillId="0" borderId="5" applyAlignment="1" applyProtection="1" pivotButton="0" quotePrefix="0" xfId="0">
      <alignment horizontal="center" vertical="center" shrinkToFit="1"/>
      <protection locked="0" hidden="0"/>
    </xf>
    <xf numFmtId="10" fontId="7" fillId="0" borderId="1" applyAlignment="1" pivotButton="0" quotePrefix="0" xfId="0">
      <alignment vertical="center"/>
    </xf>
    <xf numFmtId="0" fontId="10" fillId="0" borderId="1" applyAlignment="1" applyProtection="1" pivotButton="0" quotePrefix="0" xfId="0">
      <alignment horizontal="center" vertical="center" wrapText="1"/>
      <protection locked="0" hidden="0"/>
    </xf>
    <xf numFmtId="169" fontId="19" fillId="0" borderId="13" applyAlignment="1" applyProtection="1" pivotButton="0" quotePrefix="0" xfId="0">
      <alignment horizontal="center" vertical="center" shrinkToFit="1"/>
      <protection locked="0" hidden="0"/>
    </xf>
    <xf numFmtId="0" fontId="26" fillId="0" borderId="1" applyAlignment="1" pivotButton="0" quotePrefix="0" xfId="0">
      <alignment horizontal="center" vertical="center"/>
    </xf>
    <xf numFmtId="0" fontId="26" fillId="0" borderId="1" applyAlignment="1" pivotButton="0" quotePrefix="0" xfId="0">
      <alignment horizontal="center" vertical="center" wrapText="1"/>
    </xf>
    <xf numFmtId="164" fontId="10" fillId="0" borderId="9" applyAlignment="1" pivotButton="0" quotePrefix="0" xfId="0">
      <alignment vertical="center"/>
    </xf>
    <xf numFmtId="0" fontId="7" fillId="0" borderId="9" applyAlignment="1" pivotButton="0" quotePrefix="0" xfId="0">
      <alignment horizontal="center" vertical="center" wrapText="1"/>
    </xf>
    <xf numFmtId="164" fontId="7" fillId="0" borderId="9" applyAlignment="1" pivotButton="0" quotePrefix="0" xfId="1">
      <alignment horizontal="right" vertical="center"/>
    </xf>
    <xf numFmtId="10" fontId="7" fillId="0" borderId="9" applyAlignment="1" pivotButton="0" quotePrefix="0" xfId="0">
      <alignment horizontal="center" vertical="center"/>
    </xf>
    <xf numFmtId="0" fontId="7" fillId="0" borderId="9" applyAlignment="1" pivotButton="0" quotePrefix="0" xfId="0">
      <alignment horizontal="center" vertical="center"/>
    </xf>
    <xf numFmtId="10" fontId="7" fillId="0" borderId="9" applyAlignment="1" pivotButton="0" quotePrefix="0" xfId="0">
      <alignment horizontal="center" vertical="center" wrapText="1"/>
    </xf>
    <xf numFmtId="10" fontId="7" fillId="0" borderId="9" applyAlignment="1" pivotButton="0" quotePrefix="0" xfId="0">
      <alignment vertical="center"/>
    </xf>
    <xf numFmtId="0" fontId="7" fillId="0" borderId="9" applyAlignment="1" pivotButton="0" quotePrefix="0" xfId="0">
      <alignment vertical="center"/>
    </xf>
    <xf numFmtId="0" fontId="7" fillId="0" borderId="9" applyAlignment="1" pivotButton="0" quotePrefix="0" xfId="0">
      <alignment vertical="center" wrapText="1"/>
    </xf>
    <xf numFmtId="0" fontId="7" fillId="0" borderId="9" applyAlignment="1" pivotButton="0" quotePrefix="0" xfId="0">
      <alignment horizontal="left" vertical="center" wrapText="1"/>
    </xf>
    <xf numFmtId="164" fontId="10" fillId="0" borderId="2" applyAlignment="1" pivotButton="0" quotePrefix="0" xfId="0">
      <alignment vertical="center"/>
    </xf>
    <xf numFmtId="0" fontId="7" fillId="0" borderId="5" applyAlignment="1" pivotButton="0" quotePrefix="0" xfId="0">
      <alignment horizontal="center" vertical="center" wrapText="1"/>
    </xf>
    <xf numFmtId="164" fontId="7" fillId="0" borderId="5" applyAlignment="1" pivotButton="0" quotePrefix="0" xfId="1">
      <alignment horizontal="right" vertical="center"/>
    </xf>
    <xf numFmtId="10" fontId="7" fillId="0" borderId="5" applyAlignment="1" pivotButton="0" quotePrefix="0" xfId="0">
      <alignment horizontal="center" vertical="center"/>
    </xf>
    <xf numFmtId="0" fontId="7" fillId="0" borderId="5" applyAlignment="1" pivotButton="0" quotePrefix="0" xfId="0">
      <alignment horizontal="center" vertical="center"/>
    </xf>
    <xf numFmtId="10" fontId="7" fillId="0" borderId="5" applyAlignment="1" pivotButton="0" quotePrefix="0" xfId="0">
      <alignment horizontal="center" vertical="center" wrapText="1"/>
    </xf>
    <xf numFmtId="10" fontId="7" fillId="0" borderId="5" applyAlignment="1" pivotButton="0" quotePrefix="0" xfId="0">
      <alignment vertical="center"/>
    </xf>
    <xf numFmtId="0" fontId="7" fillId="0" borderId="5" applyAlignment="1" pivotButton="0" quotePrefix="0" xfId="0">
      <alignment vertical="center"/>
    </xf>
    <xf numFmtId="0" fontId="7" fillId="0" borderId="5" applyAlignment="1" pivotButton="0" quotePrefix="0" xfId="0">
      <alignment vertical="center" wrapText="1"/>
    </xf>
    <xf numFmtId="0" fontId="7" fillId="0" borderId="5" applyAlignment="1" pivotButton="0" quotePrefix="0" xfId="0">
      <alignment horizontal="left" vertical="center" wrapText="1"/>
    </xf>
    <xf numFmtId="0" fontId="27" fillId="0" borderId="5" applyAlignment="1" pivotButton="0" quotePrefix="0" xfId="0">
      <alignment vertical="center"/>
    </xf>
    <xf numFmtId="0" fontId="28" fillId="0" borderId="1" applyAlignment="1" pivotButton="0" quotePrefix="0" xfId="0">
      <alignment vertical="center"/>
    </xf>
    <xf numFmtId="167" fontId="5" fillId="0" borderId="2" applyAlignment="1" pivotButton="0" quotePrefix="0" xfId="0">
      <alignment vertical="center"/>
    </xf>
    <xf numFmtId="0" fontId="27" fillId="0" borderId="5" applyAlignment="1" pivotButton="0" quotePrefix="0" xfId="0">
      <alignment horizontal="center" vertical="center" wrapText="1"/>
    </xf>
    <xf numFmtId="164" fontId="27" fillId="0" borderId="5" applyAlignment="1" pivotButton="0" quotePrefix="0" xfId="1">
      <alignment horizontal="right" vertical="center"/>
    </xf>
    <xf numFmtId="10" fontId="27" fillId="0" borderId="5" applyAlignment="1" pivotButton="0" quotePrefix="0" xfId="0">
      <alignment horizontal="center" vertical="center"/>
    </xf>
    <xf numFmtId="0" fontId="27" fillId="0" borderId="5" applyAlignment="1" pivotButton="0" quotePrefix="0" xfId="0">
      <alignment horizontal="center" vertical="center"/>
    </xf>
    <xf numFmtId="10" fontId="27" fillId="0" borderId="5" applyAlignment="1" pivotButton="0" quotePrefix="0" xfId="0">
      <alignment horizontal="center" vertical="center" wrapText="1"/>
    </xf>
    <xf numFmtId="10" fontId="27" fillId="0" borderId="5" applyAlignment="1" pivotButton="0" quotePrefix="0" xfId="0">
      <alignment vertical="center"/>
    </xf>
    <xf numFmtId="0" fontId="27" fillId="0" borderId="5" applyAlignment="1" pivotButton="0" quotePrefix="0" xfId="0">
      <alignment vertical="center" wrapText="1"/>
    </xf>
    <xf numFmtId="0" fontId="27" fillId="0" borderId="5" applyAlignment="1" pivotButton="0" quotePrefix="0" xfId="0">
      <alignment horizontal="left" vertical="center" wrapText="1"/>
    </xf>
    <xf numFmtId="164" fontId="22" fillId="0" borderId="7" applyAlignment="1" pivotButton="0" quotePrefix="0" xfId="0">
      <alignment horizontal="center" vertical="center" shrinkToFit="1"/>
    </xf>
    <xf numFmtId="164" fontId="26" fillId="0" borderId="7" applyAlignment="1" pivotButton="0" quotePrefix="0" xfId="0">
      <alignment horizontal="center" vertical="center" shrinkToFit="1"/>
    </xf>
    <xf numFmtId="0" fontId="7" fillId="0" borderId="1" applyAlignment="1" applyProtection="1" pivotButton="0" quotePrefix="0" xfId="0">
      <alignment horizontal="center" vertical="center"/>
      <protection locked="0" hidden="0"/>
    </xf>
    <xf numFmtId="167" fontId="27" fillId="0" borderId="5" applyAlignment="1" pivotButton="0" quotePrefix="0" xfId="0">
      <alignment vertical="center"/>
    </xf>
    <xf numFmtId="0" fontId="28" fillId="0" borderId="1" applyAlignment="1" pivotButton="0" quotePrefix="0" xfId="0">
      <alignment vertical="center"/>
    </xf>
    <xf numFmtId="0" fontId="2" fillId="0" borderId="9" applyAlignment="1" applyProtection="1" pivotButton="0" quotePrefix="0" xfId="0">
      <alignment horizontal="center" vertical="center" wrapText="1"/>
      <protection locked="0" hidden="0"/>
    </xf>
    <xf numFmtId="0" fontId="5" fillId="0" borderId="9" applyAlignment="1" applyProtection="1" pivotButton="0" quotePrefix="0" xfId="0">
      <alignment horizontal="center" vertical="center"/>
      <protection locked="0" hidden="0"/>
    </xf>
    <xf numFmtId="0" fontId="2" fillId="0" borderId="9" applyAlignment="1" applyProtection="1" pivotButton="0" quotePrefix="0" xfId="0">
      <alignment horizontal="center" vertical="center"/>
      <protection locked="0" hidden="0"/>
    </xf>
    <xf numFmtId="0" fontId="2" fillId="0" borderId="9" applyAlignment="1" pivotButton="0" quotePrefix="0" xfId="0">
      <alignment horizontal="center" vertical="center" wrapText="1"/>
    </xf>
    <xf numFmtId="167" fontId="5" fillId="0" borderId="17" applyAlignment="1" pivotButton="0" quotePrefix="0" xfId="0">
      <alignment vertical="center"/>
    </xf>
    <xf numFmtId="0" fontId="7" fillId="0" borderId="11" applyAlignment="1" pivotButton="0" quotePrefix="0" xfId="0">
      <alignment horizontal="center" vertical="center" wrapText="1"/>
    </xf>
    <xf numFmtId="0" fontId="27" fillId="0" borderId="11" applyAlignment="1" pivotButton="0" quotePrefix="0" xfId="0">
      <alignment horizontal="center" vertical="center" wrapText="1"/>
    </xf>
    <xf numFmtId="164" fontId="27" fillId="0" borderId="11" applyAlignment="1" pivotButton="0" quotePrefix="0" xfId="1">
      <alignment horizontal="right" vertical="center"/>
    </xf>
    <xf numFmtId="10" fontId="27" fillId="0" borderId="11" applyAlignment="1" pivotButton="0" quotePrefix="0" xfId="0">
      <alignment horizontal="center" vertical="center"/>
    </xf>
    <xf numFmtId="0" fontId="27" fillId="0" borderId="11" applyAlignment="1" pivotButton="0" quotePrefix="0" xfId="0">
      <alignment horizontal="center" vertical="center"/>
    </xf>
    <xf numFmtId="10" fontId="27" fillId="0" borderId="11" applyAlignment="1" pivotButton="0" quotePrefix="0" xfId="0">
      <alignment horizontal="center" vertical="center" wrapText="1"/>
    </xf>
    <xf numFmtId="10" fontId="27" fillId="0" borderId="11" applyAlignment="1" pivotButton="0" quotePrefix="0" xfId="0">
      <alignment vertical="center"/>
    </xf>
    <xf numFmtId="0" fontId="27" fillId="0" borderId="11" applyAlignment="1" pivotButton="0" quotePrefix="0" xfId="0">
      <alignment vertical="center"/>
    </xf>
    <xf numFmtId="0" fontId="27" fillId="0" borderId="11" applyAlignment="1" pivotButton="0" quotePrefix="0" xfId="0">
      <alignment vertical="center" wrapText="1"/>
    </xf>
    <xf numFmtId="0" fontId="27" fillId="0" borderId="11" applyAlignment="1" pivotButton="0" quotePrefix="0" xfId="0">
      <alignment horizontal="left" vertical="center" wrapText="1"/>
    </xf>
    <xf numFmtId="0" fontId="7" fillId="0" borderId="11" applyAlignment="1" pivotButton="0" quotePrefix="0" xfId="0">
      <alignmen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xf>
    <xf numFmtId="49" fontId="28" fillId="0" borderId="1" applyAlignment="1" pivotButton="0" quotePrefix="0" xfId="0">
      <alignment horizontal="center" vertical="center" shrinkToFit="1"/>
    </xf>
    <xf numFmtId="0" fontId="6" fillId="8" borderId="1" applyAlignment="1" pivotButton="0" quotePrefix="0" xfId="0">
      <alignment horizontal="center" vertical="center"/>
    </xf>
    <xf numFmtId="0" fontId="6" fillId="8" borderId="2" applyAlignment="1" pivotButton="0" quotePrefix="0" xfId="0">
      <alignment horizontal="center" vertical="center" wrapText="1"/>
    </xf>
    <xf numFmtId="0" fontId="6" fillId="8" borderId="1" applyAlignment="1" pivotButton="0" quotePrefix="0" xfId="0">
      <alignment horizontal="center" vertical="center" wrapText="1"/>
    </xf>
    <xf numFmtId="0" fontId="7" fillId="0" borderId="1" applyAlignment="1" pivotButton="0" quotePrefix="0" xfId="0">
      <alignment horizontal="center" vertical="center" wrapText="1"/>
    </xf>
    <xf numFmtId="164" fontId="7" fillId="0" borderId="1" applyAlignment="1" pivotButton="0" quotePrefix="0" xfId="1">
      <alignment horizontal="right" vertical="center"/>
    </xf>
    <xf numFmtId="0" fontId="7" fillId="0" borderId="1" applyAlignment="1" pivotButton="0" quotePrefix="0" xfId="0">
      <alignment horizontal="center" vertical="center"/>
    </xf>
    <xf numFmtId="10" fontId="7" fillId="0" borderId="1" applyAlignment="1" pivotButton="0" quotePrefix="0" xfId="0">
      <alignment horizontal="center" vertical="center" wrapText="1"/>
    </xf>
    <xf numFmtId="10" fontId="7" fillId="0" borderId="1" applyAlignment="1" pivotButton="0" quotePrefix="0" xfId="0">
      <alignment horizontal="center" vertical="center"/>
    </xf>
    <xf numFmtId="10" fontId="7" fillId="0" borderId="1" applyAlignment="1" pivotButton="0" quotePrefix="0" xfId="0">
      <alignment vertical="center"/>
    </xf>
    <xf numFmtId="0" fontId="7" fillId="0" borderId="1" applyAlignment="1" pivotButton="0" quotePrefix="0" xfId="0">
      <alignment horizontal="left" vertical="center" wrapText="1"/>
    </xf>
    <xf numFmtId="0" fontId="7" fillId="0" borderId="1" applyAlignment="1" pivotButton="0" quotePrefix="0" xfId="0">
      <alignment vertical="center"/>
    </xf>
    <xf numFmtId="0" fontId="2" fillId="8" borderId="2" applyAlignment="1" pivotButton="0" quotePrefix="0" xfId="0">
      <alignment horizontal="center" vertical="center" wrapText="1"/>
    </xf>
    <xf numFmtId="0" fontId="5" fillId="0" borderId="0" applyAlignment="1" pivotButton="0" quotePrefix="0" xfId="0">
      <alignment horizontal="center" vertical="center" wrapText="1"/>
    </xf>
    <xf numFmtId="0" fontId="6" fillId="0" borderId="5" applyAlignment="1" pivotButton="0" quotePrefix="0" xfId="0">
      <alignment horizontal="center" vertical="center"/>
    </xf>
    <xf numFmtId="0" fontId="28" fillId="0" borderId="5" applyAlignment="1" pivotButton="0" quotePrefix="0" xfId="0">
      <alignment horizontal="center" vertical="center"/>
    </xf>
    <xf numFmtId="0" fontId="6" fillId="0" borderId="12" applyAlignment="1" pivotButton="0" quotePrefix="0" xfId="0">
      <alignment horizontal="center" vertical="center" wrapText="1"/>
    </xf>
    <xf numFmtId="0" fontId="6" fillId="0" borderId="1"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9" applyAlignment="1" pivotButton="0" quotePrefix="0" xfId="0">
      <alignment horizontal="center" vertical="center" wrapText="1"/>
    </xf>
    <xf numFmtId="0" fontId="2" fillId="0" borderId="9" applyAlignment="1" pivotButton="0" quotePrefix="0" xfId="0">
      <alignment horizontal="center" vertical="center" wrapText="1"/>
    </xf>
    <xf numFmtId="0" fontId="6" fillId="0" borderId="2" applyAlignment="1" applyProtection="1" pivotButton="0" quotePrefix="0" xfId="0">
      <alignment horizontal="center" vertical="center"/>
      <protection locked="0" hidden="0"/>
    </xf>
    <xf numFmtId="0" fontId="2" fillId="0" borderId="5" applyAlignment="1" applyProtection="1" pivotButton="0" quotePrefix="0" xfId="0">
      <alignment horizontal="center" vertical="center" wrapText="1"/>
      <protection locked="0" hidden="0"/>
    </xf>
    <xf numFmtId="0" fontId="6" fillId="0" borderId="5" applyAlignment="1" pivotButton="0" quotePrefix="0" xfId="0">
      <alignment horizontal="center" vertical="center" wrapText="1"/>
    </xf>
    <xf numFmtId="0" fontId="6" fillId="0" borderId="0" applyAlignment="1" applyProtection="1" pivotButton="0" quotePrefix="0" xfId="0">
      <alignment horizontal="center" vertical="center"/>
      <protection locked="0" hidden="0"/>
    </xf>
    <xf numFmtId="0" fontId="7" fillId="0" borderId="5" applyAlignment="1" pivotButton="0" quotePrefix="0" xfId="0">
      <alignment horizontal="center" vertical="center" wrapText="1"/>
    </xf>
    <xf numFmtId="164" fontId="5" fillId="0" borderId="10" applyAlignment="1" pivotButton="0" quotePrefix="0" xfId="1">
      <alignment horizontal="right" vertical="center" wrapText="1"/>
    </xf>
    <xf numFmtId="0" fontId="7" fillId="0" borderId="5" applyAlignment="1" pivotButton="0" quotePrefix="0" xfId="0">
      <alignment horizontal="center" vertical="center"/>
    </xf>
    <xf numFmtId="0" fontId="5" fillId="0" borderId="18" applyAlignment="1" pivotButton="0" quotePrefix="0" xfId="0">
      <alignment horizontal="center" vertical="center" wrapText="1"/>
    </xf>
    <xf numFmtId="0" fontId="2" fillId="0" borderId="2" applyAlignment="1" pivotButton="0" quotePrefix="0" xfId="0">
      <alignment horizontal="center" vertical="center"/>
    </xf>
    <xf numFmtId="0" fontId="6" fillId="0" borderId="5" applyAlignment="1" pivotButton="0" quotePrefix="0" xfId="0">
      <alignment horizontal="center" vertical="center"/>
    </xf>
    <xf numFmtId="0" fontId="2" fillId="0" borderId="5" applyAlignment="1" pivotButton="0" quotePrefix="0" xfId="0">
      <alignment horizontal="center" vertical="center" wrapText="1"/>
    </xf>
    <xf numFmtId="0" fontId="6" fillId="0" borderId="5" applyAlignment="1" pivotButton="0" quotePrefix="0" xfId="0">
      <alignment horizontal="center" vertical="center" wrapText="1"/>
    </xf>
    <xf numFmtId="49" fontId="10" fillId="0" borderId="5" applyAlignment="1" pivotButton="0" quotePrefix="0" xfId="0">
      <alignment horizontal="center" vertical="center"/>
    </xf>
    <xf numFmtId="0" fontId="6" fillId="0" borderId="9" applyAlignment="1" pivotButton="0" quotePrefix="0" xfId="0">
      <alignment horizontal="center" vertical="center"/>
    </xf>
    <xf numFmtId="0" fontId="6" fillId="0" borderId="0" applyAlignment="1" pivotButton="0" quotePrefix="0" xfId="0">
      <alignment horizontal="center" vertical="center"/>
    </xf>
    <xf numFmtId="0" fontId="6" fillId="0" borderId="17" applyAlignment="1" pivotButton="0" quotePrefix="0" xfId="0">
      <alignment horizontal="center" vertical="center"/>
    </xf>
    <xf numFmtId="0" fontId="6" fillId="0" borderId="5" applyAlignment="1" applyProtection="1" pivotButton="0" quotePrefix="0" xfId="0">
      <alignment horizontal="center" vertical="center"/>
      <protection locked="0" hidden="0"/>
    </xf>
    <xf numFmtId="0" fontId="2" fillId="0" borderId="1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6" fillId="8" borderId="5" applyAlignment="1" pivotButton="0" quotePrefix="0" xfId="0">
      <alignment horizontal="center" vertical="center"/>
    </xf>
    <xf numFmtId="0" fontId="6" fillId="0" borderId="5" applyAlignment="1" applyProtection="1" pivotButton="0" quotePrefix="0" xfId="0">
      <alignment horizontal="center" vertical="center"/>
      <protection locked="0" hidden="0"/>
    </xf>
    <xf numFmtId="0" fontId="6" fillId="0" borderId="12" applyAlignment="1" pivotButton="0" quotePrefix="0" xfId="0">
      <alignment horizontal="center" vertical="center"/>
    </xf>
    <xf numFmtId="0" fontId="2" fillId="0" borderId="9" applyAlignment="1" pivotButton="0" quotePrefix="0" xfId="0">
      <alignment horizontal="center" vertical="center"/>
    </xf>
    <xf numFmtId="0" fontId="2" fillId="0" borderId="17" applyAlignment="1" pivotButton="0" quotePrefix="0" xfId="0">
      <alignment horizontal="center" vertical="center" wrapText="1"/>
    </xf>
    <xf numFmtId="0" fontId="6" fillId="0" borderId="11" applyAlignment="1" pivotButton="0" quotePrefix="0" xfId="0">
      <alignment horizontal="center" vertical="center" wrapText="1"/>
    </xf>
    <xf numFmtId="0" fontId="6" fillId="8" borderId="11" applyAlignment="1" pivotButton="0" quotePrefix="0" xfId="0">
      <alignment horizontal="center" vertical="center"/>
    </xf>
    <xf numFmtId="0" fontId="2" fillId="0" borderId="5" applyAlignment="1" pivotButton="0" quotePrefix="0" xfId="0">
      <alignment horizontal="center" vertical="center"/>
    </xf>
    <xf numFmtId="0" fontId="6" fillId="0" borderId="5" applyAlignment="1" pivotButton="0" quotePrefix="0" xfId="0">
      <alignment horizontal="center" vertical="center" wrapText="1"/>
    </xf>
    <xf numFmtId="0" fontId="28" fillId="0" borderId="5" applyAlignment="1" pivotButton="0" quotePrefix="0" xfId="0">
      <alignment horizontal="center" vertical="center" wrapText="1"/>
    </xf>
    <xf numFmtId="0" fontId="6" fillId="0" borderId="11" applyAlignment="1" pivotButton="0" quotePrefix="0" xfId="0">
      <alignment horizontal="center" vertical="center"/>
    </xf>
    <xf numFmtId="0" fontId="2" fillId="0" borderId="17" applyAlignment="1" pivotButton="0" quotePrefix="0" xfId="0">
      <alignment horizontal="center" vertical="center"/>
    </xf>
    <xf numFmtId="0" fontId="2" fillId="0" borderId="11" applyAlignment="1" pivotButton="0" quotePrefix="0" xfId="0">
      <alignment horizontal="center" vertical="center"/>
    </xf>
    <xf numFmtId="0" fontId="2" fillId="0" borderId="11" applyAlignment="1" pivotButton="0" quotePrefix="0" xfId="0">
      <alignment horizontal="center" vertical="center" wrapText="1"/>
    </xf>
    <xf numFmtId="0" fontId="6" fillId="0" borderId="11" applyAlignment="1" pivotButton="0" quotePrefix="0" xfId="0">
      <alignment horizontal="center" vertical="center" wrapText="1"/>
    </xf>
    <xf numFmtId="0" fontId="28" fillId="0" borderId="11" applyAlignment="1" pivotButton="0" quotePrefix="0" xfId="0">
      <alignment horizontal="center" vertical="center" wrapText="1"/>
    </xf>
    <xf numFmtId="0" fontId="6" fillId="16" borderId="1" applyAlignment="1" pivotButton="0" quotePrefix="0" xfId="0">
      <alignment horizontal="center" vertical="center"/>
    </xf>
    <xf numFmtId="0" fontId="2" fillId="16" borderId="1" applyAlignment="1" pivotButton="0" quotePrefix="0" xfId="0">
      <alignment horizontal="center" vertical="center"/>
    </xf>
    <xf numFmtId="0" fontId="2" fillId="16" borderId="1" applyAlignment="1" pivotButton="0" quotePrefix="0" xfId="0">
      <alignment horizontal="center" vertical="center" wrapText="1"/>
    </xf>
    <xf numFmtId="0" fontId="6" fillId="16" borderId="1" applyAlignment="1" pivotButton="0" quotePrefix="0" xfId="0">
      <alignment horizontal="center" vertical="center" wrapText="1"/>
    </xf>
    <xf numFmtId="164" fontId="10" fillId="16" borderId="1" applyAlignment="1" pivotButton="0" quotePrefix="0" xfId="0">
      <alignment vertical="center"/>
    </xf>
    <xf numFmtId="0" fontId="26" fillId="16" borderId="5" applyAlignment="1" pivotButton="0" quotePrefix="0" xfId="0">
      <alignment horizontal="center" vertical="center" wrapText="1"/>
    </xf>
    <xf numFmtId="0" fontId="7" fillId="16" borderId="1" applyAlignment="1" pivotButton="0" quotePrefix="0" xfId="0">
      <alignment horizontal="center" vertical="center"/>
    </xf>
    <xf numFmtId="10" fontId="7" fillId="16" borderId="1" applyAlignment="1" pivotButton="0" quotePrefix="0" xfId="0">
      <alignment horizontal="center" vertical="center" wrapText="1"/>
    </xf>
    <xf numFmtId="10" fontId="7" fillId="16" borderId="1" applyAlignment="1" pivotButton="0" quotePrefix="0" xfId="0">
      <alignment horizontal="center" vertical="center"/>
    </xf>
    <xf numFmtId="0" fontId="24" fillId="0" borderId="0" applyAlignment="1" pivotButton="0" quotePrefix="0" xfId="0">
      <alignment horizontal="center" vertical="center"/>
    </xf>
    <xf numFmtId="164" fontId="7" fillId="0" borderId="0" applyAlignment="1" pivotButton="0" quotePrefix="0" xfId="0">
      <alignment horizontal="center" vertical="center" wrapText="1"/>
    </xf>
    <xf numFmtId="169" fontId="7" fillId="0" borderId="0" applyAlignment="1" pivotButton="0" quotePrefix="0" xfId="0">
      <alignment vertical="center"/>
    </xf>
    <xf numFmtId="2" fontId="7" fillId="0" borderId="0" applyAlignment="1" pivotButton="0" quotePrefix="0" xfId="0">
      <alignment vertical="center"/>
    </xf>
    <xf numFmtId="0" fontId="7" fillId="0" borderId="0" applyAlignment="1" pivotButton="0" quotePrefix="0" xfId="0">
      <alignment vertical="center"/>
    </xf>
    <xf numFmtId="0" fontId="5" fillId="13" borderId="2" applyAlignment="1" applyProtection="1" pivotButton="0" quotePrefix="0" xfId="0">
      <alignment horizontal="center" vertical="center"/>
      <protection locked="0" hidden="0"/>
    </xf>
    <xf numFmtId="0" fontId="2" fillId="0" borderId="2" applyAlignment="1" applyProtection="1" pivotButton="0" quotePrefix="0" xfId="0">
      <alignment vertical="center"/>
      <protection locked="0" hidden="0"/>
    </xf>
    <xf numFmtId="0" fontId="0" fillId="0" borderId="0" pivotButton="0" quotePrefix="0" xfId="0"/>
    <xf numFmtId="0" fontId="48" fillId="0" borderId="0" pivotButton="0" quotePrefix="0" xfId="0"/>
    <xf numFmtId="0" fontId="49" fillId="0" borderId="0" pivotButton="0" quotePrefix="0" xfId="0"/>
    <xf numFmtId="0" fontId="0" fillId="0" borderId="0" applyAlignment="1" pivotButton="0" quotePrefix="0" xfId="0">
      <alignment vertical="top" wrapText="1"/>
    </xf>
    <xf numFmtId="0" fontId="0" fillId="46" borderId="0" applyAlignment="1" pivotButton="0" quotePrefix="0" xfId="0">
      <alignment wrapText="1"/>
    </xf>
    <xf numFmtId="164" fontId="7" fillId="0" borderId="0" applyAlignment="1" pivotButton="0" quotePrefix="0" xfId="1">
      <alignment horizontal="right" vertical="center"/>
    </xf>
    <xf numFmtId="164" fontId="1" fillId="2" borderId="9" applyAlignment="1" pivotButton="0" quotePrefix="0" xfId="1">
      <alignment horizontal="center" vertical="center" wrapText="1"/>
    </xf>
    <xf numFmtId="166" fontId="12" fillId="0" borderId="11" applyAlignment="1" pivotButton="0" quotePrefix="0" xfId="0">
      <alignment horizontal="center" vertical="center" wrapText="1"/>
    </xf>
    <xf numFmtId="4" fontId="10" fillId="0" borderId="1" applyAlignment="1" pivotButton="0" quotePrefix="0" xfId="0">
      <alignment vertical="center"/>
    </xf>
    <xf numFmtId="164" fontId="10" fillId="0" borderId="1" applyAlignment="1" pivotButton="0" quotePrefix="0" xfId="0">
      <alignment vertical="center"/>
    </xf>
    <xf numFmtId="167" fontId="5" fillId="0" borderId="10" applyAlignment="1" pivotButton="0" quotePrefix="0" xfId="0">
      <alignment horizontal="center" vertical="center" wrapText="1"/>
    </xf>
    <xf numFmtId="164" fontId="5" fillId="0" borderId="1" applyAlignment="1" pivotButton="0" quotePrefix="0" xfId="1">
      <alignment horizontal="right" vertical="center" wrapText="1"/>
    </xf>
    <xf numFmtId="164" fontId="5" fillId="0" borderId="1" applyAlignment="1" applyProtection="1" pivotButton="0" quotePrefix="0" xfId="1">
      <alignment horizontal="center" vertical="center"/>
      <protection locked="0" hidden="0"/>
    </xf>
    <xf numFmtId="168" fontId="5" fillId="0" borderId="10" applyAlignment="1" pivotButton="0" quotePrefix="0" xfId="0">
      <alignment horizontal="center" vertical="center" wrapText="1"/>
    </xf>
    <xf numFmtId="165" fontId="5" fillId="0" borderId="1" applyAlignment="1" pivotButton="0" quotePrefix="0" xfId="0">
      <alignment horizontal="center" vertical="center" wrapText="1"/>
    </xf>
    <xf numFmtId="166" fontId="5" fillId="0" borderId="1" applyAlignment="1" pivotButton="0" quotePrefix="0" xfId="0">
      <alignment horizontal="center" vertical="center" wrapText="1"/>
    </xf>
    <xf numFmtId="164" fontId="6" fillId="0" borderId="10" applyAlignment="1" pivotButton="0" quotePrefix="0" xfId="0">
      <alignment horizontal="center" vertical="center" shrinkToFit="1"/>
    </xf>
    <xf numFmtId="164" fontId="6" fillId="0" borderId="1" applyAlignment="1" pivotButton="0" quotePrefix="0" xfId="0">
      <alignment horizontal="center" vertical="center" shrinkToFit="1"/>
    </xf>
    <xf numFmtId="169" fontId="6" fillId="0" borderId="10" applyAlignment="1" pivotButton="0" quotePrefix="0" xfId="0">
      <alignment horizontal="center" vertical="center" shrinkToFit="1"/>
    </xf>
    <xf numFmtId="169" fontId="6" fillId="0" borderId="1" applyAlignment="1" pivotButton="0" quotePrefix="0" xfId="0">
      <alignment horizontal="center" vertical="center" shrinkToFit="1"/>
    </xf>
    <xf numFmtId="164" fontId="18" fillId="12" borderId="5" applyAlignment="1" pivotButton="0" quotePrefix="0" xfId="0">
      <alignment horizontal="center" vertical="center" shrinkToFit="1"/>
    </xf>
    <xf numFmtId="164" fontId="18" fillId="0" borderId="5" applyAlignment="1" pivotButton="0" quotePrefix="0" xfId="0">
      <alignment horizontal="center" vertical="center" shrinkToFit="1"/>
    </xf>
    <xf numFmtId="164" fontId="18" fillId="12" borderId="5" applyAlignment="1" applyProtection="1" pivotButton="0" quotePrefix="0" xfId="0">
      <alignment horizontal="center" vertical="center" shrinkToFit="1"/>
      <protection locked="0" hidden="0"/>
    </xf>
    <xf numFmtId="167" fontId="18" fillId="0" borderId="5" applyAlignment="1" pivotButton="0" quotePrefix="0" xfId="0">
      <alignment horizontal="center" vertical="center"/>
    </xf>
    <xf numFmtId="169" fontId="19" fillId="13" borderId="13" applyAlignment="1" applyProtection="1" pivotButton="0" quotePrefix="0" xfId="0">
      <alignment horizontal="center" vertical="center" shrinkToFit="1"/>
      <protection locked="0" hidden="0"/>
    </xf>
    <xf numFmtId="167" fontId="18" fillId="12" borderId="5" applyAlignment="1" applyProtection="1" pivotButton="0" quotePrefix="0" xfId="0">
      <alignment horizontal="center" vertical="center" shrinkToFit="1"/>
      <protection locked="0" hidden="0"/>
    </xf>
    <xf numFmtId="164" fontId="18" fillId="12" borderId="7" applyAlignment="1" applyProtection="1" pivotButton="0" quotePrefix="0" xfId="0">
      <alignment horizontal="center" vertical="center" shrinkToFit="1"/>
      <protection locked="0" hidden="0"/>
    </xf>
    <xf numFmtId="169" fontId="19" fillId="14" borderId="7" applyAlignment="1" applyProtection="1" pivotButton="0" quotePrefix="0" xfId="0">
      <alignment horizontal="center" vertical="center" shrinkToFit="1"/>
      <protection locked="0" hidden="0"/>
    </xf>
    <xf numFmtId="167" fontId="20" fillId="0" borderId="5" applyAlignment="1" pivotButton="0" quotePrefix="0" xfId="0">
      <alignment horizontal="center" vertical="center"/>
    </xf>
    <xf numFmtId="167" fontId="5" fillId="0" borderId="1" applyAlignment="1" pivotButton="0" quotePrefix="0" xfId="0">
      <alignment horizontal="center" vertical="center" wrapText="1"/>
    </xf>
    <xf numFmtId="164" fontId="21" fillId="15" borderId="5" applyAlignment="1" pivotButton="0" quotePrefix="0" xfId="0">
      <alignment horizontal="center" vertical="center" shrinkToFit="1"/>
    </xf>
    <xf numFmtId="164" fontId="22" fillId="0" borderId="5" applyAlignment="1" pivotButton="0" quotePrefix="0" xfId="0">
      <alignment horizontal="center" vertical="center" shrinkToFit="1"/>
    </xf>
    <xf numFmtId="164" fontId="22" fillId="11" borderId="5" applyAlignment="1" pivotButton="0" quotePrefix="0" xfId="0">
      <alignment horizontal="center" vertical="center" shrinkToFit="1"/>
    </xf>
    <xf numFmtId="164" fontId="22" fillId="0" borderId="14" applyAlignment="1" pivotButton="0" quotePrefix="0" xfId="0">
      <alignment horizontal="center" vertical="center" shrinkToFit="1"/>
    </xf>
    <xf numFmtId="169" fontId="18" fillId="0" borderId="15" applyAlignment="1" pivotButton="0" quotePrefix="0" xfId="0">
      <alignment horizontal="center" vertical="center" shrinkToFit="1"/>
    </xf>
    <xf numFmtId="4" fontId="10" fillId="0" borderId="5" applyAlignment="1" pivotButton="0" quotePrefix="0" xfId="0">
      <alignment vertical="center"/>
    </xf>
    <xf numFmtId="165" fontId="10" fillId="0" borderId="5" applyAlignment="1" pivotButton="0" quotePrefix="0" xfId="0">
      <alignment horizontal="center" vertical="center" wrapText="1"/>
    </xf>
    <xf numFmtId="167" fontId="10" fillId="0" borderId="5" applyAlignment="1" pivotButton="0" quotePrefix="0" xfId="0">
      <alignment horizontal="center" vertical="center" wrapText="1"/>
    </xf>
    <xf numFmtId="167" fontId="5" fillId="0" borderId="1" applyAlignment="1" applyProtection="1" pivotButton="0" quotePrefix="0" xfId="0">
      <alignment horizontal="center" vertical="center"/>
      <protection locked="0" hidden="0"/>
    </xf>
    <xf numFmtId="167" fontId="18" fillId="0" borderId="5" applyAlignment="1" applyProtection="1" pivotButton="0" quotePrefix="0" xfId="0">
      <alignment horizontal="center" vertical="center"/>
      <protection locked="0" hidden="0"/>
    </xf>
    <xf numFmtId="4" fontId="2" fillId="0" borderId="1" applyAlignment="1" applyProtection="1" pivotButton="0" quotePrefix="0" xfId="0">
      <alignment vertical="center"/>
      <protection locked="0" hidden="0"/>
    </xf>
    <xf numFmtId="164" fontId="10" fillId="8" borderId="1" applyAlignment="1" pivotButton="0" quotePrefix="0" xfId="0">
      <alignment vertical="center"/>
    </xf>
    <xf numFmtId="170" fontId="6" fillId="8" borderId="10" applyAlignment="1" pivotButton="0" quotePrefix="0" xfId="0">
      <alignment horizontal="center" vertical="center" shrinkToFit="1"/>
    </xf>
    <xf numFmtId="164" fontId="5" fillId="8" borderId="1" applyAlignment="1" pivotButton="0" quotePrefix="0" xfId="1">
      <alignment horizontal="right" vertical="center" wrapText="1"/>
    </xf>
    <xf numFmtId="170" fontId="6" fillId="8" borderId="1" applyAlignment="1" pivotButton="0" quotePrefix="0" xfId="0">
      <alignment horizontal="center" vertical="center" shrinkToFit="1"/>
    </xf>
    <xf numFmtId="165" fontId="5" fillId="8" borderId="1" applyAlignment="1" pivotButton="0" quotePrefix="0" xfId="0">
      <alignment horizontal="center" vertical="center" wrapText="1"/>
    </xf>
    <xf numFmtId="170" fontId="6" fillId="8" borderId="1" applyAlignment="1" applyProtection="1" pivotButton="0" quotePrefix="0" xfId="0">
      <alignment horizontal="center" vertical="center" shrinkToFit="1"/>
      <protection locked="0" hidden="0"/>
    </xf>
    <xf numFmtId="168" fontId="17" fillId="0" borderId="1" applyAlignment="1" pivotButton="0" quotePrefix="0" xfId="0">
      <alignment horizontal="center" vertical="center" wrapText="1"/>
    </xf>
    <xf numFmtId="168" fontId="6" fillId="0" borderId="1" applyAlignment="1" pivotButton="0" quotePrefix="0" xfId="0">
      <alignment horizontal="center" vertical="center" wrapText="1"/>
    </xf>
    <xf numFmtId="168" fontId="6" fillId="0" borderId="1" applyAlignment="1" pivotButton="0" quotePrefix="0" xfId="0">
      <alignment horizontal="center" vertical="center"/>
    </xf>
    <xf numFmtId="168" fontId="6" fillId="0" borderId="1" applyAlignment="1" applyProtection="1" pivotButton="0" quotePrefix="0" xfId="0">
      <alignment horizontal="center" vertical="center"/>
      <protection locked="0" hidden="0"/>
    </xf>
    <xf numFmtId="167" fontId="6" fillId="0" borderId="1" applyAlignment="1" applyProtection="1" pivotButton="0" quotePrefix="0" xfId="0">
      <alignment horizontal="center" vertical="center"/>
      <protection locked="0" hidden="0"/>
    </xf>
    <xf numFmtId="170" fontId="6" fillId="0" borderId="1" applyAlignment="1" pivotButton="0" quotePrefix="0" xfId="0">
      <alignment horizontal="center" vertical="center" shrinkToFit="1"/>
    </xf>
    <xf numFmtId="170" fontId="6" fillId="0" borderId="1" applyAlignment="1" applyProtection="1" pivotButton="0" quotePrefix="0" xfId="0">
      <alignment horizontal="center" vertical="center" shrinkToFit="1"/>
      <protection locked="0" hidden="0"/>
    </xf>
    <xf numFmtId="169" fontId="19" fillId="0" borderId="5" applyAlignment="1" pivotButton="0" quotePrefix="0" xfId="0">
      <alignment horizontal="center" vertical="center" shrinkToFit="1"/>
    </xf>
    <xf numFmtId="164" fontId="6" fillId="0" borderId="1" applyAlignment="1" applyProtection="1" pivotButton="0" quotePrefix="0" xfId="0">
      <alignment horizontal="center" vertical="center" shrinkToFit="1"/>
      <protection locked="0" hidden="0"/>
    </xf>
    <xf numFmtId="4" fontId="18" fillId="12" borderId="12" applyAlignment="1" pivotButton="0" quotePrefix="0" xfId="0">
      <alignment horizontal="center" vertical="center" shrinkToFit="1"/>
    </xf>
    <xf numFmtId="4" fontId="18" fillId="12" borderId="16" applyAlignment="1" pivotButton="0" quotePrefix="0" xfId="0">
      <alignment horizontal="center" vertical="center" shrinkToFit="1"/>
    </xf>
    <xf numFmtId="164" fontId="18" fillId="0" borderId="7" applyAlignment="1" pivotButton="0" quotePrefix="0" xfId="0">
      <alignment horizontal="center" vertical="center" shrinkToFit="1"/>
    </xf>
    <xf numFmtId="164" fontId="18" fillId="13" borderId="5" applyAlignment="1" pivotButton="0" quotePrefix="0" xfId="0">
      <alignment horizontal="center" vertical="center" shrinkToFit="1"/>
    </xf>
    <xf numFmtId="164" fontId="18" fillId="18" borderId="5" applyAlignment="1" pivotButton="0" quotePrefix="0" xfId="0">
      <alignment horizontal="center" vertical="center" shrinkToFit="1"/>
    </xf>
    <xf numFmtId="164" fontId="5" fillId="0" borderId="1" applyAlignment="1" applyProtection="1" pivotButton="0" quotePrefix="0" xfId="1">
      <alignment horizontal="right" vertical="center"/>
      <protection locked="0" hidden="0"/>
    </xf>
    <xf numFmtId="167" fontId="6" fillId="0" borderId="1" applyAlignment="1" pivotButton="0" quotePrefix="0" xfId="0">
      <alignment horizontal="center" vertical="center" shrinkToFit="1"/>
    </xf>
    <xf numFmtId="167" fontId="6" fillId="0" borderId="10" applyAlignment="1" pivotButton="0" quotePrefix="0" xfId="0">
      <alignment horizontal="center" vertical="center" wrapText="1"/>
    </xf>
    <xf numFmtId="164" fontId="6" fillId="0" borderId="1" applyAlignment="1" pivotButton="0" quotePrefix="0" xfId="0">
      <alignment horizontal="center" vertical="center" wrapText="1"/>
    </xf>
    <xf numFmtId="164" fontId="5" fillId="0" borderId="1" applyAlignment="1" pivotButton="0" quotePrefix="0" xfId="1">
      <alignment horizontal="right" vertical="center"/>
    </xf>
    <xf numFmtId="167" fontId="5" fillId="0" borderId="1" applyAlignment="1" applyProtection="1" pivotButton="0" quotePrefix="0" xfId="0">
      <alignment horizontal="center" vertical="center" wrapText="1"/>
      <protection locked="0" hidden="0"/>
    </xf>
    <xf numFmtId="167" fontId="10" fillId="0" borderId="7" applyAlignment="1" pivotButton="0" quotePrefix="0" xfId="0">
      <alignment horizontal="center" vertical="center" wrapText="1"/>
    </xf>
    <xf numFmtId="164" fontId="6" fillId="8" borderId="1" applyAlignment="1" pivotButton="0" quotePrefix="0" xfId="0">
      <alignment horizontal="center" vertical="center" wrapText="1"/>
    </xf>
    <xf numFmtId="167" fontId="5" fillId="8" borderId="10" applyAlignment="1" pivotButton="0" quotePrefix="0" xfId="0">
      <alignment horizontal="center" vertical="center" wrapText="1"/>
    </xf>
    <xf numFmtId="164" fontId="5" fillId="8" borderId="1" applyAlignment="1" pivotButton="0" quotePrefix="0" xfId="1">
      <alignment horizontal="right" vertical="center"/>
    </xf>
    <xf numFmtId="167" fontId="6" fillId="0" borderId="1" applyAlignment="1" applyProtection="1" pivotButton="0" quotePrefix="0" xfId="0">
      <alignment horizontal="center" vertical="center" shrinkToFit="1"/>
      <protection locked="0" hidden="0"/>
    </xf>
    <xf numFmtId="164" fontId="7" fillId="0" borderId="1" applyAlignment="1" pivotButton="0" quotePrefix="0" xfId="1">
      <alignment horizontal="right" vertical="center"/>
    </xf>
    <xf numFmtId="164" fontId="18" fillId="0" borderId="5" applyAlignment="1" applyProtection="1" pivotButton="0" quotePrefix="0" xfId="0">
      <alignment horizontal="center" vertical="center" shrinkToFit="1"/>
      <protection locked="0" hidden="0"/>
    </xf>
    <xf numFmtId="167" fontId="18" fillId="0" borderId="5" applyAlignment="1" applyProtection="1" pivotButton="0" quotePrefix="0" xfId="0">
      <alignment horizontal="center" vertical="center" shrinkToFit="1"/>
      <protection locked="0" hidden="0"/>
    </xf>
    <xf numFmtId="169" fontId="19" fillId="0" borderId="13" applyAlignment="1" applyProtection="1" pivotButton="0" quotePrefix="0" xfId="0">
      <alignment horizontal="center" vertical="center" shrinkToFit="1"/>
      <protection locked="0" hidden="0"/>
    </xf>
    <xf numFmtId="164" fontId="10" fillId="0" borderId="9" applyAlignment="1" pivotButton="0" quotePrefix="0" xfId="0">
      <alignment vertical="center"/>
    </xf>
    <xf numFmtId="164" fontId="7" fillId="0" borderId="9" applyAlignment="1" pivotButton="0" quotePrefix="0" xfId="1">
      <alignment horizontal="right" vertical="center"/>
    </xf>
    <xf numFmtId="164" fontId="10" fillId="0" borderId="2" applyAlignment="1" pivotButton="0" quotePrefix="0" xfId="0">
      <alignment vertical="center"/>
    </xf>
    <xf numFmtId="164" fontId="7" fillId="0" borderId="5" applyAlignment="1" pivotButton="0" quotePrefix="0" xfId="1">
      <alignment horizontal="right" vertical="center"/>
    </xf>
    <xf numFmtId="167" fontId="5" fillId="0" borderId="2" applyAlignment="1" pivotButton="0" quotePrefix="0" xfId="0">
      <alignment vertical="center"/>
    </xf>
    <xf numFmtId="164" fontId="27" fillId="0" borderId="5" applyAlignment="1" pivotButton="0" quotePrefix="0" xfId="1">
      <alignment horizontal="right" vertical="center"/>
    </xf>
    <xf numFmtId="164" fontId="22" fillId="0" borderId="7" applyAlignment="1" pivotButton="0" quotePrefix="0" xfId="0">
      <alignment horizontal="center" vertical="center" shrinkToFit="1"/>
    </xf>
    <xf numFmtId="164" fontId="26" fillId="0" borderId="7" applyAlignment="1" pivotButton="0" quotePrefix="0" xfId="0">
      <alignment horizontal="center" vertical="center" shrinkToFit="1"/>
    </xf>
    <xf numFmtId="167" fontId="27" fillId="0" borderId="5" applyAlignment="1" pivotButton="0" quotePrefix="0" xfId="0">
      <alignment vertical="center"/>
    </xf>
    <xf numFmtId="167" fontId="5" fillId="0" borderId="17" applyAlignment="1" pivotButton="0" quotePrefix="0" xfId="0">
      <alignment vertical="center"/>
    </xf>
    <xf numFmtId="164" fontId="27" fillId="0" borderId="11" applyAlignment="1" pivotButton="0" quotePrefix="0" xfId="1">
      <alignment horizontal="right" vertical="center"/>
    </xf>
    <xf numFmtId="164" fontId="5" fillId="0" borderId="10" applyAlignment="1" pivotButton="0" quotePrefix="0" xfId="1">
      <alignment horizontal="right" vertical="center" wrapText="1"/>
    </xf>
    <xf numFmtId="4" fontId="10" fillId="0" borderId="2" applyAlignment="1" pivotButton="0" quotePrefix="0" xfId="0">
      <alignment vertical="center"/>
    </xf>
    <xf numFmtId="4" fontId="10" fillId="0" borderId="9" applyAlignment="1" pivotButton="0" quotePrefix="0" xfId="0">
      <alignment vertical="center"/>
    </xf>
    <xf numFmtId="4" fontId="10" fillId="16" borderId="1" applyAlignment="1" pivotButton="0" quotePrefix="0" xfId="0">
      <alignment vertical="center"/>
    </xf>
    <xf numFmtId="4" fontId="7" fillId="0" borderId="0" applyAlignment="1" pivotButton="0" quotePrefix="0" xfId="0">
      <alignment horizontal="center" vertical="center" wrapText="1"/>
    </xf>
    <xf numFmtId="0" fontId="52" fillId="48" borderId="0" applyAlignment="1" pivotButton="0" quotePrefix="0" xfId="0">
      <alignment vertical="center"/>
    </xf>
    <xf numFmtId="0" fontId="6" fillId="0" borderId="1" applyAlignment="1" pivotButton="0" quotePrefix="0" xfId="0">
      <alignment vertical="top" wrapText="1"/>
    </xf>
    <xf numFmtId="0" fontId="2" fillId="0" borderId="1" applyAlignment="1" applyProtection="1" pivotButton="0" quotePrefix="0" xfId="0">
      <alignment vertical="top" wrapText="1"/>
      <protection locked="0" hidden="0"/>
    </xf>
    <xf numFmtId="0" fontId="2" fillId="8" borderId="1" applyAlignment="1" pivotButton="0" quotePrefix="0" xfId="0">
      <alignment vertical="top" wrapText="1"/>
    </xf>
    <xf numFmtId="0" fontId="2" fillId="0" borderId="9" applyAlignment="1" pivotButton="0" quotePrefix="0" xfId="0">
      <alignment vertical="top" wrapText="1"/>
    </xf>
    <xf numFmtId="4" fontId="2" fillId="0" borderId="1" applyAlignment="1" applyProtection="1" pivotButton="0" quotePrefix="0" xfId="0">
      <alignment vertical="top" wrapText="1"/>
      <protection locked="0" hidden="0"/>
    </xf>
    <xf numFmtId="0" fontId="10" fillId="17" borderId="12" applyAlignment="1" pivotButton="0" quotePrefix="0" xfId="0">
      <alignment vertical="top" wrapText="1"/>
    </xf>
    <xf numFmtId="0" fontId="7" fillId="16" borderId="1" applyAlignment="1" pivotButton="0" quotePrefix="0" xfId="0">
      <alignment vertical="top" wrapText="1"/>
    </xf>
    <xf numFmtId="169" fontId="7" fillId="0" borderId="0" applyAlignment="1" pivotButton="0" quotePrefix="0" xfId="0">
      <alignment vertical="center"/>
    </xf>
    <xf numFmtId="0" fontId="50" fillId="0" borderId="0" pivotButton="0" quotePrefix="0" xfId="0"/>
    <xf numFmtId="0" fontId="0" fillId="0" borderId="0" applyAlignment="1" pivotButton="0" quotePrefix="0" xfId="0">
      <alignment wrapText="1"/>
    </xf>
    <xf numFmtId="0" fontId="51" fillId="47" borderId="0" applyAlignment="1" pivotButton="0" quotePrefix="0" xfId="0">
      <alignment horizontal="center" vertical="center" wrapText="1"/>
    </xf>
    <xf numFmtId="40" fontId="0" fillId="0" borderId="0" applyAlignment="1" pivotButton="0" quotePrefix="0" xfId="0">
      <alignment vertical="top" wrapText="1"/>
    </xf>
    <xf numFmtId="164" fontId="0" fillId="0" borderId="0" applyAlignment="1" pivotButton="0" quotePrefix="0" xfId="0">
      <alignment vertical="top" wrapText="1"/>
    </xf>
    <xf numFmtId="167" fontId="0" fillId="0" borderId="0" applyAlignment="1" pivotButton="0" quotePrefix="0" xfId="0">
      <alignment vertical="top" wrapText="1"/>
    </xf>
    <xf numFmtId="170" fontId="0" fillId="0" borderId="0" applyAlignment="1" pivotButton="0" quotePrefix="0" xfId="0">
      <alignment vertical="top" wrapText="1"/>
    </xf>
    <xf numFmtId="4" fontId="0" fillId="0" borderId="0" applyAlignment="1" pivotButton="0" quotePrefix="0" xfId="0">
      <alignment vertical="top" wrapText="1"/>
    </xf>
    <xf numFmtId="169" fontId="0" fillId="0" borderId="0" applyAlignment="1" pivotButton="0" quotePrefix="0" xfId="0">
      <alignment vertical="top" wrapText="1"/>
    </xf>
    <xf numFmtId="49" fontId="0" fillId="0" borderId="0" applyAlignment="1" pivotButton="0" quotePrefix="0" xfId="0">
      <alignment vertical="top" wrapText="1"/>
    </xf>
    <xf numFmtId="0" fontId="0" fillId="48" borderId="0" pivotButton="0" quotePrefix="0" xfId="0"/>
    <xf numFmtId="4" fontId="0" fillId="0" borderId="0" pivotButton="0" quotePrefix="0" xfId="0"/>
    <xf numFmtId="164" fontId="1" fillId="2" borderId="1" applyAlignment="1" pivotButton="0" quotePrefix="0" xfId="1">
      <alignment horizontal="center" vertical="center" wrapText="1"/>
    </xf>
    <xf numFmtId="164" fontId="2" fillId="0" borderId="1" applyAlignment="1" pivotButton="0" quotePrefix="0" xfId="1">
      <alignment horizontal="right" vertical="center" wrapText="1"/>
    </xf>
    <xf numFmtId="164" fontId="2" fillId="0" borderId="1" applyAlignment="1" applyProtection="1" pivotButton="0" quotePrefix="0" xfId="1">
      <alignment horizontal="center" vertical="center"/>
      <protection locked="0" hidden="0"/>
    </xf>
    <xf numFmtId="165" fontId="2" fillId="0" borderId="1" applyAlignment="1" pivotButton="0" quotePrefix="0" xfId="0">
      <alignment horizontal="center" vertical="center" wrapText="1"/>
    </xf>
    <xf numFmtId="164" fontId="6" fillId="0" borderId="1" applyAlignment="1" applyProtection="1" pivotButton="0" quotePrefix="0" xfId="1">
      <alignment horizontal="center" vertical="center"/>
      <protection locked="0" hidden="0"/>
    </xf>
    <xf numFmtId="166" fontId="2" fillId="0" borderId="1" applyAlignment="1" pivotButton="0" quotePrefix="0" xfId="0">
      <alignment horizontal="center" vertical="center" wrapText="1"/>
    </xf>
    <xf numFmtId="165" fontId="10" fillId="0" borderId="1" applyAlignment="1" pivotButton="0" quotePrefix="0" xfId="0">
      <alignment horizontal="center" vertical="center" wrapText="1"/>
    </xf>
    <xf numFmtId="164" fontId="6" fillId="0" borderId="1" applyAlignment="1" pivotButton="0" quotePrefix="0" xfId="1">
      <alignment horizontal="center" vertical="center" wrapText="1"/>
    </xf>
    <xf numFmtId="167" fontId="2" fillId="0" borderId="1" applyAlignment="1" pivotButton="0" quotePrefix="0" xfId="0">
      <alignment horizontal="center" vertical="center" wrapText="1"/>
    </xf>
    <xf numFmtId="165" fontId="6" fillId="6" borderId="1" applyAlignment="1" pivotButton="0" quotePrefix="0" xfId="0">
      <alignment horizontal="center" vertical="center" wrapText="1"/>
    </xf>
    <xf numFmtId="165" fontId="2" fillId="6" borderId="1" applyAlignment="1" applyProtection="1" pivotButton="0" quotePrefix="0" xfId="0">
      <alignment horizontal="center" vertical="center"/>
      <protection locked="0" hidden="0"/>
    </xf>
    <xf numFmtId="165" fontId="6" fillId="6" borderId="1" applyAlignment="1" applyProtection="1" pivotButton="0" quotePrefix="0" xfId="0">
      <alignment horizontal="center" vertical="center"/>
      <protection locked="0" hidden="0"/>
    </xf>
    <xf numFmtId="165" fontId="6" fillId="0" borderId="1" applyAlignment="1" pivotButton="0" quotePrefix="0" xfId="0">
      <alignment horizontal="center" vertical="center" wrapText="1"/>
    </xf>
    <xf numFmtId="165" fontId="2" fillId="6" borderId="5" applyAlignment="1" pivotButton="0" quotePrefix="0" xfId="0">
      <alignment horizontal="center" vertical="center" wrapText="1"/>
    </xf>
    <xf numFmtId="165" fontId="2" fillId="0" borderId="5" applyAlignment="1" pivotButton="0" quotePrefix="0" xfId="0">
      <alignment horizontal="center" vertical="center" wrapText="1"/>
    </xf>
    <xf numFmtId="165" fontId="2" fillId="6" borderId="1" applyAlignment="1" pivotButton="0" quotePrefix="0" xfId="0">
      <alignment horizontal="center" vertical="center" wrapText="1"/>
    </xf>
    <xf numFmtId="167" fontId="2" fillId="0" borderId="1" applyAlignment="1" applyProtection="1" pivotButton="0" quotePrefix="0" xfId="0">
      <alignment horizontal="center" vertical="center"/>
      <protection locked="0" hidden="0"/>
    </xf>
    <xf numFmtId="164" fontId="2" fillId="0" borderId="1" applyAlignment="1" applyProtection="1" pivotButton="0" quotePrefix="0" xfId="1">
      <alignment horizontal="right" vertical="center"/>
      <protection locked="0" hidden="0"/>
    </xf>
    <xf numFmtId="166" fontId="12" fillId="8" borderId="11" applyAlignment="1" pivotButton="0" quotePrefix="0" xfId="0">
      <alignment horizontal="center" vertical="center" wrapText="1"/>
    </xf>
    <xf numFmtId="164" fontId="5" fillId="0" borderId="1" applyAlignment="1" pivotButton="0" quotePrefix="0" xfId="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
      <fill>
        <patternFill patternType="solid">
          <fgColor rgb="00E5F4EE"/>
        </patternFill>
      </fill>
    </dxf>
    <dxf>
      <fill>
        <patternFill patternType="solid">
          <fgColor rgb="00FCE8E6"/>
        </patternFill>
      </fill>
    </dxf>
    <dxf>
      <fill>
        <patternFill patternType="solid">
          <fgColor rgb="00FFF4D6"/>
        </patternFill>
      </fill>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tblRevenueInput" displayName="tblRevenueInput" ref="A3:M491" headerRowCount="1">
  <autoFilter ref="A3:M491"/>
  <tableColumns count="13">
    <tableColumn id="1" name="序号"/>
    <tableColumn id="2" name="档口唯一标志"/>
    <tableColumn id="3" name="分部名称"/>
    <tableColumn id="4" name="项目代码"/>
    <tableColumn id="5" name="项目名称"/>
    <tableColumn id="6" name="项目类型"/>
    <tableColumn id="7" name="分组作业名称"/>
    <tableColumn id="8" name="分组作业窗口名称"/>
    <tableColumn id="9" name="签订人"/>
    <tableColumn id="10" name="全额营业额合计"/>
    <tableColumn id="11" name="备注状态"/>
    <tableColumn id="12" name="收入会计"/>
    <tableColumn id="13" name="补充说明"/>
  </tableColumns>
  <tableStyleInfo name="TableStyleMedium2" showFirstColumn="0" showLastColumn="0" showRowStripes="1"/>
</table>
</file>

<file path=xl/tables/table2.xml><?xml version="1.0" encoding="utf-8"?>
<table xmlns="http://schemas.openxmlformats.org/spreadsheetml/2006/main" id="2" name="tblRevenueOverride" displayName="tblRevenueOverride" ref="A3:G34" headerRowCount="1">
  <autoFilter ref="A3:G34"/>
  <tableColumns count="7">
    <tableColumn id="1" name="项目代码"/>
    <tableColumn id="2" name="项目名称"/>
    <tableColumn id="3" name="分组作业名称"/>
    <tableColumn id="4" name="分组作业窗口名称"/>
    <tableColumn id="5" name="责任人"/>
    <tableColumn id="6" name="营业额覆盖"/>
    <tableColumn id="7" name="覆盖原因"/>
  </tableColumns>
  <tableStyleInfo name="TableStyleMedium2" showFirstColumn="0" showLastColumn="0" showRowStripes="1"/>
</table>
</file>

<file path=xl/tables/table3.xml><?xml version="1.0" encoding="utf-8"?>
<table xmlns="http://schemas.openxmlformats.org/spreadsheetml/2006/main" id="3" name="tblTargetBase" displayName="tblTargetBase" ref="A3:J489" headerRowCount="1">
  <autoFilter ref="A3:J489"/>
  <tableColumns count="10">
    <tableColumn id="1" name="序号"/>
    <tableColumn id="2" name="档口唯一标志"/>
    <tableColumn id="3" name="分部名称"/>
    <tableColumn id="4" name="项目代码"/>
    <tableColumn id="5" name="项目名称"/>
    <tableColumn id="6" name="项目类型"/>
    <tableColumn id="7" name="核算会计"/>
    <tableColumn id="8" name="分组作业名称"/>
    <tableColumn id="9" name="分组作业窗口名称"/>
    <tableColumn id="10" name="责任人"/>
  </tableColumns>
  <tableStyleInfo name="TableStyleMedium2" showFirstColumn="0" showLastColumn="0" showRowStripes="1"/>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10.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A13"/>
  <sheetViews>
    <sheetView showGridLines="0" workbookViewId="0">
      <selection activeCell="A1" sqref="A1"/>
    </sheetView>
  </sheetViews>
  <sheetFormatPr baseColWidth="8" defaultRowHeight="15"/>
  <cols>
    <col width="118" customWidth="1" style="537" min="1" max="1"/>
  </cols>
  <sheetData>
    <row r="1">
      <c r="A1" s="538" t="inlineStr">
        <is>
          <t>营业额自动导入 · 纯函数模板</t>
        </is>
      </c>
    </row>
    <row r="3">
      <c r="A3" s="539" t="inlineStr">
        <is>
          <t>使用方式</t>
        </is>
      </c>
    </row>
    <row r="5">
      <c r="A5" s="540" t="inlineStr">
        <is>
          <t>1. 在“营业额数据源”页，从第 4 行开始覆盖粘贴当月原稿数据；不要改动第 3 行表头。</t>
        </is>
      </c>
    </row>
    <row r="6">
      <c r="A6" s="540" t="inlineStr">
        <is>
          <t>2. 如有确认需保留的人工营业额，在“人工营业额覆盖”页维护五项键、营业额和原因。</t>
        </is>
      </c>
    </row>
    <row r="7">
      <c r="A7" s="540" t="inlineStr">
        <is>
          <t>3. 打开“各项指标明细（最终表）”：营业额列直接引用本文件数据源；新增窗口会自动追加在表格下方。</t>
        </is>
      </c>
    </row>
    <row r="8">
      <c r="A8" s="540" t="inlineStr">
        <is>
          <t>4. 打开“营业额导入核验”复核状态；点击“数据源行”可跳转到本文件内的源数据。</t>
        </is>
      </c>
    </row>
    <row r="9">
      <c r="A9" s="540" t="inlineStr">
        <is>
          <t>5. 核验通过后，使用“另存为”保存成当月目标文件。纯 Excel 函数无法自行另存为新文件。</t>
        </is>
      </c>
    </row>
    <row r="10">
      <c r="A10" s="540" t="inlineStr">
        <is>
          <t>6. 本模板不计算、不修改任何成本数据；仅管理营业额导入和核验。</t>
        </is>
      </c>
    </row>
    <row r="13">
      <c r="A13" s="541" t="inlineStr">
        <is>
          <t>环境要求：Microsoft 365 Excel（需支持 LET、XLOOKUP、FILTER、VSTACK、HSTACK、XMATCH）。</t>
        </is>
      </c>
    </row>
  </sheetData>
  <pageMargins left="0.75" right="0.75" top="1" bottom="1" header="0.5" footer="0.5"/>
</worksheet>
</file>

<file path=xl/worksheets/sheet2.xml><?xml version="1.0" encoding="utf-8"?>
<worksheet xmlns="http://schemas.openxmlformats.org/spreadsheetml/2006/main">
  <sheetPr>
    <tabColor theme="9"/>
    <outlinePr summaryBelow="1" summaryRight="1"/>
    <pageSetUpPr/>
  </sheetPr>
  <dimension ref="A1:CD750"/>
  <sheetViews>
    <sheetView tabSelected="1" workbookViewId="0">
      <pane ySplit="2" topLeftCell="A3" activePane="bottomLeft" state="frozen"/>
      <selection pane="bottomLeft" activeCell="A1" sqref="A1"/>
      <selection pane="topRight" activeCell="A1" sqref="A1"/>
      <selection pane="bottomLeft" activeCell="A1" sqref="A1"/>
      <selection pane="bottomRight" activeCell="E3" sqref="E3"/>
    </sheetView>
  </sheetViews>
  <sheetFormatPr baseColWidth="8" defaultColWidth="9" defaultRowHeight="13.5"/>
  <cols>
    <col width="4.875" customWidth="1" style="27" min="1" max="1"/>
    <col width="16.25" customWidth="1" style="27" min="2" max="2"/>
    <col width="12.5" customWidth="1" style="534" min="3" max="4"/>
    <col width="23.875" customWidth="1" style="534" min="5" max="5"/>
    <col width="12.5" customWidth="1" style="29" min="6" max="6"/>
    <col width="12.5" customWidth="1" style="534" min="7" max="7"/>
    <col width="16.25" customWidth="1" style="534" min="8" max="8"/>
    <col width="14.375" customWidth="1" style="30" min="9" max="9"/>
    <col width="16.25" customWidth="1" style="31" min="10" max="12"/>
    <col width="12.5" customWidth="1" style="31" min="13" max="14"/>
    <col width="25.875" customWidth="1" style="542" min="15" max="15"/>
    <col width="10.75" customWidth="1" style="33" min="16" max="16"/>
    <col width="19.75" customWidth="1" style="27" min="17" max="17"/>
    <col width="12.5" customWidth="1" style="27" min="18" max="24"/>
    <col width="14.25" customWidth="1" style="27" min="25" max="27"/>
    <col width="33.125" customWidth="1" style="27" min="28" max="28"/>
    <col width="14.25" customWidth="1" style="27" min="29" max="36"/>
    <col width="12.5" customWidth="1" style="27" min="37" max="40"/>
    <col width="12.5" customWidth="1" style="34" min="41" max="44"/>
    <col width="12.5" customWidth="1" style="33" min="45" max="47"/>
    <col width="13.25" customWidth="1" style="33" min="48" max="48"/>
    <col width="12.5" customWidth="1" style="27" min="49" max="52"/>
    <col width="12.5" customWidth="1" style="31" min="53" max="64"/>
    <col width="30.25" customWidth="1" style="35" min="65" max="65"/>
    <col width="27.875" customWidth="1" style="35" min="66" max="71"/>
    <col width="10.75" customWidth="1" style="534" min="72" max="72"/>
    <col width="41.5" customWidth="1" style="29" min="73" max="73"/>
    <col width="41.75" customWidth="1" style="30" min="74" max="74"/>
    <col width="14" customWidth="1" style="534" min="75" max="75"/>
  </cols>
  <sheetData>
    <row r="1" ht="18.75" customHeight="1" s="537">
      <c r="A1" s="36" t="inlineStr">
        <is>
          <t xml:space="preserve"> 2026年科桥餐饮公司各项指标明细</t>
        </is>
      </c>
      <c r="B1" s="37" t="n"/>
      <c r="C1" s="37" t="n"/>
      <c r="D1" s="37" t="n"/>
      <c r="E1" s="37" t="n"/>
      <c r="F1" s="37" t="n"/>
      <c r="G1" s="37" t="n"/>
      <c r="H1" s="37" t="n"/>
      <c r="I1" s="37" t="n"/>
      <c r="J1" s="37" t="n"/>
      <c r="K1" s="37" t="n"/>
      <c r="L1" s="37" t="n"/>
      <c r="M1" s="37" t="n"/>
      <c r="N1" s="37" t="n"/>
      <c r="O1" s="37" t="n"/>
      <c r="P1" s="37" t="n"/>
      <c r="Q1" s="37" t="n"/>
      <c r="R1" s="37" t="n"/>
      <c r="S1" s="37" t="n"/>
      <c r="T1" s="37" t="n"/>
      <c r="U1" s="38" t="n"/>
      <c r="V1" s="38" t="n"/>
      <c r="W1" s="38" t="n"/>
      <c r="X1" s="38" t="n"/>
      <c r="Y1" s="38" t="n"/>
      <c r="Z1" s="38" t="n"/>
      <c r="AA1" s="38" t="n"/>
      <c r="AB1" s="38" t="n"/>
      <c r="AC1" s="38" t="n"/>
      <c r="AD1" s="38" t="n"/>
      <c r="AE1" s="38" t="n"/>
      <c r="AF1" s="38" t="n"/>
      <c r="AG1" s="38" t="n"/>
      <c r="AH1" s="38" t="n"/>
      <c r="AI1" s="38" t="n"/>
      <c r="AJ1" s="38" t="n"/>
      <c r="AK1" s="38" t="n"/>
      <c r="AL1" s="38" t="n"/>
      <c r="AM1" s="38" t="n"/>
      <c r="AN1" s="38" t="n"/>
      <c r="AO1" s="38" t="n"/>
      <c r="AP1" s="38" t="n"/>
      <c r="AQ1" s="38" t="n"/>
      <c r="AR1" s="38" t="n"/>
      <c r="AS1" s="38" t="n"/>
      <c r="AT1" s="38" t="n"/>
      <c r="AU1" s="38" t="n"/>
      <c r="AV1" s="38" t="n"/>
      <c r="AW1" s="38" t="n"/>
      <c r="AX1" s="38" t="n"/>
      <c r="AY1" s="38" t="n"/>
      <c r="AZ1" s="38" t="n"/>
      <c r="BA1" s="38" t="n"/>
      <c r="BB1" s="38" t="n"/>
      <c r="BC1" s="38" t="n"/>
      <c r="BD1" s="38" t="n"/>
      <c r="BE1" s="38" t="n"/>
      <c r="BF1" s="38" t="n"/>
      <c r="BG1" s="38" t="n"/>
      <c r="BH1" s="38" t="n"/>
      <c r="BI1" s="38" t="n"/>
      <c r="BJ1" s="38" t="n"/>
      <c r="BK1" s="38" t="n"/>
      <c r="BL1" s="38" t="n"/>
      <c r="BM1" s="41" t="n"/>
      <c r="BN1" s="41" t="n"/>
      <c r="BO1" s="41" t="n"/>
      <c r="BP1" s="41" t="n"/>
      <c r="BQ1" s="41" t="n"/>
      <c r="BR1" s="41" t="n"/>
      <c r="BS1" s="41" t="n"/>
      <c r="BT1" s="38" t="n"/>
      <c r="BU1" s="42" t="n"/>
      <c r="BV1" s="42" t="n"/>
    </row>
    <row r="2" ht="81" customFormat="1" customHeight="1" s="1">
      <c r="A2" s="178" t="inlineStr">
        <is>
          <t>序号</t>
        </is>
      </c>
      <c r="B2" s="178" t="inlineStr">
        <is>
          <t>档口唯一标志</t>
        </is>
      </c>
      <c r="C2" s="178" t="inlineStr">
        <is>
          <t>分部名称</t>
        </is>
      </c>
      <c r="D2" s="178" t="inlineStr">
        <is>
          <t>项目代码</t>
        </is>
      </c>
      <c r="E2" s="178" t="inlineStr">
        <is>
          <t>项目名称</t>
        </is>
      </c>
      <c r="F2" s="179" t="inlineStr">
        <is>
          <t>项目类型</t>
        </is>
      </c>
      <c r="G2" s="179" t="inlineStr">
        <is>
          <t>核算会计</t>
        </is>
      </c>
      <c r="H2" s="179" t="inlineStr">
        <is>
          <t>分组作业名称</t>
        </is>
      </c>
      <c r="I2" s="179" t="inlineStr">
        <is>
          <t>分组作业窗口名称</t>
        </is>
      </c>
      <c r="J2" s="179" t="inlineStr">
        <is>
          <t>签订人
（会议纪要）</t>
        </is>
      </c>
      <c r="K2" s="212" t="inlineStr">
        <is>
          <t>8月营业额</t>
        </is>
      </c>
      <c r="L2" s="212" t="inlineStr">
        <is>
          <t>目标值</t>
        </is>
      </c>
      <c r="M2" s="180" t="inlineStr">
        <is>
          <t>备注</t>
        </is>
      </c>
      <c r="N2" s="213" t="inlineStr">
        <is>
          <t>人员工资</t>
        </is>
      </c>
      <c r="O2" s="543" t="inlineStr">
        <is>
          <t>营业额指标
【部分金额折算成一年】</t>
        </is>
      </c>
      <c r="P2" s="544" t="inlineStr">
        <is>
          <t>服务费</t>
        </is>
      </c>
      <c r="Q2" s="215" t="inlineStr">
        <is>
          <t>服务费金额</t>
        </is>
      </c>
      <c r="R2" s="184" t="inlineStr">
        <is>
          <t>服务费项目填写当月实际金额</t>
        </is>
      </c>
      <c r="S2" s="216" t="inlineStr">
        <is>
          <t>服务费差异</t>
        </is>
      </c>
      <c r="T2" s="217" t="inlineStr">
        <is>
          <t>虫害消杀</t>
        </is>
      </c>
      <c r="U2" s="215" t="inlineStr">
        <is>
          <t>虫害消杀金额</t>
        </is>
      </c>
      <c r="V2" s="184" t="inlineStr">
        <is>
          <t>虫害消杀项目填写当月实际金额</t>
        </is>
      </c>
      <c r="W2" s="216" t="inlineStr">
        <is>
          <t>虫害消杀差异</t>
        </is>
      </c>
      <c r="X2" s="217" t="inlineStr">
        <is>
          <t>采购费</t>
        </is>
      </c>
      <c r="Y2" s="215" t="inlineStr">
        <is>
          <t>采购费金额</t>
        </is>
      </c>
      <c r="Z2" s="184" t="inlineStr">
        <is>
          <t>采购费项目填写当月实际金额</t>
        </is>
      </c>
      <c r="AA2" s="216" t="inlineStr">
        <is>
          <t>采购费差异</t>
        </is>
      </c>
      <c r="AB2" s="217" t="inlineStr">
        <is>
          <t>装修折旧</t>
        </is>
      </c>
      <c r="AC2" s="215" t="inlineStr">
        <is>
          <t>装修折旧金额</t>
        </is>
      </c>
      <c r="AD2" s="184" t="inlineStr">
        <is>
          <t>装修折旧项目填写当月实际金额</t>
        </is>
      </c>
      <c r="AE2" s="216" t="inlineStr">
        <is>
          <t>装修折旧差异</t>
        </is>
      </c>
      <c r="AF2" s="217" t="inlineStr">
        <is>
          <t>管理人员</t>
        </is>
      </c>
      <c r="AG2" s="215" t="inlineStr">
        <is>
          <t>管理人员金额</t>
        </is>
      </c>
      <c r="AH2" s="184" t="inlineStr">
        <is>
          <t>管理人员项目填写当月实际金额</t>
        </is>
      </c>
      <c r="AI2" s="216" t="inlineStr">
        <is>
          <t>管理人员差异</t>
        </is>
      </c>
      <c r="AJ2" s="217" t="inlineStr">
        <is>
          <t>共建活动</t>
        </is>
      </c>
      <c r="AK2" s="215" t="inlineStr">
        <is>
          <t>共建活动金额</t>
        </is>
      </c>
      <c r="AL2" s="184" t="inlineStr">
        <is>
          <t>共建活动项目填写当月实际金额</t>
        </is>
      </c>
      <c r="AM2" s="216" t="inlineStr">
        <is>
          <t>共建活动差异</t>
        </is>
      </c>
      <c r="AN2" s="217" t="inlineStr">
        <is>
          <t>资产</t>
        </is>
      </c>
      <c r="AO2" s="215" t="inlineStr">
        <is>
          <t>资产金额</t>
        </is>
      </c>
      <c r="AP2" s="184" t="inlineStr">
        <is>
          <t>资产项目填写当月实际金额</t>
        </is>
      </c>
      <c r="AQ2" s="216" t="inlineStr">
        <is>
          <t>资产差异</t>
        </is>
      </c>
      <c r="AR2" s="217" t="inlineStr">
        <is>
          <t>卫生费</t>
        </is>
      </c>
      <c r="AS2" s="215" t="inlineStr">
        <is>
          <t>卫生费金额</t>
        </is>
      </c>
      <c r="AT2" s="184" t="inlineStr">
        <is>
          <t>卫生费项目填写当月实际金额</t>
        </is>
      </c>
      <c r="AU2" s="216" t="inlineStr">
        <is>
          <t>卫生费差异</t>
        </is>
      </c>
      <c r="AV2" s="217" t="inlineStr">
        <is>
          <t>能源费</t>
        </is>
      </c>
      <c r="AW2" s="215" t="inlineStr">
        <is>
          <t>能源费金额</t>
        </is>
      </c>
      <c r="AX2" s="184" t="inlineStr">
        <is>
          <t>能源费项目填写当月实际金额</t>
        </is>
      </c>
      <c r="AY2" s="216" t="inlineStr">
        <is>
          <t>能源费差异</t>
        </is>
      </c>
      <c r="AZ2" s="217" t="inlineStr">
        <is>
          <t>其他</t>
        </is>
      </c>
      <c r="BA2" s="215" t="inlineStr">
        <is>
          <t>其他金额</t>
        </is>
      </c>
      <c r="BB2" s="184" t="inlineStr">
        <is>
          <t>其他项目填写当月实际金额米饭差价</t>
        </is>
      </c>
      <c r="BC2" s="216" t="inlineStr">
        <is>
          <t>其他差异</t>
        </is>
      </c>
      <c r="BD2" s="217" t="inlineStr">
        <is>
          <t>其他费用1</t>
        </is>
      </c>
      <c r="BE2" s="215" t="inlineStr">
        <is>
          <t>其他费用1金额</t>
        </is>
      </c>
      <c r="BF2" s="184" t="inlineStr">
        <is>
          <t>其他费用1项目填写当月实际金额</t>
        </is>
      </c>
      <c r="BG2" s="216" t="inlineStr">
        <is>
          <t>其他费用1差异</t>
        </is>
      </c>
      <c r="BH2" s="217" t="inlineStr">
        <is>
          <t>其他费用2</t>
        </is>
      </c>
      <c r="BI2" s="215" t="inlineStr">
        <is>
          <t xml:space="preserve">其他费用2金额 </t>
        </is>
      </c>
      <c r="BJ2" s="184" t="inlineStr">
        <is>
          <t>其他费用2项目填写当月实际金额</t>
        </is>
      </c>
      <c r="BK2" s="216" t="inlineStr">
        <is>
          <t>其他费用2差异</t>
        </is>
      </c>
      <c r="BL2" s="217" t="inlineStr">
        <is>
          <t>原材料比例</t>
        </is>
      </c>
      <c r="BM2" s="215" t="inlineStr">
        <is>
          <t>原材料金额</t>
        </is>
      </c>
      <c r="BN2" s="184" t="inlineStr">
        <is>
          <t>原材料项目填写当月实际金额</t>
        </is>
      </c>
      <c r="BO2" s="216" t="inlineStr">
        <is>
          <t>原材料差异</t>
        </is>
      </c>
      <c r="BP2" s="215" t="inlineStr">
        <is>
          <t>成本费用合计金额</t>
        </is>
      </c>
      <c r="BQ2" s="218" t="inlineStr">
        <is>
          <t>项目填写成本费用合计</t>
        </is>
      </c>
      <c r="BR2" s="218" t="inlineStr">
        <is>
          <t>差异合计</t>
        </is>
      </c>
      <c r="BS2" s="185" t="inlineStr">
        <is>
          <t>分部管理费
（按实+固定值）</t>
        </is>
      </c>
      <c r="BT2" s="186" t="inlineStr">
        <is>
          <t>业务费</t>
        </is>
      </c>
      <c r="BU2" s="179" t="inlineStr">
        <is>
          <t>备注1</t>
        </is>
      </c>
      <c r="BV2" s="181" t="inlineStr">
        <is>
          <t>备注2</t>
        </is>
      </c>
    </row>
    <row r="3" ht="42" customFormat="1" customHeight="1" s="209">
      <c r="A3" s="219" t="n">
        <v>4</v>
      </c>
      <c r="B3" s="220" t="inlineStr">
        <is>
          <t>KQCY0004</t>
        </is>
      </c>
      <c r="C3" s="221" t="inlineStr">
        <is>
          <t>餐饮一分部</t>
        </is>
      </c>
      <c r="D3" s="221" t="inlineStr">
        <is>
          <t>CF751</t>
        </is>
      </c>
      <c r="E3" s="221" t="inlineStr">
        <is>
          <t>国防科大（长沙）食堂</t>
        </is>
      </c>
      <c r="F3" s="219" t="inlineStr">
        <is>
          <t>人员服务外包</t>
        </is>
      </c>
      <c r="G3" s="222" t="inlineStr">
        <is>
          <t>徐敏捷</t>
        </is>
      </c>
      <c r="H3" s="222" t="inlineStr">
        <is>
          <t>/</t>
        </is>
      </c>
      <c r="I3" s="219" t="inlineStr">
        <is>
          <t>/</t>
        </is>
      </c>
      <c r="J3" s="222" t="inlineStr">
        <is>
          <t>/</t>
        </is>
      </c>
      <c r="K3" s="545">
        <f>LET(k,D3&amp;"|"&amp;E3&amp;"|"&amp;H3&amp;"|"&amp;I3&amp;"|"&amp;J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 s="546" t="n"/>
      <c r="M3" s="224" t="n"/>
      <c r="N3" s="547" t="n"/>
      <c r="O3" s="548" t="n">
        <v>8931000</v>
      </c>
      <c r="P3" s="227" t="n">
        <v>0</v>
      </c>
      <c r="Q3" s="461">
        <f>K3*P3</f>
        <v/>
      </c>
      <c r="R3" s="227" t="n"/>
      <c r="S3" s="461">
        <f>Q3-R3</f>
        <v/>
      </c>
      <c r="T3" s="227" t="n">
        <v>0</v>
      </c>
      <c r="U3" s="461">
        <f>K3*T3</f>
        <v/>
      </c>
      <c r="V3" s="227" t="n"/>
      <c r="W3" s="461">
        <f>U3-V3</f>
        <v/>
      </c>
      <c r="X3" s="227" t="n">
        <v>0</v>
      </c>
      <c r="Y3" s="461">
        <f>K3*X3</f>
        <v/>
      </c>
      <c r="Z3" s="227" t="n"/>
      <c r="AA3" s="461">
        <f>Y3-Z3</f>
        <v/>
      </c>
      <c r="AB3" s="227" t="n">
        <v>0</v>
      </c>
      <c r="AC3" s="461">
        <f>K3*AB3</f>
        <v/>
      </c>
      <c r="AD3" s="227" t="n"/>
      <c r="AE3" s="461">
        <f>AC3-AD3</f>
        <v/>
      </c>
      <c r="AF3" s="227" t="n">
        <v>0</v>
      </c>
      <c r="AG3" s="461">
        <f>K3*AF3</f>
        <v/>
      </c>
      <c r="AH3" s="227" t="n"/>
      <c r="AI3" s="461">
        <f>AG3-AH3</f>
        <v/>
      </c>
      <c r="AJ3" s="227" t="n">
        <v>0</v>
      </c>
      <c r="AK3" s="461">
        <f>K3*AJ3</f>
        <v/>
      </c>
      <c r="AL3" s="227" t="n"/>
      <c r="AM3" s="461">
        <f>AK3-AL3</f>
        <v/>
      </c>
      <c r="AN3" s="227" t="n">
        <v>0</v>
      </c>
      <c r="AO3" s="461">
        <f>K3*AN3</f>
        <v/>
      </c>
      <c r="AP3" s="461" t="n"/>
      <c r="AQ3" s="461">
        <f>AO3-AP3</f>
        <v/>
      </c>
      <c r="AR3" s="461" t="n">
        <v>0</v>
      </c>
      <c r="AS3" s="461">
        <f>K3*AR3</f>
        <v/>
      </c>
      <c r="AT3" s="227" t="n"/>
      <c r="AU3" s="461">
        <f>AS3-AT3</f>
        <v/>
      </c>
      <c r="AV3" s="227" t="n">
        <v>0</v>
      </c>
      <c r="AW3" s="461">
        <f>K3*AV3</f>
        <v/>
      </c>
      <c r="AX3" s="227" t="n"/>
      <c r="AY3" s="461">
        <f>AW3-AX3</f>
        <v/>
      </c>
      <c r="AZ3" s="227" t="n">
        <v>0</v>
      </c>
      <c r="BA3" s="461">
        <f>K3*AZ3</f>
        <v/>
      </c>
      <c r="BB3" s="461" t="n"/>
      <c r="BC3" s="461">
        <f>BA3-BB3</f>
        <v/>
      </c>
      <c r="BD3" s="461" t="n"/>
      <c r="BE3" s="461">
        <f>K3*BD3</f>
        <v/>
      </c>
      <c r="BF3" s="461" t="n"/>
      <c r="BG3" s="461">
        <f>BE3-BF3</f>
        <v/>
      </c>
      <c r="BH3" s="461" t="n"/>
      <c r="BI3" s="461">
        <f>K3*BH3</f>
        <v/>
      </c>
      <c r="BJ3" s="461" t="n"/>
      <c r="BK3" s="461">
        <f>BI3-BJ3</f>
        <v/>
      </c>
      <c r="BL3" s="461" t="n">
        <v>0</v>
      </c>
      <c r="BM3" s="220">
        <f>K3*BL3</f>
        <v/>
      </c>
      <c r="BN3" s="220" t="n"/>
      <c r="BO3" s="220">
        <f>BM3-BN3</f>
        <v/>
      </c>
      <c r="BP3" s="220">
        <f>N3+Q3+U3+Y3+AC3+AG3+AK3+AO3+AS3+AW3+BA3+BE3+BI3+BM3</f>
        <v/>
      </c>
      <c r="BQ3" s="220">
        <f>N3+R3+V3+Z3+AD3+AH3+AL3+AP3+AT3+AX3+BB3+BF3+BJ3+BN3</f>
        <v/>
      </c>
      <c r="BR3" s="220">
        <f>BP3-BQ3</f>
        <v/>
      </c>
      <c r="BS3" s="229" t="n">
        <v>0.045</v>
      </c>
      <c r="BT3" s="229" t="inlineStr">
        <is>
          <t>/</t>
        </is>
      </c>
      <c r="BU3" s="230" t="n"/>
      <c r="BV3" s="230" t="n"/>
      <c r="BW3" s="534" t="n"/>
    </row>
    <row r="4" ht="82.5" customFormat="1" customHeight="1" s="209">
      <c r="A4" s="219" t="n">
        <v>6</v>
      </c>
      <c r="B4" s="220" t="inlineStr">
        <is>
          <t>KQCY0006</t>
        </is>
      </c>
      <c r="C4" s="221" t="inlineStr">
        <is>
          <t>餐饮一分部</t>
        </is>
      </c>
      <c r="D4" s="221" t="inlineStr">
        <is>
          <t>CF474</t>
        </is>
      </c>
      <c r="E4" s="221" t="inlineStr">
        <is>
          <t>安工大七食堂</t>
        </is>
      </c>
      <c r="F4" s="219" t="inlineStr">
        <is>
          <t>强责</t>
        </is>
      </c>
      <c r="G4" s="222" t="inlineStr">
        <is>
          <t>卫屹</t>
        </is>
      </c>
      <c r="H4" s="222" t="inlineStr">
        <is>
          <t>第一班组</t>
        </is>
      </c>
      <c r="I4" s="232" t="inlineStr">
        <is>
          <t>手工馄饨（大陷水饺、刀削面/汆肉米线）</t>
        </is>
      </c>
      <c r="J4" s="503" t="inlineStr">
        <is>
          <t>潘海英</t>
        </is>
      </c>
      <c r="K4" s="545">
        <f>LET(k,D4&amp;"|"&amp;E4&amp;"|"&amp;H4&amp;"|"&amp;I4&amp;"|"&amp;J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 s="546" t="n"/>
      <c r="M4" s="224" t="n"/>
      <c r="N4" s="234" t="n"/>
      <c r="O4" s="548" t="n">
        <v>700000</v>
      </c>
      <c r="P4" s="235" t="n">
        <v>0.07000000000000001</v>
      </c>
      <c r="Q4" s="461">
        <f>K4*P4</f>
        <v/>
      </c>
      <c r="R4" s="461" t="n"/>
      <c r="S4" s="461">
        <f>Q4-R4</f>
        <v/>
      </c>
      <c r="T4" s="235" t="n">
        <v>0.01</v>
      </c>
      <c r="U4" s="461">
        <f>K4*T4</f>
        <v/>
      </c>
      <c r="V4" s="461" t="n"/>
      <c r="W4" s="461">
        <f>U4-V4</f>
        <v/>
      </c>
      <c r="X4" s="235" t="n">
        <v>0</v>
      </c>
      <c r="Y4" s="461">
        <f>K4*X4</f>
        <v/>
      </c>
      <c r="Z4" s="461" t="n"/>
      <c r="AA4" s="461">
        <f>Y4-Z4</f>
        <v/>
      </c>
      <c r="AB4" s="235" t="n">
        <v>0.03</v>
      </c>
      <c r="AC4" s="461">
        <f>K4*AB4</f>
        <v/>
      </c>
      <c r="AD4" s="461" t="n"/>
      <c r="AE4" s="461">
        <f>AC4-AD4</f>
        <v/>
      </c>
      <c r="AF4" s="235" t="n">
        <v>0.03</v>
      </c>
      <c r="AG4" s="461">
        <f>K4*AF4</f>
        <v/>
      </c>
      <c r="AH4" s="461" t="n"/>
      <c r="AI4" s="461">
        <f>AG4-AH4</f>
        <v/>
      </c>
      <c r="AJ4" s="235" t="n">
        <v>0.01</v>
      </c>
      <c r="AK4" s="461">
        <f>K4*AJ4</f>
        <v/>
      </c>
      <c r="AL4" s="461" t="n"/>
      <c r="AM4" s="461">
        <f>AK4-AL4</f>
        <v/>
      </c>
      <c r="AN4" s="235" t="n">
        <v>0.02</v>
      </c>
      <c r="AO4" s="461">
        <f>K4*AN4</f>
        <v/>
      </c>
      <c r="AP4" s="461" t="n"/>
      <c r="AQ4" s="461">
        <f>AO4-AP4</f>
        <v/>
      </c>
      <c r="AR4" s="235" t="n">
        <v>0.04</v>
      </c>
      <c r="AS4" s="461">
        <f>K4*AR4</f>
        <v/>
      </c>
      <c r="AT4" s="461" t="n"/>
      <c r="AU4" s="461">
        <f>AS4-AT4</f>
        <v/>
      </c>
      <c r="AV4" s="235" t="n">
        <v>0.05</v>
      </c>
      <c r="AW4" s="461">
        <f>K4*AV4</f>
        <v/>
      </c>
      <c r="AX4" s="461" t="n"/>
      <c r="AY4" s="461">
        <f>AW4-AX4</f>
        <v/>
      </c>
      <c r="AZ4" s="235" t="inlineStr">
        <is>
          <t>按实</t>
        </is>
      </c>
      <c r="BA4" s="461">
        <f>BB4</f>
        <v/>
      </c>
      <c r="BB4" s="461" t="n"/>
      <c r="BC4" s="461">
        <f>BA4-BB4</f>
        <v/>
      </c>
      <c r="BD4" s="235" t="n">
        <v>0</v>
      </c>
      <c r="BE4" s="461">
        <f>K4*BD4</f>
        <v/>
      </c>
      <c r="BF4" s="461" t="n"/>
      <c r="BG4" s="461">
        <f>BE4-BF4</f>
        <v/>
      </c>
      <c r="BH4" s="235" t="n">
        <v>0</v>
      </c>
      <c r="BI4" s="461">
        <f>K4*BH4</f>
        <v/>
      </c>
      <c r="BJ4" s="461" t="n"/>
      <c r="BK4" s="461">
        <f>BI4-BJ4</f>
        <v/>
      </c>
      <c r="BL4" s="235" t="inlineStr">
        <is>
          <t>按实</t>
        </is>
      </c>
      <c r="BM4" s="220">
        <f>BN4</f>
        <v/>
      </c>
      <c r="BN4" s="220" t="n"/>
      <c r="BO4" s="220">
        <f>BM4-BN4</f>
        <v/>
      </c>
      <c r="BP4" s="220">
        <f>N4+Q4+U4+Y4+AC4+AG4+AK4+AO4+AS4+AW4+BA4+BE4+BI4+BM4</f>
        <v/>
      </c>
      <c r="BQ4" s="220">
        <f>N4+R4+V4+Z4+AD4+AH4+AL4+AP4+AT4+AX4+BB4+BF4+BJ4+BN4</f>
        <v/>
      </c>
      <c r="BR4" s="220">
        <f>BP4-BQ4</f>
        <v/>
      </c>
      <c r="BS4" s="549" t="inlineStr">
        <is>
          <t>/</t>
        </is>
      </c>
      <c r="BT4" s="549" t="inlineStr">
        <is>
          <t>/</t>
        </is>
      </c>
      <c r="BU4"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BV4" s="230" t="n"/>
      <c r="BW4" s="534" t="n"/>
    </row>
    <row r="5" ht="92.25" customFormat="1" customHeight="1" s="209">
      <c r="A5" s="219" t="n">
        <v>7</v>
      </c>
      <c r="B5" s="220" t="inlineStr">
        <is>
          <t>KQCY0007</t>
        </is>
      </c>
      <c r="C5" s="221" t="inlineStr">
        <is>
          <t>餐饮一分部</t>
        </is>
      </c>
      <c r="D5" s="221" t="inlineStr">
        <is>
          <t>CF474</t>
        </is>
      </c>
      <c r="E5" s="221" t="inlineStr">
        <is>
          <t>安工大七食堂</t>
        </is>
      </c>
      <c r="F5" s="219" t="inlineStr">
        <is>
          <t>强责</t>
        </is>
      </c>
      <c r="G5" s="222" t="inlineStr">
        <is>
          <t>卫屹</t>
        </is>
      </c>
      <c r="H5" s="222" t="inlineStr">
        <is>
          <t>第二班组</t>
        </is>
      </c>
      <c r="I5" s="232" t="inlineStr">
        <is>
          <t>黄焖系列（酸菜肉煲系列、椒麻鸡系列、酸菜鱼系列）</t>
        </is>
      </c>
      <c r="J5" s="503" t="inlineStr">
        <is>
          <t>胡科才</t>
        </is>
      </c>
      <c r="K5" s="545">
        <f>LET(k,D5&amp;"|"&amp;E5&amp;"|"&amp;H5&amp;"|"&amp;I5&amp;"|"&amp;J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5" s="546" t="n"/>
      <c r="M5" s="224" t="n"/>
      <c r="N5" s="234" t="n"/>
      <c r="O5" s="548" t="n">
        <v>500000</v>
      </c>
      <c r="P5" s="235" t="n">
        <v>0.07000000000000001</v>
      </c>
      <c r="Q5" s="461">
        <f>K5*P5</f>
        <v/>
      </c>
      <c r="R5" s="461" t="n"/>
      <c r="S5" s="461">
        <f>Q5-R5</f>
        <v/>
      </c>
      <c r="T5" s="235" t="n">
        <v>0.01</v>
      </c>
      <c r="U5" s="461">
        <f>K5*T5</f>
        <v/>
      </c>
      <c r="V5" s="461" t="n"/>
      <c r="W5" s="461">
        <f>U5-V5</f>
        <v/>
      </c>
      <c r="X5" s="235" t="n">
        <v>0</v>
      </c>
      <c r="Y5" s="461">
        <f>K5*X5</f>
        <v/>
      </c>
      <c r="Z5" s="461" t="n"/>
      <c r="AA5" s="461">
        <f>Y5-Z5</f>
        <v/>
      </c>
      <c r="AB5" s="235" t="n">
        <v>0.03</v>
      </c>
      <c r="AC5" s="461">
        <f>K5*AB5</f>
        <v/>
      </c>
      <c r="AD5" s="461" t="n"/>
      <c r="AE5" s="461">
        <f>AC5-AD5</f>
        <v/>
      </c>
      <c r="AF5" s="235" t="n">
        <v>0.03</v>
      </c>
      <c r="AG5" s="461">
        <f>K5*AF5</f>
        <v/>
      </c>
      <c r="AH5" s="461" t="n"/>
      <c r="AI5" s="461">
        <f>AG5-AH5</f>
        <v/>
      </c>
      <c r="AJ5" s="235" t="n">
        <v>0.01</v>
      </c>
      <c r="AK5" s="461">
        <f>K5*AJ5</f>
        <v/>
      </c>
      <c r="AL5" s="461" t="n"/>
      <c r="AM5" s="461">
        <f>AK5-AL5</f>
        <v/>
      </c>
      <c r="AN5" s="235" t="n">
        <v>0.02</v>
      </c>
      <c r="AO5" s="461">
        <f>K5*AN5</f>
        <v/>
      </c>
      <c r="AP5" s="461" t="n"/>
      <c r="AQ5" s="461">
        <f>AO5-AP5</f>
        <v/>
      </c>
      <c r="AR5" s="235" t="n">
        <v>0.04</v>
      </c>
      <c r="AS5" s="461">
        <f>K5*AR5</f>
        <v/>
      </c>
      <c r="AT5" s="461" t="n"/>
      <c r="AU5" s="461">
        <f>AS5-AT5</f>
        <v/>
      </c>
      <c r="AV5" s="235" t="n">
        <v>0.05</v>
      </c>
      <c r="AW5" s="461">
        <f>K5*AV5</f>
        <v/>
      </c>
      <c r="AX5" s="461" t="n"/>
      <c r="AY5" s="461">
        <f>AW5-AX5</f>
        <v/>
      </c>
      <c r="AZ5" s="235" t="inlineStr">
        <is>
          <t>按实</t>
        </is>
      </c>
      <c r="BA5" s="461">
        <f>BB5</f>
        <v/>
      </c>
      <c r="BB5" s="461" t="n"/>
      <c r="BC5" s="461">
        <f>BA5-BB5</f>
        <v/>
      </c>
      <c r="BD5" s="235" t="n">
        <v>0</v>
      </c>
      <c r="BE5" s="461">
        <f>K5*BD5</f>
        <v/>
      </c>
      <c r="BF5" s="461" t="n"/>
      <c r="BG5" s="461">
        <f>BE5-BF5</f>
        <v/>
      </c>
      <c r="BH5" s="235" t="n">
        <v>0</v>
      </c>
      <c r="BI5" s="461">
        <f>K5*BH5</f>
        <v/>
      </c>
      <c r="BJ5" s="461" t="n"/>
      <c r="BK5" s="461">
        <f>BI5-BJ5</f>
        <v/>
      </c>
      <c r="BL5" s="235" t="inlineStr">
        <is>
          <t>按实</t>
        </is>
      </c>
      <c r="BM5" s="220">
        <f>BN5</f>
        <v/>
      </c>
      <c r="BN5" s="220" t="n"/>
      <c r="BO5" s="220">
        <f>BM5-BN5</f>
        <v/>
      </c>
      <c r="BP5" s="220">
        <f>N5+Q5+U5+Y5+AC5+AG5+AK5+AO5+AS5+AW5+BA5+BE5+BI5+BM5</f>
        <v/>
      </c>
      <c r="BQ5" s="220">
        <f>N5+R5+V5+Z5+AD5+AH5+AL5+AP5+AT5+AX5+BB5+BF5+BJ5+BN5</f>
        <v/>
      </c>
      <c r="BR5" s="220">
        <f>BP5-BQ5</f>
        <v/>
      </c>
      <c r="BS5" s="549" t="inlineStr">
        <is>
          <t>/</t>
        </is>
      </c>
      <c r="BT5" s="549" t="inlineStr">
        <is>
          <t>/</t>
        </is>
      </c>
      <c r="BU5"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BV5" s="230" t="n"/>
      <c r="BW5" s="534" t="n"/>
    </row>
    <row r="6" ht="72" customFormat="1" customHeight="1" s="209">
      <c r="A6" s="219" t="n">
        <v>8</v>
      </c>
      <c r="B6" s="220" t="inlineStr">
        <is>
          <t>KQCY0008</t>
        </is>
      </c>
      <c r="C6" s="221" t="inlineStr">
        <is>
          <t>餐饮一分部</t>
        </is>
      </c>
      <c r="D6" s="221" t="inlineStr">
        <is>
          <t>CF474</t>
        </is>
      </c>
      <c r="E6" s="221" t="inlineStr">
        <is>
          <t>安工大七食堂</t>
        </is>
      </c>
      <c r="F6" s="219" t="inlineStr">
        <is>
          <t>强责</t>
        </is>
      </c>
      <c r="G6" s="222" t="inlineStr">
        <is>
          <t>卫屹</t>
        </is>
      </c>
      <c r="H6" s="222" t="inlineStr">
        <is>
          <t>第三班组</t>
        </is>
      </c>
      <c r="I6" s="232" t="inlineStr">
        <is>
          <t>猪脚饭系列（套饭系列、菜饭骨头汤系列）</t>
        </is>
      </c>
      <c r="J6" s="503" t="inlineStr">
        <is>
          <t>杨克顺</t>
        </is>
      </c>
      <c r="K6" s="545">
        <f>LET(k,D6&amp;"|"&amp;E6&amp;"|"&amp;H6&amp;"|"&amp;I6&amp;"|"&amp;J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6" s="546" t="n"/>
      <c r="M6" s="224" t="n"/>
      <c r="N6" s="234" t="n">
        <v>3866</v>
      </c>
      <c r="O6" s="548" t="n">
        <v>700000</v>
      </c>
      <c r="P6" s="235" t="n">
        <v>0.07000000000000001</v>
      </c>
      <c r="Q6" s="461">
        <f>K6*P6</f>
        <v/>
      </c>
      <c r="R6" s="461" t="n"/>
      <c r="S6" s="461">
        <f>Q6-R6</f>
        <v/>
      </c>
      <c r="T6" s="235" t="n">
        <v>0.01</v>
      </c>
      <c r="U6" s="461">
        <f>K6*T6</f>
        <v/>
      </c>
      <c r="V6" s="461" t="n"/>
      <c r="W6" s="461">
        <f>U6-V6</f>
        <v/>
      </c>
      <c r="X6" s="235" t="n">
        <v>0</v>
      </c>
      <c r="Y6" s="461">
        <f>K6*X6</f>
        <v/>
      </c>
      <c r="Z6" s="461" t="n"/>
      <c r="AA6" s="461">
        <f>Y6-Z6</f>
        <v/>
      </c>
      <c r="AB6" s="235" t="n">
        <v>0.03</v>
      </c>
      <c r="AC6" s="461">
        <f>K6*AB6</f>
        <v/>
      </c>
      <c r="AD6" s="461" t="n"/>
      <c r="AE6" s="461">
        <f>AC6-AD6</f>
        <v/>
      </c>
      <c r="AF6" s="235" t="n">
        <v>0.03</v>
      </c>
      <c r="AG6" s="461">
        <f>K6*AF6</f>
        <v/>
      </c>
      <c r="AH6" s="461" t="n"/>
      <c r="AI6" s="461">
        <f>AG6-AH6</f>
        <v/>
      </c>
      <c r="AJ6" s="235" t="n">
        <v>0.01</v>
      </c>
      <c r="AK6" s="461">
        <f>K6*AJ6</f>
        <v/>
      </c>
      <c r="AL6" s="461" t="n"/>
      <c r="AM6" s="461">
        <f>AK6-AL6</f>
        <v/>
      </c>
      <c r="AN6" s="235" t="n">
        <v>0.02</v>
      </c>
      <c r="AO6" s="461">
        <f>K6*AN6</f>
        <v/>
      </c>
      <c r="AP6" s="461" t="n"/>
      <c r="AQ6" s="461">
        <f>AO6-AP6</f>
        <v/>
      </c>
      <c r="AR6" s="235" t="n">
        <v>0.04</v>
      </c>
      <c r="AS6" s="461">
        <f>K6*AR6</f>
        <v/>
      </c>
      <c r="AT6" s="461" t="n"/>
      <c r="AU6" s="461">
        <f>AS6-AT6</f>
        <v/>
      </c>
      <c r="AV6" s="235" t="n">
        <v>0.05</v>
      </c>
      <c r="AW6" s="461">
        <f>K6*AV6</f>
        <v/>
      </c>
      <c r="AX6" s="461" t="n"/>
      <c r="AY6" s="461">
        <f>AW6-AX6</f>
        <v/>
      </c>
      <c r="AZ6" s="235" t="inlineStr">
        <is>
          <t>按实</t>
        </is>
      </c>
      <c r="BA6" s="461">
        <f>BB6</f>
        <v/>
      </c>
      <c r="BB6" s="461" t="n"/>
      <c r="BC6" s="461">
        <f>BA6-BB6</f>
        <v/>
      </c>
      <c r="BD6" s="235" t="n">
        <v>0</v>
      </c>
      <c r="BE6" s="461">
        <f>K6*BD6</f>
        <v/>
      </c>
      <c r="BF6" s="461" t="n"/>
      <c r="BG6" s="461">
        <f>BE6-BF6</f>
        <v/>
      </c>
      <c r="BH6" s="235" t="n">
        <v>0</v>
      </c>
      <c r="BI6" s="461">
        <f>K6*BH6</f>
        <v/>
      </c>
      <c r="BJ6" s="461" t="n"/>
      <c r="BK6" s="461">
        <f>BI6-BJ6</f>
        <v/>
      </c>
      <c r="BL6" s="235" t="inlineStr">
        <is>
          <t>按实</t>
        </is>
      </c>
      <c r="BM6" s="220">
        <f>BN6</f>
        <v/>
      </c>
      <c r="BN6" s="220" t="n"/>
      <c r="BO6" s="220">
        <f>BM6-BN6</f>
        <v/>
      </c>
      <c r="BP6" s="220">
        <f>N6+Q6+U6+Y6+AC6+AG6+AK6+AO6+AS6+AW6+BA6+BE6+BI6+BM6</f>
        <v/>
      </c>
      <c r="BQ6" s="220">
        <f>N6+R6+V6+Z6+AD6+AH6+AL6+AP6+AT6+AX6+BB6+BF6+BJ6+BN6</f>
        <v/>
      </c>
      <c r="BR6" s="220">
        <f>BP6-BQ6</f>
        <v/>
      </c>
      <c r="BS6" s="549" t="inlineStr">
        <is>
          <t>/</t>
        </is>
      </c>
      <c r="BT6" s="549" t="inlineStr">
        <is>
          <t>/</t>
        </is>
      </c>
      <c r="BU6"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BV6" s="230" t="n"/>
      <c r="BW6" s="534" t="n"/>
    </row>
    <row r="7" ht="72" customFormat="1" customHeight="1" s="209">
      <c r="A7" s="219" t="n">
        <v>9</v>
      </c>
      <c r="B7" s="220" t="inlineStr">
        <is>
          <t>KQCY0009</t>
        </is>
      </c>
      <c r="C7" s="221" t="inlineStr">
        <is>
          <t>餐饮一分部</t>
        </is>
      </c>
      <c r="D7" s="221" t="inlineStr">
        <is>
          <t>CF474</t>
        </is>
      </c>
      <c r="E7" s="221" t="inlineStr">
        <is>
          <t>安工大七食堂</t>
        </is>
      </c>
      <c r="F7" s="219" t="inlineStr">
        <is>
          <t>强责</t>
        </is>
      </c>
      <c r="G7" s="222" t="inlineStr">
        <is>
          <t>卫屹</t>
        </is>
      </c>
      <c r="H7" s="222" t="inlineStr">
        <is>
          <t>第四班组</t>
        </is>
      </c>
      <c r="I7" s="232" t="inlineStr">
        <is>
          <t>拌饭系列（肉夹馍、紫菜包饭）</t>
        </is>
      </c>
      <c r="J7" s="503" t="inlineStr">
        <is>
          <t>魏祖华</t>
        </is>
      </c>
      <c r="K7" s="545">
        <f>LET(k,D7&amp;"|"&amp;E7&amp;"|"&amp;H7&amp;"|"&amp;I7&amp;"|"&amp;J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7" s="546" t="n"/>
      <c r="M7" s="224" t="n"/>
      <c r="N7" s="234" t="n"/>
      <c r="O7" s="548" t="n">
        <v>700000</v>
      </c>
      <c r="P7" s="235" t="n">
        <v>0.07000000000000001</v>
      </c>
      <c r="Q7" s="461">
        <f>K7*P7</f>
        <v/>
      </c>
      <c r="R7" s="461" t="n">
        <v>279.09</v>
      </c>
      <c r="S7" s="461">
        <f>Q7-R7</f>
        <v/>
      </c>
      <c r="T7" s="235" t="n">
        <v>0.01</v>
      </c>
      <c r="U7" s="461">
        <f>K7*T7</f>
        <v/>
      </c>
      <c r="V7" s="461" t="n">
        <v>39.87</v>
      </c>
      <c r="W7" s="461">
        <f>U7-V7</f>
        <v/>
      </c>
      <c r="X7" s="235" t="n">
        <v>0</v>
      </c>
      <c r="Y7" s="461">
        <f>K7*X7</f>
        <v/>
      </c>
      <c r="Z7" s="461" t="n">
        <v>0</v>
      </c>
      <c r="AA7" s="461">
        <f>Y7-Z7</f>
        <v/>
      </c>
      <c r="AB7" s="235" t="n">
        <v>0.03</v>
      </c>
      <c r="AC7" s="461">
        <f>K7*AB7</f>
        <v/>
      </c>
      <c r="AD7" s="461" t="n">
        <v>119.61</v>
      </c>
      <c r="AE7" s="461">
        <f>AC7-AD7</f>
        <v/>
      </c>
      <c r="AF7" s="235" t="n">
        <v>0.03</v>
      </c>
      <c r="AG7" s="461">
        <f>K7*AF7</f>
        <v/>
      </c>
      <c r="AH7" s="461" t="n">
        <v>119.61</v>
      </c>
      <c r="AI7" s="461">
        <f>AG7-AH7</f>
        <v/>
      </c>
      <c r="AJ7" s="235" t="n">
        <v>0.01</v>
      </c>
      <c r="AK7" s="461">
        <f>K7*AJ7</f>
        <v/>
      </c>
      <c r="AL7" s="461" t="n">
        <v>39.87</v>
      </c>
      <c r="AM7" s="461">
        <f>AK7-AL7</f>
        <v/>
      </c>
      <c r="AN7" s="235" t="n">
        <v>0.02</v>
      </c>
      <c r="AO7" s="461">
        <f>K7*AN7</f>
        <v/>
      </c>
      <c r="AP7" s="461" t="n">
        <v>79.73999999999999</v>
      </c>
      <c r="AQ7" s="461">
        <f>AO7-AP7</f>
        <v/>
      </c>
      <c r="AR7" s="235" t="n">
        <v>0.04</v>
      </c>
      <c r="AS7" s="461">
        <f>K7*AR7</f>
        <v/>
      </c>
      <c r="AT7" s="461" t="n">
        <v>159.48</v>
      </c>
      <c r="AU7" s="461">
        <f>AS7-AT7</f>
        <v/>
      </c>
      <c r="AV7" s="235" t="n">
        <v>0.05</v>
      </c>
      <c r="AW7" s="461">
        <f>K7*AV7</f>
        <v/>
      </c>
      <c r="AX7" s="461" t="n">
        <v>199.35</v>
      </c>
      <c r="AY7" s="461">
        <f>AW7-AX7</f>
        <v/>
      </c>
      <c r="AZ7" s="235" t="inlineStr">
        <is>
          <t>按实</t>
        </is>
      </c>
      <c r="BA7" s="461">
        <f>BB7</f>
        <v/>
      </c>
      <c r="BB7" s="461" t="n">
        <v>0</v>
      </c>
      <c r="BC7" s="461">
        <f>BA7-BB7</f>
        <v/>
      </c>
      <c r="BD7" s="235" t="n">
        <v>0</v>
      </c>
      <c r="BE7" s="461">
        <f>K7*BD7</f>
        <v/>
      </c>
      <c r="BF7" s="461" t="n">
        <v>0</v>
      </c>
      <c r="BG7" s="461">
        <f>BE7-BF7</f>
        <v/>
      </c>
      <c r="BH7" s="235" t="n">
        <v>0</v>
      </c>
      <c r="BI7" s="461">
        <f>K7*BH7</f>
        <v/>
      </c>
      <c r="BJ7" s="461" t="n">
        <v>0</v>
      </c>
      <c r="BK7" s="461">
        <f>BI7-BJ7</f>
        <v/>
      </c>
      <c r="BL7" s="235" t="inlineStr">
        <is>
          <t>按实</t>
        </is>
      </c>
      <c r="BM7" s="220">
        <f>BN7</f>
        <v/>
      </c>
      <c r="BN7" s="220" t="n">
        <v>0</v>
      </c>
      <c r="BO7" s="220">
        <f>BM7-BN7</f>
        <v/>
      </c>
      <c r="BP7" s="220">
        <f>N7+Q7+U7+Y7+AC7+AG7+AK7+AO7+AS7+AW7+BA7+BE7+BI7+BM7</f>
        <v/>
      </c>
      <c r="BQ7" s="220">
        <f>N7+R7+V7+Z7+AD7+AH7+AL7+AP7+AT7+AX7+BB7+BF7+BJ7+BN7</f>
        <v/>
      </c>
      <c r="BR7" s="220">
        <f>BP7-BQ7</f>
        <v/>
      </c>
      <c r="BS7" s="549" t="inlineStr">
        <is>
          <t>/</t>
        </is>
      </c>
      <c r="BT7" s="549" t="inlineStr">
        <is>
          <t>/</t>
        </is>
      </c>
      <c r="BU7"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BV7" s="230" t="n"/>
      <c r="BW7" s="534" t="n"/>
    </row>
    <row r="8" ht="12" customFormat="1" customHeight="1" s="209">
      <c r="A8" s="219" t="n">
        <v>11</v>
      </c>
      <c r="B8" s="220" t="inlineStr">
        <is>
          <t>KQCY0011</t>
        </is>
      </c>
      <c r="C8" s="221" t="inlineStr">
        <is>
          <t>餐饮一分部</t>
        </is>
      </c>
      <c r="D8" s="221" t="inlineStr">
        <is>
          <t>CF477</t>
        </is>
      </c>
      <c r="E8" s="221" t="inlineStr">
        <is>
          <t>上海民航第一食堂</t>
        </is>
      </c>
      <c r="F8" s="219" t="inlineStr">
        <is>
          <t>分组作业</t>
        </is>
      </c>
      <c r="G8" s="222" t="inlineStr">
        <is>
          <t>卫屹</t>
        </is>
      </c>
      <c r="H8" s="222" t="inlineStr">
        <is>
          <t>第二班组</t>
        </is>
      </c>
      <c r="I8" s="237" t="inlineStr">
        <is>
          <t>山东煎饼</t>
        </is>
      </c>
      <c r="J8" s="222" t="inlineStr">
        <is>
          <t>姚群</t>
        </is>
      </c>
      <c r="K8" s="545">
        <f>LET(k,D8&amp;"|"&amp;E8&amp;"|"&amp;H8&amp;"|"&amp;I8&amp;"|"&amp;J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8" s="546" t="n"/>
      <c r="M8" s="224" t="n"/>
      <c r="N8" s="550" t="n"/>
      <c r="O8" s="548" t="n">
        <v>570000</v>
      </c>
      <c r="P8" s="235" t="n">
        <v>0.1</v>
      </c>
      <c r="Q8" s="461">
        <f>K8*P8</f>
        <v/>
      </c>
      <c r="R8" s="461" t="n"/>
      <c r="S8" s="461">
        <f>Q8-R8</f>
        <v/>
      </c>
      <c r="T8" s="235" t="n">
        <v>0.03</v>
      </c>
      <c r="U8" s="461">
        <f>K8*T8</f>
        <v/>
      </c>
      <c r="V8" s="461" t="n"/>
      <c r="W8" s="461">
        <f>U8-V8</f>
        <v/>
      </c>
      <c r="X8" s="235" t="n">
        <v>0</v>
      </c>
      <c r="Y8" s="461">
        <f>K8*X8</f>
        <v/>
      </c>
      <c r="Z8" s="461" t="n"/>
      <c r="AA8" s="461">
        <f>Y8-Z8</f>
        <v/>
      </c>
      <c r="AB8" s="235" t="n">
        <v>0.05</v>
      </c>
      <c r="AC8" s="461">
        <f>K8*AB8</f>
        <v/>
      </c>
      <c r="AD8" s="461" t="n"/>
      <c r="AE8" s="461">
        <f>AC8-AD8</f>
        <v/>
      </c>
      <c r="AF8" s="235" t="n">
        <v>0.02</v>
      </c>
      <c r="AG8" s="461">
        <f>K8*AF8</f>
        <v/>
      </c>
      <c r="AH8" s="461" t="n"/>
      <c r="AI8" s="461">
        <f>AG8-AH8</f>
        <v/>
      </c>
      <c r="AJ8" s="235" t="n">
        <v>0</v>
      </c>
      <c r="AK8" s="461">
        <f>K8*AJ8</f>
        <v/>
      </c>
      <c r="AL8" s="461" t="n"/>
      <c r="AM8" s="461">
        <f>AK8-AL8</f>
        <v/>
      </c>
      <c r="AN8" s="235" t="n">
        <v>0.03</v>
      </c>
      <c r="AO8" s="461">
        <f>K8*AN8</f>
        <v/>
      </c>
      <c r="AP8" s="461" t="n"/>
      <c r="AQ8" s="461">
        <f>AO8-AP8</f>
        <v/>
      </c>
      <c r="AR8" s="235" t="n">
        <v>0</v>
      </c>
      <c r="AS8" s="461">
        <f>K8*AR8</f>
        <v/>
      </c>
      <c r="AT8" s="461" t="n"/>
      <c r="AU8" s="461">
        <f>AS8-AT8</f>
        <v/>
      </c>
      <c r="AV8" s="235" t="n">
        <v>0.04</v>
      </c>
      <c r="AW8" s="461">
        <f>K8*AV8</f>
        <v/>
      </c>
      <c r="AX8" s="461" t="n"/>
      <c r="AY8" s="461">
        <f>AW8-AX8</f>
        <v/>
      </c>
      <c r="AZ8" s="235" t="inlineStr">
        <is>
          <t>按实</t>
        </is>
      </c>
      <c r="BA8" s="461">
        <f>BB8</f>
        <v/>
      </c>
      <c r="BB8" s="461" t="n"/>
      <c r="BC8" s="461">
        <f>BA8-BB8</f>
        <v/>
      </c>
      <c r="BD8" s="461" t="n">
        <v>0</v>
      </c>
      <c r="BE8" s="461">
        <f>K8*BD8</f>
        <v/>
      </c>
      <c r="BF8" s="461" t="n"/>
      <c r="BG8" s="461">
        <f>BE8-BF8</f>
        <v/>
      </c>
      <c r="BH8" s="461" t="n">
        <v>0</v>
      </c>
      <c r="BI8" s="461">
        <f>K8*BH8</f>
        <v/>
      </c>
      <c r="BJ8" s="461" t="n"/>
      <c r="BK8" s="461">
        <f>BI8-BJ8</f>
        <v/>
      </c>
      <c r="BL8" s="461" t="inlineStr">
        <is>
          <t>按实</t>
        </is>
      </c>
      <c r="BM8" s="220">
        <f>BN8</f>
        <v/>
      </c>
      <c r="BN8" s="239" t="n"/>
      <c r="BO8" s="220">
        <f>BM8-BN8</f>
        <v/>
      </c>
      <c r="BP8" s="220">
        <f>N8+Q8+U8+Y8+AC8+AG8+AK8+AO8+AS8+AW8+BA8+BE8+BI8+BM8</f>
        <v/>
      </c>
      <c r="BQ8" s="220">
        <f>N8+R8+V8+Z8+AD8+AH8+AL8+AP8+AT8+AX8+BB8+BF8+BJ8+BN8</f>
        <v/>
      </c>
      <c r="BR8" s="220">
        <f>BP8-BQ8</f>
        <v/>
      </c>
      <c r="BS8" s="549" t="inlineStr">
        <is>
          <t>/</t>
        </is>
      </c>
      <c r="BT8" s="549" t="inlineStr">
        <is>
          <t>/</t>
        </is>
      </c>
      <c r="BU8" s="230" t="inlineStr">
        <is>
          <t>1、服务费：包含卫生费，不单独分摊</t>
        </is>
      </c>
      <c r="BV8" s="230" t="n"/>
      <c r="BW8" s="534" t="n"/>
    </row>
    <row r="9" ht="60" customFormat="1" customHeight="1" s="209">
      <c r="A9" s="219" t="n">
        <v>12</v>
      </c>
      <c r="B9" s="220" t="inlineStr">
        <is>
          <t>KQCY0012</t>
        </is>
      </c>
      <c r="C9" s="221" t="inlineStr">
        <is>
          <t>餐饮一分部</t>
        </is>
      </c>
      <c r="D9" s="221" t="inlineStr">
        <is>
          <t>CF477</t>
        </is>
      </c>
      <c r="E9" s="221" t="inlineStr">
        <is>
          <t>上海民航第一食堂</t>
        </is>
      </c>
      <c r="F9" s="219" t="inlineStr">
        <is>
          <t>分组作业</t>
        </is>
      </c>
      <c r="G9" s="222" t="inlineStr">
        <is>
          <t>卫屹</t>
        </is>
      </c>
      <c r="H9" s="222" t="inlineStr">
        <is>
          <t>第六班组</t>
        </is>
      </c>
      <c r="I9" s="237" t="inlineStr">
        <is>
          <t>蜜雪冰城</t>
        </is>
      </c>
      <c r="J9" s="222" t="inlineStr">
        <is>
          <t>任黎明</t>
        </is>
      </c>
      <c r="K9" s="545">
        <f>LET(k,D9&amp;"|"&amp;E9&amp;"|"&amp;H9&amp;"|"&amp;I9&amp;"|"&amp;J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9" s="546" t="n"/>
      <c r="M9" s="224" t="n"/>
      <c r="N9" s="550" t="n"/>
      <c r="O9" s="548" t="n">
        <v>899800</v>
      </c>
      <c r="P9" s="235" t="n">
        <v>0</v>
      </c>
      <c r="Q9" s="461">
        <f>K9*P9</f>
        <v/>
      </c>
      <c r="R9" s="461" t="n"/>
      <c r="S9" s="461">
        <f>Q9-R9</f>
        <v/>
      </c>
      <c r="T9" s="235" t="n">
        <v>0</v>
      </c>
      <c r="U9" s="461">
        <f>K9*T9</f>
        <v/>
      </c>
      <c r="V9" s="461" t="n"/>
      <c r="W9" s="461">
        <f>U9-V9</f>
        <v/>
      </c>
      <c r="X9" s="235" t="n">
        <v>0</v>
      </c>
      <c r="Y9" s="461">
        <f>K9*X9</f>
        <v/>
      </c>
      <c r="Z9" s="461" t="n"/>
      <c r="AA9" s="461">
        <f>Y9-Z9</f>
        <v/>
      </c>
      <c r="AB9" s="235" t="n">
        <v>0</v>
      </c>
      <c r="AC9" s="461">
        <f>K9*AB9</f>
        <v/>
      </c>
      <c r="AD9" s="461" t="n"/>
      <c r="AE9" s="461">
        <f>AC9-AD9</f>
        <v/>
      </c>
      <c r="AF9" s="235" t="n">
        <v>0</v>
      </c>
      <c r="AG9" s="461">
        <f>K9*AF9</f>
        <v/>
      </c>
      <c r="AH9" s="461" t="n"/>
      <c r="AI9" s="461">
        <f>AG9-AH9</f>
        <v/>
      </c>
      <c r="AJ9" s="235" t="n">
        <v>0</v>
      </c>
      <c r="AK9" s="461">
        <f>K9*AJ9</f>
        <v/>
      </c>
      <c r="AL9" s="461" t="n"/>
      <c r="AM9" s="461">
        <f>AK9-AL9</f>
        <v/>
      </c>
      <c r="AN9" s="235" t="n">
        <v>0</v>
      </c>
      <c r="AO9" s="461">
        <f>K9*AN9</f>
        <v/>
      </c>
      <c r="AP9" s="461" t="n"/>
      <c r="AQ9" s="461">
        <f>AO9-AP9</f>
        <v/>
      </c>
      <c r="AR9" s="235" t="n">
        <v>0</v>
      </c>
      <c r="AS9" s="461">
        <f>K9*AR9</f>
        <v/>
      </c>
      <c r="AT9" s="461" t="n"/>
      <c r="AU9" s="461">
        <f>AS9-AT9</f>
        <v/>
      </c>
      <c r="AV9" s="235" t="n">
        <v>0</v>
      </c>
      <c r="AW9" s="461">
        <f>K9*AV9</f>
        <v/>
      </c>
      <c r="AX9" s="461" t="n"/>
      <c r="AY9" s="461">
        <f>AW9-AX9</f>
        <v/>
      </c>
      <c r="AZ9" s="551" t="inlineStr">
        <is>
          <t>按实</t>
        </is>
      </c>
      <c r="BA9" s="461">
        <f>BB9</f>
        <v/>
      </c>
      <c r="BB9" s="461" t="n"/>
      <c r="BC9" s="461">
        <f>BA9-BB9</f>
        <v/>
      </c>
      <c r="BD9" s="241" t="inlineStr">
        <is>
          <t>16万元/年，3月-9月、9月-12月分8个月收取，每月收取20000元</t>
        </is>
      </c>
      <c r="BE9" s="461">
        <f>BF9</f>
        <v/>
      </c>
      <c r="BF9" s="461" t="n">
        <v>0</v>
      </c>
      <c r="BG9" s="461">
        <f>BE9-BF9</f>
        <v/>
      </c>
      <c r="BH9" s="461" t="n">
        <v>0</v>
      </c>
      <c r="BI9" s="461">
        <f>K9*BH9</f>
        <v/>
      </c>
      <c r="BJ9" s="461" t="n"/>
      <c r="BK9" s="461">
        <f>BI9-BJ9</f>
        <v/>
      </c>
      <c r="BL9" s="461" t="inlineStr">
        <is>
          <t>按实</t>
        </is>
      </c>
      <c r="BM9" s="220">
        <f>BN9</f>
        <v/>
      </c>
      <c r="BN9" s="239" t="n"/>
      <c r="BO9" s="220">
        <f>BM9-BN9</f>
        <v/>
      </c>
      <c r="BP9" s="220">
        <f>N9+Q9+U9+Y9+AC9+AG9+AK9+AO9+AS9+AW9+BA9+BE9+BI9+BM9</f>
        <v/>
      </c>
      <c r="BQ9" s="220">
        <f>N9+R9+V9+Z9+AD9+AH9+AL9+AP9+AT9+AX9+BB9+BF9+BJ9+BN9</f>
        <v/>
      </c>
      <c r="BR9" s="220">
        <f>BP9-BQ9</f>
        <v/>
      </c>
      <c r="BS9" s="549" t="inlineStr">
        <is>
          <t>/</t>
        </is>
      </c>
      <c r="BT9" s="549" t="inlineStr">
        <is>
          <t>/</t>
        </is>
      </c>
      <c r="BU9" s="230" t="inlineStr">
        <is>
          <t>1、其他：固定资金16万元/年，3月-9月、9月-12月分8个月收取，每月收取20000元</t>
        </is>
      </c>
      <c r="BV9" s="230" t="n"/>
      <c r="BW9" s="534" t="n"/>
    </row>
    <row r="10" ht="12" customFormat="1" customHeight="1" s="209">
      <c r="A10" s="219" t="n">
        <v>13</v>
      </c>
      <c r="B10" s="220" t="inlineStr">
        <is>
          <t>KQCY0013</t>
        </is>
      </c>
      <c r="C10" s="221" t="inlineStr">
        <is>
          <t>餐饮一分部</t>
        </is>
      </c>
      <c r="D10" s="221" t="inlineStr">
        <is>
          <t>CF477</t>
        </is>
      </c>
      <c r="E10" s="221" t="inlineStr">
        <is>
          <t>上海民航第一食堂</t>
        </is>
      </c>
      <c r="F10" s="219" t="inlineStr">
        <is>
          <t>分组作业</t>
        </is>
      </c>
      <c r="G10" s="222" t="inlineStr">
        <is>
          <t>卫屹</t>
        </is>
      </c>
      <c r="H10" s="222" t="inlineStr">
        <is>
          <t>第三班组</t>
        </is>
      </c>
      <c r="I10" s="237" t="inlineStr">
        <is>
          <t>糖水粥铺</t>
        </is>
      </c>
      <c r="J10" s="222" t="inlineStr">
        <is>
          <t>孙青青</t>
        </is>
      </c>
      <c r="K10" s="545">
        <f>LET(k,D10&amp;"|"&amp;E10&amp;"|"&amp;H10&amp;"|"&amp;I10&amp;"|"&amp;J10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0" s="546" t="n"/>
      <c r="M10" s="224" t="n"/>
      <c r="N10" s="550" t="n"/>
      <c r="O10" s="548" t="n">
        <v>449900</v>
      </c>
      <c r="P10" s="235" t="n">
        <v>0.1</v>
      </c>
      <c r="Q10" s="461">
        <f>K10*P10</f>
        <v/>
      </c>
      <c r="R10" s="461" t="n"/>
      <c r="S10" s="461">
        <f>Q10-R10</f>
        <v/>
      </c>
      <c r="T10" s="235" t="n">
        <v>0.03</v>
      </c>
      <c r="U10" s="461">
        <f>K10*T10</f>
        <v/>
      </c>
      <c r="V10" s="461" t="n"/>
      <c r="W10" s="461">
        <f>U10-V10</f>
        <v/>
      </c>
      <c r="X10" s="235" t="n">
        <v>0</v>
      </c>
      <c r="Y10" s="461">
        <f>K10*X10</f>
        <v/>
      </c>
      <c r="Z10" s="461" t="n"/>
      <c r="AA10" s="461">
        <f>Y10-Z10</f>
        <v/>
      </c>
      <c r="AB10" s="235" t="n">
        <v>0.05</v>
      </c>
      <c r="AC10" s="461">
        <f>K10*AB10</f>
        <v/>
      </c>
      <c r="AD10" s="461" t="n"/>
      <c r="AE10" s="461">
        <f>AC10-AD10</f>
        <v/>
      </c>
      <c r="AF10" s="235" t="n">
        <v>0.02</v>
      </c>
      <c r="AG10" s="461">
        <f>K10*AF10</f>
        <v/>
      </c>
      <c r="AH10" s="461" t="n"/>
      <c r="AI10" s="461">
        <f>AG10-AH10</f>
        <v/>
      </c>
      <c r="AJ10" s="235" t="n">
        <v>0</v>
      </c>
      <c r="AK10" s="461">
        <f>K10*AJ10</f>
        <v/>
      </c>
      <c r="AL10" s="461" t="n"/>
      <c r="AM10" s="461">
        <f>AK10-AL10</f>
        <v/>
      </c>
      <c r="AN10" s="235" t="n">
        <v>0.03</v>
      </c>
      <c r="AO10" s="461">
        <f>K10*AN10</f>
        <v/>
      </c>
      <c r="AP10" s="461" t="n"/>
      <c r="AQ10" s="461">
        <f>AO10-AP10</f>
        <v/>
      </c>
      <c r="AR10" s="235" t="n">
        <v>0</v>
      </c>
      <c r="AS10" s="461">
        <f>K10*AR10</f>
        <v/>
      </c>
      <c r="AT10" s="461" t="n"/>
      <c r="AU10" s="461">
        <f>AS10-AT10</f>
        <v/>
      </c>
      <c r="AV10" s="235" t="n">
        <v>0.04</v>
      </c>
      <c r="AW10" s="461">
        <f>K10*AV10</f>
        <v/>
      </c>
      <c r="AX10" s="461" t="n"/>
      <c r="AY10" s="461">
        <f>AW10-AX10</f>
        <v/>
      </c>
      <c r="AZ10" s="235" t="inlineStr">
        <is>
          <t>按实</t>
        </is>
      </c>
      <c r="BA10" s="461">
        <f>BB10</f>
        <v/>
      </c>
      <c r="BB10" s="461" t="n"/>
      <c r="BC10" s="461">
        <f>BA10-BB10</f>
        <v/>
      </c>
      <c r="BD10" s="461" t="n">
        <v>0</v>
      </c>
      <c r="BE10" s="461">
        <f>K10*BD10</f>
        <v/>
      </c>
      <c r="BF10" s="461" t="n"/>
      <c r="BG10" s="461">
        <f>BE10-BF10</f>
        <v/>
      </c>
      <c r="BH10" s="461" t="n">
        <v>0</v>
      </c>
      <c r="BI10" s="461">
        <f>K10*BH10</f>
        <v/>
      </c>
      <c r="BJ10" s="461" t="n"/>
      <c r="BK10" s="461">
        <f>BI10-BJ10</f>
        <v/>
      </c>
      <c r="BL10" s="461" t="inlineStr">
        <is>
          <t>按实</t>
        </is>
      </c>
      <c r="BM10" s="220">
        <f>BN10</f>
        <v/>
      </c>
      <c r="BN10" s="239" t="n"/>
      <c r="BO10" s="220">
        <f>BM10-BN10</f>
        <v/>
      </c>
      <c r="BP10" s="220">
        <f>N10+Q10+U10+Y10+AC10+AG10+AK10+AO10+AS10+AW10+BA10+BE10+BI10+BM10</f>
        <v/>
      </c>
      <c r="BQ10" s="220">
        <f>N10+R10+V10+Z10+AD10+AH10+AL10+AP10+AT10+AX10+BB10+BF10+BJ10+BN10</f>
        <v/>
      </c>
      <c r="BR10" s="220">
        <f>BP10-BQ10</f>
        <v/>
      </c>
      <c r="BS10" s="549" t="inlineStr">
        <is>
          <t>/</t>
        </is>
      </c>
      <c r="BT10" s="549" t="inlineStr">
        <is>
          <t>/</t>
        </is>
      </c>
      <c r="BU10" s="230" t="inlineStr">
        <is>
          <t>1、服务费：包含卫生费，不单独分摊</t>
        </is>
      </c>
      <c r="BV10" s="230" t="n"/>
      <c r="BW10" s="534" t="n"/>
    </row>
    <row r="11" ht="12" customFormat="1" customHeight="1" s="209">
      <c r="A11" s="219" t="n">
        <v>14</v>
      </c>
      <c r="B11" s="220" t="inlineStr">
        <is>
          <t>KQCY0014</t>
        </is>
      </c>
      <c r="C11" s="221" t="inlineStr">
        <is>
          <t>餐饮一分部</t>
        </is>
      </c>
      <c r="D11" s="221" t="inlineStr">
        <is>
          <t>CF477</t>
        </is>
      </c>
      <c r="E11" s="221" t="inlineStr">
        <is>
          <t>上海民航第一食堂</t>
        </is>
      </c>
      <c r="F11" s="219" t="inlineStr">
        <is>
          <t>分组作业</t>
        </is>
      </c>
      <c r="G11" s="222" t="inlineStr">
        <is>
          <t>卫屹</t>
        </is>
      </c>
      <c r="H11" s="222" t="inlineStr">
        <is>
          <t>第四班组</t>
        </is>
      </c>
      <c r="I11" s="237" t="inlineStr">
        <is>
          <t>大碗面</t>
        </is>
      </c>
      <c r="J11" s="222" t="inlineStr">
        <is>
          <t>景帅帅</t>
        </is>
      </c>
      <c r="K11" s="545">
        <f>LET(k,D11&amp;"|"&amp;E11&amp;"|"&amp;H11&amp;"|"&amp;I11&amp;"|"&amp;J11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1" s="546" t="n"/>
      <c r="M11" s="224" t="n"/>
      <c r="N11" s="550" t="n">
        <v>20030.94</v>
      </c>
      <c r="O11" s="548" t="n">
        <v>486500</v>
      </c>
      <c r="P11" s="235" t="n">
        <v>0.1</v>
      </c>
      <c r="Q11" s="461">
        <f>K11*P11</f>
        <v/>
      </c>
      <c r="R11" s="461" t="n"/>
      <c r="S11" s="461">
        <f>Q11-R11</f>
        <v/>
      </c>
      <c r="T11" s="235" t="n">
        <v>0.03</v>
      </c>
      <c r="U11" s="461">
        <f>K11*T11</f>
        <v/>
      </c>
      <c r="V11" s="461" t="n">
        <v>0</v>
      </c>
      <c r="W11" s="461">
        <f>U11-V11</f>
        <v/>
      </c>
      <c r="X11" s="235" t="n">
        <v>0</v>
      </c>
      <c r="Y11" s="461">
        <f>K11*X11</f>
        <v/>
      </c>
      <c r="Z11" s="461" t="n">
        <v>0</v>
      </c>
      <c r="AA11" s="461">
        <f>Y11-Z11</f>
        <v/>
      </c>
      <c r="AB11" s="235" t="n">
        <v>0.05</v>
      </c>
      <c r="AC11" s="461">
        <f>K11*AB11</f>
        <v/>
      </c>
      <c r="AD11" s="461" t="n">
        <v>0</v>
      </c>
      <c r="AE11" s="461">
        <f>AC11-AD11</f>
        <v/>
      </c>
      <c r="AF11" s="235" t="n">
        <v>0.02</v>
      </c>
      <c r="AG11" s="461">
        <f>K11*AF11</f>
        <v/>
      </c>
      <c r="AH11" s="461" t="n">
        <v>0</v>
      </c>
      <c r="AI11" s="461">
        <f>AG11-AH11</f>
        <v/>
      </c>
      <c r="AJ11" s="235" t="n">
        <v>0</v>
      </c>
      <c r="AK11" s="461">
        <f>K11*AJ11</f>
        <v/>
      </c>
      <c r="AL11" s="461" t="n">
        <v>0</v>
      </c>
      <c r="AM11" s="461">
        <f>AK11-AL11</f>
        <v/>
      </c>
      <c r="AN11" s="235" t="n">
        <v>0.03</v>
      </c>
      <c r="AO11" s="461">
        <f>K11*AN11</f>
        <v/>
      </c>
      <c r="AP11" s="461" t="n">
        <v>0</v>
      </c>
      <c r="AQ11" s="461">
        <f>AO11-AP11</f>
        <v/>
      </c>
      <c r="AR11" s="235" t="n">
        <v>0</v>
      </c>
      <c r="AS11" s="461">
        <f>K11*AR11</f>
        <v/>
      </c>
      <c r="AT11" s="461" t="n">
        <v>0</v>
      </c>
      <c r="AU11" s="461">
        <f>AS11-AT11</f>
        <v/>
      </c>
      <c r="AV11" s="235" t="n">
        <v>0.04</v>
      </c>
      <c r="AW11" s="461">
        <f>K11*AV11</f>
        <v/>
      </c>
      <c r="AX11" s="461" t="n">
        <v>0</v>
      </c>
      <c r="AY11" s="461">
        <f>AW11-AX11</f>
        <v/>
      </c>
      <c r="AZ11" s="235" t="inlineStr">
        <is>
          <t>按实</t>
        </is>
      </c>
      <c r="BA11" s="461">
        <f>BB11</f>
        <v/>
      </c>
      <c r="BB11" s="461" t="n">
        <v>0</v>
      </c>
      <c r="BC11" s="461">
        <f>BA11-BB11</f>
        <v/>
      </c>
      <c r="BD11" s="461" t="n">
        <v>0</v>
      </c>
      <c r="BE11" s="461">
        <f>K11*BD11</f>
        <v/>
      </c>
      <c r="BF11" s="461" t="n">
        <v>0</v>
      </c>
      <c r="BG11" s="461">
        <f>BE11-BF11</f>
        <v/>
      </c>
      <c r="BH11" s="461" t="n">
        <v>0</v>
      </c>
      <c r="BI11" s="461">
        <f>K11*BH11</f>
        <v/>
      </c>
      <c r="BJ11" s="461" t="n">
        <v>0</v>
      </c>
      <c r="BK11" s="461">
        <f>BI11-BJ11</f>
        <v/>
      </c>
      <c r="BL11" s="461" t="inlineStr">
        <is>
          <t>按实</t>
        </is>
      </c>
      <c r="BM11" s="220">
        <f>BN11</f>
        <v/>
      </c>
      <c r="BN11" s="239" t="n">
        <v>0</v>
      </c>
      <c r="BO11" s="220">
        <f>BM11-BN11</f>
        <v/>
      </c>
      <c r="BP11" s="220">
        <f>N11+Q11+U11+Y11+AC11+AG11+AK11+AO11+AS11+AW11+BA11+BE11+BI11+BM11</f>
        <v/>
      </c>
      <c r="BQ11" s="220">
        <f>N11+R11+V11+Z11+AD11+AH11+AL11+AP11+AT11+AX11+BB11+BF11+BJ11+BN11</f>
        <v/>
      </c>
      <c r="BR11" s="220">
        <f>BP11-BQ11</f>
        <v/>
      </c>
      <c r="BS11" s="549" t="inlineStr">
        <is>
          <t>/</t>
        </is>
      </c>
      <c r="BT11" s="549" t="inlineStr">
        <is>
          <t>/</t>
        </is>
      </c>
      <c r="BU11" s="230" t="inlineStr">
        <is>
          <t>1、服务费：包含卫生费，不单独分摊</t>
        </is>
      </c>
      <c r="BV11" s="230" t="n"/>
      <c r="BW11" s="534" t="n"/>
    </row>
    <row r="12" ht="12" customFormat="1" customHeight="1" s="209">
      <c r="A12" s="219" t="n">
        <v>15</v>
      </c>
      <c r="B12" s="220" t="inlineStr">
        <is>
          <t>KQCY0015</t>
        </is>
      </c>
      <c r="C12" s="221" t="inlineStr">
        <is>
          <t>餐饮一分部</t>
        </is>
      </c>
      <c r="D12" s="221" t="inlineStr">
        <is>
          <t>CF477</t>
        </is>
      </c>
      <c r="E12" s="221" t="inlineStr">
        <is>
          <t>上海民航第一食堂</t>
        </is>
      </c>
      <c r="F12" s="219" t="inlineStr">
        <is>
          <t>分组作业</t>
        </is>
      </c>
      <c r="G12" s="222" t="inlineStr">
        <is>
          <t>卫屹</t>
        </is>
      </c>
      <c r="H12" s="222" t="inlineStr">
        <is>
          <t>第一班组</t>
        </is>
      </c>
      <c r="I12" s="237" t="inlineStr">
        <is>
          <t>早餐</t>
        </is>
      </c>
      <c r="J12" s="222" t="inlineStr">
        <is>
          <t>芦磊</t>
        </is>
      </c>
      <c r="K12" s="545">
        <f>LET(k,D12&amp;"|"&amp;E12&amp;"|"&amp;H12&amp;"|"&amp;I12&amp;"|"&amp;J12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2" s="546" t="n"/>
      <c r="M12" s="224" t="n"/>
      <c r="N12" s="550" t="n"/>
      <c r="O12" s="548" t="n">
        <v>628600</v>
      </c>
      <c r="P12" s="235" t="n">
        <v>0.1</v>
      </c>
      <c r="Q12" s="461">
        <f>K12*P12</f>
        <v/>
      </c>
      <c r="R12" s="461" t="n">
        <v>0</v>
      </c>
      <c r="S12" s="461">
        <f>Q12-R12</f>
        <v/>
      </c>
      <c r="T12" s="235" t="n">
        <v>0.03</v>
      </c>
      <c r="U12" s="461">
        <f>K12*T12</f>
        <v/>
      </c>
      <c r="V12" s="461" t="n"/>
      <c r="W12" s="461">
        <f>U12-V12</f>
        <v/>
      </c>
      <c r="X12" s="235" t="n">
        <v>0</v>
      </c>
      <c r="Y12" s="461">
        <f>K12*X12</f>
        <v/>
      </c>
      <c r="Z12" s="461" t="n"/>
      <c r="AA12" s="461">
        <f>Y12-Z12</f>
        <v/>
      </c>
      <c r="AB12" s="235" t="n">
        <v>0.05</v>
      </c>
      <c r="AC12" s="461">
        <f>K12*AB12</f>
        <v/>
      </c>
      <c r="AD12" s="461" t="n"/>
      <c r="AE12" s="461">
        <f>AC12-AD12</f>
        <v/>
      </c>
      <c r="AF12" s="235" t="n">
        <v>0.02</v>
      </c>
      <c r="AG12" s="461">
        <f>K12*AF12</f>
        <v/>
      </c>
      <c r="AH12" s="461" t="n"/>
      <c r="AI12" s="461">
        <f>AG12-AH12</f>
        <v/>
      </c>
      <c r="AJ12" s="235" t="n">
        <v>0</v>
      </c>
      <c r="AK12" s="461">
        <f>K12*AJ12</f>
        <v/>
      </c>
      <c r="AL12" s="461" t="n"/>
      <c r="AM12" s="461">
        <f>AK12-AL12</f>
        <v/>
      </c>
      <c r="AN12" s="235" t="n">
        <v>0.03</v>
      </c>
      <c r="AO12" s="461">
        <f>K12*AN12</f>
        <v/>
      </c>
      <c r="AP12" s="461" t="n"/>
      <c r="AQ12" s="461">
        <f>AO12-AP12</f>
        <v/>
      </c>
      <c r="AR12" s="235" t="n">
        <v>0</v>
      </c>
      <c r="AS12" s="461">
        <f>K12*AR12</f>
        <v/>
      </c>
      <c r="AT12" s="461" t="n"/>
      <c r="AU12" s="461">
        <f>AS12-AT12</f>
        <v/>
      </c>
      <c r="AV12" s="235" t="n">
        <v>0</v>
      </c>
      <c r="AW12" s="461">
        <f>K12*AV12</f>
        <v/>
      </c>
      <c r="AX12" s="461" t="n"/>
      <c r="AY12" s="461">
        <f>AW12-AX12</f>
        <v/>
      </c>
      <c r="AZ12" s="235" t="inlineStr">
        <is>
          <t>按实</t>
        </is>
      </c>
      <c r="BA12" s="461">
        <f>BB12</f>
        <v/>
      </c>
      <c r="BB12" s="461" t="n"/>
      <c r="BC12" s="461">
        <f>BA12-BB12</f>
        <v/>
      </c>
      <c r="BD12" s="461" t="n">
        <v>0</v>
      </c>
      <c r="BE12" s="461">
        <f>K12*BD12</f>
        <v/>
      </c>
      <c r="BF12" s="461" t="n"/>
      <c r="BG12" s="461">
        <f>BE12-BF12</f>
        <v/>
      </c>
      <c r="BH12" s="461" t="n">
        <v>0</v>
      </c>
      <c r="BI12" s="461">
        <f>K12*BH12</f>
        <v/>
      </c>
      <c r="BJ12" s="461" t="n"/>
      <c r="BK12" s="461">
        <f>BI12-BJ12</f>
        <v/>
      </c>
      <c r="BL12" s="461" t="inlineStr">
        <is>
          <t>按实</t>
        </is>
      </c>
      <c r="BM12" s="220">
        <f>BN12</f>
        <v/>
      </c>
      <c r="BN12" s="239" t="n"/>
      <c r="BO12" s="220">
        <f>BM12-BN12</f>
        <v/>
      </c>
      <c r="BP12" s="220">
        <f>N12+Q12+U12+Y12+AC12+AG12+AK12+AO12+AS12+AW12+BA12+BE12+BI12+BM12</f>
        <v/>
      </c>
      <c r="BQ12" s="220">
        <f>N12+R12+V12+Z12+AD12+AH12+AL12+AP12+AT12+AX12+BB12+BF12+BJ12+BN12</f>
        <v/>
      </c>
      <c r="BR12" s="220">
        <f>BP12-BQ12</f>
        <v/>
      </c>
      <c r="BS12" s="549" t="inlineStr">
        <is>
          <t>/</t>
        </is>
      </c>
      <c r="BT12" s="549" t="inlineStr">
        <is>
          <t>/</t>
        </is>
      </c>
      <c r="BU12" s="230" t="inlineStr">
        <is>
          <t>1、服务费：包含卫生费、能源费，不单独分摊</t>
        </is>
      </c>
      <c r="BV12" s="230" t="n"/>
      <c r="BW12" s="534" t="n"/>
    </row>
    <row r="13" ht="12" customFormat="1" customHeight="1" s="209">
      <c r="A13" s="219" t="n">
        <v>16</v>
      </c>
      <c r="B13" s="220" t="inlineStr">
        <is>
          <t>KQCY0016</t>
        </is>
      </c>
      <c r="C13" s="221" t="inlineStr">
        <is>
          <t>餐饮一分部</t>
        </is>
      </c>
      <c r="D13" s="221" t="inlineStr">
        <is>
          <t>CF272</t>
        </is>
      </c>
      <c r="E13" s="242" t="inlineStr">
        <is>
          <t>苏州工学院南一食堂</t>
        </is>
      </c>
      <c r="F13" s="219" t="inlineStr">
        <is>
          <t>强责</t>
        </is>
      </c>
      <c r="G13" s="243" t="inlineStr">
        <is>
          <t>郑虎</t>
        </is>
      </c>
      <c r="H13" s="503" t="inlineStr">
        <is>
          <t>/</t>
        </is>
      </c>
      <c r="I13" s="503" t="inlineStr">
        <is>
          <t>/</t>
        </is>
      </c>
      <c r="J13" s="503" t="inlineStr">
        <is>
          <t>/</t>
        </is>
      </c>
      <c r="K13" s="545">
        <f>LET(k,D13&amp;"|"&amp;E13&amp;"|"&amp;H13&amp;"|"&amp;I13&amp;"|"&amp;J13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3" s="546" t="n"/>
      <c r="M13" s="235" t="n"/>
      <c r="N13" s="244" t="n"/>
      <c r="O13" s="548" t="n">
        <v>0</v>
      </c>
      <c r="P13" s="235" t="n">
        <v>0</v>
      </c>
      <c r="Q13" s="461">
        <f>K13*P13</f>
        <v/>
      </c>
      <c r="R13" s="461" t="n"/>
      <c r="S13" s="461">
        <f>Q13-R13</f>
        <v/>
      </c>
      <c r="T13" s="235" t="n"/>
      <c r="U13" s="461">
        <f>K13*T13</f>
        <v/>
      </c>
      <c r="V13" s="461" t="n"/>
      <c r="W13" s="461">
        <f>U13-V13</f>
        <v/>
      </c>
      <c r="X13" s="235" t="n"/>
      <c r="Y13" s="461">
        <f>K13*X13</f>
        <v/>
      </c>
      <c r="Z13" s="461" t="n"/>
      <c r="AA13" s="461">
        <f>Y13-Z13</f>
        <v/>
      </c>
      <c r="AB13" s="235" t="n"/>
      <c r="AC13" s="461">
        <f>K13*AB13</f>
        <v/>
      </c>
      <c r="AD13" s="461" t="n"/>
      <c r="AE13" s="461">
        <f>AC13-AD13</f>
        <v/>
      </c>
      <c r="AF13" s="235" t="n">
        <v>0</v>
      </c>
      <c r="AG13" s="461">
        <f>K13*AF13</f>
        <v/>
      </c>
      <c r="AH13" s="461" t="n"/>
      <c r="AI13" s="461">
        <f>AG13-AH13</f>
        <v/>
      </c>
      <c r="AJ13" s="235" t="n">
        <v>0</v>
      </c>
      <c r="AK13" s="461">
        <f>K13*AJ13</f>
        <v/>
      </c>
      <c r="AL13" s="461" t="n"/>
      <c r="AM13" s="461">
        <f>AK13-AL13</f>
        <v/>
      </c>
      <c r="AN13" s="235" t="n">
        <v>0</v>
      </c>
      <c r="AO13" s="461">
        <f>K13*AN13</f>
        <v/>
      </c>
      <c r="AP13" s="461" t="n"/>
      <c r="AQ13" s="461">
        <f>AO13-AP13</f>
        <v/>
      </c>
      <c r="AR13" s="235" t="n"/>
      <c r="AS13" s="461">
        <f>K13*AR13</f>
        <v/>
      </c>
      <c r="AT13" s="461" t="n"/>
      <c r="AU13" s="461">
        <f>AS13-AT13</f>
        <v/>
      </c>
      <c r="AV13" s="235" t="n"/>
      <c r="AW13" s="461">
        <f>K13*AV13</f>
        <v/>
      </c>
      <c r="AX13" s="461" t="n"/>
      <c r="AY13" s="461">
        <f>AW13-AX13</f>
        <v/>
      </c>
      <c r="AZ13" s="235" t="n"/>
      <c r="BA13" s="461">
        <f>K13*AZ13</f>
        <v/>
      </c>
      <c r="BB13" s="461" t="n"/>
      <c r="BC13" s="461">
        <f>BA13-BB13</f>
        <v/>
      </c>
      <c r="BD13" s="235" t="n"/>
      <c r="BE13" s="461">
        <f>K13*BD13</f>
        <v/>
      </c>
      <c r="BF13" s="235" t="n"/>
      <c r="BG13" s="461">
        <f>BE13-BF13</f>
        <v/>
      </c>
      <c r="BH13" s="235" t="n"/>
      <c r="BI13" s="461">
        <f>K13*BH13</f>
        <v/>
      </c>
      <c r="BJ13" s="235" t="n"/>
      <c r="BK13" s="461">
        <f>BI13-BJ13</f>
        <v/>
      </c>
      <c r="BL13" s="235" t="n"/>
      <c r="BM13" s="220">
        <f>K13*BL13</f>
        <v/>
      </c>
      <c r="BN13" s="220" t="n"/>
      <c r="BO13" s="220">
        <f>BM13-BN13</f>
        <v/>
      </c>
      <c r="BP13" s="220">
        <f>N13+Q13+U13+Y13+AC13+AG13+AK13+AO13+AS13+AW13+BA13+BE13+BI13+BM13</f>
        <v/>
      </c>
      <c r="BQ13" s="220">
        <f>N13+R13+V13+Z13+AD13+AH13+AL13+AP13+AT13+AX13+BB13+BF13+BJ13+BN13</f>
        <v/>
      </c>
      <c r="BR13" s="220">
        <f>BP13-BQ13</f>
        <v/>
      </c>
      <c r="BS13" s="245" t="n">
        <v>0.02</v>
      </c>
      <c r="BT13" s="549" t="inlineStr">
        <is>
          <t>/</t>
        </is>
      </c>
      <c r="BU13" s="230" t="inlineStr">
        <is>
          <t>1、自营未实际经营；</t>
        </is>
      </c>
      <c r="BV13" s="230" t="n"/>
      <c r="BW13" s="534" t="n"/>
    </row>
    <row r="14" ht="16.5" customFormat="1" customHeight="1" s="209">
      <c r="A14" s="219" t="n">
        <v>17</v>
      </c>
      <c r="B14" s="220" t="inlineStr">
        <is>
          <t>KQCY0017</t>
        </is>
      </c>
      <c r="C14" s="221" t="inlineStr">
        <is>
          <t>餐饮一分部</t>
        </is>
      </c>
      <c r="D14" s="221" t="inlineStr">
        <is>
          <t>CF272</t>
        </is>
      </c>
      <c r="E14" s="242" t="inlineStr">
        <is>
          <t>苏州工学院南一食堂</t>
        </is>
      </c>
      <c r="F14" s="219" t="inlineStr">
        <is>
          <t>强责</t>
        </is>
      </c>
      <c r="G14" s="243" t="inlineStr">
        <is>
          <t>郑虎</t>
        </is>
      </c>
      <c r="H14" s="503" t="inlineStr">
        <is>
          <t>/</t>
        </is>
      </c>
      <c r="I14" s="237" t="inlineStr">
        <is>
          <t>饼铺</t>
        </is>
      </c>
      <c r="J14" s="503" t="inlineStr">
        <is>
          <t>纪洪强</t>
        </is>
      </c>
      <c r="K14" s="545">
        <f>LET(k,D14&amp;"|"&amp;E14&amp;"|"&amp;H14&amp;"|"&amp;I14&amp;"|"&amp;J14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4" s="546" t="n"/>
      <c r="M14" s="224" t="n"/>
      <c r="N14" s="246" t="n">
        <v>1698.59</v>
      </c>
      <c r="O14" s="548" t="n">
        <v>460000</v>
      </c>
      <c r="P14" s="247" t="n">
        <v>0.08</v>
      </c>
      <c r="Q14" s="461">
        <f>K14*P14</f>
        <v/>
      </c>
      <c r="R14" s="248" t="n">
        <v>444.3624</v>
      </c>
      <c r="S14" s="461">
        <f>Q14-R14</f>
        <v/>
      </c>
      <c r="T14" s="235" t="n">
        <v>0</v>
      </c>
      <c r="U14" s="461">
        <f>K14*T14</f>
        <v/>
      </c>
      <c r="V14" s="461" t="n"/>
      <c r="W14" s="461">
        <f>U14-V14</f>
        <v/>
      </c>
      <c r="X14" s="235" t="n">
        <v>0</v>
      </c>
      <c r="Y14" s="461">
        <f>K14*X14</f>
        <v/>
      </c>
      <c r="Z14" s="461" t="n"/>
      <c r="AA14" s="461">
        <f>Y14-Z14</f>
        <v/>
      </c>
      <c r="AB14" s="247" t="n">
        <v>0.065</v>
      </c>
      <c r="AC14" s="461">
        <f>K14*AB14</f>
        <v/>
      </c>
      <c r="AD14" s="248" t="n">
        <v>361.04445</v>
      </c>
      <c r="AE14" s="249">
        <f>AC14-AD14</f>
        <v/>
      </c>
      <c r="AF14" s="247" t="n">
        <v>0.02</v>
      </c>
      <c r="AG14" s="461">
        <f>K14*AF14</f>
        <v/>
      </c>
      <c r="AH14" s="248" t="n">
        <v>111.0906</v>
      </c>
      <c r="AI14" s="461">
        <f>AG14-AH14</f>
        <v/>
      </c>
      <c r="AJ14" s="247" t="n">
        <v>0.035</v>
      </c>
      <c r="AK14" s="461">
        <f>K14*AJ14</f>
        <v/>
      </c>
      <c r="AL14" s="248" t="n">
        <v>194.40855</v>
      </c>
      <c r="AM14" s="249">
        <f>AK14-AL14</f>
        <v/>
      </c>
      <c r="AN14" s="235" t="n">
        <v>0</v>
      </c>
      <c r="AO14" s="461">
        <f>K14*AN14</f>
        <v/>
      </c>
      <c r="AP14" s="461" t="n"/>
      <c r="AQ14" s="461">
        <f>AO14-AP14</f>
        <v/>
      </c>
      <c r="AR14" s="235" t="n">
        <v>0.03</v>
      </c>
      <c r="AS14" s="461">
        <f>K14*AR14</f>
        <v/>
      </c>
      <c r="AT14" s="248" t="n">
        <v>166.6359</v>
      </c>
      <c r="AU14" s="461">
        <f>AS14-AT14</f>
        <v/>
      </c>
      <c r="AV14" s="235" t="n">
        <v>0.06</v>
      </c>
      <c r="AW14" s="461">
        <f>K14*AV14</f>
        <v/>
      </c>
      <c r="AX14" s="248" t="n">
        <v>333.2718</v>
      </c>
      <c r="AY14" s="461">
        <f>AW14-AX14</f>
        <v/>
      </c>
      <c r="AZ14" s="227" t="inlineStr">
        <is>
          <t>按实</t>
        </is>
      </c>
      <c r="BA14" s="461">
        <f>BB14</f>
        <v/>
      </c>
      <c r="BB14" s="461" t="n"/>
      <c r="BC14" s="461">
        <f>BA14-BB14</f>
        <v/>
      </c>
      <c r="BD14" s="235" t="inlineStr">
        <is>
          <t>按实</t>
        </is>
      </c>
      <c r="BE14" s="461">
        <f>BF14</f>
        <v/>
      </c>
      <c r="BF14" s="461" t="n"/>
      <c r="BG14" s="461">
        <f>BE14-BF14</f>
        <v/>
      </c>
      <c r="BH14" s="235" t="inlineStr">
        <is>
          <t>按实</t>
        </is>
      </c>
      <c r="BI14" s="461">
        <f>BJ14</f>
        <v/>
      </c>
      <c r="BJ14" s="461" t="n"/>
      <c r="BK14" s="461">
        <f>BI14-BJ14</f>
        <v/>
      </c>
      <c r="BL14" s="235" t="inlineStr">
        <is>
          <t>按实</t>
        </is>
      </c>
      <c r="BM14" s="220">
        <f>BN14</f>
        <v/>
      </c>
      <c r="BN14" s="220" t="n"/>
      <c r="BO14" s="220">
        <f>BM14-BN14</f>
        <v/>
      </c>
      <c r="BP14" s="220">
        <f>N14+Q14+U14+Y14+AC14+AG14+AK14+AO14+AS14+AW14+BA14+BE14+BI14+BM14</f>
        <v/>
      </c>
      <c r="BQ14" s="220">
        <f>N14+R14+V14+Z14+AD14+AH14+AL14+AP14+AT14+AX14+BB14+BF14+BJ14+BN14</f>
        <v/>
      </c>
      <c r="BR14" s="220">
        <f>BP14-BQ14</f>
        <v/>
      </c>
      <c r="BS14" s="247" t="inlineStr">
        <is>
          <t>/</t>
        </is>
      </c>
      <c r="BT14" s="235" t="inlineStr">
        <is>
          <t>/</t>
        </is>
      </c>
      <c r="BU14" s="250" t="inlineStr">
        <is>
          <t>1、甲方捐赠：35万/年，分组作业未分摊，服务费已包含；
2、采购费：1.35万/年，分组作业未分摊，服务费已包含；</t>
        </is>
      </c>
      <c r="BV14" s="230" t="inlineStr">
        <is>
          <t xml:space="preserve">
1、签订期间：2026.2.25-2026.7.19；
2、指标按照全年换算；
</t>
        </is>
      </c>
      <c r="BW14" s="534" t="n"/>
    </row>
    <row r="15" ht="16.5" customFormat="1" customHeight="1" s="209">
      <c r="A15" s="219" t="n">
        <v>18</v>
      </c>
      <c r="B15" s="220" t="inlineStr">
        <is>
          <t>KQCY0018</t>
        </is>
      </c>
      <c r="C15" s="221" t="inlineStr">
        <is>
          <t>餐饮一分部</t>
        </is>
      </c>
      <c r="D15" s="221" t="inlineStr">
        <is>
          <t>CF272</t>
        </is>
      </c>
      <c r="E15" s="242" t="inlineStr">
        <is>
          <t>苏州工学院南一食堂</t>
        </is>
      </c>
      <c r="F15" s="219" t="inlineStr">
        <is>
          <t>强责</t>
        </is>
      </c>
      <c r="G15" s="243" t="inlineStr">
        <is>
          <t>郑虎</t>
        </is>
      </c>
      <c r="H15" s="503" t="inlineStr">
        <is>
          <t>/</t>
        </is>
      </c>
      <c r="I15" s="237" t="inlineStr">
        <is>
          <t>粥铺</t>
        </is>
      </c>
      <c r="J15" s="503" t="inlineStr">
        <is>
          <t>贺明</t>
        </is>
      </c>
      <c r="K15" s="545">
        <f>LET(k,D15&amp;"|"&amp;E15&amp;"|"&amp;H15&amp;"|"&amp;I15&amp;"|"&amp;J15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5" s="546" t="n"/>
      <c r="M15" s="224" t="n"/>
      <c r="N15" s="246" t="n">
        <v>1698.59</v>
      </c>
      <c r="O15" s="548" t="n">
        <v>384000</v>
      </c>
      <c r="P15" s="247" t="n">
        <v>0.08</v>
      </c>
      <c r="Q15" s="461">
        <f>K15*P15</f>
        <v/>
      </c>
      <c r="R15" s="248" t="n">
        <v>417.92</v>
      </c>
      <c r="S15" s="461">
        <f>Q15-R15</f>
        <v/>
      </c>
      <c r="T15" s="235" t="n">
        <v>0</v>
      </c>
      <c r="U15" s="461">
        <f>K15*T15</f>
        <v/>
      </c>
      <c r="V15" s="461" t="n"/>
      <c r="W15" s="461">
        <f>U15-V15</f>
        <v/>
      </c>
      <c r="X15" s="235" t="n">
        <v>0</v>
      </c>
      <c r="Y15" s="461">
        <f>K15*X15</f>
        <v/>
      </c>
      <c r="Z15" s="461" t="n"/>
      <c r="AA15" s="461">
        <f>Y15-Z15</f>
        <v/>
      </c>
      <c r="AB15" s="247" t="n">
        <v>0.065</v>
      </c>
      <c r="AC15" s="461">
        <f>K15*AB15</f>
        <v/>
      </c>
      <c r="AD15" s="248" t="n">
        <v>339.56</v>
      </c>
      <c r="AE15" s="249">
        <f>AC15-AD15</f>
        <v/>
      </c>
      <c r="AF15" s="247" t="n">
        <v>0.02</v>
      </c>
      <c r="AG15" s="461">
        <f>K15*AF15</f>
        <v/>
      </c>
      <c r="AH15" s="248" t="n">
        <v>104.48</v>
      </c>
      <c r="AI15" s="461">
        <f>AG15-AH15</f>
        <v/>
      </c>
      <c r="AJ15" s="247" t="n">
        <v>0.035</v>
      </c>
      <c r="AK15" s="461">
        <f>K15*AJ15</f>
        <v/>
      </c>
      <c r="AL15" s="248" t="n">
        <v>182.84</v>
      </c>
      <c r="AM15" s="249">
        <f>AK15-AL15</f>
        <v/>
      </c>
      <c r="AN15" s="235" t="n">
        <v>0</v>
      </c>
      <c r="AO15" s="461">
        <f>K15*AN15</f>
        <v/>
      </c>
      <c r="AP15" s="461" t="n"/>
      <c r="AQ15" s="461">
        <f>AO15-AP15</f>
        <v/>
      </c>
      <c r="AR15" s="235" t="n">
        <v>0.03</v>
      </c>
      <c r="AS15" s="461">
        <f>K15*AR15</f>
        <v/>
      </c>
      <c r="AT15" s="248" t="n">
        <v>156.72</v>
      </c>
      <c r="AU15" s="461">
        <f>AS15-AT15</f>
        <v/>
      </c>
      <c r="AV15" s="235" t="n">
        <v>0.06</v>
      </c>
      <c r="AW15" s="461">
        <f>K15*AV15</f>
        <v/>
      </c>
      <c r="AX15" s="248" t="n">
        <v>313.44</v>
      </c>
      <c r="AY15" s="461">
        <f>AW15-AX15</f>
        <v/>
      </c>
      <c r="AZ15" s="227" t="inlineStr">
        <is>
          <t>按实</t>
        </is>
      </c>
      <c r="BA15" s="461">
        <f>BB15</f>
        <v/>
      </c>
      <c r="BB15" s="461" t="n"/>
      <c r="BC15" s="461">
        <f>BA15-BB15</f>
        <v/>
      </c>
      <c r="BD15" s="235" t="inlineStr">
        <is>
          <t>按实</t>
        </is>
      </c>
      <c r="BE15" s="461">
        <f>BF15</f>
        <v/>
      </c>
      <c r="BF15" s="461" t="n"/>
      <c r="BG15" s="461">
        <f>BE15-BF15</f>
        <v/>
      </c>
      <c r="BH15" s="235" t="inlineStr">
        <is>
          <t>按实</t>
        </is>
      </c>
      <c r="BI15" s="461">
        <f>BJ15</f>
        <v/>
      </c>
      <c r="BJ15" s="461" t="n"/>
      <c r="BK15" s="461">
        <f>BI15-BJ15</f>
        <v/>
      </c>
      <c r="BL15" s="235" t="inlineStr">
        <is>
          <t>按实</t>
        </is>
      </c>
      <c r="BM15" s="220">
        <f>BN15</f>
        <v/>
      </c>
      <c r="BN15" s="220" t="n"/>
      <c r="BO15" s="220">
        <f>BM15-BN15</f>
        <v/>
      </c>
      <c r="BP15" s="220">
        <f>N15+Q15+U15+Y15+AC15+AG15+AK15+AO15+AS15+AW15+BA15+BE15+BI15+BM15</f>
        <v/>
      </c>
      <c r="BQ15" s="220">
        <f>N15+R15+V15+Z15+AD15+AH15+AL15+AP15+AT15+AX15+BB15+BF15+BJ15+BN15</f>
        <v/>
      </c>
      <c r="BR15" s="220">
        <f>BP15-BQ15</f>
        <v/>
      </c>
      <c r="BS15" s="247" t="inlineStr">
        <is>
          <t>/</t>
        </is>
      </c>
      <c r="BT15" s="235" t="inlineStr">
        <is>
          <t>/</t>
        </is>
      </c>
      <c r="BU15" s="250" t="inlineStr">
        <is>
          <t>1、甲方捐赠：35万/年，分组作业未分摊，服务费已包含；
2、采购费：1.35万/年，分组作业未分摊，服务费已包含；</t>
        </is>
      </c>
      <c r="BV15" s="230" t="inlineStr">
        <is>
          <t xml:space="preserve">
1、签订期间：2026.2.25-2026.7.19；
2、指标按照全年换算；
</t>
        </is>
      </c>
      <c r="BW15" s="534" t="n"/>
    </row>
    <row r="16" ht="16.5" customFormat="1" customHeight="1" s="209">
      <c r="A16" s="219" t="n">
        <v>19</v>
      </c>
      <c r="B16" s="220" t="inlineStr">
        <is>
          <t>KQCY0019</t>
        </is>
      </c>
      <c r="C16" s="221" t="inlineStr">
        <is>
          <t>餐饮一分部</t>
        </is>
      </c>
      <c r="D16" s="221" t="inlineStr">
        <is>
          <t>CF272</t>
        </is>
      </c>
      <c r="E16" s="242" t="inlineStr">
        <is>
          <t>苏州工学院南一食堂</t>
        </is>
      </c>
      <c r="F16" s="219" t="inlineStr">
        <is>
          <t>强责</t>
        </is>
      </c>
      <c r="G16" s="243" t="inlineStr">
        <is>
          <t>郑虎</t>
        </is>
      </c>
      <c r="H16" s="503" t="inlineStr">
        <is>
          <t>/</t>
        </is>
      </c>
      <c r="I16" s="237" t="inlineStr">
        <is>
          <t>老乡邨</t>
        </is>
      </c>
      <c r="J16" s="503" t="inlineStr">
        <is>
          <t>刘少军</t>
        </is>
      </c>
      <c r="K16" s="545">
        <f>LET(k,D16&amp;"|"&amp;E16&amp;"|"&amp;H16&amp;"|"&amp;I16&amp;"|"&amp;J16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6" s="546" t="n"/>
      <c r="M16" s="224" t="n"/>
      <c r="N16" s="246" t="n">
        <v>1698.59</v>
      </c>
      <c r="O16" s="548" t="n">
        <v>930000</v>
      </c>
      <c r="P16" s="247" t="n">
        <v>0.08</v>
      </c>
      <c r="Q16" s="461">
        <f>K16*P16</f>
        <v/>
      </c>
      <c r="R16" s="248" t="n">
        <v>766.96</v>
      </c>
      <c r="S16" s="461">
        <f>Q16-R16</f>
        <v/>
      </c>
      <c r="T16" s="235" t="n">
        <v>0</v>
      </c>
      <c r="U16" s="461">
        <f>K16*T16</f>
        <v/>
      </c>
      <c r="V16" s="461" t="n"/>
      <c r="W16" s="461">
        <f>U16-V16</f>
        <v/>
      </c>
      <c r="X16" s="235" t="n">
        <v>0</v>
      </c>
      <c r="Y16" s="461">
        <f>K16*X16</f>
        <v/>
      </c>
      <c r="Z16" s="461" t="n"/>
      <c r="AA16" s="461">
        <f>Y16-Z16</f>
        <v/>
      </c>
      <c r="AB16" s="247" t="n">
        <v>0.065</v>
      </c>
      <c r="AC16" s="461">
        <f>K16*AB16</f>
        <v/>
      </c>
      <c r="AD16" s="248" t="n">
        <v>623.155</v>
      </c>
      <c r="AE16" s="249">
        <f>AC16-AD16</f>
        <v/>
      </c>
      <c r="AF16" s="247" t="n">
        <v>0.02</v>
      </c>
      <c r="AG16" s="461">
        <f>K16*AF16</f>
        <v/>
      </c>
      <c r="AH16" s="248" t="n">
        <v>191.74</v>
      </c>
      <c r="AI16" s="461">
        <f>AG16-AH16</f>
        <v/>
      </c>
      <c r="AJ16" s="247" t="n">
        <v>0.035</v>
      </c>
      <c r="AK16" s="461">
        <f>K16*AJ16</f>
        <v/>
      </c>
      <c r="AL16" s="248" t="n">
        <v>335.545</v>
      </c>
      <c r="AM16" s="249">
        <f>AK16-AL16</f>
        <v/>
      </c>
      <c r="AN16" s="235" t="n">
        <v>0</v>
      </c>
      <c r="AO16" s="461">
        <f>K16*AN16</f>
        <v/>
      </c>
      <c r="AP16" s="461" t="n"/>
      <c r="AQ16" s="461">
        <f>AO16-AP16</f>
        <v/>
      </c>
      <c r="AR16" s="235" t="n">
        <v>0.03</v>
      </c>
      <c r="AS16" s="461">
        <f>K16*AR16</f>
        <v/>
      </c>
      <c r="AT16" s="248" t="n">
        <v>287.61</v>
      </c>
      <c r="AU16" s="461">
        <f>AS16-AT16</f>
        <v/>
      </c>
      <c r="AV16" s="235" t="n">
        <v>0.06</v>
      </c>
      <c r="AW16" s="461">
        <f>K16*AV16</f>
        <v/>
      </c>
      <c r="AX16" s="248" t="n">
        <v>575.22</v>
      </c>
      <c r="AY16" s="461">
        <f>AW16-AX16</f>
        <v/>
      </c>
      <c r="AZ16" s="227" t="inlineStr">
        <is>
          <t>按实</t>
        </is>
      </c>
      <c r="BA16" s="461">
        <f>BB16</f>
        <v/>
      </c>
      <c r="BB16" s="461" t="n"/>
      <c r="BC16" s="461">
        <f>BA16-BB16</f>
        <v/>
      </c>
      <c r="BD16" s="235" t="inlineStr">
        <is>
          <t>按实</t>
        </is>
      </c>
      <c r="BE16" s="461">
        <f>BF16</f>
        <v/>
      </c>
      <c r="BF16" s="461" t="n"/>
      <c r="BG16" s="461">
        <f>BE16-BF16</f>
        <v/>
      </c>
      <c r="BH16" s="235" t="inlineStr">
        <is>
          <t>按实</t>
        </is>
      </c>
      <c r="BI16" s="461">
        <f>BJ16</f>
        <v/>
      </c>
      <c r="BJ16" s="461" t="n"/>
      <c r="BK16" s="461">
        <f>BI16-BJ16</f>
        <v/>
      </c>
      <c r="BL16" s="235" t="inlineStr">
        <is>
          <t>按实</t>
        </is>
      </c>
      <c r="BM16" s="220">
        <f>BN16</f>
        <v/>
      </c>
      <c r="BN16" s="220" t="n"/>
      <c r="BO16" s="220">
        <f>BM16-BN16</f>
        <v/>
      </c>
      <c r="BP16" s="220">
        <f>N16+Q16+U16+Y16+AC16+AG16+AK16+AO16+AS16+AW16+BA16+BE16+BI16+BM16</f>
        <v/>
      </c>
      <c r="BQ16" s="220">
        <f>N16+R16+V16+Z16+AD16+AH16+AL16+AP16+AT16+AX16+BB16+BF16+BJ16+BN16</f>
        <v/>
      </c>
      <c r="BR16" s="220">
        <f>BP16-BQ16</f>
        <v/>
      </c>
      <c r="BS16" s="247" t="inlineStr">
        <is>
          <t>/</t>
        </is>
      </c>
      <c r="BT16" s="235" t="inlineStr">
        <is>
          <t>/</t>
        </is>
      </c>
      <c r="BU16" s="250" t="inlineStr">
        <is>
          <t>1、甲方捐赠：35万/年，分组作业未分摊，服务费已包含；
2、采购费：1.35万/年，分组作业未分摊，服务费已包含；</t>
        </is>
      </c>
      <c r="BV16" s="230" t="inlineStr">
        <is>
          <t xml:space="preserve">
1、签订期间：2026.2.25-2026.7.19；
2、指标按照全年换算；
</t>
        </is>
      </c>
      <c r="BW16" s="534" t="n"/>
    </row>
    <row r="17" ht="16.5" customFormat="1" customHeight="1" s="209">
      <c r="A17" s="219" t="n">
        <v>20</v>
      </c>
      <c r="B17" s="220" t="inlineStr">
        <is>
          <t>KQCY0020</t>
        </is>
      </c>
      <c r="C17" s="221" t="inlineStr">
        <is>
          <t>餐饮一分部</t>
        </is>
      </c>
      <c r="D17" s="221" t="inlineStr">
        <is>
          <t>CF272</t>
        </is>
      </c>
      <c r="E17" s="242" t="inlineStr">
        <is>
          <t>苏州工学院南一食堂</t>
        </is>
      </c>
      <c r="F17" s="219" t="inlineStr">
        <is>
          <t>强责</t>
        </is>
      </c>
      <c r="G17" s="243" t="inlineStr">
        <is>
          <t>郑虎</t>
        </is>
      </c>
      <c r="H17" s="503" t="inlineStr">
        <is>
          <t>/</t>
        </is>
      </c>
      <c r="I17" s="237" t="inlineStr">
        <is>
          <t>科桥小厨</t>
        </is>
      </c>
      <c r="J17" s="503" t="inlineStr">
        <is>
          <t>吴浩</t>
        </is>
      </c>
      <c r="K17" s="545">
        <f>LET(k,D17&amp;"|"&amp;E17&amp;"|"&amp;H17&amp;"|"&amp;I17&amp;"|"&amp;J17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7" s="546" t="n"/>
      <c r="M17" s="224" t="n"/>
      <c r="N17" s="246" t="n">
        <v>1698.59</v>
      </c>
      <c r="O17" s="548" t="n">
        <v>1280000</v>
      </c>
      <c r="P17" s="247" t="n">
        <v>0.06</v>
      </c>
      <c r="Q17" s="461">
        <f>K17*P17</f>
        <v/>
      </c>
      <c r="R17" s="248" t="n">
        <v>3048.72</v>
      </c>
      <c r="S17" s="461">
        <f>Q17-R17</f>
        <v/>
      </c>
      <c r="T17" s="235" t="n">
        <v>0</v>
      </c>
      <c r="U17" s="461">
        <f>K17*T17</f>
        <v/>
      </c>
      <c r="V17" s="461" t="n"/>
      <c r="W17" s="461">
        <f>U17-V17</f>
        <v/>
      </c>
      <c r="X17" s="235" t="n">
        <v>0</v>
      </c>
      <c r="Y17" s="461">
        <f>K17*X17</f>
        <v/>
      </c>
      <c r="Z17" s="461" t="n"/>
      <c r="AA17" s="461">
        <f>Y17-Z17</f>
        <v/>
      </c>
      <c r="AB17" s="247" t="n">
        <v>0.055</v>
      </c>
      <c r="AC17" s="461">
        <f>K17*AB17</f>
        <v/>
      </c>
      <c r="AD17" s="248" t="n">
        <v>2794.66</v>
      </c>
      <c r="AE17" s="249">
        <f>AC17-AD17</f>
        <v/>
      </c>
      <c r="AF17" s="247" t="n">
        <v>0.02</v>
      </c>
      <c r="AG17" s="461">
        <f>K17*AF17</f>
        <v/>
      </c>
      <c r="AH17" s="248" t="n">
        <v>1016.24</v>
      </c>
      <c r="AI17" s="461">
        <f>AG17-AH17</f>
        <v/>
      </c>
      <c r="AJ17" s="247" t="n">
        <v>0.025</v>
      </c>
      <c r="AK17" s="461">
        <f>K17*AJ17</f>
        <v/>
      </c>
      <c r="AL17" s="248" t="n">
        <v>1270.3</v>
      </c>
      <c r="AM17" s="249">
        <f>AK17-AL17</f>
        <v/>
      </c>
      <c r="AN17" s="235" t="n">
        <v>0</v>
      </c>
      <c r="AO17" s="461">
        <f>K17*AN17</f>
        <v/>
      </c>
      <c r="AP17" s="461" t="n"/>
      <c r="AQ17" s="461">
        <f>AO17-AP17</f>
        <v/>
      </c>
      <c r="AR17" s="235" t="n">
        <v>0.03</v>
      </c>
      <c r="AS17" s="461">
        <f>K17*AR17</f>
        <v/>
      </c>
      <c r="AT17" s="248" t="n">
        <v>1524.36</v>
      </c>
      <c r="AU17" s="461">
        <f>AS17-AT17</f>
        <v/>
      </c>
      <c r="AV17" s="235" t="n">
        <v>0.06</v>
      </c>
      <c r="AW17" s="461">
        <f>K17*AV17</f>
        <v/>
      </c>
      <c r="AX17" s="248" t="n">
        <v>3048.72</v>
      </c>
      <c r="AY17" s="461">
        <f>AW17-AX17</f>
        <v/>
      </c>
      <c r="AZ17" s="227" t="inlineStr">
        <is>
          <t>按实</t>
        </is>
      </c>
      <c r="BA17" s="461">
        <f>BB17</f>
        <v/>
      </c>
      <c r="BB17" s="461" t="n"/>
      <c r="BC17" s="461">
        <f>BA17-BB17</f>
        <v/>
      </c>
      <c r="BD17" s="235" t="inlineStr">
        <is>
          <t>按实</t>
        </is>
      </c>
      <c r="BE17" s="461">
        <f>BF17</f>
        <v/>
      </c>
      <c r="BF17" s="461" t="n"/>
      <c r="BG17" s="461">
        <f>BE17-BF17</f>
        <v/>
      </c>
      <c r="BH17" s="235" t="inlineStr">
        <is>
          <t>按实</t>
        </is>
      </c>
      <c r="BI17" s="461">
        <f>BJ17</f>
        <v/>
      </c>
      <c r="BJ17" s="461" t="n"/>
      <c r="BK17" s="461">
        <f>BI17-BJ17</f>
        <v/>
      </c>
      <c r="BL17" s="235" t="inlineStr">
        <is>
          <t>按实</t>
        </is>
      </c>
      <c r="BM17" s="220">
        <f>BN17</f>
        <v/>
      </c>
      <c r="BN17" s="220" t="n"/>
      <c r="BO17" s="220">
        <f>BM17-BN17</f>
        <v/>
      </c>
      <c r="BP17" s="220">
        <f>N17+Q17+U17+Y17+AC17+AG17+AK17+AO17+AS17+AW17+BA17+BE17+BI17+BM17</f>
        <v/>
      </c>
      <c r="BQ17" s="220">
        <f>N17+R17+V17+Z17+AD17+AH17+AL17+AP17+AT17+AX17+BB17+BF17+BJ17+BN17</f>
        <v/>
      </c>
      <c r="BR17" s="220">
        <f>BP17-BQ17</f>
        <v/>
      </c>
      <c r="BS17" s="247" t="inlineStr">
        <is>
          <t>/</t>
        </is>
      </c>
      <c r="BT17" s="235" t="inlineStr">
        <is>
          <t>/</t>
        </is>
      </c>
      <c r="BU17" s="250" t="inlineStr">
        <is>
          <t>1、甲方捐赠：35万/年，分组作业未分摊，服务费已包含；
2、采购费：1.35万/年，分组作业未分摊，服务费已包含；</t>
        </is>
      </c>
      <c r="BV17" s="230" t="inlineStr">
        <is>
          <t xml:space="preserve">
1、签订期间：2026.2.25-2026.7.19；
2、指标按照全年换算；
</t>
        </is>
      </c>
      <c r="BW17" s="534" t="n"/>
    </row>
    <row r="18" ht="16.5" customFormat="1" customHeight="1" s="209">
      <c r="A18" s="219" t="n">
        <v>21</v>
      </c>
      <c r="B18" s="220" t="inlineStr">
        <is>
          <t>KQCY0021</t>
        </is>
      </c>
      <c r="C18" s="221" t="inlineStr">
        <is>
          <t>餐饮一分部</t>
        </is>
      </c>
      <c r="D18" s="221" t="inlineStr">
        <is>
          <t>CF272</t>
        </is>
      </c>
      <c r="E18" s="242" t="inlineStr">
        <is>
          <t>苏州工学院南一食堂</t>
        </is>
      </c>
      <c r="F18" s="219" t="inlineStr">
        <is>
          <t>强责</t>
        </is>
      </c>
      <c r="G18" s="243" t="inlineStr">
        <is>
          <t>郑虎</t>
        </is>
      </c>
      <c r="H18" s="503" t="inlineStr">
        <is>
          <t>/</t>
        </is>
      </c>
      <c r="I18" s="237" t="inlineStr">
        <is>
          <t>清汤米线</t>
        </is>
      </c>
      <c r="J18" s="503" t="inlineStr">
        <is>
          <t>张郁磊</t>
        </is>
      </c>
      <c r="K18" s="545">
        <f>LET(k,D18&amp;"|"&amp;E18&amp;"|"&amp;H18&amp;"|"&amp;I18&amp;"|"&amp;J18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8" s="546" t="n"/>
      <c r="M18" s="224" t="n"/>
      <c r="N18" s="246" t="n">
        <v>1698.59</v>
      </c>
      <c r="O18" s="548" t="n">
        <v>264000</v>
      </c>
      <c r="P18" s="247" t="n">
        <v>0.08</v>
      </c>
      <c r="Q18" s="461">
        <f>K18*P18</f>
        <v/>
      </c>
      <c r="R18" s="248" t="n">
        <v>92.68000000000001</v>
      </c>
      <c r="S18" s="461">
        <f>Q18-R18</f>
        <v/>
      </c>
      <c r="T18" s="235" t="n">
        <v>0</v>
      </c>
      <c r="U18" s="461">
        <f>K18*T18</f>
        <v/>
      </c>
      <c r="V18" s="461" t="n"/>
      <c r="W18" s="461">
        <f>U18-V18</f>
        <v/>
      </c>
      <c r="X18" s="235" t="n">
        <v>0</v>
      </c>
      <c r="Y18" s="461">
        <f>K18*X18</f>
        <v/>
      </c>
      <c r="Z18" s="461" t="n"/>
      <c r="AA18" s="461">
        <f>Y18-Z18</f>
        <v/>
      </c>
      <c r="AB18" s="247" t="n">
        <v>0.065</v>
      </c>
      <c r="AC18" s="461">
        <f>K18*AB18</f>
        <v/>
      </c>
      <c r="AD18" s="248" t="n">
        <v>75.30249999999999</v>
      </c>
      <c r="AE18" s="249">
        <f>AC18-AD18</f>
        <v/>
      </c>
      <c r="AF18" s="247" t="n">
        <v>0.02</v>
      </c>
      <c r="AG18" s="461">
        <f>K18*AF18</f>
        <v/>
      </c>
      <c r="AH18" s="248" t="n">
        <v>23.17</v>
      </c>
      <c r="AI18" s="461">
        <f>AG18-AH18</f>
        <v/>
      </c>
      <c r="AJ18" s="247" t="n">
        <v>0.035</v>
      </c>
      <c r="AK18" s="461">
        <f>K18*AJ18</f>
        <v/>
      </c>
      <c r="AL18" s="248" t="n">
        <v>40.5475</v>
      </c>
      <c r="AM18" s="249">
        <f>AK18-AL18</f>
        <v/>
      </c>
      <c r="AN18" s="235" t="n">
        <v>0</v>
      </c>
      <c r="AO18" s="461">
        <f>K18*AN18</f>
        <v/>
      </c>
      <c r="AP18" s="461" t="n"/>
      <c r="AQ18" s="461">
        <f>AO18-AP18</f>
        <v/>
      </c>
      <c r="AR18" s="235" t="n">
        <v>0.03</v>
      </c>
      <c r="AS18" s="461">
        <f>K18*AR18</f>
        <v/>
      </c>
      <c r="AT18" s="248" t="n">
        <v>34.755</v>
      </c>
      <c r="AU18" s="461">
        <f>AS18-AT18</f>
        <v/>
      </c>
      <c r="AV18" s="235" t="n">
        <v>0.06</v>
      </c>
      <c r="AW18" s="461">
        <f>K18*AV18</f>
        <v/>
      </c>
      <c r="AX18" s="248" t="n">
        <v>69.51000000000001</v>
      </c>
      <c r="AY18" s="461">
        <f>AW18-AX18</f>
        <v/>
      </c>
      <c r="AZ18" s="227" t="inlineStr">
        <is>
          <t>按实</t>
        </is>
      </c>
      <c r="BA18" s="461">
        <f>BB18</f>
        <v/>
      </c>
      <c r="BB18" s="461" t="n"/>
      <c r="BC18" s="461">
        <f>BA18-BB18</f>
        <v/>
      </c>
      <c r="BD18" s="235" t="inlineStr">
        <is>
          <t>按实</t>
        </is>
      </c>
      <c r="BE18" s="461">
        <f>BF18</f>
        <v/>
      </c>
      <c r="BF18" s="461" t="n"/>
      <c r="BG18" s="461">
        <f>BE18-BF18</f>
        <v/>
      </c>
      <c r="BH18" s="235" t="inlineStr">
        <is>
          <t>按实</t>
        </is>
      </c>
      <c r="BI18" s="461">
        <f>BJ18</f>
        <v/>
      </c>
      <c r="BJ18" s="461" t="n"/>
      <c r="BK18" s="461">
        <f>BI18-BJ18</f>
        <v/>
      </c>
      <c r="BL18" s="235" t="inlineStr">
        <is>
          <t>按实</t>
        </is>
      </c>
      <c r="BM18" s="220">
        <f>BN18</f>
        <v/>
      </c>
      <c r="BN18" s="220" t="n"/>
      <c r="BO18" s="220">
        <f>BM18-BN18</f>
        <v/>
      </c>
      <c r="BP18" s="220">
        <f>N18+Q18+U18+Y18+AC18+AG18+AK18+AO18+AS18+AW18+BA18+BE18+BI18+BM18</f>
        <v/>
      </c>
      <c r="BQ18" s="220">
        <f>N18+R18+V18+Z18+AD18+AH18+AL18+AP18+AT18+AX18+BB18+BF18+BJ18+BN18</f>
        <v/>
      </c>
      <c r="BR18" s="220">
        <f>BP18-BQ18</f>
        <v/>
      </c>
      <c r="BS18" s="247" t="inlineStr">
        <is>
          <t>/</t>
        </is>
      </c>
      <c r="BT18" s="235" t="inlineStr">
        <is>
          <t>/</t>
        </is>
      </c>
      <c r="BU18" s="250" t="inlineStr">
        <is>
          <t>1、甲方捐赠：35万/年，分组作业未分摊，服务费已包含；
2、采购费：1.35万/年，分组作业未分摊，服务费已包含；</t>
        </is>
      </c>
      <c r="BV18" s="230" t="inlineStr">
        <is>
          <t xml:space="preserve">
1、签订期间：2026.2.25-2026.7.19；
2、指标按照全年换算；
</t>
        </is>
      </c>
      <c r="BW18" s="534" t="n"/>
    </row>
    <row r="19" ht="16.5" customFormat="1" customHeight="1" s="209">
      <c r="A19" s="219" t="n">
        <v>22</v>
      </c>
      <c r="B19" s="220" t="inlineStr">
        <is>
          <t>KQCY0022</t>
        </is>
      </c>
      <c r="C19" s="221" t="inlineStr">
        <is>
          <t>餐饮一分部</t>
        </is>
      </c>
      <c r="D19" s="221" t="inlineStr">
        <is>
          <t>CF272</t>
        </is>
      </c>
      <c r="E19" s="242" t="inlineStr">
        <is>
          <t>苏州工学院南一食堂</t>
        </is>
      </c>
      <c r="F19" s="219" t="inlineStr">
        <is>
          <t>强责</t>
        </is>
      </c>
      <c r="G19" s="243" t="inlineStr">
        <is>
          <t>郑虎</t>
        </is>
      </c>
      <c r="H19" s="503" t="inlineStr">
        <is>
          <t>/</t>
        </is>
      </c>
      <c r="I19" s="237" t="inlineStr">
        <is>
          <t>黑鸭堡</t>
        </is>
      </c>
      <c r="J19" s="503" t="inlineStr">
        <is>
          <t>张郁磊</t>
        </is>
      </c>
      <c r="K19" s="545">
        <f>LET(k,D19&amp;"|"&amp;E19&amp;"|"&amp;H19&amp;"|"&amp;I19&amp;"|"&amp;J19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9" s="546" t="n"/>
      <c r="M19" s="224" t="n"/>
      <c r="N19" s="246" t="n">
        <v>0</v>
      </c>
      <c r="O19" s="548" t="n">
        <v>290000</v>
      </c>
      <c r="P19" s="247" t="n">
        <v>0.08</v>
      </c>
      <c r="Q19" s="461">
        <f>K19*P19</f>
        <v/>
      </c>
      <c r="R19" s="248" t="n">
        <v>75.84</v>
      </c>
      <c r="S19" s="461">
        <f>Q19-R19</f>
        <v/>
      </c>
      <c r="T19" s="235" t="n">
        <v>0</v>
      </c>
      <c r="U19" s="461">
        <f>K19*T19</f>
        <v/>
      </c>
      <c r="V19" s="461" t="n"/>
      <c r="W19" s="461">
        <f>U19-V19</f>
        <v/>
      </c>
      <c r="X19" s="235" t="n">
        <v>0</v>
      </c>
      <c r="Y19" s="461">
        <f>K19*X19</f>
        <v/>
      </c>
      <c r="Z19" s="461" t="n"/>
      <c r="AA19" s="461">
        <f>Y19-Z19</f>
        <v/>
      </c>
      <c r="AB19" s="247" t="n">
        <v>0.065</v>
      </c>
      <c r="AC19" s="461">
        <f>K19*AB19</f>
        <v/>
      </c>
      <c r="AD19" s="248" t="n">
        <v>61.62</v>
      </c>
      <c r="AE19" s="249">
        <f>AC19-AD19</f>
        <v/>
      </c>
      <c r="AF19" s="247" t="n">
        <v>0.02</v>
      </c>
      <c r="AG19" s="461">
        <f>K19*AF19</f>
        <v/>
      </c>
      <c r="AH19" s="248" t="n">
        <v>18.96</v>
      </c>
      <c r="AI19" s="461">
        <f>AG19-AH19</f>
        <v/>
      </c>
      <c r="AJ19" s="247" t="n">
        <v>0.035</v>
      </c>
      <c r="AK19" s="461">
        <f>K19*AJ19</f>
        <v/>
      </c>
      <c r="AL19" s="248" t="n">
        <v>33.18</v>
      </c>
      <c r="AM19" s="249">
        <f>AK19-AL19</f>
        <v/>
      </c>
      <c r="AN19" s="235" t="n">
        <v>0</v>
      </c>
      <c r="AO19" s="461">
        <f>K19*AN19</f>
        <v/>
      </c>
      <c r="AP19" s="461" t="n"/>
      <c r="AQ19" s="461">
        <f>AO19-AP19</f>
        <v/>
      </c>
      <c r="AR19" s="235" t="n">
        <v>0.03</v>
      </c>
      <c r="AS19" s="461">
        <f>K19*AR19</f>
        <v/>
      </c>
      <c r="AT19" s="248" t="n">
        <v>28.44</v>
      </c>
      <c r="AU19" s="461">
        <f>AS19-AT19</f>
        <v/>
      </c>
      <c r="AV19" s="235" t="n">
        <v>0.06</v>
      </c>
      <c r="AW19" s="461">
        <f>K19*AV19</f>
        <v/>
      </c>
      <c r="AX19" s="248" t="n">
        <v>56.88</v>
      </c>
      <c r="AY19" s="461">
        <f>AW19-AX19</f>
        <v/>
      </c>
      <c r="AZ19" s="227" t="inlineStr">
        <is>
          <t>按实</t>
        </is>
      </c>
      <c r="BA19" s="461">
        <f>BB19</f>
        <v/>
      </c>
      <c r="BB19" s="461" t="n"/>
      <c r="BC19" s="461">
        <f>BA19-BB19</f>
        <v/>
      </c>
      <c r="BD19" s="235" t="inlineStr">
        <is>
          <t>按实</t>
        </is>
      </c>
      <c r="BE19" s="461">
        <f>BF19</f>
        <v/>
      </c>
      <c r="BF19" s="461" t="n"/>
      <c r="BG19" s="461">
        <f>BE19-BF19</f>
        <v/>
      </c>
      <c r="BH19" s="235" t="inlineStr">
        <is>
          <t>按实</t>
        </is>
      </c>
      <c r="BI19" s="461">
        <f>BJ19</f>
        <v/>
      </c>
      <c r="BJ19" s="461" t="n"/>
      <c r="BK19" s="461">
        <f>BI19-BJ19</f>
        <v/>
      </c>
      <c r="BL19" s="235" t="inlineStr">
        <is>
          <t>按实</t>
        </is>
      </c>
      <c r="BM19" s="220">
        <f>BN19</f>
        <v/>
      </c>
      <c r="BN19" s="220" t="n"/>
      <c r="BO19" s="220">
        <f>BM19-BN19</f>
        <v/>
      </c>
      <c r="BP19" s="220">
        <f>N19+Q19+U19+Y19+AC19+AG19+AK19+AO19+AS19+AW19+BA19+BE19+BI19+BM19</f>
        <v/>
      </c>
      <c r="BQ19" s="220">
        <f>N19+R19+V19+Z19+AD19+AH19+AL19+AP19+AT19+AX19+BB19+BF19+BJ19+BN19</f>
        <v/>
      </c>
      <c r="BR19" s="220">
        <f>BP19-BQ19</f>
        <v/>
      </c>
      <c r="BS19" s="247" t="inlineStr">
        <is>
          <t>/</t>
        </is>
      </c>
      <c r="BT19" s="235" t="inlineStr">
        <is>
          <t>/</t>
        </is>
      </c>
      <c r="BU19" s="250" t="inlineStr">
        <is>
          <t>1、甲方捐赠：35万/年，分组作业未分摊，服务费已包含；
2、采购费：1.35万/年，分组作业未分摊，服务费已包含；</t>
        </is>
      </c>
      <c r="BV19" s="230" t="inlineStr">
        <is>
          <t xml:space="preserve">
1、签订期间：2026.2.25-2026.7.19；
2、指标按照全年换算；
</t>
        </is>
      </c>
      <c r="BW19" s="534" t="n"/>
    </row>
    <row r="20" ht="16.5" customFormat="1" customHeight="1" s="209">
      <c r="A20" s="219" t="n">
        <v>23</v>
      </c>
      <c r="B20" s="220" t="inlineStr">
        <is>
          <t>KQCY0023</t>
        </is>
      </c>
      <c r="C20" s="221" t="inlineStr">
        <is>
          <t>餐饮一分部</t>
        </is>
      </c>
      <c r="D20" s="221" t="inlineStr">
        <is>
          <t>CF272</t>
        </is>
      </c>
      <c r="E20" s="242" t="inlineStr">
        <is>
          <t>苏州工学院南一食堂</t>
        </is>
      </c>
      <c r="F20" s="219" t="inlineStr">
        <is>
          <t>强责</t>
        </is>
      </c>
      <c r="G20" s="243" t="inlineStr">
        <is>
          <t>郑虎</t>
        </is>
      </c>
      <c r="H20" s="503" t="inlineStr">
        <is>
          <t>/</t>
        </is>
      </c>
      <c r="I20" s="237" t="inlineStr">
        <is>
          <t>7分甜</t>
        </is>
      </c>
      <c r="J20" s="503" t="inlineStr">
        <is>
          <t>纪洪强</t>
        </is>
      </c>
      <c r="K20" s="545">
        <f>LET(k,D20&amp;"|"&amp;E20&amp;"|"&amp;H20&amp;"|"&amp;I20&amp;"|"&amp;J20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0" s="546" t="n"/>
      <c r="M20" s="224" t="n"/>
      <c r="N20" s="246" t="n">
        <v>1698.59</v>
      </c>
      <c r="O20" s="548" t="n">
        <v>222000</v>
      </c>
      <c r="P20" s="235" t="n">
        <v>0</v>
      </c>
      <c r="Q20" s="461">
        <f>K20*P20</f>
        <v/>
      </c>
      <c r="R20" s="248" t="n">
        <v>0</v>
      </c>
      <c r="S20" s="461">
        <f>Q20-R20</f>
        <v/>
      </c>
      <c r="T20" s="235" t="n">
        <v>0</v>
      </c>
      <c r="U20" s="461">
        <f>K20*T20</f>
        <v/>
      </c>
      <c r="V20" s="461" t="n"/>
      <c r="W20" s="461">
        <f>U20-V20</f>
        <v/>
      </c>
      <c r="X20" s="235" t="n">
        <v>0</v>
      </c>
      <c r="Y20" s="461">
        <f>K20*X20</f>
        <v/>
      </c>
      <c r="Z20" s="461" t="n"/>
      <c r="AA20" s="461">
        <f>Y20-Z20</f>
        <v/>
      </c>
      <c r="AB20" s="235" t="n">
        <v>0</v>
      </c>
      <c r="AC20" s="461">
        <f>K20*AB20</f>
        <v/>
      </c>
      <c r="AD20" s="248" t="n">
        <v>0</v>
      </c>
      <c r="AE20" s="249">
        <f>AC20-AD20</f>
        <v/>
      </c>
      <c r="AF20" s="235" t="n">
        <v>0</v>
      </c>
      <c r="AG20" s="461">
        <f>K20*AF20</f>
        <v/>
      </c>
      <c r="AH20" s="248" t="n">
        <v>0</v>
      </c>
      <c r="AI20" s="461">
        <f>AG20-AH20</f>
        <v/>
      </c>
      <c r="AJ20" s="235" t="n">
        <v>0</v>
      </c>
      <c r="AK20" s="461">
        <f>K20*AJ20</f>
        <v/>
      </c>
      <c r="AL20" s="248" t="n">
        <v>0</v>
      </c>
      <c r="AM20" s="249">
        <f>AK20-AL20</f>
        <v/>
      </c>
      <c r="AN20" s="235" t="n">
        <v>0</v>
      </c>
      <c r="AO20" s="461">
        <f>K20*AN20</f>
        <v/>
      </c>
      <c r="AP20" s="461" t="n"/>
      <c r="AQ20" s="461">
        <f>AO20-AP20</f>
        <v/>
      </c>
      <c r="AR20" s="235" t="n">
        <v>0</v>
      </c>
      <c r="AS20" s="461">
        <f>K20*AR20</f>
        <v/>
      </c>
      <c r="AT20" s="248" t="n">
        <v>0</v>
      </c>
      <c r="AU20" s="461">
        <f>AS20-AT20</f>
        <v/>
      </c>
      <c r="AV20" s="551" t="inlineStr">
        <is>
          <t>按实</t>
        </is>
      </c>
      <c r="AW20" s="461" t="n">
        <v>522.28</v>
      </c>
      <c r="AX20" s="248" t="n">
        <v>522.28</v>
      </c>
      <c r="AY20" s="461">
        <f>AW20-AX20</f>
        <v/>
      </c>
      <c r="AZ20" s="227" t="inlineStr">
        <is>
          <t>按实</t>
        </is>
      </c>
      <c r="BA20" s="461">
        <f>BB20</f>
        <v/>
      </c>
      <c r="BB20" s="461" t="n"/>
      <c r="BC20" s="461">
        <f>BA20-BB20</f>
        <v/>
      </c>
      <c r="BD20" s="235" t="inlineStr">
        <is>
          <t>按实</t>
        </is>
      </c>
      <c r="BE20" s="461">
        <f>BF20</f>
        <v/>
      </c>
      <c r="BF20" s="461" t="n"/>
      <c r="BG20" s="461">
        <f>BE20-BF20</f>
        <v/>
      </c>
      <c r="BH20" s="235" t="inlineStr">
        <is>
          <t>按实</t>
        </is>
      </c>
      <c r="BI20" s="461">
        <f>BJ20</f>
        <v/>
      </c>
      <c r="BJ20" s="461" t="n"/>
      <c r="BK20" s="461">
        <f>BI20-BJ20</f>
        <v/>
      </c>
      <c r="BL20" s="235" t="inlineStr">
        <is>
          <t>按实</t>
        </is>
      </c>
      <c r="BM20" s="220">
        <f>BN20</f>
        <v/>
      </c>
      <c r="BN20" s="220" t="n"/>
      <c r="BO20" s="220">
        <f>BM20-BN20</f>
        <v/>
      </c>
      <c r="BP20" s="220">
        <f>N20+Q20+U20+Y20+AC20+AG20+AK20+AO20+AS20+AW20+BA20+BE20+BI20+BM20</f>
        <v/>
      </c>
      <c r="BQ20" s="220">
        <f>N20+R20+V20+Z20+AD20+AH20+AL20+AP20+AT20+AX20+BB20+BF20+BJ20+BN20</f>
        <v/>
      </c>
      <c r="BR20" s="220">
        <f>BP20-BQ20</f>
        <v/>
      </c>
      <c r="BS20" s="247" t="inlineStr">
        <is>
          <t>/</t>
        </is>
      </c>
      <c r="BT20" s="235" t="inlineStr">
        <is>
          <t>/</t>
        </is>
      </c>
      <c r="BU20" s="250" t="inlineStr">
        <is>
          <t>1、甲方捐赠：35万/年，分组作业未分摊，服务费已包含；
2、采购费：1.35万/年，分组作业未分摊，服务费已包含；</t>
        </is>
      </c>
      <c r="BV20" s="230" t="inlineStr">
        <is>
          <t xml:space="preserve">
1、签订期间：2026.2.25-2026.7.19；
2、指标按照全年换算；
</t>
        </is>
      </c>
      <c r="BW20" s="534" t="n"/>
    </row>
    <row r="21" ht="16.5" customFormat="1" customHeight="1" s="209">
      <c r="A21" s="219" t="n">
        <v>24</v>
      </c>
      <c r="B21" s="220" t="inlineStr">
        <is>
          <t>KQCY0024</t>
        </is>
      </c>
      <c r="C21" s="221" t="inlineStr">
        <is>
          <t>餐饮一分部</t>
        </is>
      </c>
      <c r="D21" s="221" t="inlineStr">
        <is>
          <t>CF272</t>
        </is>
      </c>
      <c r="E21" s="242" t="inlineStr">
        <is>
          <t>苏州工学院南一食堂</t>
        </is>
      </c>
      <c r="F21" s="219" t="inlineStr">
        <is>
          <t>强责</t>
        </is>
      </c>
      <c r="G21" s="243" t="inlineStr">
        <is>
          <t>郑虎</t>
        </is>
      </c>
      <c r="H21" s="503" t="inlineStr">
        <is>
          <t>/</t>
        </is>
      </c>
      <c r="I21" s="237" t="inlineStr">
        <is>
          <t>药膳鸡</t>
        </is>
      </c>
      <c r="J21" s="503" t="inlineStr">
        <is>
          <t>匡正娟</t>
        </is>
      </c>
      <c r="K21" s="545">
        <f>LET(k,D21&amp;"|"&amp;E21&amp;"|"&amp;H21&amp;"|"&amp;I21&amp;"|"&amp;J21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1" s="546" t="n"/>
      <c r="M21" s="224" t="n"/>
      <c r="N21" s="246" t="n">
        <v>1698.59</v>
      </c>
      <c r="O21" s="548" t="n">
        <v>234000</v>
      </c>
      <c r="P21" s="235" t="inlineStr">
        <is>
          <t>房租4万元/学期，3月一次性付款</t>
        </is>
      </c>
      <c r="Q21" s="461">
        <f>R21</f>
        <v/>
      </c>
      <c r="R21" s="248" t="n">
        <v>0</v>
      </c>
      <c r="S21" s="461">
        <f>Q21-R21</f>
        <v/>
      </c>
      <c r="T21" s="235" t="n">
        <v>0</v>
      </c>
      <c r="U21" s="461">
        <f>K21*T21</f>
        <v/>
      </c>
      <c r="V21" s="461" t="n"/>
      <c r="W21" s="461">
        <f>U21-V21</f>
        <v/>
      </c>
      <c r="X21" s="235" t="n">
        <v>0</v>
      </c>
      <c r="Y21" s="461">
        <f>K21*X21</f>
        <v/>
      </c>
      <c r="Z21" s="461" t="n"/>
      <c r="AA21" s="461">
        <f>Y21-Z21</f>
        <v/>
      </c>
      <c r="AB21" s="235" t="n">
        <v>0</v>
      </c>
      <c r="AC21" s="461">
        <f>K21*AB21</f>
        <v/>
      </c>
      <c r="AD21" s="248" t="n">
        <v>0</v>
      </c>
      <c r="AE21" s="249">
        <f>AC21-AD21</f>
        <v/>
      </c>
      <c r="AF21" s="235" t="n">
        <v>0</v>
      </c>
      <c r="AG21" s="461">
        <f>K21*AF21</f>
        <v/>
      </c>
      <c r="AH21" s="248" t="n">
        <v>0</v>
      </c>
      <c r="AI21" s="461">
        <f>AG21-AH21</f>
        <v/>
      </c>
      <c r="AJ21" s="235" t="n">
        <v>0</v>
      </c>
      <c r="AK21" s="461">
        <f>K21*AJ21</f>
        <v/>
      </c>
      <c r="AL21" s="248" t="n">
        <v>0</v>
      </c>
      <c r="AM21" s="249">
        <f>AK21-AL21</f>
        <v/>
      </c>
      <c r="AN21" s="235" t="n">
        <v>0</v>
      </c>
      <c r="AO21" s="461">
        <f>K21*AN21</f>
        <v/>
      </c>
      <c r="AP21" s="461" t="n"/>
      <c r="AQ21" s="461">
        <f>AO21-AP21</f>
        <v/>
      </c>
      <c r="AR21" s="552" t="n">
        <v>0.025</v>
      </c>
      <c r="AS21" s="461">
        <f>K21*AR21</f>
        <v/>
      </c>
      <c r="AT21" s="248" t="n">
        <v>342.4</v>
      </c>
      <c r="AU21" s="461">
        <f>AS21-AT21</f>
        <v/>
      </c>
      <c r="AV21" s="552" t="n">
        <v>0.055</v>
      </c>
      <c r="AW21" s="461">
        <f>K21*AV21</f>
        <v/>
      </c>
      <c r="AX21" s="248" t="n">
        <v>753.28</v>
      </c>
      <c r="AY21" s="461">
        <f>AW21-AX21</f>
        <v/>
      </c>
      <c r="AZ21" s="227" t="inlineStr">
        <is>
          <t>按实</t>
        </is>
      </c>
      <c r="BA21" s="461">
        <f>BB21</f>
        <v/>
      </c>
      <c r="BB21" s="461" t="n"/>
      <c r="BC21" s="461">
        <f>BA21-BB21</f>
        <v/>
      </c>
      <c r="BD21" s="235" t="inlineStr">
        <is>
          <t>按实</t>
        </is>
      </c>
      <c r="BE21" s="461">
        <f>BF21</f>
        <v/>
      </c>
      <c r="BF21" s="461" t="n"/>
      <c r="BG21" s="461">
        <f>BE21-BF21</f>
        <v/>
      </c>
      <c r="BH21" s="235" t="inlineStr">
        <is>
          <t>按实</t>
        </is>
      </c>
      <c r="BI21" s="461">
        <f>BJ21</f>
        <v/>
      </c>
      <c r="BJ21" s="461" t="n"/>
      <c r="BK21" s="461">
        <f>BI21-BJ21</f>
        <v/>
      </c>
      <c r="BL21" s="235" t="inlineStr">
        <is>
          <t>按实</t>
        </is>
      </c>
      <c r="BM21" s="220">
        <f>BN21</f>
        <v/>
      </c>
      <c r="BN21" s="220" t="n"/>
      <c r="BO21" s="220">
        <f>BM21-BN21</f>
        <v/>
      </c>
      <c r="BP21" s="220">
        <f>N21+Q21+U21+Y21+AC21+AG21+AK21+AO21+AS21+AW21+BA21+BE21+BI21+BM21</f>
        <v/>
      </c>
      <c r="BQ21" s="220">
        <f>N21+R21+V21+Z21+AD21+AH21+AL21+AP21+AT21+AX21+BB21+BF21+BJ21+BN21</f>
        <v/>
      </c>
      <c r="BR21" s="220">
        <f>BP21-BQ21</f>
        <v/>
      </c>
      <c r="BS21" s="247" t="inlineStr">
        <is>
          <t>/</t>
        </is>
      </c>
      <c r="BT21" s="235" t="inlineStr">
        <is>
          <t>/</t>
        </is>
      </c>
      <c r="BU21" s="250" t="inlineStr">
        <is>
          <t>1、甲方捐赠：35万/年，分组作业未分摊，服务费已包含；
2、采购费：1.35万/年，分组作业未分摊，服务费已包含；</t>
        </is>
      </c>
      <c r="BV21" s="230" t="inlineStr">
        <is>
          <t xml:space="preserve">
1、签订期间：2026.2.25-2026.7.19；
2、指标按照全年换算；
</t>
        </is>
      </c>
      <c r="BW21" s="534" t="n"/>
    </row>
    <row r="22" ht="16.5" customFormat="1" customHeight="1" s="209">
      <c r="A22" s="219" t="n">
        <v>25</v>
      </c>
      <c r="B22" s="220" t="inlineStr">
        <is>
          <t>KQCY0025</t>
        </is>
      </c>
      <c r="C22" s="221" t="inlineStr">
        <is>
          <t>餐饮一分部</t>
        </is>
      </c>
      <c r="D22" s="221" t="inlineStr">
        <is>
          <t>CF272</t>
        </is>
      </c>
      <c r="E22" s="242" t="inlineStr">
        <is>
          <t>苏州工学院南一食堂</t>
        </is>
      </c>
      <c r="F22" s="219" t="inlineStr">
        <is>
          <t>强责</t>
        </is>
      </c>
      <c r="G22" s="243" t="inlineStr">
        <is>
          <t>郑虎</t>
        </is>
      </c>
      <c r="H22" s="503" t="inlineStr">
        <is>
          <t>/</t>
        </is>
      </c>
      <c r="I22" s="237" t="inlineStr">
        <is>
          <t>麻辣香锅</t>
        </is>
      </c>
      <c r="J22" s="503" t="inlineStr">
        <is>
          <t>纪洪强</t>
        </is>
      </c>
      <c r="K22" s="545">
        <f>LET(k,D22&amp;"|"&amp;E22&amp;"|"&amp;H22&amp;"|"&amp;I22&amp;"|"&amp;J22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2" s="546" t="n"/>
      <c r="M22" s="224" t="n"/>
      <c r="N22" s="246" t="n">
        <v>1698.59</v>
      </c>
      <c r="O22" s="548" t="n">
        <v>514000</v>
      </c>
      <c r="P22" s="247" t="n">
        <v>0.08</v>
      </c>
      <c r="Q22" s="461">
        <f>K22*P22</f>
        <v/>
      </c>
      <c r="R22" s="248" t="n">
        <v>1575.776</v>
      </c>
      <c r="S22" s="461">
        <f>Q22-R22</f>
        <v/>
      </c>
      <c r="T22" s="235" t="n">
        <v>0</v>
      </c>
      <c r="U22" s="461">
        <f>K22*T22</f>
        <v/>
      </c>
      <c r="V22" s="461" t="n"/>
      <c r="W22" s="461">
        <f>U22-V22</f>
        <v/>
      </c>
      <c r="X22" s="235" t="n">
        <v>0</v>
      </c>
      <c r="Y22" s="461">
        <f>K22*X22</f>
        <v/>
      </c>
      <c r="Z22" s="461" t="n"/>
      <c r="AA22" s="461">
        <f>Y22-Z22</f>
        <v/>
      </c>
      <c r="AB22" s="247" t="n">
        <v>0.065</v>
      </c>
      <c r="AC22" s="461">
        <f>K22*AB22</f>
        <v/>
      </c>
      <c r="AD22" s="248" t="n">
        <v>1280.318</v>
      </c>
      <c r="AE22" s="249">
        <f>AC22-AD22</f>
        <v/>
      </c>
      <c r="AF22" s="247" t="n">
        <v>0.02</v>
      </c>
      <c r="AG22" s="461">
        <f>K22*AF22</f>
        <v/>
      </c>
      <c r="AH22" s="248" t="n">
        <v>393.944</v>
      </c>
      <c r="AI22" s="461">
        <f>AG22-AH22</f>
        <v/>
      </c>
      <c r="AJ22" s="247" t="n">
        <v>0.035</v>
      </c>
      <c r="AK22" s="461">
        <f>K22*AJ22</f>
        <v/>
      </c>
      <c r="AL22" s="248" t="n">
        <v>689.402</v>
      </c>
      <c r="AM22" s="249">
        <f>AK22-AL22</f>
        <v/>
      </c>
      <c r="AN22" s="235" t="n">
        <v>0</v>
      </c>
      <c r="AO22" s="461">
        <f>K22*AN22</f>
        <v/>
      </c>
      <c r="AP22" s="461" t="n"/>
      <c r="AQ22" s="461">
        <f>AO22-AP22</f>
        <v/>
      </c>
      <c r="AR22" s="247" t="n">
        <v>0.03</v>
      </c>
      <c r="AS22" s="461">
        <f>K22*AR22</f>
        <v/>
      </c>
      <c r="AT22" s="248" t="n">
        <v>590.9160000000001</v>
      </c>
      <c r="AU22" s="461">
        <f>AS22-AT22</f>
        <v/>
      </c>
      <c r="AV22" s="247" t="n">
        <v>0.06</v>
      </c>
      <c r="AW22" s="461">
        <f>K22*AV22</f>
        <v/>
      </c>
      <c r="AX22" s="248" t="n">
        <v>1181.832</v>
      </c>
      <c r="AY22" s="461">
        <f>AW22-AX22</f>
        <v/>
      </c>
      <c r="AZ22" s="227" t="inlineStr">
        <is>
          <t>按实</t>
        </is>
      </c>
      <c r="BA22" s="461">
        <f>BB22</f>
        <v/>
      </c>
      <c r="BB22" s="461" t="n"/>
      <c r="BC22" s="461">
        <f>BA22-BB22</f>
        <v/>
      </c>
      <c r="BD22" s="235" t="inlineStr">
        <is>
          <t>按实</t>
        </is>
      </c>
      <c r="BE22" s="461">
        <f>BF22</f>
        <v/>
      </c>
      <c r="BF22" s="461" t="n"/>
      <c r="BG22" s="461">
        <f>BE22-BF22</f>
        <v/>
      </c>
      <c r="BH22" s="235" t="inlineStr">
        <is>
          <t>按实</t>
        </is>
      </c>
      <c r="BI22" s="461">
        <f>BJ22</f>
        <v/>
      </c>
      <c r="BJ22" s="461" t="n"/>
      <c r="BK22" s="461">
        <f>BI22-BJ22</f>
        <v/>
      </c>
      <c r="BL22" s="235" t="inlineStr">
        <is>
          <t>按实</t>
        </is>
      </c>
      <c r="BM22" s="220">
        <f>BN22</f>
        <v/>
      </c>
      <c r="BN22" s="220" t="n"/>
      <c r="BO22" s="220">
        <f>BM22-BN22</f>
        <v/>
      </c>
      <c r="BP22" s="220">
        <f>N22+Q22+U22+Y22+AC22+AG22+AK22+AO22+AS22+AW22+BA22+BE22+BI22+BM22</f>
        <v/>
      </c>
      <c r="BQ22" s="220">
        <f>N22+R22+V22+Z22+AD22+AH22+AL22+AP22+AT22+AX22+BB22+BF22+BJ22+BN22</f>
        <v/>
      </c>
      <c r="BR22" s="220">
        <f>BP22-BQ22</f>
        <v/>
      </c>
      <c r="BS22" s="247" t="inlineStr">
        <is>
          <t>/</t>
        </is>
      </c>
      <c r="BT22" s="235" t="inlineStr">
        <is>
          <t>/</t>
        </is>
      </c>
      <c r="BU22" s="250" t="inlineStr">
        <is>
          <t>1、甲方捐赠：35万/年，分组作业未分摊，服务费已包含；
2、采购费：1.35万/年，分组作业未分摊，服务费已包含；</t>
        </is>
      </c>
      <c r="BV22" s="230" t="inlineStr">
        <is>
          <t xml:space="preserve">
1、签订期间：2026.2.25-2026.7.19；
2、指标按照全年换算；
</t>
        </is>
      </c>
      <c r="BW22" s="534" t="n"/>
    </row>
    <row r="23" ht="16.5" customFormat="1" customHeight="1" s="209">
      <c r="A23" s="219" t="n">
        <v>26</v>
      </c>
      <c r="B23" s="220" t="inlineStr">
        <is>
          <t>KQCY0026</t>
        </is>
      </c>
      <c r="C23" s="221" t="inlineStr">
        <is>
          <t>餐饮一分部</t>
        </is>
      </c>
      <c r="D23" s="221" t="inlineStr">
        <is>
          <t>CF272</t>
        </is>
      </c>
      <c r="E23" s="242" t="inlineStr">
        <is>
          <t>苏州工学院南一食堂</t>
        </is>
      </c>
      <c r="F23" s="219" t="inlineStr">
        <is>
          <t>强责</t>
        </is>
      </c>
      <c r="G23" s="243" t="inlineStr">
        <is>
          <t>郑虎</t>
        </is>
      </c>
      <c r="H23" s="503" t="inlineStr">
        <is>
          <t>/</t>
        </is>
      </c>
      <c r="I23" s="237" t="inlineStr">
        <is>
          <t>生煎牛肉汤</t>
        </is>
      </c>
      <c r="J23" s="503" t="inlineStr">
        <is>
          <t>徐雪晗</t>
        </is>
      </c>
      <c r="K23" s="545">
        <f>LET(k,D23&amp;"|"&amp;E23&amp;"|"&amp;H23&amp;"|"&amp;I23&amp;"|"&amp;J23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3" s="546" t="n"/>
      <c r="M23" s="224" t="n"/>
      <c r="N23" s="246" t="n">
        <v>2956.4</v>
      </c>
      <c r="O23" s="548" t="n">
        <v>316000</v>
      </c>
      <c r="P23" s="247" t="n">
        <v>0.08</v>
      </c>
      <c r="Q23" s="461">
        <f>K23*P23</f>
        <v/>
      </c>
      <c r="R23" s="248" t="n">
        <v>509.56</v>
      </c>
      <c r="S23" s="461">
        <f>Q23-R23</f>
        <v/>
      </c>
      <c r="T23" s="235" t="n">
        <v>0</v>
      </c>
      <c r="U23" s="461">
        <f>K23*T23</f>
        <v/>
      </c>
      <c r="V23" s="461" t="n"/>
      <c r="W23" s="461">
        <f>U23-V23</f>
        <v/>
      </c>
      <c r="X23" s="235" t="n">
        <v>0</v>
      </c>
      <c r="Y23" s="461">
        <f>K23*X23</f>
        <v/>
      </c>
      <c r="Z23" s="461" t="n"/>
      <c r="AA23" s="461">
        <f>Y23-Z23</f>
        <v/>
      </c>
      <c r="AB23" s="247" t="n">
        <v>0.065</v>
      </c>
      <c r="AC23" s="461">
        <f>K23*AB23</f>
        <v/>
      </c>
      <c r="AD23" s="248" t="n">
        <v>414.0175</v>
      </c>
      <c r="AE23" s="249">
        <f>AC23-AD23</f>
        <v/>
      </c>
      <c r="AF23" s="247" t="n">
        <v>0.02</v>
      </c>
      <c r="AG23" s="461">
        <f>K23*AF23</f>
        <v/>
      </c>
      <c r="AH23" s="248" t="n">
        <v>127.39</v>
      </c>
      <c r="AI23" s="461">
        <f>AG23-AH23</f>
        <v/>
      </c>
      <c r="AJ23" s="247" t="n">
        <v>0.035</v>
      </c>
      <c r="AK23" s="461">
        <f>K23*AJ23</f>
        <v/>
      </c>
      <c r="AL23" s="248" t="n">
        <v>222.9325</v>
      </c>
      <c r="AM23" s="249">
        <f>AK23-AL23</f>
        <v/>
      </c>
      <c r="AN23" s="235" t="n">
        <v>0</v>
      </c>
      <c r="AO23" s="461">
        <f>K23*AN23</f>
        <v/>
      </c>
      <c r="AP23" s="461" t="n"/>
      <c r="AQ23" s="461">
        <f>AO23-AP23</f>
        <v/>
      </c>
      <c r="AR23" s="247" t="n">
        <v>0.03</v>
      </c>
      <c r="AS23" s="461">
        <f>K23*AR23</f>
        <v/>
      </c>
      <c r="AT23" s="248" t="n">
        <v>191.085</v>
      </c>
      <c r="AU23" s="461">
        <f>AS23-AT23</f>
        <v/>
      </c>
      <c r="AV23" s="247" t="n">
        <v>0.06</v>
      </c>
      <c r="AW23" s="461">
        <f>K23*AV23</f>
        <v/>
      </c>
      <c r="AX23" s="248" t="n">
        <v>382.17</v>
      </c>
      <c r="AY23" s="461">
        <f>AW23-AX23</f>
        <v/>
      </c>
      <c r="AZ23" s="227" t="inlineStr">
        <is>
          <t>按实</t>
        </is>
      </c>
      <c r="BA23" s="461">
        <f>BB23</f>
        <v/>
      </c>
      <c r="BB23" s="461" t="n"/>
      <c r="BC23" s="461">
        <f>BA23-BB23</f>
        <v/>
      </c>
      <c r="BD23" s="235" t="inlineStr">
        <is>
          <t>按实</t>
        </is>
      </c>
      <c r="BE23" s="461">
        <f>BF23</f>
        <v/>
      </c>
      <c r="BF23" s="461" t="n"/>
      <c r="BG23" s="461">
        <f>BE23-BF23</f>
        <v/>
      </c>
      <c r="BH23" s="235" t="inlineStr">
        <is>
          <t>按实</t>
        </is>
      </c>
      <c r="BI23" s="461">
        <f>BJ23</f>
        <v/>
      </c>
      <c r="BJ23" s="461" t="n"/>
      <c r="BK23" s="461">
        <f>BI23-BJ23</f>
        <v/>
      </c>
      <c r="BL23" s="235" t="inlineStr">
        <is>
          <t>按实</t>
        </is>
      </c>
      <c r="BM23" s="220">
        <f>BN23</f>
        <v/>
      </c>
      <c r="BN23" s="220" t="n"/>
      <c r="BO23" s="220">
        <f>BM23-BN23</f>
        <v/>
      </c>
      <c r="BP23" s="220">
        <f>N23+Q23+U23+Y23+AC23+AG23+AK23+AO23+AS23+AW23+BA23+BE23+BI23+BM23</f>
        <v/>
      </c>
      <c r="BQ23" s="220">
        <f>N23+R23+V23+Z23+AD23+AH23+AL23+AP23+AT23+AX23+BB23+BF23+BJ23+BN23</f>
        <v/>
      </c>
      <c r="BR23" s="220">
        <f>BP23-BQ23</f>
        <v/>
      </c>
      <c r="BS23" s="247" t="inlineStr">
        <is>
          <t>/</t>
        </is>
      </c>
      <c r="BT23" s="235" t="inlineStr">
        <is>
          <t>/</t>
        </is>
      </c>
      <c r="BU23" s="250" t="inlineStr">
        <is>
          <t>1、甲方捐赠：35万/年，分组作业未分摊，服务费已包含；
2、采购费：1.35万/年，分组作业未分摊，服务费已包含；</t>
        </is>
      </c>
      <c r="BV23" s="230" t="inlineStr">
        <is>
          <t xml:space="preserve">
1、签订期间：2026.2.25-2026.7.19；
2、指标按照全年换算；
</t>
        </is>
      </c>
      <c r="BW23" s="534" t="n"/>
    </row>
    <row r="24" ht="16.5" customFormat="1" customHeight="1" s="209">
      <c r="A24" s="219" t="n">
        <v>27</v>
      </c>
      <c r="B24" s="220" t="inlineStr">
        <is>
          <t>KQCY0027</t>
        </is>
      </c>
      <c r="C24" s="221" t="inlineStr">
        <is>
          <t>餐饮一分部</t>
        </is>
      </c>
      <c r="D24" s="221" t="inlineStr">
        <is>
          <t>CF272</t>
        </is>
      </c>
      <c r="E24" s="242" t="inlineStr">
        <is>
          <t>苏州工学院南一食堂</t>
        </is>
      </c>
      <c r="F24" s="219" t="inlineStr">
        <is>
          <t>强责</t>
        </is>
      </c>
      <c r="G24" s="243" t="inlineStr">
        <is>
          <t>郑虎</t>
        </is>
      </c>
      <c r="H24" s="503" t="inlineStr">
        <is>
          <t>/</t>
        </is>
      </c>
      <c r="I24" s="237" t="inlineStr">
        <is>
          <t>西式简餐</t>
        </is>
      </c>
      <c r="J24" s="503" t="inlineStr">
        <is>
          <t>李明发</t>
        </is>
      </c>
      <c r="K24" s="545">
        <f>LET(k,D24&amp;"|"&amp;E24&amp;"|"&amp;H24&amp;"|"&amp;I24&amp;"|"&amp;J24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4" s="546" t="n"/>
      <c r="M24" s="224" t="n"/>
      <c r="N24" s="246" t="n">
        <v>1698.59</v>
      </c>
      <c r="O24" s="548" t="n">
        <v>310000</v>
      </c>
      <c r="P24" s="247" t="n">
        <v>0.08</v>
      </c>
      <c r="Q24" s="461">
        <f>K24*P24</f>
        <v/>
      </c>
      <c r="R24" s="248" t="n">
        <v>445.12</v>
      </c>
      <c r="S24" s="461">
        <f>Q24-R24</f>
        <v/>
      </c>
      <c r="T24" s="235" t="n">
        <v>0</v>
      </c>
      <c r="U24" s="461">
        <f>K24*T24</f>
        <v/>
      </c>
      <c r="V24" s="461" t="n"/>
      <c r="W24" s="461">
        <f>U24-V24</f>
        <v/>
      </c>
      <c r="X24" s="235" t="n">
        <v>0</v>
      </c>
      <c r="Y24" s="461">
        <f>K24*X24</f>
        <v/>
      </c>
      <c r="Z24" s="461" t="n"/>
      <c r="AA24" s="461">
        <f>Y24-Z24</f>
        <v/>
      </c>
      <c r="AB24" s="247" t="n">
        <v>0.065</v>
      </c>
      <c r="AC24" s="461">
        <f>K24*AB24</f>
        <v/>
      </c>
      <c r="AD24" s="248" t="n">
        <v>361.66</v>
      </c>
      <c r="AE24" s="249">
        <f>AC24-AD24</f>
        <v/>
      </c>
      <c r="AF24" s="247" t="n">
        <v>0.02</v>
      </c>
      <c r="AG24" s="461">
        <f>K24*AF24</f>
        <v/>
      </c>
      <c r="AH24" s="248" t="n">
        <v>111.28</v>
      </c>
      <c r="AI24" s="461">
        <f>AG24-AH24</f>
        <v/>
      </c>
      <c r="AJ24" s="247" t="n">
        <v>0.035</v>
      </c>
      <c r="AK24" s="461">
        <f>K24*AJ24</f>
        <v/>
      </c>
      <c r="AL24" s="248" t="n">
        <v>194.74</v>
      </c>
      <c r="AM24" s="249">
        <f>AK24-AL24</f>
        <v/>
      </c>
      <c r="AN24" s="235" t="n">
        <v>0</v>
      </c>
      <c r="AO24" s="461">
        <f>K24*AN24</f>
        <v/>
      </c>
      <c r="AP24" s="461" t="n"/>
      <c r="AQ24" s="461">
        <f>AO24-AP24</f>
        <v/>
      </c>
      <c r="AR24" s="247" t="n">
        <v>0.03</v>
      </c>
      <c r="AS24" s="461">
        <f>K24*AR24</f>
        <v/>
      </c>
      <c r="AT24" s="248" t="n">
        <v>166.92</v>
      </c>
      <c r="AU24" s="461">
        <f>AS24-AT24</f>
        <v/>
      </c>
      <c r="AV24" s="247" t="n">
        <v>0.06</v>
      </c>
      <c r="AW24" s="461">
        <f>K24*AV24</f>
        <v/>
      </c>
      <c r="AX24" s="248" t="n">
        <v>333.84</v>
      </c>
      <c r="AY24" s="461">
        <f>AW24-AX24</f>
        <v/>
      </c>
      <c r="AZ24" s="227" t="inlineStr">
        <is>
          <t>按实</t>
        </is>
      </c>
      <c r="BA24" s="461">
        <f>BB24</f>
        <v/>
      </c>
      <c r="BB24" s="461" t="n"/>
      <c r="BC24" s="461">
        <f>BA24-BB24</f>
        <v/>
      </c>
      <c r="BD24" s="235" t="inlineStr">
        <is>
          <t>按实</t>
        </is>
      </c>
      <c r="BE24" s="461">
        <f>BF24</f>
        <v/>
      </c>
      <c r="BF24" s="461" t="n"/>
      <c r="BG24" s="461">
        <f>BE24-BF24</f>
        <v/>
      </c>
      <c r="BH24" s="235" t="inlineStr">
        <is>
          <t>按实</t>
        </is>
      </c>
      <c r="BI24" s="461">
        <f>BJ24</f>
        <v/>
      </c>
      <c r="BJ24" s="461" t="n"/>
      <c r="BK24" s="461">
        <f>BI24-BJ24</f>
        <v/>
      </c>
      <c r="BL24" s="235" t="inlineStr">
        <is>
          <t>按实</t>
        </is>
      </c>
      <c r="BM24" s="220">
        <f>BN24</f>
        <v/>
      </c>
      <c r="BN24" s="220" t="n"/>
      <c r="BO24" s="220">
        <f>BM24-BN24</f>
        <v/>
      </c>
      <c r="BP24" s="220">
        <f>N24+Q24+U24+Y24+AC24+AG24+AK24+AO24+AS24+AW24+BA24+BE24+BI24+BM24</f>
        <v/>
      </c>
      <c r="BQ24" s="220">
        <f>N24+R24+V24+Z24+AD24+AH24+AL24+AP24+AT24+AX24+BB24+BF24+BJ24+BN24</f>
        <v/>
      </c>
      <c r="BR24" s="220">
        <f>BP24-BQ24</f>
        <v/>
      </c>
      <c r="BS24" s="247" t="inlineStr">
        <is>
          <t>/</t>
        </is>
      </c>
      <c r="BT24" s="235" t="inlineStr">
        <is>
          <t>/</t>
        </is>
      </c>
      <c r="BU24" s="250" t="inlineStr">
        <is>
          <t>1、甲方捐赠：35万/年，分组作业未分摊，服务费已包含；
2、采购费：1.35万/年，分组作业未分摊，服务费已包含；</t>
        </is>
      </c>
      <c r="BV24" s="230" t="inlineStr">
        <is>
          <t xml:space="preserve">
1、签订期间：2026.2.25-2026.7.19；
2、指标按照全年换算；
</t>
        </is>
      </c>
      <c r="BW24" s="534" t="n"/>
    </row>
    <row r="25" ht="16.5" customFormat="1" customHeight="1" s="209">
      <c r="A25" s="219" t="n">
        <v>28</v>
      </c>
      <c r="B25" s="220" t="inlineStr">
        <is>
          <t>KQCY0028</t>
        </is>
      </c>
      <c r="C25" s="221" t="inlineStr">
        <is>
          <t>餐饮一分部</t>
        </is>
      </c>
      <c r="D25" s="221" t="inlineStr">
        <is>
          <t>CF272</t>
        </is>
      </c>
      <c r="E25" s="242" t="inlineStr">
        <is>
          <t>苏州工学院南一食堂</t>
        </is>
      </c>
      <c r="F25" s="219" t="inlineStr">
        <is>
          <t>强责</t>
        </is>
      </c>
      <c r="G25" s="243" t="inlineStr">
        <is>
          <t>郑虎</t>
        </is>
      </c>
      <c r="H25" s="503" t="inlineStr">
        <is>
          <t>/</t>
        </is>
      </c>
      <c r="I25" s="237" t="inlineStr">
        <is>
          <t>苏式面</t>
        </is>
      </c>
      <c r="J25" s="503" t="inlineStr">
        <is>
          <t>许正芳</t>
        </is>
      </c>
      <c r="K25" s="545">
        <f>LET(k,D25&amp;"|"&amp;E25&amp;"|"&amp;H25&amp;"|"&amp;I25&amp;"|"&amp;J25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5" s="546" t="n"/>
      <c r="M25" s="224" t="n"/>
      <c r="N25" s="246" t="n">
        <v>28</v>
      </c>
      <c r="O25" s="548" t="n">
        <v>530000</v>
      </c>
      <c r="P25" s="247" t="n">
        <v>0.08</v>
      </c>
      <c r="Q25" s="461">
        <f>K25*P25</f>
        <v/>
      </c>
      <c r="R25" s="248" t="n">
        <v>769.72</v>
      </c>
      <c r="S25" s="461">
        <f>Q25-R25</f>
        <v/>
      </c>
      <c r="T25" s="235" t="n">
        <v>0</v>
      </c>
      <c r="U25" s="461">
        <f>K25*T25</f>
        <v/>
      </c>
      <c r="V25" s="461" t="n"/>
      <c r="W25" s="461">
        <f>U25-V25</f>
        <v/>
      </c>
      <c r="X25" s="235" t="n">
        <v>0</v>
      </c>
      <c r="Y25" s="461">
        <f>K25*X25</f>
        <v/>
      </c>
      <c r="Z25" s="461" t="n"/>
      <c r="AA25" s="461">
        <f>Y25-Z25</f>
        <v/>
      </c>
      <c r="AB25" s="247" t="n">
        <v>0.065</v>
      </c>
      <c r="AC25" s="461">
        <f>K25*AB25</f>
        <v/>
      </c>
      <c r="AD25" s="248" t="n">
        <v>625.3975</v>
      </c>
      <c r="AE25" s="249">
        <f>AC25-AD25</f>
        <v/>
      </c>
      <c r="AF25" s="247" t="n">
        <v>0.02</v>
      </c>
      <c r="AG25" s="461">
        <f>K25*AF25</f>
        <v/>
      </c>
      <c r="AH25" s="248" t="n">
        <v>192.43</v>
      </c>
      <c r="AI25" s="461">
        <f>AG25-AH25</f>
        <v/>
      </c>
      <c r="AJ25" s="247" t="n">
        <v>0.035</v>
      </c>
      <c r="AK25" s="461">
        <f>K25*AJ25</f>
        <v/>
      </c>
      <c r="AL25" s="248" t="n">
        <v>336.7525</v>
      </c>
      <c r="AM25" s="249">
        <f>AK25-AL25</f>
        <v/>
      </c>
      <c r="AN25" s="235" t="n">
        <v>0</v>
      </c>
      <c r="AO25" s="461">
        <f>K25*AN25</f>
        <v/>
      </c>
      <c r="AP25" s="461" t="n"/>
      <c r="AQ25" s="461">
        <f>AO25-AP25</f>
        <v/>
      </c>
      <c r="AR25" s="247" t="n">
        <v>0.03</v>
      </c>
      <c r="AS25" s="461">
        <f>K25*AR25</f>
        <v/>
      </c>
      <c r="AT25" s="248" t="n">
        <v>288.645</v>
      </c>
      <c r="AU25" s="461">
        <f>AS25-AT25</f>
        <v/>
      </c>
      <c r="AV25" s="247" t="n">
        <v>0.06</v>
      </c>
      <c r="AW25" s="461">
        <f>K25*AV25</f>
        <v/>
      </c>
      <c r="AX25" s="248" t="n">
        <v>577.29</v>
      </c>
      <c r="AY25" s="461">
        <f>AW25-AX25</f>
        <v/>
      </c>
      <c r="AZ25" s="227" t="inlineStr">
        <is>
          <t>按实</t>
        </is>
      </c>
      <c r="BA25" s="461">
        <f>BB25</f>
        <v/>
      </c>
      <c r="BB25" s="461" t="n"/>
      <c r="BC25" s="461">
        <f>BA25-BB25</f>
        <v/>
      </c>
      <c r="BD25" s="235" t="inlineStr">
        <is>
          <t>按实</t>
        </is>
      </c>
      <c r="BE25" s="461">
        <f>BF25</f>
        <v/>
      </c>
      <c r="BF25" s="461" t="n"/>
      <c r="BG25" s="461">
        <f>BE25-BF25</f>
        <v/>
      </c>
      <c r="BH25" s="235" t="inlineStr">
        <is>
          <t>按实</t>
        </is>
      </c>
      <c r="BI25" s="461">
        <f>BJ25</f>
        <v/>
      </c>
      <c r="BJ25" s="461" t="n"/>
      <c r="BK25" s="461">
        <f>BI25-BJ25</f>
        <v/>
      </c>
      <c r="BL25" s="235" t="inlineStr">
        <is>
          <t>按实</t>
        </is>
      </c>
      <c r="BM25" s="220">
        <f>BN25</f>
        <v/>
      </c>
      <c r="BN25" s="220" t="n"/>
      <c r="BO25" s="220">
        <f>BM25-BN25</f>
        <v/>
      </c>
      <c r="BP25" s="220">
        <f>N25+Q25+U25+Y25+AC25+AG25+AK25+AO25+AS25+AW25+BA25+BE25+BI25+BM25</f>
        <v/>
      </c>
      <c r="BQ25" s="220">
        <f>N25+R25+V25+Z25+AD25+AH25+AL25+AP25+AT25+AX25+BB25+BF25+BJ25+BN25</f>
        <v/>
      </c>
      <c r="BR25" s="220">
        <f>BP25-BQ25</f>
        <v/>
      </c>
      <c r="BS25" s="247" t="inlineStr">
        <is>
          <t>/</t>
        </is>
      </c>
      <c r="BT25" s="235" t="inlineStr">
        <is>
          <t>/</t>
        </is>
      </c>
      <c r="BU25" s="250" t="inlineStr">
        <is>
          <t>1、甲方捐赠：35万/年，分组作业未分摊，服务费已包含；
2、采购费：1.35万/年，分组作业未分摊，服务费已包含；</t>
        </is>
      </c>
      <c r="BV25" s="230" t="inlineStr">
        <is>
          <t xml:space="preserve">
1、签订期间：2026.2.25-2026.7.19；
2、指标按照全年换算；
</t>
        </is>
      </c>
      <c r="BW25" s="534" t="n"/>
    </row>
    <row r="26" ht="16.5" customFormat="1" customHeight="1" s="209">
      <c r="A26" s="219" t="n">
        <v>29</v>
      </c>
      <c r="B26" s="220" t="inlineStr">
        <is>
          <t>KQCY0029</t>
        </is>
      </c>
      <c r="C26" s="221" t="inlineStr">
        <is>
          <t>餐饮一分部</t>
        </is>
      </c>
      <c r="D26" s="221" t="inlineStr">
        <is>
          <t>CF272</t>
        </is>
      </c>
      <c r="E26" s="242" t="inlineStr">
        <is>
          <t>苏州工学院南一食堂</t>
        </is>
      </c>
      <c r="F26" s="219" t="inlineStr">
        <is>
          <t>强责</t>
        </is>
      </c>
      <c r="G26" s="243" t="inlineStr">
        <is>
          <t>郑虎</t>
        </is>
      </c>
      <c r="H26" s="503" t="inlineStr">
        <is>
          <t>/</t>
        </is>
      </c>
      <c r="I26" s="237" t="inlineStr">
        <is>
          <t>王记炒饭</t>
        </is>
      </c>
      <c r="J26" s="503" t="inlineStr">
        <is>
          <t>王梓骏</t>
        </is>
      </c>
      <c r="K26" s="545">
        <f>LET(k,D26&amp;"|"&amp;E26&amp;"|"&amp;H26&amp;"|"&amp;I26&amp;"|"&amp;J26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6" s="546" t="n"/>
      <c r="M26" s="224" t="n"/>
      <c r="N26" s="246" t="n">
        <v>3397.18</v>
      </c>
      <c r="O26" s="548" t="n">
        <v>526000</v>
      </c>
      <c r="P26" s="247" t="n">
        <v>0.08</v>
      </c>
      <c r="Q26" s="461">
        <f>K26*P26</f>
        <v/>
      </c>
      <c r="R26" s="248" t="n">
        <v>1282.24</v>
      </c>
      <c r="S26" s="461">
        <f>Q26-R26</f>
        <v/>
      </c>
      <c r="T26" s="235" t="n">
        <v>0</v>
      </c>
      <c r="U26" s="461">
        <f>K26*T26</f>
        <v/>
      </c>
      <c r="V26" s="461" t="n"/>
      <c r="W26" s="461">
        <f>U26-V26</f>
        <v/>
      </c>
      <c r="X26" s="235" t="n">
        <v>0</v>
      </c>
      <c r="Y26" s="461">
        <f>K26*X26</f>
        <v/>
      </c>
      <c r="Z26" s="461" t="n"/>
      <c r="AA26" s="461">
        <f>Y26-Z26</f>
        <v/>
      </c>
      <c r="AB26" s="247" t="n">
        <v>0.065</v>
      </c>
      <c r="AC26" s="461">
        <f>K26*AB26</f>
        <v/>
      </c>
      <c r="AD26" s="248" t="n">
        <v>1041.82</v>
      </c>
      <c r="AE26" s="249">
        <f>AC26-AD26</f>
        <v/>
      </c>
      <c r="AF26" s="247" t="n">
        <v>0.02</v>
      </c>
      <c r="AG26" s="461">
        <f>K26*AF26</f>
        <v/>
      </c>
      <c r="AH26" s="248" t="n">
        <v>320.56</v>
      </c>
      <c r="AI26" s="461">
        <f>AG26-AH26</f>
        <v/>
      </c>
      <c r="AJ26" s="247" t="n">
        <v>0.035</v>
      </c>
      <c r="AK26" s="461">
        <f>K26*AJ26</f>
        <v/>
      </c>
      <c r="AL26" s="248" t="n">
        <v>560.98</v>
      </c>
      <c r="AM26" s="249">
        <f>AK26-AL26</f>
        <v/>
      </c>
      <c r="AN26" s="235" t="n">
        <v>0</v>
      </c>
      <c r="AO26" s="461">
        <f>K26*AN26</f>
        <v/>
      </c>
      <c r="AP26" s="461" t="n"/>
      <c r="AQ26" s="461">
        <f>AO26-AP26</f>
        <v/>
      </c>
      <c r="AR26" s="247" t="n">
        <v>0.03</v>
      </c>
      <c r="AS26" s="461">
        <f>K26*AR26</f>
        <v/>
      </c>
      <c r="AT26" s="248" t="n">
        <v>480.84</v>
      </c>
      <c r="AU26" s="461">
        <f>AS26-AT26</f>
        <v/>
      </c>
      <c r="AV26" s="247" t="n">
        <v>0.06</v>
      </c>
      <c r="AW26" s="461">
        <f>K26*AV26</f>
        <v/>
      </c>
      <c r="AX26" s="248" t="n">
        <v>961.6799999999999</v>
      </c>
      <c r="AY26" s="461">
        <f>AW26-AX26</f>
        <v/>
      </c>
      <c r="AZ26" s="227" t="inlineStr">
        <is>
          <t>按实</t>
        </is>
      </c>
      <c r="BA26" s="461">
        <f>BB26</f>
        <v/>
      </c>
      <c r="BB26" s="461" t="n"/>
      <c r="BC26" s="461">
        <f>BA26-BB26</f>
        <v/>
      </c>
      <c r="BD26" s="235" t="inlineStr">
        <is>
          <t>按实</t>
        </is>
      </c>
      <c r="BE26" s="461">
        <f>BF26</f>
        <v/>
      </c>
      <c r="BF26" s="461" t="n"/>
      <c r="BG26" s="461">
        <f>BE26-BF26</f>
        <v/>
      </c>
      <c r="BH26" s="235" t="inlineStr">
        <is>
          <t>按实</t>
        </is>
      </c>
      <c r="BI26" s="461">
        <f>BJ26</f>
        <v/>
      </c>
      <c r="BJ26" s="461" t="n"/>
      <c r="BK26" s="461">
        <f>BI26-BJ26</f>
        <v/>
      </c>
      <c r="BL26" s="235" t="inlineStr">
        <is>
          <t>按实</t>
        </is>
      </c>
      <c r="BM26" s="220">
        <f>BN26</f>
        <v/>
      </c>
      <c r="BN26" s="220" t="n"/>
      <c r="BO26" s="220">
        <f>BM26-BN26</f>
        <v/>
      </c>
      <c r="BP26" s="220">
        <f>N26+Q26+U26+Y26+AC26+AG26+AK26+AO26+AS26+AW26+BA26+BE26+BI26+BM26</f>
        <v/>
      </c>
      <c r="BQ26" s="220">
        <f>N26+R26+V26+Z26+AD26+AH26+AL26+AP26+AT26+AX26+BB26+BF26+BJ26+BN26</f>
        <v/>
      </c>
      <c r="BR26" s="220">
        <f>BP26-BQ26</f>
        <v/>
      </c>
      <c r="BS26" s="247" t="inlineStr">
        <is>
          <t>/</t>
        </is>
      </c>
      <c r="BT26" s="235" t="inlineStr">
        <is>
          <t>/</t>
        </is>
      </c>
      <c r="BU26" s="250" t="inlineStr">
        <is>
          <t>1、甲方捐赠：35万/年，分组作业未分摊，服务费已包含；
2、采购费：1.35万/年，分组作业未分摊，服务费已包含；</t>
        </is>
      </c>
      <c r="BV26" s="230" t="inlineStr">
        <is>
          <t xml:space="preserve">
1、签订期间：2026.2.25-2026.7.19；
2、指标按照全年换算；
</t>
        </is>
      </c>
      <c r="BW26" s="534" t="n"/>
    </row>
    <row r="27" ht="16.5" customFormat="1" customHeight="1" s="209">
      <c r="A27" s="219" t="n">
        <v>30</v>
      </c>
      <c r="B27" s="220" t="inlineStr">
        <is>
          <t>KQCY0030</t>
        </is>
      </c>
      <c r="C27" s="221" t="inlineStr">
        <is>
          <t>餐饮一分部</t>
        </is>
      </c>
      <c r="D27" s="221" t="inlineStr">
        <is>
          <t>CF272</t>
        </is>
      </c>
      <c r="E27" s="242" t="inlineStr">
        <is>
          <t>苏州工学院南一食堂</t>
        </is>
      </c>
      <c r="F27" s="219" t="inlineStr">
        <is>
          <t>强责</t>
        </is>
      </c>
      <c r="G27" s="243" t="inlineStr">
        <is>
          <t>郑虎</t>
        </is>
      </c>
      <c r="H27" s="503" t="inlineStr">
        <is>
          <t>/</t>
        </is>
      </c>
      <c r="I27" s="237" t="inlineStr">
        <is>
          <t>烤鸭</t>
        </is>
      </c>
      <c r="J27" s="503" t="inlineStr">
        <is>
          <t>王鑫</t>
        </is>
      </c>
      <c r="K27" s="545">
        <f>LET(k,D27&amp;"|"&amp;E27&amp;"|"&amp;H27&amp;"|"&amp;I27&amp;"|"&amp;J27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7" s="546" t="n"/>
      <c r="M27" s="224" t="n"/>
      <c r="N27" s="246" t="n">
        <v>1698.59</v>
      </c>
      <c r="O27" s="548" t="n">
        <v>530000</v>
      </c>
      <c r="P27" s="247" t="n">
        <v>0.08</v>
      </c>
      <c r="Q27" s="461">
        <f>K27*P27</f>
        <v/>
      </c>
      <c r="R27" s="248" t="n">
        <v>1305.12</v>
      </c>
      <c r="S27" s="461">
        <f>Q27-R27</f>
        <v/>
      </c>
      <c r="T27" s="235" t="n">
        <v>0</v>
      </c>
      <c r="U27" s="461">
        <f>K27*T27</f>
        <v/>
      </c>
      <c r="V27" s="461" t="n"/>
      <c r="W27" s="461">
        <f>U27-V27</f>
        <v/>
      </c>
      <c r="X27" s="235" t="n">
        <v>0</v>
      </c>
      <c r="Y27" s="461">
        <f>K27*X27</f>
        <v/>
      </c>
      <c r="Z27" s="461" t="n"/>
      <c r="AA27" s="461">
        <f>Y27-Z27</f>
        <v/>
      </c>
      <c r="AB27" s="247" t="n">
        <v>0.065</v>
      </c>
      <c r="AC27" s="461">
        <f>K27*AB27</f>
        <v/>
      </c>
      <c r="AD27" s="248" t="n">
        <v>1060.41</v>
      </c>
      <c r="AE27" s="249">
        <f>AC27-AD27</f>
        <v/>
      </c>
      <c r="AF27" s="247" t="n">
        <v>0.02</v>
      </c>
      <c r="AG27" s="461">
        <f>K27*AF27</f>
        <v/>
      </c>
      <c r="AH27" s="248" t="n">
        <v>326.28</v>
      </c>
      <c r="AI27" s="461">
        <f>AG27-AH27</f>
        <v/>
      </c>
      <c r="AJ27" s="247" t="n">
        <v>0.035</v>
      </c>
      <c r="AK27" s="461">
        <f>K27*AJ27</f>
        <v/>
      </c>
      <c r="AL27" s="248" t="n">
        <v>570.99</v>
      </c>
      <c r="AM27" s="249">
        <f>AK27-AL27</f>
        <v/>
      </c>
      <c r="AN27" s="235" t="n">
        <v>0</v>
      </c>
      <c r="AO27" s="461">
        <f>K27*AN27</f>
        <v/>
      </c>
      <c r="AP27" s="461" t="n"/>
      <c r="AQ27" s="461">
        <f>AO27-AP27</f>
        <v/>
      </c>
      <c r="AR27" s="247" t="n">
        <v>0.03</v>
      </c>
      <c r="AS27" s="461">
        <f>K27*AR27</f>
        <v/>
      </c>
      <c r="AT27" s="248" t="n">
        <v>489.42</v>
      </c>
      <c r="AU27" s="461">
        <f>AS27-AT27</f>
        <v/>
      </c>
      <c r="AV27" s="247" t="n">
        <v>0.06</v>
      </c>
      <c r="AW27" s="461">
        <f>K27*AV27</f>
        <v/>
      </c>
      <c r="AX27" s="248" t="n">
        <v>978.84</v>
      </c>
      <c r="AY27" s="461">
        <f>AW27-AX27</f>
        <v/>
      </c>
      <c r="AZ27" s="227" t="inlineStr">
        <is>
          <t>按实</t>
        </is>
      </c>
      <c r="BA27" s="461">
        <f>BB27</f>
        <v/>
      </c>
      <c r="BB27" s="461" t="n"/>
      <c r="BC27" s="461">
        <f>BA27-BB27</f>
        <v/>
      </c>
      <c r="BD27" s="235" t="inlineStr">
        <is>
          <t>按实</t>
        </is>
      </c>
      <c r="BE27" s="461">
        <f>BF27</f>
        <v/>
      </c>
      <c r="BF27" s="461" t="n"/>
      <c r="BG27" s="461">
        <f>BE27-BF27</f>
        <v/>
      </c>
      <c r="BH27" s="235" t="inlineStr">
        <is>
          <t>按实</t>
        </is>
      </c>
      <c r="BI27" s="461">
        <f>BJ27</f>
        <v/>
      </c>
      <c r="BJ27" s="461" t="n"/>
      <c r="BK27" s="461">
        <f>BI27-BJ27</f>
        <v/>
      </c>
      <c r="BL27" s="235" t="inlineStr">
        <is>
          <t>按实</t>
        </is>
      </c>
      <c r="BM27" s="220">
        <f>BN27</f>
        <v/>
      </c>
      <c r="BN27" s="220" t="n"/>
      <c r="BO27" s="220">
        <f>BM27-BN27</f>
        <v/>
      </c>
      <c r="BP27" s="220">
        <f>N27+Q27+U27+Y27+AC27+AG27+AK27+AO27+AS27+AW27+BA27+BE27+BI27+BM27</f>
        <v/>
      </c>
      <c r="BQ27" s="220">
        <f>N27+R27+V27+Z27+AD27+AH27+AL27+AP27+AT27+AX27+BB27+BF27+BJ27+BN27</f>
        <v/>
      </c>
      <c r="BR27" s="220">
        <f>BP27-BQ27</f>
        <v/>
      </c>
      <c r="BS27" s="247" t="inlineStr">
        <is>
          <t>/</t>
        </is>
      </c>
      <c r="BT27" s="235" t="inlineStr">
        <is>
          <t>/</t>
        </is>
      </c>
      <c r="BU27" s="250" t="inlineStr">
        <is>
          <t>1、甲方捐赠：35万/年，分组作业未分摊，服务费已包含；
2、采购费：1.35万/年，分组作业未分摊，服务费已包含；</t>
        </is>
      </c>
      <c r="BV27" s="230" t="inlineStr">
        <is>
          <t xml:space="preserve">
1、签订期间：2026.2.25-2026.7.19；
2、指标按照全年换算；
</t>
        </is>
      </c>
      <c r="BW27" s="534" t="n"/>
    </row>
    <row r="28" ht="16.5" customFormat="1" customHeight="1" s="209">
      <c r="A28" s="219" t="n">
        <v>31</v>
      </c>
      <c r="B28" s="220" t="inlineStr">
        <is>
          <t>KQCY0031</t>
        </is>
      </c>
      <c r="C28" s="221" t="inlineStr">
        <is>
          <t>餐饮一分部</t>
        </is>
      </c>
      <c r="D28" s="221" t="inlineStr">
        <is>
          <t>CF272</t>
        </is>
      </c>
      <c r="E28" s="242" t="inlineStr">
        <is>
          <t>苏州工学院南一食堂</t>
        </is>
      </c>
      <c r="F28" s="219" t="inlineStr">
        <is>
          <t>强责</t>
        </is>
      </c>
      <c r="G28" s="243" t="inlineStr">
        <is>
          <t>郑虎</t>
        </is>
      </c>
      <c r="H28" s="503" t="inlineStr">
        <is>
          <t>/</t>
        </is>
      </c>
      <c r="I28" s="237" t="inlineStr">
        <is>
          <t>小街胡同牛杂面</t>
        </is>
      </c>
      <c r="J28" s="503" t="inlineStr">
        <is>
          <t>黄雨</t>
        </is>
      </c>
      <c r="K28" s="545">
        <f>LET(k,D28&amp;"|"&amp;E28&amp;"|"&amp;H28&amp;"|"&amp;I28&amp;"|"&amp;J28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8" s="546" t="n"/>
      <c r="M28" s="224" t="n"/>
      <c r="N28" s="246" t="n">
        <v>1698.59</v>
      </c>
      <c r="O28" s="548" t="n">
        <v>360000</v>
      </c>
      <c r="P28" s="247" t="n">
        <v>0.08</v>
      </c>
      <c r="Q28" s="461">
        <f>K28*P28</f>
        <v/>
      </c>
      <c r="R28" s="248" t="n">
        <v>1520.88</v>
      </c>
      <c r="S28" s="461">
        <f>Q28-R28</f>
        <v/>
      </c>
      <c r="T28" s="235" t="n">
        <v>0</v>
      </c>
      <c r="U28" s="461">
        <f>K28*T28</f>
        <v/>
      </c>
      <c r="V28" s="461" t="n"/>
      <c r="W28" s="461">
        <f>U28-V28</f>
        <v/>
      </c>
      <c r="X28" s="235" t="n">
        <v>0</v>
      </c>
      <c r="Y28" s="461">
        <f>K28*X28</f>
        <v/>
      </c>
      <c r="Z28" s="461" t="n"/>
      <c r="AA28" s="461">
        <f>Y28-Z28</f>
        <v/>
      </c>
      <c r="AB28" s="247" t="n">
        <v>0.065</v>
      </c>
      <c r="AC28" s="461">
        <f>K28*AB28</f>
        <v/>
      </c>
      <c r="AD28" s="248" t="n">
        <v>1235.715</v>
      </c>
      <c r="AE28" s="249">
        <f>AC28-AD28</f>
        <v/>
      </c>
      <c r="AF28" s="247" t="n">
        <v>0.02</v>
      </c>
      <c r="AG28" s="461">
        <f>K28*AF28</f>
        <v/>
      </c>
      <c r="AH28" s="248" t="n">
        <v>380.22</v>
      </c>
      <c r="AI28" s="461">
        <f>AG28-AH28</f>
        <v/>
      </c>
      <c r="AJ28" s="247" t="n">
        <v>0.035</v>
      </c>
      <c r="AK28" s="461">
        <f>K28*AJ28</f>
        <v/>
      </c>
      <c r="AL28" s="248" t="n">
        <v>665.385</v>
      </c>
      <c r="AM28" s="249">
        <f>AK28-AL28</f>
        <v/>
      </c>
      <c r="AN28" s="235" t="n">
        <v>0</v>
      </c>
      <c r="AO28" s="461">
        <f>K28*AN28</f>
        <v/>
      </c>
      <c r="AP28" s="461" t="n"/>
      <c r="AQ28" s="461">
        <f>AO28-AP28</f>
        <v/>
      </c>
      <c r="AR28" s="247" t="n">
        <v>0.03</v>
      </c>
      <c r="AS28" s="461">
        <f>K28*AR28</f>
        <v/>
      </c>
      <c r="AT28" s="248" t="n">
        <v>570.33</v>
      </c>
      <c r="AU28" s="461">
        <f>AS28-AT28</f>
        <v/>
      </c>
      <c r="AV28" s="247" t="n">
        <v>0.06</v>
      </c>
      <c r="AW28" s="461">
        <f>K28*AV28</f>
        <v/>
      </c>
      <c r="AX28" s="248" t="n">
        <v>1140.66</v>
      </c>
      <c r="AY28" s="461">
        <f>AW28-AX28</f>
        <v/>
      </c>
      <c r="AZ28" s="227" t="inlineStr">
        <is>
          <t>按实</t>
        </is>
      </c>
      <c r="BA28" s="461">
        <f>BB28</f>
        <v/>
      </c>
      <c r="BB28" s="461" t="n"/>
      <c r="BC28" s="461">
        <f>BA28-BB28</f>
        <v/>
      </c>
      <c r="BD28" s="235" t="inlineStr">
        <is>
          <t>按实</t>
        </is>
      </c>
      <c r="BE28" s="461">
        <f>BF28</f>
        <v/>
      </c>
      <c r="BF28" s="461" t="n"/>
      <c r="BG28" s="461">
        <f>BE28-BF28</f>
        <v/>
      </c>
      <c r="BH28" s="235" t="inlineStr">
        <is>
          <t>按实</t>
        </is>
      </c>
      <c r="BI28" s="461">
        <f>BJ28</f>
        <v/>
      </c>
      <c r="BJ28" s="461" t="n"/>
      <c r="BK28" s="461">
        <f>BI28-BJ28</f>
        <v/>
      </c>
      <c r="BL28" s="235" t="inlineStr">
        <is>
          <t>按实</t>
        </is>
      </c>
      <c r="BM28" s="220">
        <f>BN28</f>
        <v/>
      </c>
      <c r="BN28" s="220" t="n"/>
      <c r="BO28" s="220">
        <f>BM28-BN28</f>
        <v/>
      </c>
      <c r="BP28" s="220">
        <f>N28+Q28+U28+Y28+AC28+AG28+AK28+AO28+AS28+AW28+BA28+BE28+BI28+BM28</f>
        <v/>
      </c>
      <c r="BQ28" s="220">
        <f>N28+R28+V28+Z28+AD28+AH28+AL28+AP28+AT28+AX28+BB28+BF28+BJ28+BN28</f>
        <v/>
      </c>
      <c r="BR28" s="220">
        <f>BP28-BQ28</f>
        <v/>
      </c>
      <c r="BS28" s="247" t="inlineStr">
        <is>
          <t>/</t>
        </is>
      </c>
      <c r="BT28" s="235" t="inlineStr">
        <is>
          <t>/</t>
        </is>
      </c>
      <c r="BU28" s="250" t="inlineStr">
        <is>
          <t>1、甲方捐赠：35万/年，分组作业未分摊，服务费已包含；
2、采购费：1.35万/年，分组作业未分摊，服务费已包含；</t>
        </is>
      </c>
      <c r="BV28" s="230" t="inlineStr">
        <is>
          <t xml:space="preserve">
1、签订期间：2026.2.25-2026.7.19；
2、指标按照全年换算；
</t>
        </is>
      </c>
      <c r="BW28" s="534" t="n"/>
    </row>
    <row r="29" ht="16.5" customFormat="1" customHeight="1" s="209">
      <c r="A29" s="219" t="n">
        <v>32</v>
      </c>
      <c r="B29" s="220" t="inlineStr">
        <is>
          <t>KQCY0032</t>
        </is>
      </c>
      <c r="C29" s="221" t="inlineStr">
        <is>
          <t>餐饮一分部</t>
        </is>
      </c>
      <c r="D29" s="221" t="inlineStr">
        <is>
          <t>CF272</t>
        </is>
      </c>
      <c r="E29" s="242" t="inlineStr">
        <is>
          <t>苏州工学院南一食堂</t>
        </is>
      </c>
      <c r="F29" s="219" t="inlineStr">
        <is>
          <t>强责</t>
        </is>
      </c>
      <c r="G29" s="243" t="inlineStr">
        <is>
          <t>郑虎</t>
        </is>
      </c>
      <c r="H29" s="503" t="inlineStr">
        <is>
          <t>/</t>
        </is>
      </c>
      <c r="I29" s="237" t="inlineStr">
        <is>
          <t>汉堡炸鸡</t>
        </is>
      </c>
      <c r="J29" s="503" t="inlineStr">
        <is>
          <t>陆林峰</t>
        </is>
      </c>
      <c r="K29" s="545">
        <f>LET(k,D29&amp;"|"&amp;E29&amp;"|"&amp;H29&amp;"|"&amp;I29&amp;"|"&amp;J29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9" s="546" t="n"/>
      <c r="M29" s="224" t="n"/>
      <c r="N29" s="246" t="n">
        <v>0</v>
      </c>
      <c r="O29" s="548" t="n">
        <v>366000</v>
      </c>
      <c r="P29" s="247" t="n">
        <v>0.08</v>
      </c>
      <c r="Q29" s="461">
        <f>K29*P29</f>
        <v/>
      </c>
      <c r="R29" s="248" t="n">
        <v>0</v>
      </c>
      <c r="S29" s="461">
        <f>Q29-R29</f>
        <v/>
      </c>
      <c r="T29" s="235" t="n">
        <v>0</v>
      </c>
      <c r="U29" s="461">
        <f>K29*T29</f>
        <v/>
      </c>
      <c r="V29" s="461" t="n"/>
      <c r="W29" s="461">
        <f>U29-V29</f>
        <v/>
      </c>
      <c r="X29" s="235" t="n">
        <v>0</v>
      </c>
      <c r="Y29" s="461">
        <f>K29*X29</f>
        <v/>
      </c>
      <c r="Z29" s="461" t="n"/>
      <c r="AA29" s="461">
        <f>Y29-Z29</f>
        <v/>
      </c>
      <c r="AB29" s="247" t="n">
        <v>0.065</v>
      </c>
      <c r="AC29" s="461">
        <f>K29*AB29</f>
        <v/>
      </c>
      <c r="AD29" s="248" t="n">
        <v>0</v>
      </c>
      <c r="AE29" s="249">
        <f>AC29-AD29</f>
        <v/>
      </c>
      <c r="AF29" s="247" t="n">
        <v>0.02</v>
      </c>
      <c r="AG29" s="461">
        <f>K29*AF29</f>
        <v/>
      </c>
      <c r="AH29" s="248" t="n">
        <v>0</v>
      </c>
      <c r="AI29" s="461">
        <f>AG29-AH29</f>
        <v/>
      </c>
      <c r="AJ29" s="247" t="n">
        <v>0.035</v>
      </c>
      <c r="AK29" s="461">
        <f>K29*AJ29</f>
        <v/>
      </c>
      <c r="AL29" s="248" t="n">
        <v>0</v>
      </c>
      <c r="AM29" s="249">
        <f>AK29-AL29</f>
        <v/>
      </c>
      <c r="AN29" s="235" t="n">
        <v>0</v>
      </c>
      <c r="AO29" s="461">
        <f>K29*AN29</f>
        <v/>
      </c>
      <c r="AP29" s="461" t="n"/>
      <c r="AQ29" s="461">
        <f>AO29-AP29</f>
        <v/>
      </c>
      <c r="AR29" s="247" t="n">
        <v>0.03</v>
      </c>
      <c r="AS29" s="461">
        <f>K29*AR29</f>
        <v/>
      </c>
      <c r="AT29" s="248" t="n">
        <v>0</v>
      </c>
      <c r="AU29" s="461">
        <f>AS29-AT29</f>
        <v/>
      </c>
      <c r="AV29" s="247" t="n">
        <v>0.06</v>
      </c>
      <c r="AW29" s="461">
        <f>K29*AV29</f>
        <v/>
      </c>
      <c r="AX29" s="248" t="n">
        <v>0</v>
      </c>
      <c r="AY29" s="461">
        <f>AW29-AX29</f>
        <v/>
      </c>
      <c r="AZ29" s="227" t="inlineStr">
        <is>
          <t>按实</t>
        </is>
      </c>
      <c r="BA29" s="461">
        <f>BB29</f>
        <v/>
      </c>
      <c r="BB29" s="461" t="n"/>
      <c r="BC29" s="461">
        <f>BA29-BB29</f>
        <v/>
      </c>
      <c r="BD29" s="235" t="inlineStr">
        <is>
          <t>按实</t>
        </is>
      </c>
      <c r="BE29" s="461">
        <f>BF29</f>
        <v/>
      </c>
      <c r="BF29" s="461" t="n"/>
      <c r="BG29" s="461">
        <f>BE29-BF29</f>
        <v/>
      </c>
      <c r="BH29" s="235" t="inlineStr">
        <is>
          <t>按实</t>
        </is>
      </c>
      <c r="BI29" s="461">
        <f>BJ29</f>
        <v/>
      </c>
      <c r="BJ29" s="461" t="n"/>
      <c r="BK29" s="461">
        <f>BI29-BJ29</f>
        <v/>
      </c>
      <c r="BL29" s="235" t="inlineStr">
        <is>
          <t>按实</t>
        </is>
      </c>
      <c r="BM29" s="220">
        <f>BN29</f>
        <v/>
      </c>
      <c r="BN29" s="220" t="n"/>
      <c r="BO29" s="220">
        <f>BM29-BN29</f>
        <v/>
      </c>
      <c r="BP29" s="220">
        <f>N29+Q29+U29+Y29+AC29+AG29+AK29+AO29+AS29+AW29+BA29+BE29+BI29+BM29</f>
        <v/>
      </c>
      <c r="BQ29" s="220">
        <f>N29+R29+V29+Z29+AD29+AH29+AL29+AP29+AT29+AX29+BB29+BF29+BJ29+BN29</f>
        <v/>
      </c>
      <c r="BR29" s="220">
        <f>BP29-BQ29</f>
        <v/>
      </c>
      <c r="BS29" s="247" t="inlineStr">
        <is>
          <t>/</t>
        </is>
      </c>
      <c r="BT29" s="235" t="inlineStr">
        <is>
          <t>/</t>
        </is>
      </c>
      <c r="BU29" s="250" t="inlineStr">
        <is>
          <t>1、甲方捐赠：35万/年，分组作业未分摊，服务费已包含；
2、采购费：1.35万/年，分组作业未分摊，服务费已包含；</t>
        </is>
      </c>
      <c r="BV29" s="230" t="inlineStr">
        <is>
          <t xml:space="preserve">
1、签订期间：2026.2.25-2026.7.19；
2、指标按照全年换算；
</t>
        </is>
      </c>
      <c r="BW29" s="534" t="n"/>
    </row>
    <row r="30" ht="16.5" customFormat="1" customHeight="1" s="209">
      <c r="A30" s="219" t="n">
        <v>33</v>
      </c>
      <c r="B30" s="220" t="inlineStr">
        <is>
          <t>KQCY0033</t>
        </is>
      </c>
      <c r="C30" s="221" t="inlineStr">
        <is>
          <t>餐饮一分部</t>
        </is>
      </c>
      <c r="D30" s="221" t="inlineStr">
        <is>
          <t>CF272</t>
        </is>
      </c>
      <c r="E30" s="242" t="inlineStr">
        <is>
          <t>苏州工学院南一食堂</t>
        </is>
      </c>
      <c r="F30" s="219" t="inlineStr">
        <is>
          <t>强责</t>
        </is>
      </c>
      <c r="G30" s="243" t="inlineStr">
        <is>
          <t>郑虎</t>
        </is>
      </c>
      <c r="H30" s="503" t="inlineStr">
        <is>
          <t>/</t>
        </is>
      </c>
      <c r="I30" s="237" t="inlineStr">
        <is>
          <t>旋转小火锅</t>
        </is>
      </c>
      <c r="J30" s="503" t="inlineStr">
        <is>
          <t>潘祥</t>
        </is>
      </c>
      <c r="K30" s="545">
        <f>LET(k,D30&amp;"|"&amp;E30&amp;"|"&amp;H30&amp;"|"&amp;I30&amp;"|"&amp;J30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0" s="546" t="n"/>
      <c r="M30" s="224" t="n"/>
      <c r="N30" s="246" t="n">
        <v>0</v>
      </c>
      <c r="O30" s="548" t="n">
        <v>284000</v>
      </c>
      <c r="P30" s="247" t="n">
        <v>0.06</v>
      </c>
      <c r="Q30" s="461">
        <f>K30*P30</f>
        <v/>
      </c>
      <c r="R30" s="252" t="n">
        <v>0</v>
      </c>
      <c r="S30" s="461">
        <f>Q30-R30</f>
        <v/>
      </c>
      <c r="T30" s="247" t="n">
        <v>0</v>
      </c>
      <c r="U30" s="461">
        <f>K30*T30</f>
        <v/>
      </c>
      <c r="V30" s="461" t="n"/>
      <c r="W30" s="461">
        <f>U30-V30</f>
        <v/>
      </c>
      <c r="X30" s="247" t="n">
        <v>0</v>
      </c>
      <c r="Y30" s="461">
        <f>K30*X30</f>
        <v/>
      </c>
      <c r="Z30" s="461" t="n"/>
      <c r="AA30" s="461">
        <f>Y30-Z30</f>
        <v/>
      </c>
      <c r="AB30" s="247" t="n">
        <v>0.065</v>
      </c>
      <c r="AC30" s="461">
        <f>K30*AB30</f>
        <v/>
      </c>
      <c r="AD30" s="252" t="n">
        <v>0</v>
      </c>
      <c r="AE30" s="461">
        <f>AC30-AD30</f>
        <v/>
      </c>
      <c r="AF30" s="247" t="n">
        <v>0.02</v>
      </c>
      <c r="AG30" s="461">
        <f>K30*AF30</f>
        <v/>
      </c>
      <c r="AH30" s="252" t="n">
        <v>0</v>
      </c>
      <c r="AI30" s="461">
        <f>AG30-AH30</f>
        <v/>
      </c>
      <c r="AJ30" s="247" t="n">
        <v>0.025</v>
      </c>
      <c r="AK30" s="461">
        <f>K30*AJ30</f>
        <v/>
      </c>
      <c r="AL30" s="252" t="n">
        <v>0</v>
      </c>
      <c r="AM30" s="461">
        <f>AK30-AL30</f>
        <v/>
      </c>
      <c r="AN30" s="247" t="n">
        <v>0</v>
      </c>
      <c r="AO30" s="461">
        <f>K30*AN30</f>
        <v/>
      </c>
      <c r="AP30" s="461" t="n"/>
      <c r="AQ30" s="461">
        <f>AO30-AP30</f>
        <v/>
      </c>
      <c r="AR30" s="247" t="n">
        <v>0.03</v>
      </c>
      <c r="AS30" s="461">
        <f>K30*AR30</f>
        <v/>
      </c>
      <c r="AT30" s="252" t="n">
        <v>0</v>
      </c>
      <c r="AU30" s="461">
        <f>AS30-AT30</f>
        <v/>
      </c>
      <c r="AV30" s="247" t="n">
        <v>0.06</v>
      </c>
      <c r="AW30" s="461">
        <f>K30*AV30</f>
        <v/>
      </c>
      <c r="AX30" s="252" t="n">
        <v>0</v>
      </c>
      <c r="AY30" s="461">
        <f>AW30-AX30</f>
        <v/>
      </c>
      <c r="AZ30" s="227" t="inlineStr">
        <is>
          <t>按实</t>
        </is>
      </c>
      <c r="BA30" s="461">
        <f>BB30</f>
        <v/>
      </c>
      <c r="BB30" s="461" t="n"/>
      <c r="BC30" s="461">
        <f>BA30-BB30</f>
        <v/>
      </c>
      <c r="BD30" s="235" t="inlineStr">
        <is>
          <t>按实</t>
        </is>
      </c>
      <c r="BE30" s="461">
        <f>BF30</f>
        <v/>
      </c>
      <c r="BF30" s="461" t="n"/>
      <c r="BG30" s="461">
        <f>BE30-BF30</f>
        <v/>
      </c>
      <c r="BH30" s="235" t="inlineStr">
        <is>
          <t>按实</t>
        </is>
      </c>
      <c r="BI30" s="461">
        <f>BJ30</f>
        <v/>
      </c>
      <c r="BJ30" s="461" t="n"/>
      <c r="BK30" s="461">
        <f>BI30-BJ30</f>
        <v/>
      </c>
      <c r="BL30" s="235" t="inlineStr">
        <is>
          <t>按实</t>
        </is>
      </c>
      <c r="BM30" s="220" t="n">
        <v>36324</v>
      </c>
      <c r="BN30" s="243" t="n">
        <v>36324</v>
      </c>
      <c r="BO30" s="220">
        <f>BM30-BN30</f>
        <v/>
      </c>
      <c r="BP30" s="220">
        <f>N30+Q30+U30+Y30+AC30+AG30+AK30+AO30+AS30+AW30+BA30+BE30+BI30+BM30</f>
        <v/>
      </c>
      <c r="BQ30" s="220">
        <f>N30+R30+V30+Z30+AD30+AH30+AL30+AP30+AT30+AX30+BB30+BF30+BJ30+BN30</f>
        <v/>
      </c>
      <c r="BR30" s="220">
        <f>BP30-BQ30</f>
        <v/>
      </c>
      <c r="BS30" s="247" t="inlineStr">
        <is>
          <t>/</t>
        </is>
      </c>
      <c r="BT30" s="235" t="inlineStr">
        <is>
          <t>/</t>
        </is>
      </c>
      <c r="BU30" s="250" t="inlineStr">
        <is>
          <t>1、甲方捐赠：35万/年，分组作业未分摊，服务费已包含；
2、采购费：1.35万/年，分组作业未分摊，服务费已包含；</t>
        </is>
      </c>
      <c r="BV30" s="230" t="inlineStr">
        <is>
          <t>1、签订期间：2026.2.25-2026.7.19；
2、指标按照全年换算；
3、已撤场（2026年3月）；</t>
        </is>
      </c>
      <c r="BW30" s="534" t="n"/>
    </row>
    <row r="31" ht="24" customFormat="1" customHeight="1" s="209">
      <c r="A31" s="219" t="n">
        <v>43</v>
      </c>
      <c r="B31" s="220" t="inlineStr">
        <is>
          <t>KQCY0043</t>
        </is>
      </c>
      <c r="C31" s="221" t="inlineStr">
        <is>
          <t>餐饮二分部</t>
        </is>
      </c>
      <c r="D31" s="221" t="inlineStr">
        <is>
          <t>CF125</t>
        </is>
      </c>
      <c r="E31" s="221" t="inlineStr">
        <is>
          <t>西浦大学宏愿食堂（南）</t>
        </is>
      </c>
      <c r="F31" s="219" t="inlineStr">
        <is>
          <t>分组作业</t>
        </is>
      </c>
      <c r="G31" s="222" t="inlineStr">
        <is>
          <t>徐敏娟</t>
        </is>
      </c>
      <c r="H31" s="503" t="inlineStr">
        <is>
          <t>/</t>
        </is>
      </c>
      <c r="I31" s="237" t="inlineStr">
        <is>
          <t>麻辣烫</t>
        </is>
      </c>
      <c r="J31" s="222" t="inlineStr">
        <is>
          <t>何军军</t>
        </is>
      </c>
      <c r="K31" s="545">
        <f>LET(k,D31&amp;"|"&amp;E31&amp;"|"&amp;H31&amp;"|"&amp;I31&amp;"|"&amp;J31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1" s="546" t="n"/>
      <c r="M31" s="224" t="n"/>
      <c r="N31" s="253" t="n">
        <v>20433.09</v>
      </c>
      <c r="O31" s="548" t="n">
        <v>850000</v>
      </c>
      <c r="P31" s="247" t="n">
        <v>0.12</v>
      </c>
      <c r="Q31" s="461">
        <f>K31*P31</f>
        <v/>
      </c>
      <c r="R31" s="461" t="n">
        <v>4953.55</v>
      </c>
      <c r="S31" s="461">
        <f>Q31-R31</f>
        <v/>
      </c>
      <c r="T31" s="461" t="inlineStr">
        <is>
          <t>按照实际收取</t>
        </is>
      </c>
      <c r="U31" s="461">
        <f>V31</f>
        <v/>
      </c>
      <c r="V31" s="461" t="n"/>
      <c r="W31" s="461">
        <f>U31-V31</f>
        <v/>
      </c>
      <c r="X31" s="235" t="n">
        <v>0.02</v>
      </c>
      <c r="Y31" s="461">
        <f>K31*X31</f>
        <v/>
      </c>
      <c r="Z31" s="461" t="n">
        <v>825</v>
      </c>
      <c r="AA31" s="461">
        <f>Y31-Z31</f>
        <v/>
      </c>
      <c r="AB31" s="461" t="n">
        <v>0</v>
      </c>
      <c r="AC31" s="461">
        <f>K31*AB31</f>
        <v/>
      </c>
      <c r="AD31" s="461" t="n"/>
      <c r="AE31" s="461">
        <f>AC31-AD31</f>
        <v/>
      </c>
      <c r="AF31" s="461" t="n">
        <v>0</v>
      </c>
      <c r="AG31" s="461">
        <f>K31*AF31</f>
        <v/>
      </c>
      <c r="AH31" s="461" t="n"/>
      <c r="AI31" s="461">
        <f>AG31-AH31</f>
        <v/>
      </c>
      <c r="AJ31" s="461" t="n">
        <v>0</v>
      </c>
      <c r="AK31" s="461">
        <f>K31*AJ31</f>
        <v/>
      </c>
      <c r="AL31" s="461" t="n"/>
      <c r="AM31" s="461">
        <f>AK31-AL31</f>
        <v/>
      </c>
      <c r="AN31" s="461" t="n">
        <v>0</v>
      </c>
      <c r="AO31" s="461">
        <f>K31*AN31</f>
        <v/>
      </c>
      <c r="AP31" s="461" t="n"/>
      <c r="AQ31" s="461">
        <f>AO31-AP31</f>
        <v/>
      </c>
      <c r="AR31" s="461" t="inlineStr">
        <is>
          <t>按照实际收取</t>
        </is>
      </c>
      <c r="AS31" s="461">
        <f>AT31</f>
        <v/>
      </c>
      <c r="AT31" s="461" t="n">
        <v>4577</v>
      </c>
      <c r="AU31" s="461">
        <f>AS31-AT31</f>
        <v/>
      </c>
      <c r="AV31" s="461" t="inlineStr">
        <is>
          <t>按照实际收取</t>
        </is>
      </c>
      <c r="AW31" s="461">
        <f>AX31</f>
        <v/>
      </c>
      <c r="AX31" s="461" t="n">
        <v>0</v>
      </c>
      <c r="AY31" s="461">
        <f>AW31-AX31</f>
        <v/>
      </c>
      <c r="AZ31" s="461" t="inlineStr">
        <is>
          <t>按实</t>
        </is>
      </c>
      <c r="BA31" s="461">
        <f>BB31</f>
        <v/>
      </c>
      <c r="BB31" s="461" t="n">
        <v>0</v>
      </c>
      <c r="BC31" s="461">
        <f>BA31-BB31</f>
        <v/>
      </c>
      <c r="BD31" s="247" t="n">
        <v>0.035</v>
      </c>
      <c r="BE31" s="461">
        <f>K31*BD31</f>
        <v/>
      </c>
      <c r="BF31" s="461" t="n">
        <v>0</v>
      </c>
      <c r="BG31" s="461">
        <f>BE31-BF31</f>
        <v/>
      </c>
      <c r="BH31" s="461" t="n">
        <v>0</v>
      </c>
      <c r="BI31" s="461">
        <f>K31*BH31</f>
        <v/>
      </c>
      <c r="BJ31" s="461" t="n"/>
      <c r="BK31" s="461">
        <f>BI31-BJ31</f>
        <v/>
      </c>
      <c r="BL31" s="461" t="inlineStr">
        <is>
          <t>按实</t>
        </is>
      </c>
      <c r="BM31" s="220">
        <f>BN31</f>
        <v/>
      </c>
      <c r="BN31" s="220" t="n">
        <v>10604.51</v>
      </c>
      <c r="BO31" s="220">
        <f>BM31-BN31</f>
        <v/>
      </c>
      <c r="BP31" s="220">
        <f>N31+Q31+U31+Y31+AC31+AG31+AK31+AO31+AS31+AW31+BA31+BE31+BI31+BM31</f>
        <v/>
      </c>
      <c r="BQ31" s="220">
        <f>N31+R31+V31+Z31+AD31+AH31+AL31+AP31+AT31+AX31+BB31+BF31+BJ31+BN31</f>
        <v/>
      </c>
      <c r="BR31" s="220">
        <f>BP31-BQ31</f>
        <v/>
      </c>
      <c r="BS31" s="254" t="inlineStr">
        <is>
          <t>/</t>
        </is>
      </c>
      <c r="BT31" s="229" t="inlineStr">
        <is>
          <t>/</t>
        </is>
      </c>
      <c r="BU31" s="230" t="inlineStr">
        <is>
          <t>1、装修折旧费：项目反馈不收取，包含在服务费中；</t>
        </is>
      </c>
      <c r="BV31" s="230" t="inlineStr">
        <is>
          <t>1、签订期间：2025.9-2026.8；
2、指标按照全年换算；</t>
        </is>
      </c>
      <c r="BW31" s="534" t="n"/>
    </row>
    <row r="32" ht="24" customFormat="1" customHeight="1" s="209">
      <c r="A32" s="219" t="n">
        <v>44</v>
      </c>
      <c r="B32" s="220" t="inlineStr">
        <is>
          <t>KQCY0044</t>
        </is>
      </c>
      <c r="C32" s="221" t="inlineStr">
        <is>
          <t>餐饮二分部</t>
        </is>
      </c>
      <c r="D32" s="221" t="inlineStr">
        <is>
          <t>CF125</t>
        </is>
      </c>
      <c r="E32" s="221" t="inlineStr">
        <is>
          <t>西浦大学宏愿食堂（南）</t>
        </is>
      </c>
      <c r="F32" s="219" t="inlineStr">
        <is>
          <t>分组作业</t>
        </is>
      </c>
      <c r="G32" s="222" t="inlineStr">
        <is>
          <t>徐敏娟</t>
        </is>
      </c>
      <c r="H32" s="503" t="inlineStr">
        <is>
          <t>/</t>
        </is>
      </c>
      <c r="I32" s="237" t="inlineStr">
        <is>
          <t>小炒</t>
        </is>
      </c>
      <c r="J32" s="222" t="inlineStr">
        <is>
          <t>王成龙</t>
        </is>
      </c>
      <c r="K32" s="545">
        <f>LET(k,D32&amp;"|"&amp;E32&amp;"|"&amp;H32&amp;"|"&amp;I32&amp;"|"&amp;J32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2" s="546" t="n"/>
      <c r="M32" s="224" t="n"/>
      <c r="N32" s="253" t="n"/>
      <c r="O32" s="548" t="n">
        <v>1500000</v>
      </c>
      <c r="P32" s="247" t="n">
        <v>0.12</v>
      </c>
      <c r="Q32" s="461">
        <f>K32*P32</f>
        <v/>
      </c>
      <c r="R32" s="461" t="n"/>
      <c r="S32" s="461">
        <f>Q32-R32</f>
        <v/>
      </c>
      <c r="T32" s="461" t="inlineStr">
        <is>
          <t>按照实际收取</t>
        </is>
      </c>
      <c r="U32" s="461">
        <f>V32</f>
        <v/>
      </c>
      <c r="V32" s="461" t="n"/>
      <c r="W32" s="461">
        <f>U32-V32</f>
        <v/>
      </c>
      <c r="X32" s="235" t="n">
        <v>0.02</v>
      </c>
      <c r="Y32" s="461">
        <f>K32*X32</f>
        <v/>
      </c>
      <c r="Z32" s="461" t="n"/>
      <c r="AA32" s="461">
        <f>Y32-Z32</f>
        <v/>
      </c>
      <c r="AB32" s="461" t="n">
        <v>0</v>
      </c>
      <c r="AC32" s="461">
        <f>K32*AB32</f>
        <v/>
      </c>
      <c r="AD32" s="461" t="n"/>
      <c r="AE32" s="461">
        <f>AC32-AD32</f>
        <v/>
      </c>
      <c r="AF32" s="461" t="n">
        <v>0</v>
      </c>
      <c r="AG32" s="461">
        <f>K32*AF32</f>
        <v/>
      </c>
      <c r="AH32" s="461" t="n"/>
      <c r="AI32" s="461">
        <f>AG32-AH32</f>
        <v/>
      </c>
      <c r="AJ32" s="461" t="n">
        <v>0</v>
      </c>
      <c r="AK32" s="461">
        <f>K32*AJ32</f>
        <v/>
      </c>
      <c r="AL32" s="461" t="n"/>
      <c r="AM32" s="461">
        <f>AK32-AL32</f>
        <v/>
      </c>
      <c r="AN32" s="461" t="n">
        <v>0</v>
      </c>
      <c r="AO32" s="461">
        <f>K32*AN32</f>
        <v/>
      </c>
      <c r="AP32" s="461" t="n"/>
      <c r="AQ32" s="461">
        <f>AO32-AP32</f>
        <v/>
      </c>
      <c r="AR32" s="461" t="inlineStr">
        <is>
          <t>按照实际收取</t>
        </is>
      </c>
      <c r="AS32" s="461">
        <f>AT32</f>
        <v/>
      </c>
      <c r="AT32" s="461" t="n"/>
      <c r="AU32" s="461">
        <f>AS32-AT32</f>
        <v/>
      </c>
      <c r="AV32" s="461" t="inlineStr">
        <is>
          <t>按照实际收取</t>
        </is>
      </c>
      <c r="AW32" s="461">
        <f>AX32</f>
        <v/>
      </c>
      <c r="AX32" s="461" t="n"/>
      <c r="AY32" s="461">
        <f>AW32-AX32</f>
        <v/>
      </c>
      <c r="AZ32" s="461" t="inlineStr">
        <is>
          <t>按实</t>
        </is>
      </c>
      <c r="BA32" s="461">
        <f>BB32</f>
        <v/>
      </c>
      <c r="BB32" s="461" t="n"/>
      <c r="BC32" s="461">
        <f>BA32-BB32</f>
        <v/>
      </c>
      <c r="BD32" s="247" t="n">
        <v>0.035</v>
      </c>
      <c r="BE32" s="461">
        <f>K32*BD32</f>
        <v/>
      </c>
      <c r="BF32" s="461" t="n"/>
      <c r="BG32" s="461">
        <f>BE32-BF32</f>
        <v/>
      </c>
      <c r="BH32" s="461" t="n">
        <v>0</v>
      </c>
      <c r="BI32" s="461">
        <f>K32*BH32</f>
        <v/>
      </c>
      <c r="BJ32" s="461" t="n"/>
      <c r="BK32" s="461">
        <f>BI32-BJ32</f>
        <v/>
      </c>
      <c r="BL32" s="461" t="inlineStr">
        <is>
          <t>按实</t>
        </is>
      </c>
      <c r="BM32" s="220">
        <f>BN32</f>
        <v/>
      </c>
      <c r="BN32" s="220" t="n"/>
      <c r="BO32" s="220">
        <f>BM32-BN32</f>
        <v/>
      </c>
      <c r="BP32" s="220">
        <f>N32+Q32+U32+Y32+AC32+AG32+AK32+AO32+AS32+AW32+BA32+BE32+BI32+BM32</f>
        <v/>
      </c>
      <c r="BQ32" s="220">
        <f>N32+R32+V32+Z32+AD32+AH32+AL32+AP32+AT32+AX32+BB32+BF32+BJ32+BN32</f>
        <v/>
      </c>
      <c r="BR32" s="220">
        <f>BP32-BQ32</f>
        <v/>
      </c>
      <c r="BS32" s="254" t="inlineStr">
        <is>
          <t>/</t>
        </is>
      </c>
      <c r="BT32" s="229" t="inlineStr">
        <is>
          <t>/</t>
        </is>
      </c>
      <c r="BU32" s="230" t="inlineStr">
        <is>
          <t>1、装修折旧费：项目反馈不收取，包含在服务费中；</t>
        </is>
      </c>
      <c r="BV32" s="230" t="inlineStr">
        <is>
          <t>1、签订期间：2025.9-2026.8；
2、指标按照全年换算；</t>
        </is>
      </c>
      <c r="BW32" s="534" t="n"/>
    </row>
    <row r="33" ht="24" customFormat="1" customHeight="1" s="209">
      <c r="A33" s="219" t="n">
        <v>45</v>
      </c>
      <c r="B33" s="220" t="inlineStr">
        <is>
          <t>KQCY0045</t>
        </is>
      </c>
      <c r="C33" s="221" t="inlineStr">
        <is>
          <t>餐饮二分部</t>
        </is>
      </c>
      <c r="D33" s="221" t="inlineStr">
        <is>
          <t>CF125</t>
        </is>
      </c>
      <c r="E33" s="221" t="inlineStr">
        <is>
          <t>西浦大学宏愿食堂（南）</t>
        </is>
      </c>
      <c r="F33" s="219" t="inlineStr">
        <is>
          <t>分组作业</t>
        </is>
      </c>
      <c r="G33" s="222" t="inlineStr">
        <is>
          <t>徐敏娟</t>
        </is>
      </c>
      <c r="H33" s="503" t="inlineStr">
        <is>
          <t>/</t>
        </is>
      </c>
      <c r="I33" s="237" t="inlineStr">
        <is>
          <t>枣糕</t>
        </is>
      </c>
      <c r="J33" s="222" t="inlineStr">
        <is>
          <t>杜松松</t>
        </is>
      </c>
      <c r="K33" s="545">
        <f>LET(k,D33&amp;"|"&amp;E33&amp;"|"&amp;H33&amp;"|"&amp;I33&amp;"|"&amp;J33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3" s="546" t="n"/>
      <c r="M33" s="224" t="n"/>
      <c r="N33" s="253" t="n"/>
      <c r="O33" s="548" t="n">
        <v>340000</v>
      </c>
      <c r="P33" s="247" t="n">
        <v>0.12</v>
      </c>
      <c r="Q33" s="461">
        <f>K33*P33</f>
        <v/>
      </c>
      <c r="R33" s="461" t="n"/>
      <c r="S33" s="461">
        <f>Q33-R33</f>
        <v/>
      </c>
      <c r="T33" s="461" t="inlineStr">
        <is>
          <t>按照实际收取</t>
        </is>
      </c>
      <c r="U33" s="461">
        <f>V33</f>
        <v/>
      </c>
      <c r="V33" s="461" t="n"/>
      <c r="W33" s="461">
        <f>U33-V33</f>
        <v/>
      </c>
      <c r="X33" s="235" t="n">
        <v>0.02</v>
      </c>
      <c r="Y33" s="461">
        <f>K33*X33</f>
        <v/>
      </c>
      <c r="Z33" s="461" t="n"/>
      <c r="AA33" s="461">
        <f>Y33-Z33</f>
        <v/>
      </c>
      <c r="AB33" s="461" t="n">
        <v>0</v>
      </c>
      <c r="AC33" s="461">
        <f>K33*AB33</f>
        <v/>
      </c>
      <c r="AD33" s="461" t="n"/>
      <c r="AE33" s="461">
        <f>AC33-AD33</f>
        <v/>
      </c>
      <c r="AF33" s="461" t="n">
        <v>0</v>
      </c>
      <c r="AG33" s="461">
        <f>K33*AF33</f>
        <v/>
      </c>
      <c r="AH33" s="461" t="n"/>
      <c r="AI33" s="461">
        <f>AG33-AH33</f>
        <v/>
      </c>
      <c r="AJ33" s="461" t="n">
        <v>0</v>
      </c>
      <c r="AK33" s="461">
        <f>K33*AJ33</f>
        <v/>
      </c>
      <c r="AL33" s="461" t="n"/>
      <c r="AM33" s="461">
        <f>AK33-AL33</f>
        <v/>
      </c>
      <c r="AN33" s="461" t="n">
        <v>0</v>
      </c>
      <c r="AO33" s="461">
        <f>K33*AN33</f>
        <v/>
      </c>
      <c r="AP33" s="461" t="n"/>
      <c r="AQ33" s="461">
        <f>AO33-AP33</f>
        <v/>
      </c>
      <c r="AR33" s="461" t="inlineStr">
        <is>
          <t>按照实际收取</t>
        </is>
      </c>
      <c r="AS33" s="461">
        <f>AT33</f>
        <v/>
      </c>
      <c r="AT33" s="461" t="n"/>
      <c r="AU33" s="461">
        <f>AS33-AT33</f>
        <v/>
      </c>
      <c r="AV33" s="461" t="inlineStr">
        <is>
          <t>按照实际收取</t>
        </is>
      </c>
      <c r="AW33" s="461">
        <f>AX33</f>
        <v/>
      </c>
      <c r="AX33" s="461" t="n"/>
      <c r="AY33" s="461">
        <f>AW33-AX33</f>
        <v/>
      </c>
      <c r="AZ33" s="461" t="inlineStr">
        <is>
          <t>按实</t>
        </is>
      </c>
      <c r="BA33" s="461">
        <f>BB33</f>
        <v/>
      </c>
      <c r="BB33" s="461" t="n"/>
      <c r="BC33" s="461">
        <f>BA33-BB33</f>
        <v/>
      </c>
      <c r="BD33" s="247" t="n">
        <v>0.035</v>
      </c>
      <c r="BE33" s="461">
        <f>K33*BD33</f>
        <v/>
      </c>
      <c r="BF33" s="461" t="n"/>
      <c r="BG33" s="461">
        <f>BE33-BF33</f>
        <v/>
      </c>
      <c r="BH33" s="461" t="n">
        <v>0</v>
      </c>
      <c r="BI33" s="461">
        <f>K33*BH33</f>
        <v/>
      </c>
      <c r="BJ33" s="461" t="n"/>
      <c r="BK33" s="461">
        <f>BI33-BJ33</f>
        <v/>
      </c>
      <c r="BL33" s="461" t="inlineStr">
        <is>
          <t>按实</t>
        </is>
      </c>
      <c r="BM33" s="220">
        <f>BN33</f>
        <v/>
      </c>
      <c r="BN33" s="220" t="n"/>
      <c r="BO33" s="220">
        <f>BM33-BN33</f>
        <v/>
      </c>
      <c r="BP33" s="220">
        <f>N33+Q33+U33+Y33+AC33+AG33+AK33+AO33+AS33+AW33+BA33+BE33+BI33+BM33</f>
        <v/>
      </c>
      <c r="BQ33" s="220">
        <f>N33+R33+V33+Z33+AD33+AH33+AL33+AP33+AT33+AX33+BB33+BF33+BJ33+BN33</f>
        <v/>
      </c>
      <c r="BR33" s="220">
        <f>BP33-BQ33</f>
        <v/>
      </c>
      <c r="BS33" s="254" t="inlineStr">
        <is>
          <t>/</t>
        </is>
      </c>
      <c r="BT33" s="229" t="inlineStr">
        <is>
          <t>/</t>
        </is>
      </c>
      <c r="BU33" s="230" t="inlineStr">
        <is>
          <t>1、装修折旧费：项目反馈不收取，包含在服务费中；</t>
        </is>
      </c>
      <c r="BV33" s="230" t="inlineStr">
        <is>
          <t>1、签订期间：2025.9-2026.8；
2、指标按照全年换算；</t>
        </is>
      </c>
      <c r="BW33" s="534" t="n"/>
    </row>
    <row r="34" ht="24" customFormat="1" customHeight="1" s="209">
      <c r="A34" s="219" t="n">
        <v>46</v>
      </c>
      <c r="B34" s="220" t="inlineStr">
        <is>
          <t>KQCY0046</t>
        </is>
      </c>
      <c r="C34" s="221" t="inlineStr">
        <is>
          <t>餐饮二分部</t>
        </is>
      </c>
      <c r="D34" s="221" t="inlineStr">
        <is>
          <t>CF125</t>
        </is>
      </c>
      <c r="E34" s="221" t="inlineStr">
        <is>
          <t>西浦大学宏愿食堂（南）</t>
        </is>
      </c>
      <c r="F34" s="219" t="inlineStr">
        <is>
          <t>分组作业</t>
        </is>
      </c>
      <c r="G34" s="222" t="inlineStr">
        <is>
          <t>徐敏娟</t>
        </is>
      </c>
      <c r="H34" s="503" t="inlineStr">
        <is>
          <t>/</t>
        </is>
      </c>
      <c r="I34" s="237" t="inlineStr">
        <is>
          <t>面条</t>
        </is>
      </c>
      <c r="J34" s="222" t="inlineStr">
        <is>
          <t>葛文静</t>
        </is>
      </c>
      <c r="K34" s="545">
        <f>LET(k,D34&amp;"|"&amp;E34&amp;"|"&amp;H34&amp;"|"&amp;I34&amp;"|"&amp;J34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4" s="546" t="n"/>
      <c r="M34" s="224" t="n"/>
      <c r="N34" s="253" t="n"/>
      <c r="O34" s="548" t="n">
        <v>365000</v>
      </c>
      <c r="P34" s="247" t="n">
        <v>0.12</v>
      </c>
      <c r="Q34" s="461">
        <f>K34*P34</f>
        <v/>
      </c>
      <c r="R34" s="461" t="n"/>
      <c r="S34" s="461">
        <f>Q34-R34</f>
        <v/>
      </c>
      <c r="T34" s="461" t="inlineStr">
        <is>
          <t>按照实际收取</t>
        </is>
      </c>
      <c r="U34" s="461">
        <f>V34</f>
        <v/>
      </c>
      <c r="V34" s="461" t="n"/>
      <c r="W34" s="461">
        <f>U34-V34</f>
        <v/>
      </c>
      <c r="X34" s="235" t="n">
        <v>0.02</v>
      </c>
      <c r="Y34" s="461">
        <f>K34*X34</f>
        <v/>
      </c>
      <c r="Z34" s="461" t="n"/>
      <c r="AA34" s="461">
        <f>Y34-Z34</f>
        <v/>
      </c>
      <c r="AB34" s="461" t="n">
        <v>0</v>
      </c>
      <c r="AC34" s="461">
        <f>K34*AB34</f>
        <v/>
      </c>
      <c r="AD34" s="461" t="n"/>
      <c r="AE34" s="461">
        <f>AC34-AD34</f>
        <v/>
      </c>
      <c r="AF34" s="461" t="n">
        <v>0</v>
      </c>
      <c r="AG34" s="461">
        <f>K34*AF34</f>
        <v/>
      </c>
      <c r="AH34" s="461" t="n"/>
      <c r="AI34" s="461">
        <f>AG34-AH34</f>
        <v/>
      </c>
      <c r="AJ34" s="461" t="n">
        <v>0</v>
      </c>
      <c r="AK34" s="461">
        <f>K34*AJ34</f>
        <v/>
      </c>
      <c r="AL34" s="461" t="n"/>
      <c r="AM34" s="461">
        <f>AK34-AL34</f>
        <v/>
      </c>
      <c r="AN34" s="461" t="n">
        <v>0</v>
      </c>
      <c r="AO34" s="461">
        <f>K34*AN34</f>
        <v/>
      </c>
      <c r="AP34" s="461" t="n"/>
      <c r="AQ34" s="461">
        <f>AO34-AP34</f>
        <v/>
      </c>
      <c r="AR34" s="461" t="inlineStr">
        <is>
          <t>按照实际收取</t>
        </is>
      </c>
      <c r="AS34" s="461">
        <f>AT34</f>
        <v/>
      </c>
      <c r="AT34" s="461" t="n"/>
      <c r="AU34" s="461">
        <f>AS34-AT34</f>
        <v/>
      </c>
      <c r="AV34" s="461" t="inlineStr">
        <is>
          <t>按照实际收取</t>
        </is>
      </c>
      <c r="AW34" s="461">
        <f>AX34</f>
        <v/>
      </c>
      <c r="AX34" s="461" t="n"/>
      <c r="AY34" s="461">
        <f>AW34-AX34</f>
        <v/>
      </c>
      <c r="AZ34" s="461" t="inlineStr">
        <is>
          <t>按实</t>
        </is>
      </c>
      <c r="BA34" s="461">
        <f>BB34</f>
        <v/>
      </c>
      <c r="BB34" s="461" t="n"/>
      <c r="BC34" s="461">
        <f>BA34-BB34</f>
        <v/>
      </c>
      <c r="BD34" s="247" t="n">
        <v>0.035</v>
      </c>
      <c r="BE34" s="461">
        <f>K34*BD34</f>
        <v/>
      </c>
      <c r="BF34" s="461" t="n"/>
      <c r="BG34" s="461">
        <f>BE34-BF34</f>
        <v/>
      </c>
      <c r="BH34" s="461" t="n">
        <v>0</v>
      </c>
      <c r="BI34" s="461">
        <f>K34*BH34</f>
        <v/>
      </c>
      <c r="BJ34" s="461" t="n"/>
      <c r="BK34" s="461">
        <f>BI34-BJ34</f>
        <v/>
      </c>
      <c r="BL34" s="461" t="inlineStr">
        <is>
          <t>按实</t>
        </is>
      </c>
      <c r="BM34" s="220">
        <f>BN34</f>
        <v/>
      </c>
      <c r="BN34" s="220" t="n"/>
      <c r="BO34" s="220">
        <f>BM34-BN34</f>
        <v/>
      </c>
      <c r="BP34" s="220">
        <f>N34+Q34+U34+Y34+AC34+AG34+AK34+AO34+AS34+AW34+BA34+BE34+BI34+BM34</f>
        <v/>
      </c>
      <c r="BQ34" s="220">
        <f>N34+R34+V34+Z34+AD34+AH34+AL34+AP34+AT34+AX34+BB34+BF34+BJ34+BN34</f>
        <v/>
      </c>
      <c r="BR34" s="220">
        <f>BP34-BQ34</f>
        <v/>
      </c>
      <c r="BS34" s="254" t="inlineStr">
        <is>
          <t>/</t>
        </is>
      </c>
      <c r="BT34" s="229" t="inlineStr">
        <is>
          <t>/</t>
        </is>
      </c>
      <c r="BU34" s="230" t="inlineStr">
        <is>
          <t>1、装修折旧费：项目反馈不收取，包含在服务费中；</t>
        </is>
      </c>
      <c r="BV34" s="230" t="inlineStr">
        <is>
          <t>1、签订期间：2025.9-2026.8；
2、指标按照全年换算；</t>
        </is>
      </c>
      <c r="BW34" s="534" t="n"/>
    </row>
    <row r="35" ht="24" customFormat="1" customHeight="1" s="209">
      <c r="A35" s="219" t="n">
        <v>47</v>
      </c>
      <c r="B35" s="220" t="inlineStr">
        <is>
          <t>KQCY0047</t>
        </is>
      </c>
      <c r="C35" s="221" t="inlineStr">
        <is>
          <t>餐饮二分部</t>
        </is>
      </c>
      <c r="D35" s="221" t="inlineStr">
        <is>
          <t>CF125</t>
        </is>
      </c>
      <c r="E35" s="221" t="inlineStr">
        <is>
          <t>西浦大学宏愿食堂（南）</t>
        </is>
      </c>
      <c r="F35" s="219" t="inlineStr">
        <is>
          <t>分组作业</t>
        </is>
      </c>
      <c r="G35" s="222" t="inlineStr">
        <is>
          <t>徐敏娟</t>
        </is>
      </c>
      <c r="H35" s="503" t="inlineStr">
        <is>
          <t>/</t>
        </is>
      </c>
      <c r="I35" s="237" t="inlineStr">
        <is>
          <t>烤肉</t>
        </is>
      </c>
      <c r="J35" s="222" t="inlineStr">
        <is>
          <t>杜松松</t>
        </is>
      </c>
      <c r="K35" s="545">
        <f>LET(k,D35&amp;"|"&amp;E35&amp;"|"&amp;H35&amp;"|"&amp;I35&amp;"|"&amp;J35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5" s="546" t="n"/>
      <c r="M35" s="224" t="n"/>
      <c r="N35" s="253" t="n"/>
      <c r="O35" s="548" t="n">
        <v>370000</v>
      </c>
      <c r="P35" s="247" t="n">
        <v>0.12</v>
      </c>
      <c r="Q35" s="461">
        <f>K35*P35</f>
        <v/>
      </c>
      <c r="R35" s="461" t="n"/>
      <c r="S35" s="461">
        <f>Q35-R35</f>
        <v/>
      </c>
      <c r="T35" s="461" t="inlineStr">
        <is>
          <t>按照实际收取</t>
        </is>
      </c>
      <c r="U35" s="461">
        <f>V35</f>
        <v/>
      </c>
      <c r="V35" s="461" t="n"/>
      <c r="W35" s="461">
        <f>U35-V35</f>
        <v/>
      </c>
      <c r="X35" s="235" t="n">
        <v>0.02</v>
      </c>
      <c r="Y35" s="461">
        <f>K35*X35</f>
        <v/>
      </c>
      <c r="Z35" s="461" t="n"/>
      <c r="AA35" s="461">
        <f>Y35-Z35</f>
        <v/>
      </c>
      <c r="AB35" s="461" t="n">
        <v>0</v>
      </c>
      <c r="AC35" s="461">
        <f>K35*AB35</f>
        <v/>
      </c>
      <c r="AD35" s="461" t="n"/>
      <c r="AE35" s="461">
        <f>AC35-AD35</f>
        <v/>
      </c>
      <c r="AF35" s="461" t="n">
        <v>0</v>
      </c>
      <c r="AG35" s="461">
        <f>K35*AF35</f>
        <v/>
      </c>
      <c r="AH35" s="461" t="n"/>
      <c r="AI35" s="461">
        <f>AG35-AH35</f>
        <v/>
      </c>
      <c r="AJ35" s="461" t="n">
        <v>0</v>
      </c>
      <c r="AK35" s="461">
        <f>K35*AJ35</f>
        <v/>
      </c>
      <c r="AL35" s="461" t="n"/>
      <c r="AM35" s="461">
        <f>AK35-AL35</f>
        <v/>
      </c>
      <c r="AN35" s="461" t="n">
        <v>0</v>
      </c>
      <c r="AO35" s="461">
        <f>K35*AN35</f>
        <v/>
      </c>
      <c r="AP35" s="461" t="n"/>
      <c r="AQ35" s="461">
        <f>AO35-AP35</f>
        <v/>
      </c>
      <c r="AR35" s="461" t="inlineStr">
        <is>
          <t>按照实际收取</t>
        </is>
      </c>
      <c r="AS35" s="461">
        <f>AT35</f>
        <v/>
      </c>
      <c r="AT35" s="461" t="n"/>
      <c r="AU35" s="461">
        <f>AS35-AT35</f>
        <v/>
      </c>
      <c r="AV35" s="461" t="inlineStr">
        <is>
          <t>按照实际收取</t>
        </is>
      </c>
      <c r="AW35" s="461">
        <f>AX35</f>
        <v/>
      </c>
      <c r="AX35" s="461" t="n"/>
      <c r="AY35" s="461">
        <f>AW35-AX35</f>
        <v/>
      </c>
      <c r="AZ35" s="461" t="inlineStr">
        <is>
          <t>按实</t>
        </is>
      </c>
      <c r="BA35" s="461">
        <f>BB35</f>
        <v/>
      </c>
      <c r="BB35" s="461" t="n"/>
      <c r="BC35" s="461">
        <f>BA35-BB35</f>
        <v/>
      </c>
      <c r="BD35" s="247" t="n">
        <v>0.035</v>
      </c>
      <c r="BE35" s="461">
        <f>K35*BD35</f>
        <v/>
      </c>
      <c r="BF35" s="461" t="n"/>
      <c r="BG35" s="461">
        <f>BE35-BF35</f>
        <v/>
      </c>
      <c r="BH35" s="461" t="n">
        <v>0</v>
      </c>
      <c r="BI35" s="461">
        <f>K35*BH35</f>
        <v/>
      </c>
      <c r="BJ35" s="461" t="n"/>
      <c r="BK35" s="461">
        <f>BI35-BJ35</f>
        <v/>
      </c>
      <c r="BL35" s="461" t="inlineStr">
        <is>
          <t>按实</t>
        </is>
      </c>
      <c r="BM35" s="220">
        <f>BN35</f>
        <v/>
      </c>
      <c r="BN35" s="220" t="n"/>
      <c r="BO35" s="220">
        <f>BM35-BN35</f>
        <v/>
      </c>
      <c r="BP35" s="220">
        <f>N35+Q35+U35+Y35+AC35+AG35+AK35+AO35+AS35+AW35+BA35+BE35+BI35+BM35</f>
        <v/>
      </c>
      <c r="BQ35" s="220">
        <f>N35+R35+V35+Z35+AD35+AH35+AL35+AP35+AT35+AX35+BB35+BF35+BJ35+BN35</f>
        <v/>
      </c>
      <c r="BR35" s="220">
        <f>BP35-BQ35</f>
        <v/>
      </c>
      <c r="BS35" s="254" t="inlineStr">
        <is>
          <t>/</t>
        </is>
      </c>
      <c r="BT35" s="229" t="inlineStr">
        <is>
          <t>/</t>
        </is>
      </c>
      <c r="BU35" s="230" t="inlineStr">
        <is>
          <t>1、装修折旧费：项目反馈不收取，包含在服务费中；</t>
        </is>
      </c>
      <c r="BV35" s="230" t="inlineStr">
        <is>
          <t>1、签订期间：2025.9-2026.8；
2、指标按照全年换算；</t>
        </is>
      </c>
      <c r="BW35" s="534" t="n"/>
    </row>
    <row r="36" ht="24" customFormat="1" customHeight="1" s="209">
      <c r="A36" s="219" t="n">
        <v>48</v>
      </c>
      <c r="B36" s="220" t="inlineStr">
        <is>
          <t>KQCY0048</t>
        </is>
      </c>
      <c r="C36" s="221" t="inlineStr">
        <is>
          <t>餐饮二分部</t>
        </is>
      </c>
      <c r="D36" s="221" t="inlineStr">
        <is>
          <t>CF125</t>
        </is>
      </c>
      <c r="E36" s="221" t="inlineStr">
        <is>
          <t>西浦大学宏愿食堂（南）</t>
        </is>
      </c>
      <c r="F36" s="219" t="inlineStr">
        <is>
          <t>分组作业</t>
        </is>
      </c>
      <c r="G36" s="222" t="inlineStr">
        <is>
          <t>徐敏娟</t>
        </is>
      </c>
      <c r="H36" s="503" t="inlineStr">
        <is>
          <t>/</t>
        </is>
      </c>
      <c r="I36" s="237" t="inlineStr">
        <is>
          <t>粉丝汤</t>
        </is>
      </c>
      <c r="J36" s="222" t="inlineStr">
        <is>
          <t>李鑫</t>
        </is>
      </c>
      <c r="K36" s="545">
        <f>LET(k,D36&amp;"|"&amp;E36&amp;"|"&amp;H36&amp;"|"&amp;I36&amp;"|"&amp;J36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6" s="546" t="n"/>
      <c r="M36" s="224" t="n"/>
      <c r="N36" s="253" t="n"/>
      <c r="O36" s="548" t="n">
        <v>440000</v>
      </c>
      <c r="P36" s="247" t="n">
        <v>0.12</v>
      </c>
      <c r="Q36" s="461">
        <f>K36*P36</f>
        <v/>
      </c>
      <c r="R36" s="461" t="n"/>
      <c r="S36" s="461">
        <f>Q36-R36</f>
        <v/>
      </c>
      <c r="T36" s="461" t="inlineStr">
        <is>
          <t>按照实际收取</t>
        </is>
      </c>
      <c r="U36" s="461">
        <f>V36</f>
        <v/>
      </c>
      <c r="V36" s="461" t="n"/>
      <c r="W36" s="461">
        <f>U36-V36</f>
        <v/>
      </c>
      <c r="X36" s="235" t="n">
        <v>0.02</v>
      </c>
      <c r="Y36" s="461">
        <f>K36*X36</f>
        <v/>
      </c>
      <c r="Z36" s="461" t="n"/>
      <c r="AA36" s="461">
        <f>Y36-Z36</f>
        <v/>
      </c>
      <c r="AB36" s="461" t="n">
        <v>0</v>
      </c>
      <c r="AC36" s="461">
        <f>K36*AB36</f>
        <v/>
      </c>
      <c r="AD36" s="461" t="n"/>
      <c r="AE36" s="461">
        <f>AC36-AD36</f>
        <v/>
      </c>
      <c r="AF36" s="461" t="n">
        <v>0</v>
      </c>
      <c r="AG36" s="461">
        <f>K36*AF36</f>
        <v/>
      </c>
      <c r="AH36" s="461" t="n"/>
      <c r="AI36" s="461">
        <f>AG36-AH36</f>
        <v/>
      </c>
      <c r="AJ36" s="461" t="n">
        <v>0</v>
      </c>
      <c r="AK36" s="461">
        <f>K36*AJ36</f>
        <v/>
      </c>
      <c r="AL36" s="461" t="n"/>
      <c r="AM36" s="461">
        <f>AK36-AL36</f>
        <v/>
      </c>
      <c r="AN36" s="461" t="n">
        <v>0</v>
      </c>
      <c r="AO36" s="461">
        <f>K36*AN36</f>
        <v/>
      </c>
      <c r="AP36" s="461" t="n"/>
      <c r="AQ36" s="461">
        <f>AO36-AP36</f>
        <v/>
      </c>
      <c r="AR36" s="461" t="inlineStr">
        <is>
          <t>按照实际收取</t>
        </is>
      </c>
      <c r="AS36" s="461">
        <f>AT36</f>
        <v/>
      </c>
      <c r="AT36" s="461" t="n"/>
      <c r="AU36" s="461">
        <f>AS36-AT36</f>
        <v/>
      </c>
      <c r="AV36" s="461" t="inlineStr">
        <is>
          <t>按照实际收取</t>
        </is>
      </c>
      <c r="AW36" s="461">
        <f>AX36</f>
        <v/>
      </c>
      <c r="AX36" s="461" t="n"/>
      <c r="AY36" s="461">
        <f>AW36-AX36</f>
        <v/>
      </c>
      <c r="AZ36" s="461" t="inlineStr">
        <is>
          <t>按实</t>
        </is>
      </c>
      <c r="BA36" s="461">
        <f>BB36</f>
        <v/>
      </c>
      <c r="BB36" s="461" t="n"/>
      <c r="BC36" s="461">
        <f>BA36-BB36</f>
        <v/>
      </c>
      <c r="BD36" s="247" t="n">
        <v>0.035</v>
      </c>
      <c r="BE36" s="461">
        <f>K36*BD36</f>
        <v/>
      </c>
      <c r="BF36" s="461" t="n"/>
      <c r="BG36" s="461">
        <f>BE36-BF36</f>
        <v/>
      </c>
      <c r="BH36" s="461" t="n">
        <v>0</v>
      </c>
      <c r="BI36" s="461">
        <f>K36*BH36</f>
        <v/>
      </c>
      <c r="BJ36" s="461" t="n"/>
      <c r="BK36" s="461">
        <f>BI36-BJ36</f>
        <v/>
      </c>
      <c r="BL36" s="461" t="inlineStr">
        <is>
          <t>按实</t>
        </is>
      </c>
      <c r="BM36" s="220">
        <f>BN36</f>
        <v/>
      </c>
      <c r="BN36" s="220" t="n"/>
      <c r="BO36" s="220">
        <f>BM36-BN36</f>
        <v/>
      </c>
      <c r="BP36" s="220">
        <f>N36+Q36+U36+Y36+AC36+AG36+AK36+AO36+AS36+AW36+BA36+BE36+BI36+BM36</f>
        <v/>
      </c>
      <c r="BQ36" s="220">
        <f>N36+R36+V36+Z36+AD36+AH36+AL36+AP36+AT36+AX36+BB36+BF36+BJ36+BN36</f>
        <v/>
      </c>
      <c r="BR36" s="220">
        <f>BP36-BQ36</f>
        <v/>
      </c>
      <c r="BS36" s="254" t="inlineStr">
        <is>
          <t>/</t>
        </is>
      </c>
      <c r="BT36" s="229" t="inlineStr">
        <is>
          <t>/</t>
        </is>
      </c>
      <c r="BU36" s="230" t="inlineStr">
        <is>
          <t>1、装修折旧费：项目反馈不收取，包含在服务费中；</t>
        </is>
      </c>
      <c r="BV36" s="230" t="inlineStr">
        <is>
          <t>1、签订期间：2025.9-2026.8；
2、指标按照全年换算；</t>
        </is>
      </c>
      <c r="BW36" s="534" t="n"/>
    </row>
    <row r="37" ht="24" customFormat="1" customHeight="1" s="209">
      <c r="A37" s="219" t="n">
        <v>50</v>
      </c>
      <c r="B37" s="220" t="inlineStr">
        <is>
          <t>KQCY0050</t>
        </is>
      </c>
      <c r="C37" s="221" t="inlineStr">
        <is>
          <t>餐饮二分部</t>
        </is>
      </c>
      <c r="D37" s="221" t="inlineStr">
        <is>
          <t>CF137</t>
        </is>
      </c>
      <c r="E37" s="221" t="inlineStr">
        <is>
          <t>西浦大学宏愿食堂（北）</t>
        </is>
      </c>
      <c r="F37" s="219" t="inlineStr">
        <is>
          <t>分组作业</t>
        </is>
      </c>
      <c r="G37" s="222" t="inlineStr">
        <is>
          <t>徐敏娟</t>
        </is>
      </c>
      <c r="H37" s="503" t="inlineStr">
        <is>
          <t>/</t>
        </is>
      </c>
      <c r="I37" s="237" t="inlineStr">
        <is>
          <t>滑蛋饭</t>
        </is>
      </c>
      <c r="J37" s="503" t="inlineStr">
        <is>
          <t>赵广伟</t>
        </is>
      </c>
      <c r="K37" s="545">
        <f>LET(k,D37&amp;"|"&amp;E37&amp;"|"&amp;H37&amp;"|"&amp;I37&amp;"|"&amp;J37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7" s="546" t="n"/>
      <c r="M37" s="224" t="n"/>
      <c r="N37" s="253" t="n">
        <v>13454.15</v>
      </c>
      <c r="O37" s="548" t="n">
        <v>345000</v>
      </c>
      <c r="P37" s="247" t="n">
        <v>0.14</v>
      </c>
      <c r="Q37" s="461">
        <f>K37*P37</f>
        <v/>
      </c>
      <c r="R37" s="461" t="n">
        <v>0</v>
      </c>
      <c r="S37" s="461">
        <f>Q37-R37</f>
        <v/>
      </c>
      <c r="T37" s="461" t="n">
        <v>0</v>
      </c>
      <c r="U37" s="461">
        <f>K37*T37</f>
        <v/>
      </c>
      <c r="V37" s="461" t="n"/>
      <c r="W37" s="461">
        <f>U37-V37</f>
        <v/>
      </c>
      <c r="X37" s="235" t="n">
        <v>0.02</v>
      </c>
      <c r="Y37" s="461">
        <f>K37*X37</f>
        <v/>
      </c>
      <c r="Z37" s="461" t="n">
        <v>0</v>
      </c>
      <c r="AA37" s="461">
        <f>Y37-Z37</f>
        <v/>
      </c>
      <c r="AB37" s="461" t="n">
        <v>0</v>
      </c>
      <c r="AC37" s="461">
        <f>K37*AB37</f>
        <v/>
      </c>
      <c r="AD37" s="461" t="n"/>
      <c r="AE37" s="461">
        <f>AC37-AD37</f>
        <v/>
      </c>
      <c r="AF37" s="461" t="n">
        <v>0</v>
      </c>
      <c r="AG37" s="461">
        <f>K37*AF37</f>
        <v/>
      </c>
      <c r="AH37" s="461" t="n"/>
      <c r="AI37" s="461">
        <f>AG37-AH37</f>
        <v/>
      </c>
      <c r="AJ37" s="461" t="n">
        <v>0</v>
      </c>
      <c r="AK37" s="461">
        <f>K37*AJ37</f>
        <v/>
      </c>
      <c r="AL37" s="461" t="n"/>
      <c r="AM37" s="461">
        <f>AK37-AL37</f>
        <v/>
      </c>
      <c r="AN37" s="461" t="n">
        <v>0</v>
      </c>
      <c r="AO37" s="461">
        <f>K37*AN37</f>
        <v/>
      </c>
      <c r="AP37" s="461" t="n"/>
      <c r="AQ37" s="461">
        <f>AO37-AP37</f>
        <v/>
      </c>
      <c r="AR37" s="235" t="n">
        <v>0.05</v>
      </c>
      <c r="AS37" s="461">
        <f>K37*AR37</f>
        <v/>
      </c>
      <c r="AT37" s="461" t="n">
        <v>0</v>
      </c>
      <c r="AU37" s="461">
        <f>AS37-AT37</f>
        <v/>
      </c>
      <c r="AV37" s="235" t="n">
        <v>0.06</v>
      </c>
      <c r="AW37" s="461">
        <f>K37*AV37</f>
        <v/>
      </c>
      <c r="AX37" s="461" t="n">
        <v>0</v>
      </c>
      <c r="AY37" s="461">
        <f>AW37-AX37</f>
        <v/>
      </c>
      <c r="AZ37" s="235" t="n">
        <v>0.01</v>
      </c>
      <c r="BA37" s="461">
        <f>K37*AZ37</f>
        <v/>
      </c>
      <c r="BB37" s="461" t="n">
        <v>0</v>
      </c>
      <c r="BC37" s="461">
        <f>BA37-BB37</f>
        <v/>
      </c>
      <c r="BD37" s="461" t="n">
        <v>0</v>
      </c>
      <c r="BE37" s="461">
        <f>K37*BD37</f>
        <v/>
      </c>
      <c r="BF37" s="461" t="n"/>
      <c r="BG37" s="461">
        <f>BE37-BF37</f>
        <v/>
      </c>
      <c r="BH37" s="461" t="n">
        <v>0</v>
      </c>
      <c r="BI37" s="461">
        <f>K37*BH37</f>
        <v/>
      </c>
      <c r="BJ37" s="461" t="n"/>
      <c r="BK37" s="461">
        <f>BI37-BJ37</f>
        <v/>
      </c>
      <c r="BL37" s="461" t="inlineStr">
        <is>
          <t>按实</t>
        </is>
      </c>
      <c r="BM37" s="220">
        <f>BN37</f>
        <v/>
      </c>
      <c r="BN37" s="220" t="n">
        <v>0</v>
      </c>
      <c r="BO37" s="220">
        <f>BM37-BN37</f>
        <v/>
      </c>
      <c r="BP37" s="220">
        <f>N37+Q37+U37+Y37+AC37+AG37+AK37+AO37+AS37+AW37+BA37+BE37+BI37+BM37</f>
        <v/>
      </c>
      <c r="BQ37" s="220">
        <f>N37+R37+V37+Z37+AD37+AH37+AL37+AP37+AT37+AX37+BB37+BF37+BJ37+BN37</f>
        <v/>
      </c>
      <c r="BR37" s="220">
        <f>BP37-BQ37</f>
        <v/>
      </c>
      <c r="BS37" s="254" t="inlineStr">
        <is>
          <t>/</t>
        </is>
      </c>
      <c r="BT37" s="229" t="inlineStr">
        <is>
          <t>/</t>
        </is>
      </c>
      <c r="BU37" s="230" t="inlineStr">
        <is>
          <t>1、装修折旧费：项目反馈不收取，包含在服务费中；
2、甲方房租：项目反馈不收取，包含在服务费中；</t>
        </is>
      </c>
      <c r="BV37" s="230" t="inlineStr">
        <is>
          <t>1、签订期间：2025.10-2026.9；
2、指标按照全年换算；</t>
        </is>
      </c>
      <c r="BW37" s="534" t="n"/>
    </row>
    <row r="38" ht="24" customFormat="1" customHeight="1" s="209">
      <c r="A38" s="219" t="n">
        <v>51</v>
      </c>
      <c r="B38" s="220" t="inlineStr">
        <is>
          <t>KQCY0051</t>
        </is>
      </c>
      <c r="C38" s="221" t="inlineStr">
        <is>
          <t>餐饮二分部</t>
        </is>
      </c>
      <c r="D38" s="221" t="inlineStr">
        <is>
          <t>CF137</t>
        </is>
      </c>
      <c r="E38" s="221" t="inlineStr">
        <is>
          <t>西浦大学宏愿食堂（北）</t>
        </is>
      </c>
      <c r="F38" s="219" t="inlineStr">
        <is>
          <t>分组作业</t>
        </is>
      </c>
      <c r="G38" s="222" t="inlineStr">
        <is>
          <t>徐敏娟</t>
        </is>
      </c>
      <c r="H38" s="503" t="inlineStr">
        <is>
          <t>/</t>
        </is>
      </c>
      <c r="I38" s="237" t="inlineStr">
        <is>
          <t>手工水饺</t>
        </is>
      </c>
      <c r="J38" s="503" t="inlineStr">
        <is>
          <t>赵玉才</t>
        </is>
      </c>
      <c r="K38" s="545">
        <f>LET(k,D38&amp;"|"&amp;E38&amp;"|"&amp;H38&amp;"|"&amp;I38&amp;"|"&amp;J38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8" s="546" t="n"/>
      <c r="M38" s="224" t="n"/>
      <c r="N38" s="253" t="n"/>
      <c r="O38" s="548" t="n">
        <v>475000</v>
      </c>
      <c r="P38" s="247" t="n">
        <v>0.14</v>
      </c>
      <c r="Q38" s="461">
        <f>K38*P38</f>
        <v/>
      </c>
      <c r="R38" s="461" t="n"/>
      <c r="S38" s="461">
        <f>Q38-R38</f>
        <v/>
      </c>
      <c r="T38" s="461" t="n">
        <v>0</v>
      </c>
      <c r="U38" s="461">
        <f>K38*T38</f>
        <v/>
      </c>
      <c r="V38" s="461" t="n"/>
      <c r="W38" s="461">
        <f>U38-V38</f>
        <v/>
      </c>
      <c r="X38" s="235" t="n">
        <v>0.02</v>
      </c>
      <c r="Y38" s="461">
        <f>K38*X38</f>
        <v/>
      </c>
      <c r="Z38" s="461" t="n"/>
      <c r="AA38" s="461">
        <f>Y38-Z38</f>
        <v/>
      </c>
      <c r="AB38" s="461" t="n">
        <v>0</v>
      </c>
      <c r="AC38" s="461">
        <f>K38*AB38</f>
        <v/>
      </c>
      <c r="AD38" s="461" t="n"/>
      <c r="AE38" s="461">
        <f>AC38-AD38</f>
        <v/>
      </c>
      <c r="AF38" s="461" t="n">
        <v>0</v>
      </c>
      <c r="AG38" s="461">
        <f>K38*AF38</f>
        <v/>
      </c>
      <c r="AH38" s="461" t="n"/>
      <c r="AI38" s="461">
        <f>AG38-AH38</f>
        <v/>
      </c>
      <c r="AJ38" s="461" t="n">
        <v>0</v>
      </c>
      <c r="AK38" s="461">
        <f>K38*AJ38</f>
        <v/>
      </c>
      <c r="AL38" s="461" t="n"/>
      <c r="AM38" s="461">
        <f>AK38-AL38</f>
        <v/>
      </c>
      <c r="AN38" s="461" t="n">
        <v>0</v>
      </c>
      <c r="AO38" s="461">
        <f>K38*AN38</f>
        <v/>
      </c>
      <c r="AP38" s="461" t="n"/>
      <c r="AQ38" s="461">
        <f>AO38-AP38</f>
        <v/>
      </c>
      <c r="AR38" s="235" t="n">
        <v>0.05</v>
      </c>
      <c r="AS38" s="461">
        <f>K38*AR38</f>
        <v/>
      </c>
      <c r="AT38" s="461" t="n"/>
      <c r="AU38" s="461">
        <f>AS38-AT38</f>
        <v/>
      </c>
      <c r="AV38" s="235" t="n">
        <v>0.06</v>
      </c>
      <c r="AW38" s="461">
        <f>K38*AV38</f>
        <v/>
      </c>
      <c r="AX38" s="461" t="n"/>
      <c r="AY38" s="461">
        <f>AW38-AX38</f>
        <v/>
      </c>
      <c r="AZ38" s="235" t="n">
        <v>0.01</v>
      </c>
      <c r="BA38" s="461">
        <f>K38*AZ38</f>
        <v/>
      </c>
      <c r="BB38" s="461" t="n"/>
      <c r="BC38" s="461">
        <f>BA38-BB38</f>
        <v/>
      </c>
      <c r="BD38" s="461" t="n">
        <v>0</v>
      </c>
      <c r="BE38" s="461">
        <f>K38*BD38</f>
        <v/>
      </c>
      <c r="BF38" s="461" t="n"/>
      <c r="BG38" s="461">
        <f>BE38-BF38</f>
        <v/>
      </c>
      <c r="BH38" s="461" t="n">
        <v>0</v>
      </c>
      <c r="BI38" s="461">
        <f>K38*BH38</f>
        <v/>
      </c>
      <c r="BJ38" s="461" t="n"/>
      <c r="BK38" s="461">
        <f>BI38-BJ38</f>
        <v/>
      </c>
      <c r="BL38" s="461" t="inlineStr">
        <is>
          <t>按实</t>
        </is>
      </c>
      <c r="BM38" s="220">
        <f>BN38</f>
        <v/>
      </c>
      <c r="BN38" s="220" t="n"/>
      <c r="BO38" s="220">
        <f>BM38-BN38</f>
        <v/>
      </c>
      <c r="BP38" s="220">
        <f>N38+Q38+U38+Y38+AC38+AG38+AK38+AO38+AS38+AW38+BA38+BE38+BI38+BM38</f>
        <v/>
      </c>
      <c r="BQ38" s="220">
        <f>N38+R38+V38+Z38+AD38+AH38+AL38+AP38+AT38+AX38+BB38+BF38+BJ38+BN38</f>
        <v/>
      </c>
      <c r="BR38" s="220">
        <f>BP38-BQ38</f>
        <v/>
      </c>
      <c r="BS38" s="254" t="inlineStr">
        <is>
          <t>/</t>
        </is>
      </c>
      <c r="BT38" s="229" t="inlineStr">
        <is>
          <t>/</t>
        </is>
      </c>
      <c r="BU38" s="230" t="inlineStr">
        <is>
          <t>1、装修折旧费：项目反馈不收取，包含在服务费中；
2、甲方房租：项目反馈不收取，包含在服务费中；</t>
        </is>
      </c>
      <c r="BV38" s="230" t="inlineStr">
        <is>
          <t>1、签订期间：2025.10-2026.9；
2、指标按照全年换算；</t>
        </is>
      </c>
      <c r="BW38" s="534" t="n"/>
    </row>
    <row r="39" ht="24" customFormat="1" customHeight="1" s="209">
      <c r="A39" s="219" t="n">
        <v>52</v>
      </c>
      <c r="B39" s="220" t="inlineStr">
        <is>
          <t>KQCY0052</t>
        </is>
      </c>
      <c r="C39" s="221" t="inlineStr">
        <is>
          <t>餐饮二分部</t>
        </is>
      </c>
      <c r="D39" s="221" t="inlineStr">
        <is>
          <t>CF137</t>
        </is>
      </c>
      <c r="E39" s="221" t="inlineStr">
        <is>
          <t>西浦大学宏愿食堂（北）</t>
        </is>
      </c>
      <c r="F39" s="219" t="inlineStr">
        <is>
          <t>分组作业</t>
        </is>
      </c>
      <c r="G39" s="222" t="inlineStr">
        <is>
          <t>徐敏娟</t>
        </is>
      </c>
      <c r="H39" s="503" t="inlineStr">
        <is>
          <t>/</t>
        </is>
      </c>
      <c r="I39" s="237" t="inlineStr">
        <is>
          <t>烤盘饭</t>
        </is>
      </c>
      <c r="J39" s="503" t="inlineStr">
        <is>
          <t>付昌杰</t>
        </is>
      </c>
      <c r="K39" s="545">
        <f>LET(k,D39&amp;"|"&amp;E39&amp;"|"&amp;H39&amp;"|"&amp;I39&amp;"|"&amp;J39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9" s="546" t="n"/>
      <c r="M39" s="224" t="n"/>
      <c r="N39" s="253" t="n"/>
      <c r="O39" s="548" t="n">
        <v>875000</v>
      </c>
      <c r="P39" s="247" t="n">
        <v>0.14</v>
      </c>
      <c r="Q39" s="461">
        <f>K39*P39</f>
        <v/>
      </c>
      <c r="R39" s="461" t="n"/>
      <c r="S39" s="461">
        <f>Q39-R39</f>
        <v/>
      </c>
      <c r="T39" s="461" t="n">
        <v>0</v>
      </c>
      <c r="U39" s="461">
        <f>K39*T39</f>
        <v/>
      </c>
      <c r="V39" s="461" t="n"/>
      <c r="W39" s="461">
        <f>U39-V39</f>
        <v/>
      </c>
      <c r="X39" s="235" t="n">
        <v>0.02</v>
      </c>
      <c r="Y39" s="461">
        <f>K39*X39</f>
        <v/>
      </c>
      <c r="Z39" s="461" t="n"/>
      <c r="AA39" s="461">
        <f>Y39-Z39</f>
        <v/>
      </c>
      <c r="AB39" s="461" t="n">
        <v>0</v>
      </c>
      <c r="AC39" s="461">
        <f>K39*AB39</f>
        <v/>
      </c>
      <c r="AD39" s="461" t="n"/>
      <c r="AE39" s="461">
        <f>AC39-AD39</f>
        <v/>
      </c>
      <c r="AF39" s="461" t="n">
        <v>0</v>
      </c>
      <c r="AG39" s="461">
        <f>K39*AF39</f>
        <v/>
      </c>
      <c r="AH39" s="461" t="n"/>
      <c r="AI39" s="461">
        <f>AG39-AH39</f>
        <v/>
      </c>
      <c r="AJ39" s="461" t="n">
        <v>0</v>
      </c>
      <c r="AK39" s="461">
        <f>K39*AJ39</f>
        <v/>
      </c>
      <c r="AL39" s="461" t="n"/>
      <c r="AM39" s="461">
        <f>AK39-AL39</f>
        <v/>
      </c>
      <c r="AN39" s="461" t="n">
        <v>0</v>
      </c>
      <c r="AO39" s="461">
        <f>K39*AN39</f>
        <v/>
      </c>
      <c r="AP39" s="461" t="n"/>
      <c r="AQ39" s="461">
        <f>AO39-AP39</f>
        <v/>
      </c>
      <c r="AR39" s="235" t="n">
        <v>0.05</v>
      </c>
      <c r="AS39" s="461">
        <f>K39*AR39</f>
        <v/>
      </c>
      <c r="AT39" s="461" t="n"/>
      <c r="AU39" s="461">
        <f>AS39-AT39</f>
        <v/>
      </c>
      <c r="AV39" s="235" t="n">
        <v>0.06</v>
      </c>
      <c r="AW39" s="461">
        <f>K39*AV39</f>
        <v/>
      </c>
      <c r="AX39" s="461" t="n"/>
      <c r="AY39" s="461">
        <f>AW39-AX39</f>
        <v/>
      </c>
      <c r="AZ39" s="235" t="n">
        <v>0.01</v>
      </c>
      <c r="BA39" s="461">
        <f>K39*AZ39</f>
        <v/>
      </c>
      <c r="BB39" s="461" t="n"/>
      <c r="BC39" s="461">
        <f>BA39-BB39</f>
        <v/>
      </c>
      <c r="BD39" s="461" t="n">
        <v>0</v>
      </c>
      <c r="BE39" s="461">
        <f>K39*BD39</f>
        <v/>
      </c>
      <c r="BF39" s="461" t="n"/>
      <c r="BG39" s="461">
        <f>BE39-BF39</f>
        <v/>
      </c>
      <c r="BH39" s="461" t="n">
        <v>0</v>
      </c>
      <c r="BI39" s="461">
        <f>K39*BH39</f>
        <v/>
      </c>
      <c r="BJ39" s="461" t="n"/>
      <c r="BK39" s="461">
        <f>BI39-BJ39</f>
        <v/>
      </c>
      <c r="BL39" s="461" t="inlineStr">
        <is>
          <t>按实</t>
        </is>
      </c>
      <c r="BM39" s="220">
        <f>BN39</f>
        <v/>
      </c>
      <c r="BN39" s="220" t="n"/>
      <c r="BO39" s="220">
        <f>BM39-BN39</f>
        <v/>
      </c>
      <c r="BP39" s="220">
        <f>N39+Q39+U39+Y39+AC39+AG39+AK39+AO39+AS39+AW39+BA39+BE39+BI39+BM39</f>
        <v/>
      </c>
      <c r="BQ39" s="220">
        <f>N39+R39+V39+Z39+AD39+AH39+AL39+AP39+AT39+AX39+BB39+BF39+BJ39+BN39</f>
        <v/>
      </c>
      <c r="BR39" s="220">
        <f>BP39-BQ39</f>
        <v/>
      </c>
      <c r="BS39" s="254" t="inlineStr">
        <is>
          <t>/</t>
        </is>
      </c>
      <c r="BT39" s="229" t="inlineStr">
        <is>
          <t>/</t>
        </is>
      </c>
      <c r="BU39" s="230" t="inlineStr">
        <is>
          <t>1、装修折旧费：项目反馈不收取，包含在服务费中；
2、甲方房租：项目反馈不收取，包含在服务费中；</t>
        </is>
      </c>
      <c r="BV39" s="230" t="inlineStr">
        <is>
          <t>1、签订期间：2025.10-2026.9；
2、指标按照全年换算；</t>
        </is>
      </c>
      <c r="BW39" s="534" t="n"/>
    </row>
    <row r="40" ht="24" customFormat="1" customHeight="1" s="209">
      <c r="A40" s="219" t="n">
        <v>53</v>
      </c>
      <c r="B40" s="220" t="inlineStr">
        <is>
          <t>KQCY0053</t>
        </is>
      </c>
      <c r="C40" s="221" t="inlineStr">
        <is>
          <t>餐饮二分部</t>
        </is>
      </c>
      <c r="D40" s="221" t="inlineStr">
        <is>
          <t>CF137</t>
        </is>
      </c>
      <c r="E40" s="221" t="inlineStr">
        <is>
          <t>西浦大学宏愿食堂（北）</t>
        </is>
      </c>
      <c r="F40" s="219" t="inlineStr">
        <is>
          <t>分组作业</t>
        </is>
      </c>
      <c r="G40" s="222" t="inlineStr">
        <is>
          <t>徐敏娟</t>
        </is>
      </c>
      <c r="H40" s="503" t="inlineStr">
        <is>
          <t>/</t>
        </is>
      </c>
      <c r="I40" s="237" t="inlineStr">
        <is>
          <t>大花米线</t>
        </is>
      </c>
      <c r="J40" s="503" t="inlineStr">
        <is>
          <t>钱卫军</t>
        </is>
      </c>
      <c r="K40" s="545">
        <f>LET(k,D40&amp;"|"&amp;E40&amp;"|"&amp;H40&amp;"|"&amp;I40&amp;"|"&amp;J40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0" s="546" t="n"/>
      <c r="M40" s="224" t="n"/>
      <c r="N40" s="253" t="n"/>
      <c r="O40" s="548" t="n">
        <v>485000</v>
      </c>
      <c r="P40" s="247" t="n">
        <v>0.14</v>
      </c>
      <c r="Q40" s="461">
        <f>K40*P40</f>
        <v/>
      </c>
      <c r="R40" s="461" t="n"/>
      <c r="S40" s="461">
        <f>Q40-R40</f>
        <v/>
      </c>
      <c r="T40" s="461" t="n">
        <v>0</v>
      </c>
      <c r="U40" s="461">
        <f>K40*T40</f>
        <v/>
      </c>
      <c r="V40" s="461" t="n"/>
      <c r="W40" s="461">
        <f>U40-V40</f>
        <v/>
      </c>
      <c r="X40" s="235" t="n">
        <v>0.02</v>
      </c>
      <c r="Y40" s="461">
        <f>K40*X40</f>
        <v/>
      </c>
      <c r="Z40" s="461" t="n"/>
      <c r="AA40" s="461">
        <f>Y40-Z40</f>
        <v/>
      </c>
      <c r="AB40" s="461" t="n">
        <v>0</v>
      </c>
      <c r="AC40" s="461">
        <f>K40*AB40</f>
        <v/>
      </c>
      <c r="AD40" s="461" t="n"/>
      <c r="AE40" s="461">
        <f>AC40-AD40</f>
        <v/>
      </c>
      <c r="AF40" s="461" t="n">
        <v>0</v>
      </c>
      <c r="AG40" s="461">
        <f>K40*AF40</f>
        <v/>
      </c>
      <c r="AH40" s="461" t="n"/>
      <c r="AI40" s="461">
        <f>AG40-AH40</f>
        <v/>
      </c>
      <c r="AJ40" s="461" t="n">
        <v>0</v>
      </c>
      <c r="AK40" s="461">
        <f>K40*AJ40</f>
        <v/>
      </c>
      <c r="AL40" s="461" t="n"/>
      <c r="AM40" s="461">
        <f>AK40-AL40</f>
        <v/>
      </c>
      <c r="AN40" s="461" t="n">
        <v>0</v>
      </c>
      <c r="AO40" s="461">
        <f>K40*AN40</f>
        <v/>
      </c>
      <c r="AP40" s="461" t="n"/>
      <c r="AQ40" s="461">
        <f>AO40-AP40</f>
        <v/>
      </c>
      <c r="AR40" s="235" t="n">
        <v>0.05</v>
      </c>
      <c r="AS40" s="461">
        <f>K40*AR40</f>
        <v/>
      </c>
      <c r="AT40" s="461" t="n"/>
      <c r="AU40" s="461">
        <f>AS40-AT40</f>
        <v/>
      </c>
      <c r="AV40" s="235" t="n">
        <v>0.06</v>
      </c>
      <c r="AW40" s="461">
        <f>K40*AV40</f>
        <v/>
      </c>
      <c r="AX40" s="461" t="n"/>
      <c r="AY40" s="461">
        <f>AW40-AX40</f>
        <v/>
      </c>
      <c r="AZ40" s="235" t="n">
        <v>0.01</v>
      </c>
      <c r="BA40" s="461">
        <f>K40*AZ40</f>
        <v/>
      </c>
      <c r="BB40" s="461" t="n"/>
      <c r="BC40" s="461">
        <f>BA40-BB40</f>
        <v/>
      </c>
      <c r="BD40" s="461" t="n">
        <v>0</v>
      </c>
      <c r="BE40" s="461">
        <f>K40*BD40</f>
        <v/>
      </c>
      <c r="BF40" s="461" t="n"/>
      <c r="BG40" s="461">
        <f>BE40-BF40</f>
        <v/>
      </c>
      <c r="BH40" s="461" t="n">
        <v>0</v>
      </c>
      <c r="BI40" s="461">
        <f>K40*BH40</f>
        <v/>
      </c>
      <c r="BJ40" s="461" t="n"/>
      <c r="BK40" s="461">
        <f>BI40-BJ40</f>
        <v/>
      </c>
      <c r="BL40" s="461" t="inlineStr">
        <is>
          <t>按实</t>
        </is>
      </c>
      <c r="BM40" s="220">
        <f>BN40</f>
        <v/>
      </c>
      <c r="BN40" s="220" t="n"/>
      <c r="BO40" s="220">
        <f>BM40-BN40</f>
        <v/>
      </c>
      <c r="BP40" s="220">
        <f>N40+Q40+U40+Y40+AC40+AG40+AK40+AO40+AS40+AW40+BA40+BE40+BI40+BM40</f>
        <v/>
      </c>
      <c r="BQ40" s="220">
        <f>N40+R40+V40+Z40+AD40+AH40+AL40+AP40+AT40+AX40+BB40+BF40+BJ40+BN40</f>
        <v/>
      </c>
      <c r="BR40" s="220">
        <f>BP40-BQ40</f>
        <v/>
      </c>
      <c r="BS40" s="254" t="inlineStr">
        <is>
          <t>/</t>
        </is>
      </c>
      <c r="BT40" s="229" t="inlineStr">
        <is>
          <t>/</t>
        </is>
      </c>
      <c r="BU40" s="230" t="inlineStr">
        <is>
          <t>1、装修折旧费：项目反馈不收取，包含在服务费中；
2、甲方房租：项目反馈不收取，包含在服务费中；</t>
        </is>
      </c>
      <c r="BV40" s="230" t="inlineStr">
        <is>
          <t>1、签订期间：2025.10-2026.9；
2、指标按照全年换算；</t>
        </is>
      </c>
      <c r="BW40" s="534" t="n"/>
    </row>
    <row r="41" ht="24" customFormat="1" customHeight="1" s="209">
      <c r="A41" s="219" t="n">
        <v>54</v>
      </c>
      <c r="B41" s="220" t="inlineStr">
        <is>
          <t>KQCY0054</t>
        </is>
      </c>
      <c r="C41" s="221" t="inlineStr">
        <is>
          <t>餐饮二分部</t>
        </is>
      </c>
      <c r="D41" s="221" t="inlineStr">
        <is>
          <t>CF137</t>
        </is>
      </c>
      <c r="E41" s="221" t="inlineStr">
        <is>
          <t>西浦大学宏愿食堂（北）</t>
        </is>
      </c>
      <c r="F41" s="219" t="inlineStr">
        <is>
          <t>分组作业</t>
        </is>
      </c>
      <c r="G41" s="222" t="inlineStr">
        <is>
          <t>徐敏娟</t>
        </is>
      </c>
      <c r="H41" s="503" t="inlineStr">
        <is>
          <t>/</t>
        </is>
      </c>
      <c r="I41" s="237" t="inlineStr">
        <is>
          <t>石锅饭</t>
        </is>
      </c>
      <c r="J41" s="503" t="inlineStr">
        <is>
          <t>葛颖</t>
        </is>
      </c>
      <c r="K41" s="545">
        <f>LET(k,D41&amp;"|"&amp;E41&amp;"|"&amp;H41&amp;"|"&amp;I41&amp;"|"&amp;J41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1" s="546" t="n"/>
      <c r="M41" s="224" t="n"/>
      <c r="N41" s="253" t="n"/>
      <c r="O41" s="548" t="n">
        <v>600000</v>
      </c>
      <c r="P41" s="247" t="n">
        <v>0.14</v>
      </c>
      <c r="Q41" s="461">
        <f>K41*P41</f>
        <v/>
      </c>
      <c r="R41" s="461" t="n"/>
      <c r="S41" s="461">
        <f>Q41-R41</f>
        <v/>
      </c>
      <c r="T41" s="461" t="n">
        <v>0</v>
      </c>
      <c r="U41" s="461">
        <f>K41*T41</f>
        <v/>
      </c>
      <c r="V41" s="461" t="n"/>
      <c r="W41" s="461">
        <f>U41-V41</f>
        <v/>
      </c>
      <c r="X41" s="235" t="n">
        <v>0.02</v>
      </c>
      <c r="Y41" s="461">
        <f>K41*X41</f>
        <v/>
      </c>
      <c r="Z41" s="461" t="n"/>
      <c r="AA41" s="461">
        <f>Y41-Z41</f>
        <v/>
      </c>
      <c r="AB41" s="461" t="n">
        <v>0</v>
      </c>
      <c r="AC41" s="461">
        <f>K41*AB41</f>
        <v/>
      </c>
      <c r="AD41" s="461" t="n"/>
      <c r="AE41" s="461">
        <f>AC41-AD41</f>
        <v/>
      </c>
      <c r="AF41" s="461" t="n">
        <v>0</v>
      </c>
      <c r="AG41" s="461">
        <f>K41*AF41</f>
        <v/>
      </c>
      <c r="AH41" s="461" t="n"/>
      <c r="AI41" s="461">
        <f>AG41-AH41</f>
        <v/>
      </c>
      <c r="AJ41" s="461" t="n">
        <v>0</v>
      </c>
      <c r="AK41" s="461">
        <f>K41*AJ41</f>
        <v/>
      </c>
      <c r="AL41" s="461" t="n"/>
      <c r="AM41" s="461">
        <f>AK41-AL41</f>
        <v/>
      </c>
      <c r="AN41" s="461" t="n">
        <v>0</v>
      </c>
      <c r="AO41" s="461">
        <f>K41*AN41</f>
        <v/>
      </c>
      <c r="AP41" s="461" t="n"/>
      <c r="AQ41" s="461">
        <f>AO41-AP41</f>
        <v/>
      </c>
      <c r="AR41" s="235" t="n">
        <v>0.05</v>
      </c>
      <c r="AS41" s="461">
        <f>K41*AR41</f>
        <v/>
      </c>
      <c r="AT41" s="461" t="n"/>
      <c r="AU41" s="461">
        <f>AS41-AT41</f>
        <v/>
      </c>
      <c r="AV41" s="235" t="n">
        <v>0.06</v>
      </c>
      <c r="AW41" s="461">
        <f>K41*AV41</f>
        <v/>
      </c>
      <c r="AX41" s="461" t="n"/>
      <c r="AY41" s="461">
        <f>AW41-AX41</f>
        <v/>
      </c>
      <c r="AZ41" s="235" t="n">
        <v>0.01</v>
      </c>
      <c r="BA41" s="461">
        <f>K41*AZ41</f>
        <v/>
      </c>
      <c r="BB41" s="461" t="n"/>
      <c r="BC41" s="461">
        <f>BA41-BB41</f>
        <v/>
      </c>
      <c r="BD41" s="461" t="n">
        <v>0</v>
      </c>
      <c r="BE41" s="461">
        <f>K41*BD41</f>
        <v/>
      </c>
      <c r="BF41" s="461" t="n"/>
      <c r="BG41" s="461">
        <f>BE41-BF41</f>
        <v/>
      </c>
      <c r="BH41" s="461" t="n">
        <v>0</v>
      </c>
      <c r="BI41" s="461">
        <f>K41*BH41</f>
        <v/>
      </c>
      <c r="BJ41" s="461" t="n"/>
      <c r="BK41" s="461">
        <f>BI41-BJ41</f>
        <v/>
      </c>
      <c r="BL41" s="461" t="inlineStr">
        <is>
          <t>按实</t>
        </is>
      </c>
      <c r="BM41" s="220">
        <f>BN41</f>
        <v/>
      </c>
      <c r="BN41" s="220" t="n"/>
      <c r="BO41" s="220">
        <f>BM41-BN41</f>
        <v/>
      </c>
      <c r="BP41" s="220">
        <f>N41+Q41+U41+Y41+AC41+AG41+AK41+AO41+AS41+AW41+BA41+BE41+BI41+BM41</f>
        <v/>
      </c>
      <c r="BQ41" s="220">
        <f>N41+R41+V41+Z41+AD41+AH41+AL41+AP41+AT41+AX41+BB41+BF41+BJ41+BN41</f>
        <v/>
      </c>
      <c r="BR41" s="220">
        <f>BP41-BQ41</f>
        <v/>
      </c>
      <c r="BS41" s="254" t="inlineStr">
        <is>
          <t>/</t>
        </is>
      </c>
      <c r="BT41" s="229" t="inlineStr">
        <is>
          <t>/</t>
        </is>
      </c>
      <c r="BU41" s="230" t="inlineStr">
        <is>
          <t>1、装修折旧费：项目反馈不收取，包含在服务费中；
2、甲方房租：项目反馈不收取，包含在服务费中；</t>
        </is>
      </c>
      <c r="BV41" s="230" t="inlineStr">
        <is>
          <t>1、签订期间：2025.10-2026.9；
2、指标按照全年换算；</t>
        </is>
      </c>
      <c r="BW41" s="534" t="n"/>
    </row>
    <row r="42" ht="48" customFormat="1" customHeight="1" s="209">
      <c r="A42" s="219" t="n">
        <v>55</v>
      </c>
      <c r="B42" s="220" t="inlineStr">
        <is>
          <t>KQCY0055</t>
        </is>
      </c>
      <c r="C42" s="221" t="inlineStr">
        <is>
          <t>餐饮二分部</t>
        </is>
      </c>
      <c r="D42" s="221" t="inlineStr">
        <is>
          <t>CF137</t>
        </is>
      </c>
      <c r="E42" s="221" t="inlineStr">
        <is>
          <t>西浦大学宏愿食堂（北）</t>
        </is>
      </c>
      <c r="F42" s="219" t="inlineStr">
        <is>
          <t>分组作业</t>
        </is>
      </c>
      <c r="G42" s="222" t="inlineStr">
        <is>
          <t>徐敏娟</t>
        </is>
      </c>
      <c r="H42" s="503" t="inlineStr">
        <is>
          <t>/</t>
        </is>
      </c>
      <c r="I42" s="237" t="inlineStr">
        <is>
          <t>一鸣鲜奶吧</t>
        </is>
      </c>
      <c r="J42" s="503" t="inlineStr">
        <is>
          <t>黎欢</t>
        </is>
      </c>
      <c r="K42" s="545">
        <f>LET(k,D42&amp;"|"&amp;E42&amp;"|"&amp;H42&amp;"|"&amp;I42&amp;"|"&amp;J42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2" s="546" t="n"/>
      <c r="M42" s="224" t="n"/>
      <c r="N42" s="253" t="n"/>
      <c r="O42" s="548" t="n">
        <v>615000</v>
      </c>
      <c r="P42" s="461" t="n">
        <v>0</v>
      </c>
      <c r="Q42" s="461">
        <f>K42*P42</f>
        <v/>
      </c>
      <c r="R42" s="461" t="n"/>
      <c r="S42" s="461">
        <f>Q42-R42</f>
        <v/>
      </c>
      <c r="T42" s="461" t="n">
        <v>0</v>
      </c>
      <c r="U42" s="461">
        <f>K42*T42</f>
        <v/>
      </c>
      <c r="V42" s="461" t="n"/>
      <c r="W42" s="461">
        <f>U42-V42</f>
        <v/>
      </c>
      <c r="X42" s="461" t="n">
        <v>0</v>
      </c>
      <c r="Y42" s="461">
        <f>K42*X42</f>
        <v/>
      </c>
      <c r="Z42" s="461" t="n"/>
      <c r="AA42" s="461">
        <f>Y42-Z42</f>
        <v/>
      </c>
      <c r="AB42" s="461" t="n">
        <v>0</v>
      </c>
      <c r="AC42" s="461">
        <f>K42*AB42</f>
        <v/>
      </c>
      <c r="AD42" s="461" t="n"/>
      <c r="AE42" s="461">
        <f>AC42-AD42</f>
        <v/>
      </c>
      <c r="AF42" s="461" t="n">
        <v>0</v>
      </c>
      <c r="AG42" s="461">
        <f>K42*AF42</f>
        <v/>
      </c>
      <c r="AH42" s="461" t="n"/>
      <c r="AI42" s="461">
        <f>AG42-AH42</f>
        <v/>
      </c>
      <c r="AJ42" s="461" t="n">
        <v>0</v>
      </c>
      <c r="AK42" s="461">
        <f>K42*AJ42</f>
        <v/>
      </c>
      <c r="AL42" s="461" t="n"/>
      <c r="AM42" s="461">
        <f>AK42-AL42</f>
        <v/>
      </c>
      <c r="AN42" s="461" t="n">
        <v>0</v>
      </c>
      <c r="AO42" s="461">
        <f>K42*AN42</f>
        <v/>
      </c>
      <c r="AP42" s="461" t="n"/>
      <c r="AQ42" s="461">
        <f>AO42-AP42</f>
        <v/>
      </c>
      <c r="AR42" s="235" t="n">
        <v>0.03</v>
      </c>
      <c r="AS42" s="461">
        <f>K42*AR42</f>
        <v/>
      </c>
      <c r="AT42" s="461" t="n"/>
      <c r="AU42" s="461">
        <f>AS42-AT42</f>
        <v/>
      </c>
      <c r="AV42" s="235" t="n">
        <v>0.05</v>
      </c>
      <c r="AW42" s="461">
        <f>K42*AV42</f>
        <v/>
      </c>
      <c r="AX42" s="461" t="n"/>
      <c r="AY42" s="461">
        <f>AW42-AX42</f>
        <v/>
      </c>
      <c r="AZ42" s="247" t="n">
        <v>0.005</v>
      </c>
      <c r="BA42" s="461">
        <f>K42*AZ42</f>
        <v/>
      </c>
      <c r="BB42" s="461" t="n"/>
      <c r="BC42" s="461">
        <f>BA42-BB42</f>
        <v/>
      </c>
      <c r="BD42" s="461" t="n">
        <v>15000</v>
      </c>
      <c r="BE42" s="461">
        <f>15000</f>
        <v/>
      </c>
      <c r="BF42" s="461" t="n">
        <v>0</v>
      </c>
      <c r="BG42" s="461">
        <f>BE42-BF42</f>
        <v/>
      </c>
      <c r="BH42" s="461" t="n">
        <v>0</v>
      </c>
      <c r="BI42" s="461">
        <f>K42*BH42</f>
        <v/>
      </c>
      <c r="BJ42" s="461" t="n"/>
      <c r="BK42" s="461">
        <f>BI42-BJ42</f>
        <v/>
      </c>
      <c r="BL42" s="461" t="inlineStr">
        <is>
          <t>按实</t>
        </is>
      </c>
      <c r="BM42" s="220">
        <f>BN42</f>
        <v/>
      </c>
      <c r="BN42" s="220" t="n"/>
      <c r="BO42" s="220">
        <f>BM42-BN42</f>
        <v/>
      </c>
      <c r="BP42" s="220">
        <f>N42+Q42+U42+Y42+AC42+AG42+AK42+AO42+AS42+AW42+BA42+BE42+BI42+BM42</f>
        <v/>
      </c>
      <c r="BQ42" s="220">
        <f>N42+R42+V42+Z42+AD42+AH42+AL42+AP42+AT42+AX42+BB42+BF42+BJ42+BN42</f>
        <v/>
      </c>
      <c r="BR42" s="220">
        <f>BP42-BQ42</f>
        <v/>
      </c>
      <c r="BS42" s="254" t="inlineStr">
        <is>
          <t>/</t>
        </is>
      </c>
      <c r="BT42" s="229" t="inlineStr">
        <is>
          <t>/</t>
        </is>
      </c>
      <c r="BU42" s="230" t="inlineStr">
        <is>
          <t>1、服务费：12万/年；固定租金12万元/年，除1、2、7、8月外每月1.5万元
2、采购费：项目反馈不收取，包含在服务费中；
3、装修折旧费：项目反馈不收取，包含在服务费中；
4、甲方房租：项目反馈不收取，包含在服务费中；</t>
        </is>
      </c>
      <c r="BV42" s="230" t="inlineStr">
        <is>
          <t>1、签订期间：2025.10-2026.9；
2、指标按照全年换算；</t>
        </is>
      </c>
      <c r="BW42" s="534" t="n"/>
    </row>
    <row r="43" ht="24" customFormat="1" customHeight="1" s="209">
      <c r="A43" s="219" t="n">
        <v>57</v>
      </c>
      <c r="B43" s="220" t="inlineStr">
        <is>
          <t>KQCY0057</t>
        </is>
      </c>
      <c r="C43" s="221" t="inlineStr">
        <is>
          <t>餐饮二分部</t>
        </is>
      </c>
      <c r="D43" s="221" t="inlineStr">
        <is>
          <t>CF140</t>
        </is>
      </c>
      <c r="E43" s="221" t="inlineStr">
        <is>
          <t>西浦大学太仓校区食堂</t>
        </is>
      </c>
      <c r="F43" s="219" t="inlineStr">
        <is>
          <t>分组作业</t>
        </is>
      </c>
      <c r="G43" s="222" t="inlineStr">
        <is>
          <t>徐敏娟</t>
        </is>
      </c>
      <c r="H43" s="222" t="inlineStr">
        <is>
          <t>第一班组</t>
        </is>
      </c>
      <c r="I43" s="232" t="inlineStr">
        <is>
          <t>蛋包饭(肥牛米线、水饺、烤盘饭)</t>
        </is>
      </c>
      <c r="J43" s="502" t="inlineStr">
        <is>
          <t>赵广伟</t>
        </is>
      </c>
      <c r="K43" s="545">
        <f>LET(k,D43&amp;"|"&amp;E43&amp;"|"&amp;H43&amp;"|"&amp;I43&amp;"|"&amp;J43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3" s="546" t="n"/>
      <c r="M43" s="224" t="n"/>
      <c r="N43" s="253" t="n">
        <v>21285.63</v>
      </c>
      <c r="O43" s="548" t="n">
        <v>450000</v>
      </c>
      <c r="P43" s="247" t="n">
        <v>0.03</v>
      </c>
      <c r="Q43" s="461">
        <f>K43*P43</f>
        <v/>
      </c>
      <c r="R43" s="461" t="n">
        <v>1982</v>
      </c>
      <c r="S43" s="461">
        <f>Q43-R43</f>
        <v/>
      </c>
      <c r="T43" s="461" t="n">
        <v>0</v>
      </c>
      <c r="U43" s="461">
        <f>K43*T43</f>
        <v/>
      </c>
      <c r="V43" s="461" t="n"/>
      <c r="W43" s="461">
        <f>U43-V43</f>
        <v/>
      </c>
      <c r="X43" s="235" t="n">
        <v>0.02</v>
      </c>
      <c r="Y43" s="461">
        <f>K43*X43</f>
        <v/>
      </c>
      <c r="Z43" s="461" t="n">
        <v>1321.34</v>
      </c>
      <c r="AA43" s="461">
        <f>Y43-Z43</f>
        <v/>
      </c>
      <c r="AB43" s="461" t="n">
        <v>0</v>
      </c>
      <c r="AC43" s="461">
        <f>K43*AB43</f>
        <v/>
      </c>
      <c r="AD43" s="461" t="n"/>
      <c r="AE43" s="461">
        <f>AC43-AD43</f>
        <v/>
      </c>
      <c r="AF43" s="461" t="n">
        <v>0</v>
      </c>
      <c r="AG43" s="461">
        <f>K43*AF43</f>
        <v/>
      </c>
      <c r="AH43" s="461" t="n"/>
      <c r="AI43" s="461">
        <f>AG43-AH43</f>
        <v/>
      </c>
      <c r="AJ43" s="461" t="n">
        <v>0</v>
      </c>
      <c r="AK43" s="461">
        <f>K43*AJ43</f>
        <v/>
      </c>
      <c r="AL43" s="461" t="n"/>
      <c r="AM43" s="461">
        <f>AK43-AL43</f>
        <v/>
      </c>
      <c r="AN43" s="461" t="n">
        <v>0</v>
      </c>
      <c r="AO43" s="461">
        <f>K43*AN43</f>
        <v/>
      </c>
      <c r="AP43" s="461" t="n"/>
      <c r="AQ43" s="461">
        <f>AO43-AP43</f>
        <v/>
      </c>
      <c r="AR43" s="235" t="n">
        <v>0.02</v>
      </c>
      <c r="AS43" s="461">
        <f>K43*AR43</f>
        <v/>
      </c>
      <c r="AT43" s="461" t="n">
        <v>1321.34</v>
      </c>
      <c r="AU43" s="461">
        <f>AS43-AT43</f>
        <v/>
      </c>
      <c r="AV43" s="461" t="n">
        <v>0</v>
      </c>
      <c r="AW43" s="461">
        <f>K43*AV43</f>
        <v/>
      </c>
      <c r="AX43" s="461" t="n"/>
      <c r="AY43" s="461">
        <f>AW43-AX43</f>
        <v/>
      </c>
      <c r="AZ43" s="461" t="inlineStr">
        <is>
          <t>按实</t>
        </is>
      </c>
      <c r="BA43" s="461">
        <f>BB43</f>
        <v/>
      </c>
      <c r="BB43" s="461" t="n"/>
      <c r="BC43" s="461">
        <f>BA43-BB43</f>
        <v/>
      </c>
      <c r="BD43" s="235" t="n">
        <v>0.01</v>
      </c>
      <c r="BE43" s="461">
        <f>K43*BD43</f>
        <v/>
      </c>
      <c r="BF43" s="461" t="n">
        <v>660.67</v>
      </c>
      <c r="BG43" s="461">
        <f>BE43-BF43</f>
        <v/>
      </c>
      <c r="BH43" s="461" t="n">
        <v>0</v>
      </c>
      <c r="BI43" s="461">
        <f>K43*BH43</f>
        <v/>
      </c>
      <c r="BJ43" s="461" t="n"/>
      <c r="BK43" s="461">
        <f>BI43-BJ43</f>
        <v/>
      </c>
      <c r="BL43" s="461" t="inlineStr">
        <is>
          <t>按实</t>
        </is>
      </c>
      <c r="BM43" s="220">
        <f>BN43</f>
        <v/>
      </c>
      <c r="BN43" s="256" t="n">
        <v>26188.37</v>
      </c>
      <c r="BO43" s="220">
        <f>BM43-BN43</f>
        <v/>
      </c>
      <c r="BP43" s="220">
        <f>N43+Q43+U43+Y43+AC43+AG43+AK43+AO43+AS43+AW43+BA43+BE43+BI43+BM43</f>
        <v/>
      </c>
      <c r="BQ43" s="220">
        <f>N43+R43+V43+Z43+AD43+AH43+AL43+AP43+AT43+AX43+BB43+BF43+BJ43+BN43</f>
        <v/>
      </c>
      <c r="BR43" s="220">
        <f>BP43-BQ43</f>
        <v/>
      </c>
      <c r="BS43" s="254" t="inlineStr">
        <is>
          <t>/</t>
        </is>
      </c>
      <c r="BT43" s="229" t="inlineStr">
        <is>
          <t>/</t>
        </is>
      </c>
      <c r="BU43" s="230" t="inlineStr">
        <is>
          <t>1、虫害消杀：项目反馈不收取，包含在服务费中；
2、卫生费：项目反馈不收取，包含在服务费中；</t>
        </is>
      </c>
      <c r="BV43" s="230" t="inlineStr">
        <is>
          <t>1、签订期间：2025.9-2026.8；
2、指标按照全年换算；</t>
        </is>
      </c>
      <c r="BW43" s="534" t="n"/>
    </row>
    <row r="44" ht="24" customFormat="1" customHeight="1" s="209">
      <c r="A44" s="219" t="n">
        <v>58</v>
      </c>
      <c r="B44" s="220" t="inlineStr">
        <is>
          <t>KQCY0058</t>
        </is>
      </c>
      <c r="C44" s="221" t="inlineStr">
        <is>
          <t>餐饮二分部</t>
        </is>
      </c>
      <c r="D44" s="221" t="inlineStr">
        <is>
          <t>CF140</t>
        </is>
      </c>
      <c r="E44" s="221" t="inlineStr">
        <is>
          <t>西浦大学太仓校区食堂</t>
        </is>
      </c>
      <c r="F44" s="219" t="inlineStr">
        <is>
          <t>分组作业</t>
        </is>
      </c>
      <c r="G44" s="222" t="inlineStr">
        <is>
          <t>徐敏娟</t>
        </is>
      </c>
      <c r="H44" s="222" t="inlineStr">
        <is>
          <t>第二班组</t>
        </is>
      </c>
      <c r="I44" s="232" t="inlineStr">
        <is>
          <t>枣糕&amp;热饮(韩式拌饭)</t>
        </is>
      </c>
      <c r="J44" s="502" t="inlineStr">
        <is>
          <t>杜松松</t>
        </is>
      </c>
      <c r="K44" s="545">
        <f>LET(k,D44&amp;"|"&amp;E44&amp;"|"&amp;H44&amp;"|"&amp;I44&amp;"|"&amp;J44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4" s="546" t="n"/>
      <c r="M44" s="224" t="n"/>
      <c r="N44" s="253" t="n"/>
      <c r="O44" s="548" t="n">
        <v>145000</v>
      </c>
      <c r="P44" s="247" t="n">
        <v>0.03</v>
      </c>
      <c r="Q44" s="461">
        <f>K44*P44</f>
        <v/>
      </c>
      <c r="R44" s="461" t="n"/>
      <c r="S44" s="461">
        <f>Q44-R44</f>
        <v/>
      </c>
      <c r="T44" s="461" t="n">
        <v>0</v>
      </c>
      <c r="U44" s="461">
        <f>K44*T44</f>
        <v/>
      </c>
      <c r="V44" s="461" t="n"/>
      <c r="W44" s="461">
        <f>U44-V44</f>
        <v/>
      </c>
      <c r="X44" s="235" t="n">
        <v>0.02</v>
      </c>
      <c r="Y44" s="461">
        <f>K44*X44</f>
        <v/>
      </c>
      <c r="Z44" s="461" t="n"/>
      <c r="AA44" s="461">
        <f>Y44-Z44</f>
        <v/>
      </c>
      <c r="AB44" s="461" t="n">
        <v>0</v>
      </c>
      <c r="AC44" s="461">
        <f>K44*AB44</f>
        <v/>
      </c>
      <c r="AD44" s="461" t="n"/>
      <c r="AE44" s="461">
        <f>AC44-AD44</f>
        <v/>
      </c>
      <c r="AF44" s="461" t="n">
        <v>0</v>
      </c>
      <c r="AG44" s="461">
        <f>K44*AF44</f>
        <v/>
      </c>
      <c r="AH44" s="461" t="n"/>
      <c r="AI44" s="461">
        <f>AG44-AH44</f>
        <v/>
      </c>
      <c r="AJ44" s="461" t="n">
        <v>0</v>
      </c>
      <c r="AK44" s="461">
        <f>K44*AJ44</f>
        <v/>
      </c>
      <c r="AL44" s="461" t="n"/>
      <c r="AM44" s="461">
        <f>AK44-AL44</f>
        <v/>
      </c>
      <c r="AN44" s="461" t="n">
        <v>0</v>
      </c>
      <c r="AO44" s="461">
        <f>K44*AN44</f>
        <v/>
      </c>
      <c r="AP44" s="461" t="n"/>
      <c r="AQ44" s="461">
        <f>AO44-AP44</f>
        <v/>
      </c>
      <c r="AR44" s="235" t="n">
        <v>0.02</v>
      </c>
      <c r="AS44" s="461">
        <f>K44*AR44</f>
        <v/>
      </c>
      <c r="AT44" s="461" t="n"/>
      <c r="AU44" s="461">
        <f>AS44-AT44</f>
        <v/>
      </c>
      <c r="AV44" s="461" t="n">
        <v>0</v>
      </c>
      <c r="AW44" s="461">
        <f>K44*AV44</f>
        <v/>
      </c>
      <c r="AX44" s="461" t="n"/>
      <c r="AY44" s="461">
        <f>AW44-AX44</f>
        <v/>
      </c>
      <c r="AZ44" s="461" t="inlineStr">
        <is>
          <t>按实</t>
        </is>
      </c>
      <c r="BA44" s="461">
        <f>BB44</f>
        <v/>
      </c>
      <c r="BB44" s="461" t="n"/>
      <c r="BC44" s="461">
        <f>BA44-BB44</f>
        <v/>
      </c>
      <c r="BD44" s="235" t="n">
        <v>0.01</v>
      </c>
      <c r="BE44" s="461">
        <f>K44*BD44</f>
        <v/>
      </c>
      <c r="BF44" s="461" t="n"/>
      <c r="BG44" s="461">
        <f>BE44-BF44</f>
        <v/>
      </c>
      <c r="BH44" s="461" t="n">
        <v>0</v>
      </c>
      <c r="BI44" s="461">
        <f>K44*BH44</f>
        <v/>
      </c>
      <c r="BJ44" s="461" t="n"/>
      <c r="BK44" s="461">
        <f>BI44-BJ44</f>
        <v/>
      </c>
      <c r="BL44" s="461" t="inlineStr">
        <is>
          <t>按实</t>
        </is>
      </c>
      <c r="BM44" s="220">
        <f>BN44</f>
        <v/>
      </c>
      <c r="BN44" s="256" t="n"/>
      <c r="BO44" s="220">
        <f>BM44-BN44</f>
        <v/>
      </c>
      <c r="BP44" s="220">
        <f>N44+Q44+U44+Y44+AC44+AG44+AK44+AO44+AS44+AW44+BA44+BE44+BI44+BM44</f>
        <v/>
      </c>
      <c r="BQ44" s="220">
        <f>N44+R44+V44+Z44+AD44+AH44+AL44+AP44+AT44+AX44+BB44+BF44+BJ44+BN44</f>
        <v/>
      </c>
      <c r="BR44" s="220">
        <f>BP44-BQ44</f>
        <v/>
      </c>
      <c r="BS44" s="254" t="inlineStr">
        <is>
          <t>/</t>
        </is>
      </c>
      <c r="BT44" s="229" t="inlineStr">
        <is>
          <t>/</t>
        </is>
      </c>
      <c r="BU44" s="230" t="inlineStr">
        <is>
          <t>1、虫害消杀：项目反馈不收取，包含在服务费中；
2、卫生费：项目反馈不收取，包含在服务费中；</t>
        </is>
      </c>
      <c r="BV44" s="230" t="inlineStr">
        <is>
          <t>1、签订期间：2025.9-2026.8；
2、指标按照全年换算；</t>
        </is>
      </c>
      <c r="BW44" s="534" t="n"/>
    </row>
    <row r="45" ht="36" customFormat="1" customHeight="1" s="209">
      <c r="A45" s="219" t="n">
        <v>60</v>
      </c>
      <c r="B45" s="220" t="inlineStr">
        <is>
          <t>KQCY0060</t>
        </is>
      </c>
      <c r="C45" s="221" t="inlineStr">
        <is>
          <t>餐饮二分部</t>
        </is>
      </c>
      <c r="D45" s="221" t="inlineStr">
        <is>
          <t>CF182</t>
        </is>
      </c>
      <c r="E45" s="221" t="inlineStr">
        <is>
          <t>无锡工艺第二食堂</t>
        </is>
      </c>
      <c r="F45" s="219" t="inlineStr">
        <is>
          <t>分组作业</t>
        </is>
      </c>
      <c r="G45" s="222" t="inlineStr">
        <is>
          <t>徐敏娟</t>
        </is>
      </c>
      <c r="H45" s="503" t="inlineStr">
        <is>
          <t>/</t>
        </is>
      </c>
      <c r="I45" s="232" t="inlineStr">
        <is>
          <t>快餐</t>
        </is>
      </c>
      <c r="J45" s="503" t="inlineStr">
        <is>
          <t>林见锋</t>
        </is>
      </c>
      <c r="K45" s="545">
        <f>LET(k,D45&amp;"|"&amp;E45&amp;"|"&amp;H45&amp;"|"&amp;I45&amp;"|"&amp;J45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5" s="546" t="n"/>
      <c r="M45" s="224" t="n"/>
      <c r="N45" s="553" t="n">
        <v>19888.37</v>
      </c>
      <c r="O45" s="548" t="n">
        <v>6000000</v>
      </c>
      <c r="P45" s="247" t="n">
        <v>0.035</v>
      </c>
      <c r="Q45" s="461">
        <f>(K45+K46+K48+K49+K50+K51+K52+K53)*P45-R46</f>
        <v/>
      </c>
      <c r="R45" s="258" t="n">
        <v>0</v>
      </c>
      <c r="S45" s="461">
        <f>Q45-R45</f>
        <v/>
      </c>
      <c r="T45" s="461" t="inlineStr">
        <is>
          <t>按实</t>
        </is>
      </c>
      <c r="U45" s="461">
        <f>V45</f>
        <v/>
      </c>
      <c r="V45" s="554" t="n">
        <v>0</v>
      </c>
      <c r="W45" s="461">
        <f>U45-V45</f>
        <v/>
      </c>
      <c r="X45" s="235" t="n">
        <v>0</v>
      </c>
      <c r="Y45" s="461">
        <f>K45*X45</f>
        <v/>
      </c>
      <c r="Z45" s="461" t="n"/>
      <c r="AA45" s="461">
        <f>Y45-Z45</f>
        <v/>
      </c>
      <c r="AB45" s="461" t="inlineStr">
        <is>
          <t>165万元分3年分摊，多退少补</t>
        </is>
      </c>
      <c r="AC45" s="461">
        <f>AD45</f>
        <v/>
      </c>
      <c r="AD45" s="260" t="n">
        <v>0</v>
      </c>
      <c r="AE45" s="461">
        <f>AC45-AD45</f>
        <v/>
      </c>
      <c r="AF45" s="461" t="inlineStr">
        <is>
          <t>一名管理人员费用，按实际产生费用列入项目处成本</t>
        </is>
      </c>
      <c r="AG45" s="461">
        <f>AH45</f>
        <v/>
      </c>
      <c r="AH45" s="461" t="n"/>
      <c r="AI45" s="461">
        <f>AG45-AH45</f>
        <v/>
      </c>
      <c r="AJ45" s="235" t="n">
        <v>0</v>
      </c>
      <c r="AK45" s="461">
        <f>K45*AJ45</f>
        <v/>
      </c>
      <c r="AL45" s="461" t="n"/>
      <c r="AM45" s="461">
        <f>AK45-AL45</f>
        <v/>
      </c>
      <c r="AN45" s="235" t="n">
        <v>0</v>
      </c>
      <c r="AO45" s="461">
        <f>K45*AN45</f>
        <v/>
      </c>
      <c r="AP45" s="461" t="n"/>
      <c r="AQ45" s="461">
        <f>AO45-AP45</f>
        <v/>
      </c>
      <c r="AR45" s="461" t="n">
        <v>0</v>
      </c>
      <c r="AS45" s="461">
        <f>K45*AR45</f>
        <v/>
      </c>
      <c r="AT45" s="461" t="n"/>
      <c r="AU45" s="461">
        <f>AS45-AT45</f>
        <v/>
      </c>
      <c r="AV45" s="461" t="inlineStr">
        <is>
          <t>按实</t>
        </is>
      </c>
      <c r="AW45" s="461">
        <f>AX45</f>
        <v/>
      </c>
      <c r="AX45" s="554" t="n">
        <v>0</v>
      </c>
      <c r="AY45" s="461">
        <f>AW45-AX45</f>
        <v/>
      </c>
      <c r="AZ45" s="461" t="inlineStr">
        <is>
          <t>按实</t>
        </is>
      </c>
      <c r="BA45" s="461">
        <f>BB45</f>
        <v/>
      </c>
      <c r="BB45" s="554" t="n"/>
      <c r="BC45" s="461">
        <f>BA45-BB45</f>
        <v/>
      </c>
      <c r="BD45" s="461" t="inlineStr">
        <is>
          <t>排烟机清洗费：按实</t>
        </is>
      </c>
      <c r="BE45" s="461">
        <f>BF45</f>
        <v/>
      </c>
      <c r="BF45" s="461" t="n"/>
      <c r="BG45" s="461">
        <f>BE45-BF45</f>
        <v/>
      </c>
      <c r="BH45" s="461" t="n">
        <v>0</v>
      </c>
      <c r="BI45" s="461">
        <f>K45*BH45</f>
        <v/>
      </c>
      <c r="BJ45" s="461" t="n"/>
      <c r="BK45" s="461">
        <f>BI45-BJ45</f>
        <v/>
      </c>
      <c r="BL45" s="461" t="inlineStr">
        <is>
          <t>按实</t>
        </is>
      </c>
      <c r="BM45" s="220">
        <f>BN45</f>
        <v/>
      </c>
      <c r="BN45" s="554" t="n">
        <v>0</v>
      </c>
      <c r="BO45" s="220">
        <f>BM45-BN45</f>
        <v/>
      </c>
      <c r="BP45" s="220">
        <f>N45+Q45+U45+Y45+AC45+AG45+AK45+AO45+AS45+AW45+BA45+BE45+BI45+BM45</f>
        <v/>
      </c>
      <c r="BQ45" s="220">
        <f>N45+R45+V45+Z45+AD45+AH45+AL45+AP45+AT45+AX45+BB45+BF45+BJ45+BN45</f>
        <v/>
      </c>
      <c r="BR45" s="220">
        <f>BP45-BQ45</f>
        <v/>
      </c>
      <c r="BS45" s="229" t="inlineStr">
        <is>
          <t>/</t>
        </is>
      </c>
      <c r="BT45" s="229" t="inlineStr">
        <is>
          <t>/</t>
        </is>
      </c>
      <c r="BU45" s="230" t="inlineStr">
        <is>
          <t>1、装修折旧费：按165万，分三年期限分摊，多退少补</t>
        </is>
      </c>
      <c r="BV45" s="230" t="inlineStr">
        <is>
          <t>1、签订期间：2026.1-2026.12；
2、指标按照全年换算；</t>
        </is>
      </c>
      <c r="BW45" s="534" t="n"/>
    </row>
    <row r="46" ht="24" customFormat="1" customHeight="1" s="209">
      <c r="A46" s="219" t="n">
        <v>61</v>
      </c>
      <c r="B46" s="220" t="inlineStr">
        <is>
          <t>KQCY0061</t>
        </is>
      </c>
      <c r="C46" s="221" t="inlineStr">
        <is>
          <t>餐饮二分部</t>
        </is>
      </c>
      <c r="D46" s="221" t="inlineStr">
        <is>
          <t>CF182</t>
        </is>
      </c>
      <c r="E46" s="221" t="inlineStr">
        <is>
          <t>无锡工艺第二食堂</t>
        </is>
      </c>
      <c r="F46" s="239" t="inlineStr">
        <is>
          <t>分组作业</t>
        </is>
      </c>
      <c r="G46" s="222" t="inlineStr">
        <is>
          <t>徐敏娟</t>
        </is>
      </c>
      <c r="H46" s="222" t="inlineStr">
        <is>
          <t>第二班组</t>
        </is>
      </c>
      <c r="I46" s="261" t="inlineStr">
        <is>
          <t>烤鸭饭</t>
        </is>
      </c>
      <c r="J46" s="261" t="inlineStr">
        <is>
          <t>徐其国</t>
        </is>
      </c>
      <c r="K46" s="545">
        <f>LET(k,D46&amp;"|"&amp;E46&amp;"|"&amp;H46&amp;"|"&amp;I46&amp;"|"&amp;J46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6" s="546" t="n"/>
      <c r="M46" s="224" t="n"/>
      <c r="N46" s="555" t="n"/>
      <c r="O46" s="548" t="n"/>
      <c r="P46" s="247" t="n">
        <v>0.26</v>
      </c>
      <c r="Q46" s="461">
        <f>K46*P46</f>
        <v/>
      </c>
      <c r="R46" s="263" t="n"/>
      <c r="S46" s="461">
        <f>Q46-R46</f>
        <v/>
      </c>
      <c r="T46" s="235" t="n">
        <v>0</v>
      </c>
      <c r="U46" s="461">
        <f>K46*T46</f>
        <v/>
      </c>
      <c r="V46" s="461" t="n"/>
      <c r="W46" s="461">
        <f>U46-V46</f>
        <v/>
      </c>
      <c r="X46" s="235" t="n">
        <v>0</v>
      </c>
      <c r="Y46" s="461">
        <f>K46*X46</f>
        <v/>
      </c>
      <c r="Z46" s="461" t="n"/>
      <c r="AA46" s="461">
        <f>Y46-Z46</f>
        <v/>
      </c>
      <c r="AB46" s="235" t="n">
        <v>0</v>
      </c>
      <c r="AC46" s="461">
        <f>K46*AB46</f>
        <v/>
      </c>
      <c r="AD46" s="461" t="n"/>
      <c r="AE46" s="461">
        <f>AC46-AD46</f>
        <v/>
      </c>
      <c r="AF46" s="235" t="n">
        <v>0</v>
      </c>
      <c r="AG46" s="461">
        <f>K46*AF46</f>
        <v/>
      </c>
      <c r="AH46" s="461" t="n"/>
      <c r="AI46" s="461">
        <f>AG46-AH46</f>
        <v/>
      </c>
      <c r="AJ46" s="235" t="n">
        <v>0</v>
      </c>
      <c r="AK46" s="461">
        <f>K46*AJ46</f>
        <v/>
      </c>
      <c r="AL46" s="461" t="n"/>
      <c r="AM46" s="461">
        <f>AK46-AL46</f>
        <v/>
      </c>
      <c r="AN46" s="235" t="n">
        <v>0</v>
      </c>
      <c r="AO46" s="461">
        <f>K46*AN46</f>
        <v/>
      </c>
      <c r="AP46" s="461" t="n"/>
      <c r="AQ46" s="461">
        <f>AO46-AP46</f>
        <v/>
      </c>
      <c r="AR46" s="461" t="n">
        <v>0</v>
      </c>
      <c r="AS46" s="461">
        <f>K46*AR46</f>
        <v/>
      </c>
      <c r="AT46" s="461" t="n"/>
      <c r="AU46" s="461">
        <f>AS46-AT46</f>
        <v/>
      </c>
      <c r="AV46" s="235" t="n">
        <v>0</v>
      </c>
      <c r="AW46" s="461">
        <f>K46*AV46</f>
        <v/>
      </c>
      <c r="AX46" s="556" t="n"/>
      <c r="AY46" s="461">
        <f>AW46-AX46</f>
        <v/>
      </c>
      <c r="AZ46" s="461" t="inlineStr">
        <is>
          <t>按实</t>
        </is>
      </c>
      <c r="BA46" s="461">
        <f>BB46</f>
        <v/>
      </c>
      <c r="BB46" s="556" t="n"/>
      <c r="BC46" s="461">
        <f>BA46-BB46</f>
        <v/>
      </c>
      <c r="BD46" s="461" t="inlineStr">
        <is>
          <t>排烟机清洗费：0</t>
        </is>
      </c>
      <c r="BE46" s="461">
        <f>BF46</f>
        <v/>
      </c>
      <c r="BF46" s="461" t="n"/>
      <c r="BG46" s="461">
        <f>BE46-BF46</f>
        <v/>
      </c>
      <c r="BH46" s="461" t="n">
        <v>0</v>
      </c>
      <c r="BI46" s="461">
        <f>K46*BH46</f>
        <v/>
      </c>
      <c r="BJ46" s="461" t="n"/>
      <c r="BK46" s="461">
        <f>BI46-BJ46</f>
        <v/>
      </c>
      <c r="BL46" s="461" t="inlineStr">
        <is>
          <t>按实</t>
        </is>
      </c>
      <c r="BM46" s="220">
        <f>BN46</f>
        <v/>
      </c>
      <c r="BN46" s="556" t="n">
        <v>0</v>
      </c>
      <c r="BO46" s="220">
        <f>BM46-BN46</f>
        <v/>
      </c>
      <c r="BP46" s="220">
        <f>N46+Q46+U46+Y46+AC46+AG46+AK46+AO46+AS46+AW46+BA46+BE46+BI46+BM46</f>
        <v/>
      </c>
      <c r="BQ46" s="220">
        <f>N46+R46+V46+Z46+AD46+AH46+AL46+AP46+AT46+AX46+BB46+BF46+BJ46+BN46</f>
        <v/>
      </c>
      <c r="BR46" s="220">
        <f>BP46-BQ46</f>
        <v/>
      </c>
      <c r="BS46" s="247" t="n"/>
      <c r="BT46" s="235" t="n"/>
      <c r="BU46" s="230" t="n"/>
      <c r="BV46" s="230" t="n"/>
      <c r="BW46" s="534" t="n"/>
    </row>
    <row r="47" ht="37.5" customFormat="1" customHeight="1" s="209">
      <c r="A47" s="219" t="n">
        <v>62</v>
      </c>
      <c r="B47" s="220" t="inlineStr">
        <is>
          <t>KQCY0062</t>
        </is>
      </c>
      <c r="C47" s="221" t="inlineStr">
        <is>
          <t>餐饮二分部</t>
        </is>
      </c>
      <c r="D47" s="221" t="inlineStr">
        <is>
          <t>CF182</t>
        </is>
      </c>
      <c r="E47" s="221" t="inlineStr">
        <is>
          <t>无锡工艺第二食堂</t>
        </is>
      </c>
      <c r="F47" s="239" t="inlineStr">
        <is>
          <t>分组作业</t>
        </is>
      </c>
      <c r="G47" s="222" t="inlineStr">
        <is>
          <t>徐敏娟</t>
        </is>
      </c>
      <c r="H47" s="222" t="inlineStr">
        <is>
          <t>第三班组</t>
        </is>
      </c>
      <c r="I47" s="261" t="inlineStr">
        <is>
          <t>营养粥、小笼包</t>
        </is>
      </c>
      <c r="J47" s="261" t="inlineStr">
        <is>
          <t>朱德保</t>
        </is>
      </c>
      <c r="K47" s="545">
        <f>LET(k,D47&amp;"|"&amp;E47&amp;"|"&amp;H47&amp;"|"&amp;I47&amp;"|"&amp;J47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7" s="546" t="n"/>
      <c r="M47" s="224" t="n"/>
      <c r="N47" s="253" t="n"/>
      <c r="O47" s="548" t="n"/>
      <c r="P47" s="247" t="n">
        <v>0.28</v>
      </c>
      <c r="Q47" s="461">
        <f>K47*P47</f>
        <v/>
      </c>
      <c r="R47" s="461" t="n"/>
      <c r="S47" s="461">
        <f>Q47-R47</f>
        <v/>
      </c>
      <c r="T47" s="235" t="n">
        <v>0</v>
      </c>
      <c r="U47" s="461">
        <f>K47*T47</f>
        <v/>
      </c>
      <c r="V47" s="461" t="n"/>
      <c r="W47" s="461">
        <f>U47-V47</f>
        <v/>
      </c>
      <c r="X47" s="235" t="n">
        <v>0</v>
      </c>
      <c r="Y47" s="461">
        <f>K47*X47</f>
        <v/>
      </c>
      <c r="Z47" s="461" t="n"/>
      <c r="AA47" s="461">
        <f>Y47-Z47</f>
        <v/>
      </c>
      <c r="AB47" s="235" t="n">
        <v>0</v>
      </c>
      <c r="AC47" s="461">
        <f>K47*AB47</f>
        <v/>
      </c>
      <c r="AD47" s="461" t="n"/>
      <c r="AE47" s="461">
        <f>AC47-AD47</f>
        <v/>
      </c>
      <c r="AF47" s="235" t="n">
        <v>0</v>
      </c>
      <c r="AG47" s="461">
        <f>K47*AF47</f>
        <v/>
      </c>
      <c r="AH47" s="461" t="n"/>
      <c r="AI47" s="461">
        <f>AG47-AH47</f>
        <v/>
      </c>
      <c r="AJ47" s="235" t="n">
        <v>0</v>
      </c>
      <c r="AK47" s="461">
        <f>K47*AJ47</f>
        <v/>
      </c>
      <c r="AL47" s="461" t="n"/>
      <c r="AM47" s="461">
        <f>AK47-AL47</f>
        <v/>
      </c>
      <c r="AN47" s="235" t="n">
        <v>0</v>
      </c>
      <c r="AO47" s="461">
        <f>K47*AN47</f>
        <v/>
      </c>
      <c r="AP47" s="461" t="n"/>
      <c r="AQ47" s="461">
        <f>AO47-AP47</f>
        <v/>
      </c>
      <c r="AR47" s="235" t="n">
        <v>0</v>
      </c>
      <c r="AS47" s="461">
        <f>K47*AR47</f>
        <v/>
      </c>
      <c r="AT47" s="461" t="n"/>
      <c r="AU47" s="461">
        <f>AS47-AT47</f>
        <v/>
      </c>
      <c r="AV47" s="235" t="n">
        <v>0</v>
      </c>
      <c r="AW47" s="461">
        <f>K47*AV47</f>
        <v/>
      </c>
      <c r="AX47" s="461" t="n"/>
      <c r="AY47" s="461">
        <f>AW47-AX47</f>
        <v/>
      </c>
      <c r="AZ47" s="461" t="inlineStr">
        <is>
          <t>按实</t>
        </is>
      </c>
      <c r="BA47" s="461">
        <f>BB47</f>
        <v/>
      </c>
      <c r="BB47" s="461" t="n"/>
      <c r="BC47" s="461">
        <f>BA47-BB47</f>
        <v/>
      </c>
      <c r="BD47" s="461" t="n">
        <v>0</v>
      </c>
      <c r="BE47" s="461">
        <f>K47*BD47</f>
        <v/>
      </c>
      <c r="BF47" s="461" t="n"/>
      <c r="BG47" s="461">
        <f>BE47-BF47</f>
        <v/>
      </c>
      <c r="BH47" s="461" t="n">
        <v>0</v>
      </c>
      <c r="BI47" s="461">
        <f>K47*BH47</f>
        <v/>
      </c>
      <c r="BJ47" s="461" t="n"/>
      <c r="BK47" s="461">
        <f>BI47-BJ47</f>
        <v/>
      </c>
      <c r="BL47" s="461" t="inlineStr">
        <is>
          <t>按实</t>
        </is>
      </c>
      <c r="BM47" s="220">
        <f>BN47</f>
        <v/>
      </c>
      <c r="BN47" s="220" t="n"/>
      <c r="BO47" s="220">
        <f>BM47-BN47</f>
        <v/>
      </c>
      <c r="BP47" s="220">
        <f>N47+Q47+U47+Y47+AC47+AG47+AK47+AO47+AS47+AW47+BA47+BE47+BI47+BM47</f>
        <v/>
      </c>
      <c r="BQ47" s="220">
        <f>N47+R47+V47+Z47+AD47+AH47+AL47+AP47+AT47+AX47+BB47+BF47+BJ47+BN47</f>
        <v/>
      </c>
      <c r="BR47" s="220">
        <f>BP47-BQ47</f>
        <v/>
      </c>
      <c r="BS47" s="247" t="n"/>
      <c r="BT47" s="235" t="n"/>
      <c r="BU47" s="230" t="n"/>
      <c r="BV47" s="230" t="n"/>
      <c r="BW47" s="534" t="n"/>
    </row>
    <row r="48" ht="56.25" customFormat="1" customHeight="1" s="209">
      <c r="A48" s="219" t="n">
        <v>63</v>
      </c>
      <c r="B48" s="220" t="inlineStr">
        <is>
          <t>KQCY0063</t>
        </is>
      </c>
      <c r="C48" s="221" t="inlineStr">
        <is>
          <t>餐饮二分部</t>
        </is>
      </c>
      <c r="D48" s="221" t="inlineStr">
        <is>
          <t>CF182</t>
        </is>
      </c>
      <c r="E48" s="221" t="inlineStr">
        <is>
          <t>无锡工艺第二食堂</t>
        </is>
      </c>
      <c r="F48" s="239" t="inlineStr">
        <is>
          <t>分组作业</t>
        </is>
      </c>
      <c r="G48" s="222" t="inlineStr">
        <is>
          <t>徐敏娟</t>
        </is>
      </c>
      <c r="H48" s="222" t="inlineStr">
        <is>
          <t>第四班组</t>
        </is>
      </c>
      <c r="I48" s="261" t="inlineStr">
        <is>
          <t>武汉热干面、隆江猪脚饭</t>
        </is>
      </c>
      <c r="J48" s="261" t="inlineStr">
        <is>
          <t>田振</t>
        </is>
      </c>
      <c r="K48" s="545">
        <f>LET(k,D48&amp;"|"&amp;E48&amp;"|"&amp;H48&amp;"|"&amp;I48&amp;"|"&amp;J48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8" s="546" t="n"/>
      <c r="M48" s="224" t="n"/>
      <c r="N48" s="253" t="n"/>
      <c r="O48" s="548" t="n"/>
      <c r="P48" s="247" t="n">
        <v>0.27</v>
      </c>
      <c r="Q48" s="461">
        <f>K48*P48</f>
        <v/>
      </c>
      <c r="R48" s="461" t="n"/>
      <c r="S48" s="461">
        <f>Q48-R48</f>
        <v/>
      </c>
      <c r="T48" s="235" t="n">
        <v>0</v>
      </c>
      <c r="U48" s="461">
        <f>K48*T48</f>
        <v/>
      </c>
      <c r="V48" s="461" t="n"/>
      <c r="W48" s="461">
        <f>U48-V48</f>
        <v/>
      </c>
      <c r="X48" s="235" t="n">
        <v>0</v>
      </c>
      <c r="Y48" s="461">
        <f>K48*X48</f>
        <v/>
      </c>
      <c r="Z48" s="461" t="n"/>
      <c r="AA48" s="461">
        <f>Y48-Z48</f>
        <v/>
      </c>
      <c r="AB48" s="235" t="n">
        <v>0</v>
      </c>
      <c r="AC48" s="461">
        <f>K48*AB48</f>
        <v/>
      </c>
      <c r="AD48" s="461" t="n"/>
      <c r="AE48" s="461">
        <f>AC48-AD48</f>
        <v/>
      </c>
      <c r="AF48" s="235" t="n">
        <v>0</v>
      </c>
      <c r="AG48" s="461">
        <f>K48*AF48</f>
        <v/>
      </c>
      <c r="AH48" s="461" t="n"/>
      <c r="AI48" s="461">
        <f>AG48-AH48</f>
        <v/>
      </c>
      <c r="AJ48" s="235" t="n">
        <v>0</v>
      </c>
      <c r="AK48" s="461">
        <f>K48*AJ48</f>
        <v/>
      </c>
      <c r="AL48" s="461" t="n"/>
      <c r="AM48" s="461">
        <f>AK48-AL48</f>
        <v/>
      </c>
      <c r="AN48" s="235" t="n">
        <v>0</v>
      </c>
      <c r="AO48" s="461">
        <f>K48*AN48</f>
        <v/>
      </c>
      <c r="AP48" s="461" t="n"/>
      <c r="AQ48" s="461">
        <f>AO48-AP48</f>
        <v/>
      </c>
      <c r="AR48" s="235" t="n">
        <v>0</v>
      </c>
      <c r="AS48" s="461">
        <f>K48*AR48</f>
        <v/>
      </c>
      <c r="AT48" s="461" t="n"/>
      <c r="AU48" s="461">
        <f>AS48-AT48</f>
        <v/>
      </c>
      <c r="AV48" s="235" t="n">
        <v>0</v>
      </c>
      <c r="AW48" s="461">
        <f>K48*AV48</f>
        <v/>
      </c>
      <c r="AX48" s="461" t="n"/>
      <c r="AY48" s="461">
        <f>AW48-AX48</f>
        <v/>
      </c>
      <c r="AZ48" s="461" t="inlineStr">
        <is>
          <t>按实</t>
        </is>
      </c>
      <c r="BA48" s="461">
        <f>BB48</f>
        <v/>
      </c>
      <c r="BB48" s="461" t="n"/>
      <c r="BC48" s="461">
        <f>BA48-BB48</f>
        <v/>
      </c>
      <c r="BD48" s="461" t="n">
        <v>0</v>
      </c>
      <c r="BE48" s="461">
        <f>K48*BD48</f>
        <v/>
      </c>
      <c r="BF48" s="461" t="n"/>
      <c r="BG48" s="461">
        <f>BE48-BF48</f>
        <v/>
      </c>
      <c r="BH48" s="461" t="n">
        <v>0</v>
      </c>
      <c r="BI48" s="461">
        <f>K48*BH48</f>
        <v/>
      </c>
      <c r="BJ48" s="461" t="n"/>
      <c r="BK48" s="461">
        <f>BI48-BJ48</f>
        <v/>
      </c>
      <c r="BL48" s="461" t="inlineStr">
        <is>
          <t>按实</t>
        </is>
      </c>
      <c r="BM48" s="220">
        <f>BN48</f>
        <v/>
      </c>
      <c r="BN48" s="220" t="n"/>
      <c r="BO48" s="220">
        <f>BM48-BN48</f>
        <v/>
      </c>
      <c r="BP48" s="220">
        <f>N48+Q48+U48+Y48+AC48+AG48+AK48+AO48+AS48+AW48+BA48+BE48+BI48+BM48</f>
        <v/>
      </c>
      <c r="BQ48" s="220">
        <f>N48+R48+V48+Z48+AD48+AH48+AL48+AP48+AT48+AX48+BB48+BF48+BJ48+BN48</f>
        <v/>
      </c>
      <c r="BR48" s="220">
        <f>BP48-BQ48</f>
        <v/>
      </c>
      <c r="BS48" s="247" t="n"/>
      <c r="BT48" s="235" t="n"/>
      <c r="BU48" s="230" t="n"/>
      <c r="BV48" s="230" t="n"/>
      <c r="BW48" s="534" t="n"/>
    </row>
    <row r="49" ht="37.5" customFormat="1" customHeight="1" s="209">
      <c r="A49" s="219" t="n">
        <v>64</v>
      </c>
      <c r="B49" s="220" t="inlineStr">
        <is>
          <t>KQCY0064</t>
        </is>
      </c>
      <c r="C49" s="221" t="inlineStr">
        <is>
          <t>餐饮二分部</t>
        </is>
      </c>
      <c r="D49" s="221" t="inlineStr">
        <is>
          <t>CF182</t>
        </is>
      </c>
      <c r="E49" s="221" t="inlineStr">
        <is>
          <t>无锡工艺第二食堂</t>
        </is>
      </c>
      <c r="F49" s="239" t="inlineStr">
        <is>
          <t>分组作业</t>
        </is>
      </c>
      <c r="G49" s="222" t="inlineStr">
        <is>
          <t>徐敏娟</t>
        </is>
      </c>
      <c r="H49" s="222" t="inlineStr">
        <is>
          <t>第六班组</t>
        </is>
      </c>
      <c r="I49" s="261" t="inlineStr">
        <is>
          <t>称重水饺、馄饨</t>
        </is>
      </c>
      <c r="J49" s="261" t="inlineStr">
        <is>
          <t>张宜轩</t>
        </is>
      </c>
      <c r="K49" s="545">
        <f>LET(k,D49&amp;"|"&amp;E49&amp;"|"&amp;H49&amp;"|"&amp;I49&amp;"|"&amp;J49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9" s="546" t="n"/>
      <c r="M49" s="224" t="n"/>
      <c r="N49" s="253" t="n"/>
      <c r="O49" s="548" t="n"/>
      <c r="P49" s="247" t="n">
        <v>0.28</v>
      </c>
      <c r="Q49" s="461">
        <f>K49*P49</f>
        <v/>
      </c>
      <c r="R49" s="461" t="n"/>
      <c r="S49" s="461">
        <f>Q49-R49</f>
        <v/>
      </c>
      <c r="T49" s="235" t="n">
        <v>0</v>
      </c>
      <c r="U49" s="461">
        <f>K49*T49</f>
        <v/>
      </c>
      <c r="V49" s="461" t="n"/>
      <c r="W49" s="461">
        <f>U49-V49</f>
        <v/>
      </c>
      <c r="X49" s="235" t="n">
        <v>0</v>
      </c>
      <c r="Y49" s="461">
        <f>K49*X49</f>
        <v/>
      </c>
      <c r="Z49" s="461" t="n"/>
      <c r="AA49" s="461">
        <f>Y49-Z49</f>
        <v/>
      </c>
      <c r="AB49" s="235" t="n">
        <v>0</v>
      </c>
      <c r="AC49" s="461">
        <f>K49*AB49</f>
        <v/>
      </c>
      <c r="AD49" s="461" t="n"/>
      <c r="AE49" s="461">
        <f>AC49-AD49</f>
        <v/>
      </c>
      <c r="AF49" s="235" t="n">
        <v>0</v>
      </c>
      <c r="AG49" s="461">
        <f>K49*AF49</f>
        <v/>
      </c>
      <c r="AH49" s="461" t="n"/>
      <c r="AI49" s="461">
        <f>AG49-AH49</f>
        <v/>
      </c>
      <c r="AJ49" s="235" t="n">
        <v>0</v>
      </c>
      <c r="AK49" s="461">
        <f>K49*AJ49</f>
        <v/>
      </c>
      <c r="AL49" s="461" t="n"/>
      <c r="AM49" s="461">
        <f>AK49-AL49</f>
        <v/>
      </c>
      <c r="AN49" s="235" t="n">
        <v>0</v>
      </c>
      <c r="AO49" s="461">
        <f>K49*AN49</f>
        <v/>
      </c>
      <c r="AP49" s="461" t="n"/>
      <c r="AQ49" s="461">
        <f>AO49-AP49</f>
        <v/>
      </c>
      <c r="AR49" s="235" t="n">
        <v>0</v>
      </c>
      <c r="AS49" s="461">
        <f>K49*AR49</f>
        <v/>
      </c>
      <c r="AT49" s="461" t="n"/>
      <c r="AU49" s="461">
        <f>AS49-AT49</f>
        <v/>
      </c>
      <c r="AV49" s="235" t="n">
        <v>0</v>
      </c>
      <c r="AW49" s="461">
        <f>K49*AV49</f>
        <v/>
      </c>
      <c r="AX49" s="461" t="n"/>
      <c r="AY49" s="461">
        <f>AW49-AX49</f>
        <v/>
      </c>
      <c r="AZ49" s="461" t="inlineStr">
        <is>
          <t>按实</t>
        </is>
      </c>
      <c r="BA49" s="461">
        <f>BB49</f>
        <v/>
      </c>
      <c r="BB49" s="461" t="n"/>
      <c r="BC49" s="461">
        <f>BA49-BB49</f>
        <v/>
      </c>
      <c r="BD49" s="461" t="n">
        <v>0</v>
      </c>
      <c r="BE49" s="461">
        <f>K49*BD49</f>
        <v/>
      </c>
      <c r="BF49" s="461" t="n"/>
      <c r="BG49" s="461">
        <f>BE49-BF49</f>
        <v/>
      </c>
      <c r="BH49" s="461" t="n">
        <v>0</v>
      </c>
      <c r="BI49" s="461">
        <f>K49*BH49</f>
        <v/>
      </c>
      <c r="BJ49" s="461" t="n"/>
      <c r="BK49" s="461">
        <f>BI49-BJ49</f>
        <v/>
      </c>
      <c r="BL49" s="461" t="inlineStr">
        <is>
          <t>按实</t>
        </is>
      </c>
      <c r="BM49" s="220">
        <f>BN49</f>
        <v/>
      </c>
      <c r="BN49" s="220" t="n"/>
      <c r="BO49" s="220">
        <f>BM49-BN49</f>
        <v/>
      </c>
      <c r="BP49" s="220">
        <f>N49+Q49+U49+Y49+AC49+AG49+AK49+AO49+AS49+AW49+BA49+BE49+BI49+BM49</f>
        <v/>
      </c>
      <c r="BQ49" s="220">
        <f>N49+R49+V49+Z49+AD49+AH49+AL49+AP49+AT49+AX49+BB49+BF49+BJ49+BN49</f>
        <v/>
      </c>
      <c r="BR49" s="220">
        <f>BP49-BQ49</f>
        <v/>
      </c>
      <c r="BS49" s="247" t="n"/>
      <c r="BT49" s="235" t="n"/>
      <c r="BU49" s="230" t="n"/>
      <c r="BV49" s="230" t="n"/>
      <c r="BW49" s="534" t="n"/>
    </row>
    <row r="50" ht="56.25" customFormat="1" customHeight="1" s="209">
      <c r="A50" s="219" t="n">
        <v>65</v>
      </c>
      <c r="B50" s="220" t="inlineStr">
        <is>
          <t>KQCY0065</t>
        </is>
      </c>
      <c r="C50" s="221" t="inlineStr">
        <is>
          <t>餐饮二分部</t>
        </is>
      </c>
      <c r="D50" s="221" t="inlineStr">
        <is>
          <t>CF182</t>
        </is>
      </c>
      <c r="E50" s="221" t="inlineStr">
        <is>
          <t>无锡工艺第二食堂</t>
        </is>
      </c>
      <c r="F50" s="239" t="inlineStr">
        <is>
          <t>分组作业</t>
        </is>
      </c>
      <c r="G50" s="222" t="inlineStr">
        <is>
          <t>徐敏娟</t>
        </is>
      </c>
      <c r="H50" s="222" t="inlineStr">
        <is>
          <t>第七班组</t>
        </is>
      </c>
      <c r="I50" s="261" t="inlineStr">
        <is>
          <t>掉渣饼、徐州米线、鸡汤饭</t>
        </is>
      </c>
      <c r="J50" s="261" t="inlineStr">
        <is>
          <t>武玉柳</t>
        </is>
      </c>
      <c r="K50" s="545">
        <f>LET(k,D50&amp;"|"&amp;E50&amp;"|"&amp;H50&amp;"|"&amp;I50&amp;"|"&amp;J50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50" s="546" t="n"/>
      <c r="M50" s="224" t="n"/>
      <c r="N50" s="253" t="n"/>
      <c r="O50" s="548" t="n"/>
      <c r="P50" s="247" t="n">
        <v>0.28</v>
      </c>
      <c r="Q50" s="461">
        <f>K50*P50</f>
        <v/>
      </c>
      <c r="R50" s="461" t="n"/>
      <c r="S50" s="461">
        <f>Q50-R50</f>
        <v/>
      </c>
      <c r="T50" s="235" t="n">
        <v>0</v>
      </c>
      <c r="U50" s="461">
        <f>K50*T50</f>
        <v/>
      </c>
      <c r="V50" s="461" t="n"/>
      <c r="W50" s="461">
        <f>U50-V50</f>
        <v/>
      </c>
      <c r="X50" s="235" t="n">
        <v>0</v>
      </c>
      <c r="Y50" s="461">
        <f>K50*X50</f>
        <v/>
      </c>
      <c r="Z50" s="461" t="n"/>
      <c r="AA50" s="461">
        <f>Y50-Z50</f>
        <v/>
      </c>
      <c r="AB50" s="235" t="n">
        <v>0</v>
      </c>
      <c r="AC50" s="461">
        <f>K50*AB50</f>
        <v/>
      </c>
      <c r="AD50" s="461" t="n"/>
      <c r="AE50" s="461">
        <f>AC50-AD50</f>
        <v/>
      </c>
      <c r="AF50" s="235" t="n">
        <v>0</v>
      </c>
      <c r="AG50" s="461">
        <f>K50*AF50</f>
        <v/>
      </c>
      <c r="AH50" s="461" t="n"/>
      <c r="AI50" s="461">
        <f>AG50-AH50</f>
        <v/>
      </c>
      <c r="AJ50" s="235" t="n">
        <v>0</v>
      </c>
      <c r="AK50" s="461">
        <f>K50*AJ50</f>
        <v/>
      </c>
      <c r="AL50" s="461" t="n"/>
      <c r="AM50" s="461">
        <f>AK50-AL50</f>
        <v/>
      </c>
      <c r="AN50" s="235" t="n">
        <v>0</v>
      </c>
      <c r="AO50" s="461">
        <f>K50*AN50</f>
        <v/>
      </c>
      <c r="AP50" s="461" t="n"/>
      <c r="AQ50" s="461">
        <f>AO50-AP50</f>
        <v/>
      </c>
      <c r="AR50" s="235" t="n">
        <v>0</v>
      </c>
      <c r="AS50" s="461">
        <f>K50*AR50</f>
        <v/>
      </c>
      <c r="AT50" s="461" t="n"/>
      <c r="AU50" s="461">
        <f>AS50-AT50</f>
        <v/>
      </c>
      <c r="AV50" s="235" t="n">
        <v>0</v>
      </c>
      <c r="AW50" s="461">
        <f>K50*AV50</f>
        <v/>
      </c>
      <c r="AX50" s="461" t="n"/>
      <c r="AY50" s="461">
        <f>AW50-AX50</f>
        <v/>
      </c>
      <c r="AZ50" s="461" t="inlineStr">
        <is>
          <t>按实</t>
        </is>
      </c>
      <c r="BA50" s="461">
        <f>BB50</f>
        <v/>
      </c>
      <c r="BB50" s="461" t="n"/>
      <c r="BC50" s="461">
        <f>BA50-BB50</f>
        <v/>
      </c>
      <c r="BD50" s="461" t="n">
        <v>0</v>
      </c>
      <c r="BE50" s="461">
        <f>K50*BD50</f>
        <v/>
      </c>
      <c r="BF50" s="461" t="n"/>
      <c r="BG50" s="461">
        <f>BE50-BF50</f>
        <v/>
      </c>
      <c r="BH50" s="461" t="n">
        <v>0</v>
      </c>
      <c r="BI50" s="461">
        <f>K50*BH50</f>
        <v/>
      </c>
      <c r="BJ50" s="461" t="n"/>
      <c r="BK50" s="461">
        <f>BI50-BJ50</f>
        <v/>
      </c>
      <c r="BL50" s="461" t="inlineStr">
        <is>
          <t>按实</t>
        </is>
      </c>
      <c r="BM50" s="220">
        <f>BN50</f>
        <v/>
      </c>
      <c r="BN50" s="220" t="n"/>
      <c r="BO50" s="220">
        <f>BM50-BN50</f>
        <v/>
      </c>
      <c r="BP50" s="220">
        <f>N50+Q50+U50+Y50+AC50+AG50+AK50+AO50+AS50+AW50+BA50+BE50+BI50+BM50</f>
        <v/>
      </c>
      <c r="BQ50" s="220">
        <f>N50+R50+V50+Z50+AD50+AH50+AL50+AP50+AT50+AX50+BB50+BF50+BJ50+BN50</f>
        <v/>
      </c>
      <c r="BR50" s="220">
        <f>BP50-BQ50</f>
        <v/>
      </c>
      <c r="BS50" s="247" t="n"/>
      <c r="BT50" s="235" t="n"/>
      <c r="BU50" s="230" t="n"/>
      <c r="BV50" s="230" t="n"/>
      <c r="BW50" s="534" t="n"/>
    </row>
    <row r="51" ht="37.5" customFormat="1" customHeight="1" s="209">
      <c r="A51" s="219" t="n">
        <v>66</v>
      </c>
      <c r="B51" s="220" t="inlineStr">
        <is>
          <t>KQCY0066</t>
        </is>
      </c>
      <c r="C51" s="221" t="inlineStr">
        <is>
          <t>餐饮二分部</t>
        </is>
      </c>
      <c r="D51" s="221" t="inlineStr">
        <is>
          <t>CF182</t>
        </is>
      </c>
      <c r="E51" s="221" t="inlineStr">
        <is>
          <t>无锡工艺第二食堂</t>
        </is>
      </c>
      <c r="F51" s="239" t="inlineStr">
        <is>
          <t>分组作业</t>
        </is>
      </c>
      <c r="G51" s="222" t="inlineStr">
        <is>
          <t>徐敏娟</t>
        </is>
      </c>
      <c r="H51" s="222" t="inlineStr">
        <is>
          <t>第八班组</t>
        </is>
      </c>
      <c r="I51" s="261" t="inlineStr">
        <is>
          <t>爆炒盖浇饭、套餐饭</t>
        </is>
      </c>
      <c r="J51" s="261" t="inlineStr">
        <is>
          <t>赵裕旭</t>
        </is>
      </c>
      <c r="K51" s="545">
        <f>LET(k,D51&amp;"|"&amp;E51&amp;"|"&amp;H51&amp;"|"&amp;I51&amp;"|"&amp;J51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51" s="546" t="n"/>
      <c r="M51" s="224" t="n"/>
      <c r="N51" s="253" t="n"/>
      <c r="O51" s="548" t="n"/>
      <c r="P51" s="247" t="n">
        <v>0.28</v>
      </c>
      <c r="Q51" s="461">
        <f>K51*P51</f>
        <v/>
      </c>
      <c r="R51" s="461" t="n"/>
      <c r="S51" s="461">
        <f>Q51-R51</f>
        <v/>
      </c>
      <c r="T51" s="235" t="n">
        <v>0</v>
      </c>
      <c r="U51" s="461">
        <f>K51*T51</f>
        <v/>
      </c>
      <c r="V51" s="461" t="n"/>
      <c r="W51" s="461">
        <f>U51-V51</f>
        <v/>
      </c>
      <c r="X51" s="235" t="n">
        <v>0</v>
      </c>
      <c r="Y51" s="461">
        <f>K51*X51</f>
        <v/>
      </c>
      <c r="Z51" s="461" t="n"/>
      <c r="AA51" s="461">
        <f>Y51-Z51</f>
        <v/>
      </c>
      <c r="AB51" s="235" t="n">
        <v>0</v>
      </c>
      <c r="AC51" s="461">
        <f>K51*AB51</f>
        <v/>
      </c>
      <c r="AD51" s="461" t="n"/>
      <c r="AE51" s="461">
        <f>AC51-AD51</f>
        <v/>
      </c>
      <c r="AF51" s="235" t="n">
        <v>0</v>
      </c>
      <c r="AG51" s="461">
        <f>K51*AF51</f>
        <v/>
      </c>
      <c r="AH51" s="461" t="n"/>
      <c r="AI51" s="461">
        <f>AG51-AH51</f>
        <v/>
      </c>
      <c r="AJ51" s="235" t="n">
        <v>0</v>
      </c>
      <c r="AK51" s="461">
        <f>K51*AJ51</f>
        <v/>
      </c>
      <c r="AL51" s="461" t="n"/>
      <c r="AM51" s="461">
        <f>AK51-AL51</f>
        <v/>
      </c>
      <c r="AN51" s="235" t="n">
        <v>0</v>
      </c>
      <c r="AO51" s="461">
        <f>K51*AN51</f>
        <v/>
      </c>
      <c r="AP51" s="461" t="n"/>
      <c r="AQ51" s="461">
        <f>AO51-AP51</f>
        <v/>
      </c>
      <c r="AR51" s="235" t="n">
        <v>0</v>
      </c>
      <c r="AS51" s="461">
        <f>K51*AR51</f>
        <v/>
      </c>
      <c r="AT51" s="461" t="n"/>
      <c r="AU51" s="461">
        <f>AS51-AT51</f>
        <v/>
      </c>
      <c r="AV51" s="235" t="n">
        <v>0</v>
      </c>
      <c r="AW51" s="461">
        <f>K51*AV51</f>
        <v/>
      </c>
      <c r="AX51" s="461" t="n"/>
      <c r="AY51" s="461">
        <f>AW51-AX51</f>
        <v/>
      </c>
      <c r="AZ51" s="461" t="inlineStr">
        <is>
          <t>按实</t>
        </is>
      </c>
      <c r="BA51" s="461">
        <f>BB51</f>
        <v/>
      </c>
      <c r="BB51" s="461" t="n"/>
      <c r="BC51" s="461">
        <f>BA51-BB51</f>
        <v/>
      </c>
      <c r="BD51" s="461" t="n">
        <v>0</v>
      </c>
      <c r="BE51" s="461">
        <f>K51*BD51</f>
        <v/>
      </c>
      <c r="BF51" s="461" t="n"/>
      <c r="BG51" s="461">
        <f>BE51-BF51</f>
        <v/>
      </c>
      <c r="BH51" s="461" t="n">
        <v>0</v>
      </c>
      <c r="BI51" s="461">
        <f>K51*BH51</f>
        <v/>
      </c>
      <c r="BJ51" s="461" t="n"/>
      <c r="BK51" s="461">
        <f>BI51-BJ51</f>
        <v/>
      </c>
      <c r="BL51" s="461" t="inlineStr">
        <is>
          <t>按实</t>
        </is>
      </c>
      <c r="BM51" s="220">
        <f>BN51</f>
        <v/>
      </c>
      <c r="BN51" s="220" t="n"/>
      <c r="BO51" s="220">
        <f>BM51-BN51</f>
        <v/>
      </c>
      <c r="BP51" s="220">
        <f>N51+Q51+U51+Y51+AC51+AG51+AK51+AO51+AS51+AW51+BA51+BE51+BI51+BM51</f>
        <v/>
      </c>
      <c r="BQ51" s="220">
        <f>N51+R51+V51+Z51+AD51+AH51+AL51+AP51+AT51+AX51+BB51+BF51+BJ51+BN51</f>
        <v/>
      </c>
      <c r="BR51" s="220">
        <f>BP51-BQ51</f>
        <v/>
      </c>
      <c r="BS51" s="247" t="n"/>
      <c r="BT51" s="235" t="n"/>
      <c r="BU51" s="230" t="n"/>
      <c r="BV51" s="230" t="n"/>
      <c r="BW51" s="534" t="n"/>
    </row>
    <row r="52" ht="37.5" customFormat="1" customHeight="1" s="209">
      <c r="A52" s="219" t="n">
        <v>67</v>
      </c>
      <c r="B52" s="220" t="inlineStr">
        <is>
          <t>KQCY0067</t>
        </is>
      </c>
      <c r="C52" s="221" t="inlineStr">
        <is>
          <t>餐饮二分部</t>
        </is>
      </c>
      <c r="D52" s="221" t="inlineStr">
        <is>
          <t>CF182</t>
        </is>
      </c>
      <c r="E52" s="221" t="inlineStr">
        <is>
          <t>无锡工艺第二食堂</t>
        </is>
      </c>
      <c r="F52" s="239" t="inlineStr">
        <is>
          <t>分组作业</t>
        </is>
      </c>
      <c r="G52" s="222" t="inlineStr">
        <is>
          <t>徐敏娟</t>
        </is>
      </c>
      <c r="H52" s="222" t="inlineStr">
        <is>
          <t>第九班组</t>
        </is>
      </c>
      <c r="I52" s="261" t="inlineStr">
        <is>
          <t>休闲水吧、水果</t>
        </is>
      </c>
      <c r="J52" s="261" t="inlineStr">
        <is>
          <t>党玉真</t>
        </is>
      </c>
      <c r="K52" s="545">
        <f>LET(k,D52&amp;"|"&amp;E52&amp;"|"&amp;H52&amp;"|"&amp;I52&amp;"|"&amp;J52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52" s="546" t="n"/>
      <c r="M52" s="224" t="n"/>
      <c r="N52" s="253" t="n"/>
      <c r="O52" s="548" t="n"/>
      <c r="P52" s="247" t="n">
        <v>0.13</v>
      </c>
      <c r="Q52" s="461">
        <f>K52*P52</f>
        <v/>
      </c>
      <c r="R52" s="461" t="n"/>
      <c r="S52" s="461">
        <f>Q52-R52</f>
        <v/>
      </c>
      <c r="T52" s="235" t="n">
        <v>0</v>
      </c>
      <c r="U52" s="461">
        <f>K52*T52</f>
        <v/>
      </c>
      <c r="V52" s="461" t="n"/>
      <c r="W52" s="461">
        <f>U52-V52</f>
        <v/>
      </c>
      <c r="X52" s="235" t="n">
        <v>0</v>
      </c>
      <c r="Y52" s="461">
        <f>K52*X52</f>
        <v/>
      </c>
      <c r="Z52" s="461" t="n"/>
      <c r="AA52" s="461">
        <f>Y52-Z52</f>
        <v/>
      </c>
      <c r="AB52" s="235" t="n">
        <v>0</v>
      </c>
      <c r="AC52" s="461">
        <f>K52*AB52</f>
        <v/>
      </c>
      <c r="AD52" s="461" t="n"/>
      <c r="AE52" s="461">
        <f>AC52-AD52</f>
        <v/>
      </c>
      <c r="AF52" s="235" t="n">
        <v>0</v>
      </c>
      <c r="AG52" s="461">
        <f>K52*AF52</f>
        <v/>
      </c>
      <c r="AH52" s="461" t="n"/>
      <c r="AI52" s="461">
        <f>AG52-AH52</f>
        <v/>
      </c>
      <c r="AJ52" s="235" t="n">
        <v>0</v>
      </c>
      <c r="AK52" s="461">
        <f>K52*AJ52</f>
        <v/>
      </c>
      <c r="AL52" s="461" t="n"/>
      <c r="AM52" s="461">
        <f>AK52-AL52</f>
        <v/>
      </c>
      <c r="AN52" s="235" t="n">
        <v>0</v>
      </c>
      <c r="AO52" s="461">
        <f>K52*AN52</f>
        <v/>
      </c>
      <c r="AP52" s="461" t="n"/>
      <c r="AQ52" s="461">
        <f>AO52-AP52</f>
        <v/>
      </c>
      <c r="AR52" s="235" t="n">
        <v>0</v>
      </c>
      <c r="AS52" s="461">
        <f>K52*AR52</f>
        <v/>
      </c>
      <c r="AT52" s="461" t="n"/>
      <c r="AU52" s="461">
        <f>AS52-AT52</f>
        <v/>
      </c>
      <c r="AV52" s="235" t="n">
        <v>0</v>
      </c>
      <c r="AW52" s="461">
        <f>K52*AV52</f>
        <v/>
      </c>
      <c r="AX52" s="461" t="n"/>
      <c r="AY52" s="461">
        <f>AW52-AX52</f>
        <v/>
      </c>
      <c r="AZ52" s="461" t="inlineStr">
        <is>
          <t>按实</t>
        </is>
      </c>
      <c r="BA52" s="461">
        <f>BB52</f>
        <v/>
      </c>
      <c r="BB52" s="461" t="n"/>
      <c r="BC52" s="461">
        <f>BA52-BB52</f>
        <v/>
      </c>
      <c r="BD52" s="461" t="n">
        <v>0</v>
      </c>
      <c r="BE52" s="461">
        <f>K52*BD52</f>
        <v/>
      </c>
      <c r="BF52" s="461" t="n"/>
      <c r="BG52" s="461">
        <f>BE52-BF52</f>
        <v/>
      </c>
      <c r="BH52" s="461" t="n">
        <v>0</v>
      </c>
      <c r="BI52" s="461">
        <f>K52*BH52</f>
        <v/>
      </c>
      <c r="BJ52" s="461" t="n"/>
      <c r="BK52" s="461">
        <f>BI52-BJ52</f>
        <v/>
      </c>
      <c r="BL52" s="461" t="inlineStr">
        <is>
          <t>按实</t>
        </is>
      </c>
      <c r="BM52" s="220">
        <f>BN52</f>
        <v/>
      </c>
      <c r="BN52" s="220" t="n"/>
      <c r="BO52" s="220">
        <f>BM52-BN52</f>
        <v/>
      </c>
      <c r="BP52" s="220">
        <f>N52+Q52+U52+Y52+AC52+AG52+AK52+AO52+AS52+AW52+BA52+BE52+BI52+BM52</f>
        <v/>
      </c>
      <c r="BQ52" s="220">
        <f>N52+R52+V52+Z52+AD52+AH52+AL52+AP52+AT52+AX52+BB52+BF52+BJ52+BN52</f>
        <v/>
      </c>
      <c r="BR52" s="220">
        <f>BP52-BQ52</f>
        <v/>
      </c>
      <c r="BS52" s="247" t="n"/>
      <c r="BT52" s="235" t="n"/>
      <c r="BU52" s="230" t="n"/>
      <c r="BV52" s="230" t="n"/>
      <c r="BW52" s="534" t="n"/>
    </row>
    <row r="53" ht="112.5" customFormat="1" customHeight="1" s="209">
      <c r="A53" s="219" t="n">
        <v>68</v>
      </c>
      <c r="B53" s="220" t="inlineStr">
        <is>
          <t>KQCY0068</t>
        </is>
      </c>
      <c r="C53" s="221" t="inlineStr">
        <is>
          <t>餐饮二分部</t>
        </is>
      </c>
      <c r="D53" s="221" t="inlineStr">
        <is>
          <t>CF182</t>
        </is>
      </c>
      <c r="E53" s="221" t="inlineStr">
        <is>
          <t>无锡工艺第二食堂</t>
        </is>
      </c>
      <c r="F53" s="239" t="inlineStr">
        <is>
          <t>分组作业</t>
        </is>
      </c>
      <c r="G53" s="222" t="inlineStr">
        <is>
          <t>徐敏娟</t>
        </is>
      </c>
      <c r="H53" s="222" t="inlineStr">
        <is>
          <t>第十一班组</t>
        </is>
      </c>
      <c r="I53" s="261" t="inlineStr">
        <is>
          <t>（二楼特色小吃）汉堡、炸鸡、自主称重快餐、千里香馄饨、手擀面</t>
        </is>
      </c>
      <c r="J53" s="261" t="inlineStr">
        <is>
          <t>常霞</t>
        </is>
      </c>
      <c r="K53" s="545">
        <f>LET(k,D53&amp;"|"&amp;E53&amp;"|"&amp;H53&amp;"|"&amp;I53&amp;"|"&amp;J53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53" s="546" t="n"/>
      <c r="M53" s="224" t="n"/>
      <c r="N53" s="253" t="n"/>
      <c r="O53" s="548" t="n"/>
      <c r="P53" s="247" t="n">
        <v>0.06</v>
      </c>
      <c r="Q53" s="461">
        <f>K53*P53</f>
        <v/>
      </c>
      <c r="R53" s="461" t="n"/>
      <c r="S53" s="461">
        <f>Q53-R53</f>
        <v/>
      </c>
      <c r="T53" s="235" t="n">
        <v>0</v>
      </c>
      <c r="U53" s="461">
        <f>K53*T53</f>
        <v/>
      </c>
      <c r="V53" s="461" t="n"/>
      <c r="W53" s="461">
        <f>U53-V53</f>
        <v/>
      </c>
      <c r="X53" s="235" t="n">
        <v>0</v>
      </c>
      <c r="Y53" s="461">
        <f>K53*X53</f>
        <v/>
      </c>
      <c r="Z53" s="461" t="n"/>
      <c r="AA53" s="461">
        <f>Y53-Z53</f>
        <v/>
      </c>
      <c r="AB53" s="235" t="n">
        <v>0</v>
      </c>
      <c r="AC53" s="461">
        <f>K53*AB53</f>
        <v/>
      </c>
      <c r="AD53" s="461" t="n"/>
      <c r="AE53" s="461">
        <f>AC53-AD53</f>
        <v/>
      </c>
      <c r="AF53" s="235" t="n">
        <v>0</v>
      </c>
      <c r="AG53" s="461">
        <f>K53*AF53</f>
        <v/>
      </c>
      <c r="AH53" s="480" t="n"/>
      <c r="AI53" s="461">
        <f>AG53-AH53</f>
        <v/>
      </c>
      <c r="AJ53" s="235" t="n">
        <v>0</v>
      </c>
      <c r="AK53" s="461">
        <f>K53*AJ53</f>
        <v/>
      </c>
      <c r="AL53" s="461" t="n"/>
      <c r="AM53" s="461">
        <f>AK53-AL53</f>
        <v/>
      </c>
      <c r="AN53" s="235" t="n">
        <v>0</v>
      </c>
      <c r="AO53" s="461">
        <f>K53*AN53</f>
        <v/>
      </c>
      <c r="AP53" s="461" t="n"/>
      <c r="AQ53" s="461">
        <f>AO53-AP53</f>
        <v/>
      </c>
      <c r="AR53" s="235" t="n">
        <v>0</v>
      </c>
      <c r="AS53" s="461">
        <f>K53*AR53</f>
        <v/>
      </c>
      <c r="AT53" s="461" t="n"/>
      <c r="AU53" s="461">
        <f>AS53-AT53</f>
        <v/>
      </c>
      <c r="AV53" s="235" t="n">
        <v>0</v>
      </c>
      <c r="AW53" s="461">
        <f>AX53</f>
        <v/>
      </c>
      <c r="AX53" s="461" t="n">
        <v>0</v>
      </c>
      <c r="AY53" s="461">
        <f>AW53-AX53</f>
        <v/>
      </c>
      <c r="AZ53" s="461" t="inlineStr">
        <is>
          <t>按实</t>
        </is>
      </c>
      <c r="BA53" s="461">
        <f>BB53</f>
        <v/>
      </c>
      <c r="BB53" s="461" t="n"/>
      <c r="BC53" s="461">
        <f>BA53-BB53</f>
        <v/>
      </c>
      <c r="BD53" s="461" t="inlineStr">
        <is>
          <t>水费、电费、燃气费、保洁费自行承担</t>
        </is>
      </c>
      <c r="BE53" s="461">
        <f>BF53</f>
        <v/>
      </c>
      <c r="BF53" s="461" t="n"/>
      <c r="BG53" s="461">
        <f>BE53-BF53</f>
        <v/>
      </c>
      <c r="BH53" s="461" t="n">
        <v>0</v>
      </c>
      <c r="BI53" s="461">
        <f>K53*BH53</f>
        <v/>
      </c>
      <c r="BJ53" s="461" t="n"/>
      <c r="BK53" s="461">
        <f>BI53-BJ53</f>
        <v/>
      </c>
      <c r="BL53" s="461" t="inlineStr">
        <is>
          <t>按实</t>
        </is>
      </c>
      <c r="BM53" s="220">
        <f>BN53</f>
        <v/>
      </c>
      <c r="BN53" s="220" t="n"/>
      <c r="BO53" s="220">
        <f>BM53-BN53</f>
        <v/>
      </c>
      <c r="BP53" s="220">
        <f>N53+Q53+U53+Y53+AC53+AG53+AK53+AO53+AS53+AW53+BA53+BE53+BI53+BM53</f>
        <v/>
      </c>
      <c r="BQ53" s="220">
        <f>N53+R53+V53+Z53+AD53+AH53+AL53+AP53+AT53+AX53+BB53+BF53+BJ53+BN53</f>
        <v/>
      </c>
      <c r="BR53" s="220">
        <f>BP53-BQ53</f>
        <v/>
      </c>
      <c r="BS53" s="247" t="n"/>
      <c r="BT53" s="235" t="n"/>
      <c r="BU53" s="230" t="n"/>
      <c r="BV53" s="230" t="n"/>
      <c r="BW53" s="534" t="n"/>
    </row>
    <row r="54" ht="36" customFormat="1" customHeight="1" s="209">
      <c r="A54" s="219" t="n">
        <v>70</v>
      </c>
      <c r="B54" s="220" t="inlineStr">
        <is>
          <t>KQCY0070</t>
        </is>
      </c>
      <c r="C54" s="221" t="inlineStr">
        <is>
          <t>餐饮二分部</t>
        </is>
      </c>
      <c r="D54" s="221" t="inlineStr">
        <is>
          <t>CF360</t>
        </is>
      </c>
      <c r="E54" s="242" t="inlineStr">
        <is>
          <t>南通师专新校区食堂</t>
        </is>
      </c>
      <c r="F54" s="219" t="inlineStr">
        <is>
          <t>分组作业</t>
        </is>
      </c>
      <c r="G54" s="243" t="inlineStr">
        <is>
          <t>郑虎</t>
        </is>
      </c>
      <c r="H54" s="222" t="inlineStr">
        <is>
          <t>第一班组</t>
        </is>
      </c>
      <c r="I54" s="232" t="inlineStr">
        <is>
          <t>琳榆炸鸡腿</t>
        </is>
      </c>
      <c r="J54" s="503" t="inlineStr">
        <is>
          <t>王友强</t>
        </is>
      </c>
      <c r="K54" s="545">
        <f>LET(k,D54&amp;"|"&amp;E54&amp;"|"&amp;H54&amp;"|"&amp;I54&amp;"|"&amp;J54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54" s="546" t="n"/>
      <c r="M54" s="224" t="n"/>
      <c r="N54" s="557" t="n">
        <v>0</v>
      </c>
      <c r="O54" s="548" t="n">
        <v>800000</v>
      </c>
      <c r="P54" s="247" t="n">
        <v>0.2</v>
      </c>
      <c r="Q54" s="461">
        <f>K54*P54</f>
        <v/>
      </c>
      <c r="R54" s="558" t="n"/>
      <c r="S54" s="461">
        <f>Q54-R54</f>
        <v/>
      </c>
      <c r="T54" s="235" t="n">
        <v>0</v>
      </c>
      <c r="U54" s="461">
        <f>K54*T54</f>
        <v/>
      </c>
      <c r="V54" s="461" t="n"/>
      <c r="W54" s="461">
        <f>U54-V54</f>
        <v/>
      </c>
      <c r="X54" s="235" t="n">
        <v>0</v>
      </c>
      <c r="Y54" s="461">
        <f>K54*X54</f>
        <v/>
      </c>
      <c r="Z54" s="461" t="n"/>
      <c r="AA54" s="461">
        <f>Y54-Z54</f>
        <v/>
      </c>
      <c r="AB54" s="247" t="n">
        <v>0</v>
      </c>
      <c r="AC54" s="461">
        <f>K54*AB54</f>
        <v/>
      </c>
      <c r="AD54" s="461" t="n"/>
      <c r="AE54" s="461">
        <f>AC54-AD54</f>
        <v/>
      </c>
      <c r="AF54" s="247" t="n">
        <v>0</v>
      </c>
      <c r="AG54" s="461">
        <f>K54*AF54</f>
        <v/>
      </c>
      <c r="AH54" s="461" t="n"/>
      <c r="AI54" s="461">
        <f>AG54-AH54</f>
        <v/>
      </c>
      <c r="AJ54" s="247" t="n">
        <v>0</v>
      </c>
      <c r="AK54" s="461">
        <f>K54*AJ54</f>
        <v/>
      </c>
      <c r="AL54" s="461" t="n"/>
      <c r="AM54" s="461">
        <f>AK54-AL54</f>
        <v/>
      </c>
      <c r="AN54" s="235" t="n">
        <v>0</v>
      </c>
      <c r="AO54" s="461">
        <f>K54*AN54</f>
        <v/>
      </c>
      <c r="AP54" s="461" t="n"/>
      <c r="AQ54" s="461">
        <f>AO54-AP54</f>
        <v/>
      </c>
      <c r="AR54" s="247" t="n">
        <v>0.03</v>
      </c>
      <c r="AS54" s="461">
        <f>K54*AR54</f>
        <v/>
      </c>
      <c r="AT54" s="558" t="n"/>
      <c r="AU54" s="461">
        <f>AS54-AT54</f>
        <v/>
      </c>
      <c r="AV54" s="247" t="n">
        <v>0.04</v>
      </c>
      <c r="AW54" s="461">
        <f>K54*AV54</f>
        <v/>
      </c>
      <c r="AX54" s="558" t="n"/>
      <c r="AY54" s="461">
        <f>AW54-AX54</f>
        <v/>
      </c>
      <c r="AZ54" s="227" t="inlineStr">
        <is>
          <t xml:space="preserve"> 按实</t>
        </is>
      </c>
      <c r="BA54" s="461">
        <f>BB54</f>
        <v/>
      </c>
      <c r="BB54" s="461" t="n"/>
      <c r="BC54" s="461">
        <f>BA54-BB54</f>
        <v/>
      </c>
      <c r="BD54" s="235" t="n">
        <v>0</v>
      </c>
      <c r="BE54" s="461">
        <f>K54*BD54</f>
        <v/>
      </c>
      <c r="BF54" s="235" t="n"/>
      <c r="BG54" s="461">
        <f>BE54-BF54</f>
        <v/>
      </c>
      <c r="BH54" s="235" t="n">
        <v>0</v>
      </c>
      <c r="BI54" s="461">
        <f>K54*BH54</f>
        <v/>
      </c>
      <c r="BJ54" s="235" t="n"/>
      <c r="BK54" s="461">
        <f>BI54-BJ54</f>
        <v/>
      </c>
      <c r="BL54" s="235" t="inlineStr">
        <is>
          <t xml:space="preserve"> 按实</t>
        </is>
      </c>
      <c r="BM54" s="220">
        <f>BN54</f>
        <v/>
      </c>
      <c r="BN54" s="220" t="n"/>
      <c r="BO54" s="220">
        <f>BM54-BN54</f>
        <v/>
      </c>
      <c r="BP54" s="220">
        <f>N54+Q54+U54+Y54+AC54+AG54+AK54+AO54+AS54+AW54+BA54+BE54+BI54+BM54</f>
        <v/>
      </c>
      <c r="BQ54" s="220">
        <f>N54+R54+V54+Z54+AD54+AH54+AL54+AP54+AT54+AX54+BB54+BF54+BJ54+BN54</f>
        <v/>
      </c>
      <c r="BR54" s="220">
        <f>BP54-BQ54</f>
        <v/>
      </c>
      <c r="BS54" s="247" t="inlineStr">
        <is>
          <t>/</t>
        </is>
      </c>
      <c r="BT54" s="235" t="inlineStr">
        <is>
          <t>/</t>
        </is>
      </c>
      <c r="BU54" s="250" t="inlineStr">
        <is>
          <t>1、装修折旧费：25万/年，分组作业未分摊，服务费已包含</t>
        </is>
      </c>
      <c r="BV54" s="230" t="inlineStr">
        <is>
          <t xml:space="preserve">1、签订期间：2026.3.1-2026.7.31；
2、指标按照全年换算；
</t>
        </is>
      </c>
      <c r="BW54" s="534" t="n"/>
    </row>
    <row r="55" ht="36" customFormat="1" customHeight="1" s="209">
      <c r="A55" s="219" t="n">
        <v>71</v>
      </c>
      <c r="B55" s="220" t="inlineStr">
        <is>
          <t>KQCY0071</t>
        </is>
      </c>
      <c r="C55" s="221" t="inlineStr">
        <is>
          <t>餐饮二分部</t>
        </is>
      </c>
      <c r="D55" s="221" t="inlineStr">
        <is>
          <t>CF360</t>
        </is>
      </c>
      <c r="E55" s="242" t="inlineStr">
        <is>
          <t>南通师专新校区食堂</t>
        </is>
      </c>
      <c r="F55" s="219" t="inlineStr">
        <is>
          <t>分组作业</t>
        </is>
      </c>
      <c r="G55" s="243" t="inlineStr">
        <is>
          <t>郑虎</t>
        </is>
      </c>
      <c r="H55" s="222" t="inlineStr">
        <is>
          <t>第二班组</t>
        </is>
      </c>
      <c r="I55" s="232" t="inlineStr">
        <is>
          <t>中式早点</t>
        </is>
      </c>
      <c r="J55" s="503" t="inlineStr">
        <is>
          <t>何小杏</t>
        </is>
      </c>
      <c r="K55" s="545">
        <f>LET(k,D55&amp;"|"&amp;E55&amp;"|"&amp;H55&amp;"|"&amp;I55&amp;"|"&amp;J55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55" s="546" t="n"/>
      <c r="M55" s="224" t="n"/>
      <c r="N55" s="557" t="n">
        <v>228</v>
      </c>
      <c r="O55" s="548" t="n">
        <v>880000</v>
      </c>
      <c r="P55" s="247" t="n">
        <v>0.18</v>
      </c>
      <c r="Q55" s="461">
        <f>K55*P55</f>
        <v/>
      </c>
      <c r="R55" s="558" t="n"/>
      <c r="S55" s="461">
        <f>Q55-R55</f>
        <v/>
      </c>
      <c r="T55" s="235" t="n">
        <v>0</v>
      </c>
      <c r="U55" s="461">
        <f>K55*T55</f>
        <v/>
      </c>
      <c r="V55" s="461" t="n"/>
      <c r="W55" s="461">
        <f>U55-V55</f>
        <v/>
      </c>
      <c r="X55" s="235" t="n">
        <v>0</v>
      </c>
      <c r="Y55" s="461">
        <f>K55*X55</f>
        <v/>
      </c>
      <c r="Z55" s="461" t="n"/>
      <c r="AA55" s="461">
        <f>Y55-Z55</f>
        <v/>
      </c>
      <c r="AB55" s="247" t="n">
        <v>0</v>
      </c>
      <c r="AC55" s="461">
        <f>K55*AB55</f>
        <v/>
      </c>
      <c r="AD55" s="461" t="n"/>
      <c r="AE55" s="461">
        <f>AC55-AD55</f>
        <v/>
      </c>
      <c r="AF55" s="247" t="n">
        <v>0</v>
      </c>
      <c r="AG55" s="461">
        <f>K55*AF55</f>
        <v/>
      </c>
      <c r="AH55" s="461" t="n"/>
      <c r="AI55" s="461">
        <f>AG55-AH55</f>
        <v/>
      </c>
      <c r="AJ55" s="247" t="n">
        <v>0</v>
      </c>
      <c r="AK55" s="461">
        <f>K55*AJ55</f>
        <v/>
      </c>
      <c r="AL55" s="461" t="n"/>
      <c r="AM55" s="461">
        <f>AK55-AL55</f>
        <v/>
      </c>
      <c r="AN55" s="235" t="n">
        <v>0</v>
      </c>
      <c r="AO55" s="461">
        <f>K55*AN55</f>
        <v/>
      </c>
      <c r="AP55" s="461" t="n"/>
      <c r="AQ55" s="461">
        <f>AO55-AP55</f>
        <v/>
      </c>
      <c r="AR55" s="247" t="n">
        <v>0.02</v>
      </c>
      <c r="AS55" s="461">
        <f>K55*AR55</f>
        <v/>
      </c>
      <c r="AT55" s="558" t="n"/>
      <c r="AU55" s="461">
        <f>AS55-AT55</f>
        <v/>
      </c>
      <c r="AV55" s="247" t="n">
        <v>0.03</v>
      </c>
      <c r="AW55" s="461">
        <f>K55*AV55</f>
        <v/>
      </c>
      <c r="AX55" s="558" t="n"/>
      <c r="AY55" s="461">
        <f>AW55-AX55</f>
        <v/>
      </c>
      <c r="AZ55" s="227" t="inlineStr">
        <is>
          <t xml:space="preserve"> 按实</t>
        </is>
      </c>
      <c r="BA55" s="461">
        <f>BB55</f>
        <v/>
      </c>
      <c r="BB55" s="461" t="n"/>
      <c r="BC55" s="461">
        <f>BA55-BB55</f>
        <v/>
      </c>
      <c r="BD55" s="235" t="n">
        <v>0</v>
      </c>
      <c r="BE55" s="461">
        <f>K55*BD55</f>
        <v/>
      </c>
      <c r="BF55" s="235" t="n"/>
      <c r="BG55" s="461">
        <f>BE55-BF55</f>
        <v/>
      </c>
      <c r="BH55" s="235" t="n">
        <v>0</v>
      </c>
      <c r="BI55" s="461">
        <f>K55*BH55</f>
        <v/>
      </c>
      <c r="BJ55" s="235" t="n"/>
      <c r="BK55" s="461">
        <f>BI55-BJ55</f>
        <v/>
      </c>
      <c r="BL55" s="235" t="inlineStr">
        <is>
          <t xml:space="preserve"> 按实</t>
        </is>
      </c>
      <c r="BM55" s="220">
        <f>BN55</f>
        <v/>
      </c>
      <c r="BN55" s="220" t="n"/>
      <c r="BO55" s="220">
        <f>BM55-BN55</f>
        <v/>
      </c>
      <c r="BP55" s="220">
        <f>N55+Q55+U55+Y55+AC55+AG55+AK55+AO55+AS55+AW55+BA55+BE55+BI55+BM55</f>
        <v/>
      </c>
      <c r="BQ55" s="220">
        <f>N55+R55+V55+Z55+AD55+AH55+AL55+AP55+AT55+AX55+BB55+BF55+BJ55+BN55</f>
        <v/>
      </c>
      <c r="BR55" s="220">
        <f>BP55-BQ55</f>
        <v/>
      </c>
      <c r="BS55" s="247" t="inlineStr">
        <is>
          <t>/</t>
        </is>
      </c>
      <c r="BT55" s="235" t="inlineStr">
        <is>
          <t>/</t>
        </is>
      </c>
      <c r="BU55" s="250" t="inlineStr">
        <is>
          <t>1、装修折旧费：25万/年，分组作业未分摊，服务费已包含</t>
        </is>
      </c>
      <c r="BV55" s="230" t="inlineStr">
        <is>
          <t xml:space="preserve">1、签订期间：2026.3.1-2026.7.31；
2、指标按照全年换算；
</t>
        </is>
      </c>
      <c r="BW55" s="534" t="n"/>
    </row>
    <row r="56" ht="36" customFormat="1" customHeight="1" s="209">
      <c r="A56" s="219" t="n">
        <v>72</v>
      </c>
      <c r="B56" s="220" t="inlineStr">
        <is>
          <t>KQCY0072</t>
        </is>
      </c>
      <c r="C56" s="221" t="inlineStr">
        <is>
          <t>餐饮二分部</t>
        </is>
      </c>
      <c r="D56" s="221" t="inlineStr">
        <is>
          <t>CF360</t>
        </is>
      </c>
      <c r="E56" s="242" t="inlineStr">
        <is>
          <t>南通师专新校区食堂</t>
        </is>
      </c>
      <c r="F56" s="219" t="inlineStr">
        <is>
          <t>分组作业</t>
        </is>
      </c>
      <c r="G56" s="243" t="inlineStr">
        <is>
          <t>郑虎</t>
        </is>
      </c>
      <c r="H56" s="222" t="inlineStr">
        <is>
          <t>第三班组</t>
        </is>
      </c>
      <c r="I56" s="232" t="inlineStr">
        <is>
          <t>土耳其烤肉饭</t>
        </is>
      </c>
      <c r="J56" s="503" t="inlineStr">
        <is>
          <t>薛小勇</t>
        </is>
      </c>
      <c r="K56" s="545">
        <f>LET(k,D56&amp;"|"&amp;E56&amp;"|"&amp;H56&amp;"|"&amp;I56&amp;"|"&amp;J56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56" s="546" t="n"/>
      <c r="M56" s="224" t="n"/>
      <c r="N56" s="557" t="n">
        <v>0</v>
      </c>
      <c r="O56" s="548" t="n">
        <v>800000</v>
      </c>
      <c r="P56" s="247" t="n">
        <v>0.18</v>
      </c>
      <c r="Q56" s="461">
        <f>K56*P56</f>
        <v/>
      </c>
      <c r="R56" s="558" t="n"/>
      <c r="S56" s="461">
        <f>Q56-R56</f>
        <v/>
      </c>
      <c r="T56" s="235" t="n">
        <v>0</v>
      </c>
      <c r="U56" s="461">
        <f>K56*T56</f>
        <v/>
      </c>
      <c r="V56" s="461" t="n"/>
      <c r="W56" s="461">
        <f>U56-V56</f>
        <v/>
      </c>
      <c r="X56" s="235" t="n">
        <v>0</v>
      </c>
      <c r="Y56" s="461">
        <f>K56*X56</f>
        <v/>
      </c>
      <c r="Z56" s="461" t="n"/>
      <c r="AA56" s="461">
        <f>Y56-Z56</f>
        <v/>
      </c>
      <c r="AB56" s="247" t="n">
        <v>0</v>
      </c>
      <c r="AC56" s="461">
        <f>K56*AB56</f>
        <v/>
      </c>
      <c r="AD56" s="461" t="n"/>
      <c r="AE56" s="461">
        <f>AC56-AD56</f>
        <v/>
      </c>
      <c r="AF56" s="247" t="n">
        <v>0</v>
      </c>
      <c r="AG56" s="461">
        <f>K56*AF56</f>
        <v/>
      </c>
      <c r="AH56" s="461" t="n"/>
      <c r="AI56" s="461">
        <f>AG56-AH56</f>
        <v/>
      </c>
      <c r="AJ56" s="247" t="n">
        <v>0</v>
      </c>
      <c r="AK56" s="461">
        <f>K56*AJ56</f>
        <v/>
      </c>
      <c r="AL56" s="461" t="n"/>
      <c r="AM56" s="461">
        <f>AK56-AL56</f>
        <v/>
      </c>
      <c r="AN56" s="235" t="n">
        <v>0</v>
      </c>
      <c r="AO56" s="461">
        <f>K56*AN56</f>
        <v/>
      </c>
      <c r="AP56" s="461" t="n"/>
      <c r="AQ56" s="461">
        <f>AO56-AP56</f>
        <v/>
      </c>
      <c r="AR56" s="247" t="n">
        <v>0.03</v>
      </c>
      <c r="AS56" s="461">
        <f>K56*AR56</f>
        <v/>
      </c>
      <c r="AT56" s="558" t="n"/>
      <c r="AU56" s="461">
        <f>AS56-AT56</f>
        <v/>
      </c>
      <c r="AV56" s="247" t="n">
        <v>0.03</v>
      </c>
      <c r="AW56" s="461">
        <f>K56*AV56</f>
        <v/>
      </c>
      <c r="AX56" s="558" t="n"/>
      <c r="AY56" s="461">
        <f>AW56-AX56</f>
        <v/>
      </c>
      <c r="AZ56" s="227" t="inlineStr">
        <is>
          <t xml:space="preserve"> 按实</t>
        </is>
      </c>
      <c r="BA56" s="461">
        <f>BB56</f>
        <v/>
      </c>
      <c r="BB56" s="461" t="n"/>
      <c r="BC56" s="461">
        <f>BA56-BB56</f>
        <v/>
      </c>
      <c r="BD56" s="235" t="n">
        <v>0</v>
      </c>
      <c r="BE56" s="461">
        <f>K56*BD56</f>
        <v/>
      </c>
      <c r="BF56" s="235" t="n"/>
      <c r="BG56" s="461">
        <f>BE56-BF56</f>
        <v/>
      </c>
      <c r="BH56" s="235" t="n">
        <v>0</v>
      </c>
      <c r="BI56" s="461">
        <f>K56*BH56</f>
        <v/>
      </c>
      <c r="BJ56" s="235" t="n"/>
      <c r="BK56" s="461">
        <f>BI56-BJ56</f>
        <v/>
      </c>
      <c r="BL56" s="235" t="inlineStr">
        <is>
          <t xml:space="preserve"> 按实</t>
        </is>
      </c>
      <c r="BM56" s="220">
        <f>BN56</f>
        <v/>
      </c>
      <c r="BN56" s="220" t="n"/>
      <c r="BO56" s="220">
        <f>BM56-BN56</f>
        <v/>
      </c>
      <c r="BP56" s="220">
        <f>N56+Q56+U56+Y56+AC56+AG56+AK56+AO56+AS56+AW56+BA56+BE56+BI56+BM56</f>
        <v/>
      </c>
      <c r="BQ56" s="220">
        <f>N56+R56+V56+Z56+AD56+AH56+AL56+AP56+AT56+AX56+BB56+BF56+BJ56+BN56</f>
        <v/>
      </c>
      <c r="BR56" s="220">
        <f>BP56-BQ56</f>
        <v/>
      </c>
      <c r="BS56" s="247" t="inlineStr">
        <is>
          <t>/</t>
        </is>
      </c>
      <c r="BT56" s="235" t="inlineStr">
        <is>
          <t>/</t>
        </is>
      </c>
      <c r="BU56" s="250" t="inlineStr">
        <is>
          <t>1、装修折旧费：25万/年，分组作业未分摊，服务费已包含</t>
        </is>
      </c>
      <c r="BV56" s="230" t="inlineStr">
        <is>
          <t xml:space="preserve">1、签订期间：2026.3.1-2026.7.31；
2、指标按照全年换算；
</t>
        </is>
      </c>
      <c r="BW56" s="534" t="n"/>
    </row>
    <row r="57" ht="36" customFormat="1" customHeight="1" s="209">
      <c r="A57" s="219" t="n">
        <v>73</v>
      </c>
      <c r="B57" s="220" t="inlineStr">
        <is>
          <t>KQCY0073</t>
        </is>
      </c>
      <c r="C57" s="221" t="inlineStr">
        <is>
          <t>餐饮二分部</t>
        </is>
      </c>
      <c r="D57" s="221" t="inlineStr">
        <is>
          <t>CF360</t>
        </is>
      </c>
      <c r="E57" s="242" t="inlineStr">
        <is>
          <t>南通师专新校区食堂</t>
        </is>
      </c>
      <c r="F57" s="219" t="inlineStr">
        <is>
          <t>分组作业</t>
        </is>
      </c>
      <c r="G57" s="243" t="inlineStr">
        <is>
          <t>郑虎</t>
        </is>
      </c>
      <c r="H57" s="222" t="inlineStr">
        <is>
          <t>第四班组</t>
        </is>
      </c>
      <c r="I57" s="232" t="inlineStr">
        <is>
          <t>营养粥小笼包</t>
        </is>
      </c>
      <c r="J57" s="503" t="inlineStr">
        <is>
          <t>沈玲</t>
        </is>
      </c>
      <c r="K57" s="545">
        <f>LET(k,D57&amp;"|"&amp;E57&amp;"|"&amp;H57&amp;"|"&amp;I57&amp;"|"&amp;J57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57" s="546" t="n"/>
      <c r="M57" s="224" t="n"/>
      <c r="N57" s="557" t="n">
        <v>1741.59</v>
      </c>
      <c r="O57" s="548" t="n">
        <v>800000</v>
      </c>
      <c r="P57" s="247" t="n">
        <v>0.2</v>
      </c>
      <c r="Q57" s="461">
        <f>K57*P57</f>
        <v/>
      </c>
      <c r="R57" s="558" t="n"/>
      <c r="S57" s="461">
        <f>Q57-R57</f>
        <v/>
      </c>
      <c r="T57" s="235" t="n">
        <v>0</v>
      </c>
      <c r="U57" s="461">
        <f>K57*T57</f>
        <v/>
      </c>
      <c r="V57" s="461" t="n"/>
      <c r="W57" s="461">
        <f>U57-V57</f>
        <v/>
      </c>
      <c r="X57" s="235" t="n">
        <v>0</v>
      </c>
      <c r="Y57" s="461">
        <f>K57*X57</f>
        <v/>
      </c>
      <c r="Z57" s="461" t="n"/>
      <c r="AA57" s="461">
        <f>Y57-Z57</f>
        <v/>
      </c>
      <c r="AB57" s="247" t="n">
        <v>0</v>
      </c>
      <c r="AC57" s="461">
        <f>K57*AB57</f>
        <v/>
      </c>
      <c r="AD57" s="461" t="n"/>
      <c r="AE57" s="461">
        <f>AC57-AD57</f>
        <v/>
      </c>
      <c r="AF57" s="247" t="n">
        <v>0</v>
      </c>
      <c r="AG57" s="461">
        <f>K57*AF57</f>
        <v/>
      </c>
      <c r="AH57" s="461" t="n"/>
      <c r="AI57" s="461">
        <f>AG57-AH57</f>
        <v/>
      </c>
      <c r="AJ57" s="247" t="n">
        <v>0</v>
      </c>
      <c r="AK57" s="461">
        <f>K57*AJ57</f>
        <v/>
      </c>
      <c r="AL57" s="461" t="n"/>
      <c r="AM57" s="461">
        <f>AK57-AL57</f>
        <v/>
      </c>
      <c r="AN57" s="235" t="n">
        <v>0</v>
      </c>
      <c r="AO57" s="461">
        <f>K57*AN57</f>
        <v/>
      </c>
      <c r="AP57" s="461" t="n"/>
      <c r="AQ57" s="461">
        <f>AO57-AP57</f>
        <v/>
      </c>
      <c r="AR57" s="247" t="n">
        <v>0.03</v>
      </c>
      <c r="AS57" s="461">
        <f>K57*AR57</f>
        <v/>
      </c>
      <c r="AT57" s="558" t="n"/>
      <c r="AU57" s="461">
        <f>AS57-AT57</f>
        <v/>
      </c>
      <c r="AV57" s="247" t="n">
        <v>0.04</v>
      </c>
      <c r="AW57" s="461">
        <f>K57*AV57</f>
        <v/>
      </c>
      <c r="AX57" s="558" t="n"/>
      <c r="AY57" s="461">
        <f>AW57-AX57</f>
        <v/>
      </c>
      <c r="AZ57" s="227" t="inlineStr">
        <is>
          <t xml:space="preserve"> 按实</t>
        </is>
      </c>
      <c r="BA57" s="461">
        <f>BB57</f>
        <v/>
      </c>
      <c r="BB57" s="461" t="n"/>
      <c r="BC57" s="461">
        <f>BA57-BB57</f>
        <v/>
      </c>
      <c r="BD57" s="235" t="n">
        <v>0</v>
      </c>
      <c r="BE57" s="461">
        <f>K57*BD57</f>
        <v/>
      </c>
      <c r="BF57" s="235" t="n"/>
      <c r="BG57" s="461">
        <f>BE57-BF57</f>
        <v/>
      </c>
      <c r="BH57" s="235" t="n">
        <v>0</v>
      </c>
      <c r="BI57" s="461">
        <f>K57*BH57</f>
        <v/>
      </c>
      <c r="BJ57" s="235" t="n"/>
      <c r="BK57" s="461">
        <f>BI57-BJ57</f>
        <v/>
      </c>
      <c r="BL57" s="235" t="inlineStr">
        <is>
          <t xml:space="preserve"> 按实</t>
        </is>
      </c>
      <c r="BM57" s="220">
        <f>BN57</f>
        <v/>
      </c>
      <c r="BN57" s="220" t="n"/>
      <c r="BO57" s="220">
        <f>BM57-BN57</f>
        <v/>
      </c>
      <c r="BP57" s="220">
        <f>N57+Q57+U57+Y57+AC57+AG57+AK57+AO57+AS57+AW57+BA57+BE57+BI57+BM57</f>
        <v/>
      </c>
      <c r="BQ57" s="220">
        <f>N57+R57+V57+Z57+AD57+AH57+AL57+AP57+AT57+AX57+BB57+BF57+BJ57+BN57</f>
        <v/>
      </c>
      <c r="BR57" s="220">
        <f>BP57-BQ57</f>
        <v/>
      </c>
      <c r="BS57" s="247" t="inlineStr">
        <is>
          <t>/</t>
        </is>
      </c>
      <c r="BT57" s="235" t="inlineStr">
        <is>
          <t>/</t>
        </is>
      </c>
      <c r="BU57" s="250" t="inlineStr">
        <is>
          <t>1、装修折旧费：25万/年，分组作业未分摊，服务费已包含</t>
        </is>
      </c>
      <c r="BV57" s="230" t="inlineStr">
        <is>
          <t xml:space="preserve">1、签订期间：2026.3.1-2026.7.31；
2、指标按照全年换算；
</t>
        </is>
      </c>
      <c r="BW57" s="534" t="n"/>
    </row>
    <row r="58" ht="36" customFormat="1" customHeight="1" s="209">
      <c r="A58" s="219" t="n">
        <v>74</v>
      </c>
      <c r="B58" s="220" t="inlineStr">
        <is>
          <t>KQCY0074</t>
        </is>
      </c>
      <c r="C58" s="221" t="inlineStr">
        <is>
          <t>餐饮二分部</t>
        </is>
      </c>
      <c r="D58" s="221" t="inlineStr">
        <is>
          <t>CF360</t>
        </is>
      </c>
      <c r="E58" s="242" t="inlineStr">
        <is>
          <t>南通师专新校区食堂</t>
        </is>
      </c>
      <c r="F58" s="219" t="inlineStr">
        <is>
          <t>分组作业</t>
        </is>
      </c>
      <c r="G58" s="243" t="inlineStr">
        <is>
          <t>郑虎</t>
        </is>
      </c>
      <c r="H58" s="222" t="inlineStr">
        <is>
          <t>第五班组</t>
        </is>
      </c>
      <c r="I58" s="232" t="inlineStr">
        <is>
          <t>生烫牛肉米线</t>
        </is>
      </c>
      <c r="J58" s="503" t="inlineStr">
        <is>
          <t>刘海霞</t>
        </is>
      </c>
      <c r="K58" s="545">
        <f>LET(k,D58&amp;"|"&amp;E58&amp;"|"&amp;H58&amp;"|"&amp;I58&amp;"|"&amp;J58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58" s="546" t="n"/>
      <c r="M58" s="224" t="n"/>
      <c r="N58" s="557" t="n">
        <v>56</v>
      </c>
      <c r="O58" s="548" t="n">
        <v>800000</v>
      </c>
      <c r="P58" s="247" t="n">
        <v>0.2</v>
      </c>
      <c r="Q58" s="461">
        <f>K58*P58</f>
        <v/>
      </c>
      <c r="R58" s="558" t="n"/>
      <c r="S58" s="461">
        <f>Q58-R58</f>
        <v/>
      </c>
      <c r="T58" s="235" t="n">
        <v>0</v>
      </c>
      <c r="U58" s="461">
        <f>K58*T58</f>
        <v/>
      </c>
      <c r="V58" s="461" t="n"/>
      <c r="W58" s="461">
        <f>U58-V58</f>
        <v/>
      </c>
      <c r="X58" s="235" t="n">
        <v>0</v>
      </c>
      <c r="Y58" s="461">
        <f>K58*X58</f>
        <v/>
      </c>
      <c r="Z58" s="461" t="n"/>
      <c r="AA58" s="461">
        <f>Y58-Z58</f>
        <v/>
      </c>
      <c r="AB58" s="247" t="n">
        <v>0</v>
      </c>
      <c r="AC58" s="461">
        <f>K58*AB58</f>
        <v/>
      </c>
      <c r="AD58" s="461" t="n"/>
      <c r="AE58" s="461">
        <f>AC58-AD58</f>
        <v/>
      </c>
      <c r="AF58" s="247" t="n">
        <v>0</v>
      </c>
      <c r="AG58" s="461">
        <f>K58*AF58</f>
        <v/>
      </c>
      <c r="AH58" s="461" t="n"/>
      <c r="AI58" s="461">
        <f>AG58-AH58</f>
        <v/>
      </c>
      <c r="AJ58" s="247" t="n">
        <v>0</v>
      </c>
      <c r="AK58" s="461">
        <f>K58*AJ58</f>
        <v/>
      </c>
      <c r="AL58" s="461" t="n"/>
      <c r="AM58" s="461">
        <f>AK58-AL58</f>
        <v/>
      </c>
      <c r="AN58" s="235" t="n">
        <v>0</v>
      </c>
      <c r="AO58" s="461">
        <f>K58*AN58</f>
        <v/>
      </c>
      <c r="AP58" s="461" t="n"/>
      <c r="AQ58" s="461">
        <f>AO58-AP58</f>
        <v/>
      </c>
      <c r="AR58" s="247" t="n">
        <v>0.03</v>
      </c>
      <c r="AS58" s="461">
        <f>K58*AR58</f>
        <v/>
      </c>
      <c r="AT58" s="558" t="n"/>
      <c r="AU58" s="461">
        <f>AS58-AT58</f>
        <v/>
      </c>
      <c r="AV58" s="247" t="n">
        <v>0.04</v>
      </c>
      <c r="AW58" s="461">
        <f>K58*AV58</f>
        <v/>
      </c>
      <c r="AX58" s="558" t="n"/>
      <c r="AY58" s="461">
        <f>AW58-AX58</f>
        <v/>
      </c>
      <c r="AZ58" s="227" t="inlineStr">
        <is>
          <t xml:space="preserve"> 按实</t>
        </is>
      </c>
      <c r="BA58" s="461">
        <f>BB58</f>
        <v/>
      </c>
      <c r="BB58" s="461" t="n"/>
      <c r="BC58" s="461">
        <f>BA58-BB58</f>
        <v/>
      </c>
      <c r="BD58" s="235" t="n">
        <v>0</v>
      </c>
      <c r="BE58" s="461">
        <f>K58*BD58</f>
        <v/>
      </c>
      <c r="BF58" s="235" t="n"/>
      <c r="BG58" s="461">
        <f>BE58-BF58</f>
        <v/>
      </c>
      <c r="BH58" s="235" t="n">
        <v>0</v>
      </c>
      <c r="BI58" s="461">
        <f>K58*BH58</f>
        <v/>
      </c>
      <c r="BJ58" s="235" t="n"/>
      <c r="BK58" s="461">
        <f>BI58-BJ58</f>
        <v/>
      </c>
      <c r="BL58" s="235" t="inlineStr">
        <is>
          <t xml:space="preserve"> 按实</t>
        </is>
      </c>
      <c r="BM58" s="220">
        <f>BN58</f>
        <v/>
      </c>
      <c r="BN58" s="220" t="n"/>
      <c r="BO58" s="220">
        <f>BM58-BN58</f>
        <v/>
      </c>
      <c r="BP58" s="220">
        <f>N58+Q58+U58+Y58+AC58+AG58+AK58+AO58+AS58+AW58+BA58+BE58+BI58+BM58</f>
        <v/>
      </c>
      <c r="BQ58" s="220">
        <f>N58+R58+V58+Z58+AD58+AH58+AL58+AP58+AT58+AX58+BB58+BF58+BJ58+BN58</f>
        <v/>
      </c>
      <c r="BR58" s="220">
        <f>BP58-BQ58</f>
        <v/>
      </c>
      <c r="BS58" s="247" t="inlineStr">
        <is>
          <t>/</t>
        </is>
      </c>
      <c r="BT58" s="235" t="inlineStr">
        <is>
          <t>/</t>
        </is>
      </c>
      <c r="BU58" s="250" t="inlineStr">
        <is>
          <t>1、装修折旧费：25万/年，分组作业未分摊，服务费已包含</t>
        </is>
      </c>
      <c r="BV58" s="230" t="inlineStr">
        <is>
          <t xml:space="preserve">1、签订期间：2026.3.1-2026.7.31；
2、指标按照全年换算；
</t>
        </is>
      </c>
      <c r="BW58" s="534" t="n"/>
    </row>
    <row r="59" ht="36" customFormat="1" customHeight="1" s="209">
      <c r="A59" s="219" t="n">
        <v>75</v>
      </c>
      <c r="B59" s="220" t="inlineStr">
        <is>
          <t>KQCY0075</t>
        </is>
      </c>
      <c r="C59" s="221" t="inlineStr">
        <is>
          <t>餐饮二分部</t>
        </is>
      </c>
      <c r="D59" s="221" t="inlineStr">
        <is>
          <t>CF360</t>
        </is>
      </c>
      <c r="E59" s="242" t="inlineStr">
        <is>
          <t>南通师专新校区食堂</t>
        </is>
      </c>
      <c r="F59" s="219" t="inlineStr">
        <is>
          <t>分组作业</t>
        </is>
      </c>
      <c r="G59" s="243" t="inlineStr">
        <is>
          <t>郑虎</t>
        </is>
      </c>
      <c r="H59" s="222" t="inlineStr">
        <is>
          <t>第六班组</t>
        </is>
      </c>
      <c r="I59" s="232" t="inlineStr">
        <is>
          <t>咖喱蛋包饭</t>
        </is>
      </c>
      <c r="J59" s="503" t="inlineStr">
        <is>
          <t>余娇</t>
        </is>
      </c>
      <c r="K59" s="545">
        <f>LET(k,D59&amp;"|"&amp;E59&amp;"|"&amp;H59&amp;"|"&amp;I59&amp;"|"&amp;J59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59" s="546" t="n"/>
      <c r="M59" s="224" t="n"/>
      <c r="N59" s="557" t="n">
        <v>0</v>
      </c>
      <c r="O59" s="548" t="n">
        <v>800000</v>
      </c>
      <c r="P59" s="247" t="n">
        <v>0.2</v>
      </c>
      <c r="Q59" s="461">
        <f>K59*P59</f>
        <v/>
      </c>
      <c r="R59" s="558" t="n"/>
      <c r="S59" s="461">
        <f>Q59-R59</f>
        <v/>
      </c>
      <c r="T59" s="235" t="n">
        <v>0</v>
      </c>
      <c r="U59" s="461">
        <f>K59*T59</f>
        <v/>
      </c>
      <c r="V59" s="461" t="n"/>
      <c r="W59" s="461">
        <f>U59-V59</f>
        <v/>
      </c>
      <c r="X59" s="235" t="n">
        <v>0</v>
      </c>
      <c r="Y59" s="461">
        <f>K59*X59</f>
        <v/>
      </c>
      <c r="Z59" s="461" t="n"/>
      <c r="AA59" s="461">
        <f>Y59-Z59</f>
        <v/>
      </c>
      <c r="AB59" s="247" t="n">
        <v>0</v>
      </c>
      <c r="AC59" s="461">
        <f>K59*AB59</f>
        <v/>
      </c>
      <c r="AD59" s="461" t="n"/>
      <c r="AE59" s="461">
        <f>AC59-AD59</f>
        <v/>
      </c>
      <c r="AF59" s="247" t="n">
        <v>0</v>
      </c>
      <c r="AG59" s="461">
        <f>K59*AF59</f>
        <v/>
      </c>
      <c r="AH59" s="461" t="n"/>
      <c r="AI59" s="461">
        <f>AG59-AH59</f>
        <v/>
      </c>
      <c r="AJ59" s="247" t="n">
        <v>0</v>
      </c>
      <c r="AK59" s="461">
        <f>K59*AJ59</f>
        <v/>
      </c>
      <c r="AL59" s="461" t="n"/>
      <c r="AM59" s="461">
        <f>AK59-AL59</f>
        <v/>
      </c>
      <c r="AN59" s="235" t="n">
        <v>0</v>
      </c>
      <c r="AO59" s="461">
        <f>K59*AN59</f>
        <v/>
      </c>
      <c r="AP59" s="461" t="n"/>
      <c r="AQ59" s="461">
        <f>AO59-AP59</f>
        <v/>
      </c>
      <c r="AR59" s="247" t="n">
        <v>0.03</v>
      </c>
      <c r="AS59" s="461">
        <f>K59*AR59</f>
        <v/>
      </c>
      <c r="AT59" s="558" t="n"/>
      <c r="AU59" s="461">
        <f>AS59-AT59</f>
        <v/>
      </c>
      <c r="AV59" s="247" t="n">
        <v>0.04</v>
      </c>
      <c r="AW59" s="461">
        <f>K59*AV59</f>
        <v/>
      </c>
      <c r="AX59" s="558" t="n"/>
      <c r="AY59" s="461">
        <f>AW59-AX59</f>
        <v/>
      </c>
      <c r="AZ59" s="227" t="inlineStr">
        <is>
          <t xml:space="preserve"> 按实</t>
        </is>
      </c>
      <c r="BA59" s="461">
        <f>BB59</f>
        <v/>
      </c>
      <c r="BB59" s="461" t="n"/>
      <c r="BC59" s="461">
        <f>BA59-BB59</f>
        <v/>
      </c>
      <c r="BD59" s="235" t="n">
        <v>0</v>
      </c>
      <c r="BE59" s="461">
        <f>K59*BD59</f>
        <v/>
      </c>
      <c r="BF59" s="235" t="n"/>
      <c r="BG59" s="461">
        <f>BE59-BF59</f>
        <v/>
      </c>
      <c r="BH59" s="235" t="n">
        <v>0</v>
      </c>
      <c r="BI59" s="461">
        <f>K59*BH59</f>
        <v/>
      </c>
      <c r="BJ59" s="235" t="n"/>
      <c r="BK59" s="461">
        <f>BI59-BJ59</f>
        <v/>
      </c>
      <c r="BL59" s="235" t="inlineStr">
        <is>
          <t xml:space="preserve"> 按实</t>
        </is>
      </c>
      <c r="BM59" s="220">
        <f>BN59</f>
        <v/>
      </c>
      <c r="BN59" s="220" t="n"/>
      <c r="BO59" s="220">
        <f>BM59-BN59</f>
        <v/>
      </c>
      <c r="BP59" s="220">
        <f>N59+Q59+U59+Y59+AC59+AG59+AK59+AO59+AS59+AW59+BA59+BE59+BI59+BM59</f>
        <v/>
      </c>
      <c r="BQ59" s="220">
        <f>N59+R59+V59+Z59+AD59+AH59+AL59+AP59+AT59+AX59+BB59+BF59+BJ59+BN59</f>
        <v/>
      </c>
      <c r="BR59" s="220">
        <f>BP59-BQ59</f>
        <v/>
      </c>
      <c r="BS59" s="247" t="inlineStr">
        <is>
          <t>/</t>
        </is>
      </c>
      <c r="BT59" s="235" t="inlineStr">
        <is>
          <t>/</t>
        </is>
      </c>
      <c r="BU59" s="250" t="inlineStr">
        <is>
          <t>1、装修折旧费：25万/年，分组作业未分摊，服务费已包含</t>
        </is>
      </c>
      <c r="BV59" s="230" t="inlineStr">
        <is>
          <t xml:space="preserve">1、签订期间：2026.3.1-2026.7.31；
2、指标按照全年换算；
</t>
        </is>
      </c>
      <c r="BW59" s="534" t="n"/>
    </row>
    <row r="60" ht="36" customFormat="1" customHeight="1" s="209">
      <c r="A60" s="219" t="n">
        <v>76</v>
      </c>
      <c r="B60" s="220" t="inlineStr">
        <is>
          <t>KQCY0076</t>
        </is>
      </c>
      <c r="C60" s="221" t="inlineStr">
        <is>
          <t>餐饮二分部</t>
        </is>
      </c>
      <c r="D60" s="221" t="inlineStr">
        <is>
          <t>CF360</t>
        </is>
      </c>
      <c r="E60" s="242" t="inlineStr">
        <is>
          <t>南通师专新校区食堂</t>
        </is>
      </c>
      <c r="F60" s="219" t="inlineStr">
        <is>
          <t>分组作业</t>
        </is>
      </c>
      <c r="G60" s="243" t="inlineStr">
        <is>
          <t>郑虎</t>
        </is>
      </c>
      <c r="H60" s="222" t="inlineStr">
        <is>
          <t>第七班组</t>
        </is>
      </c>
      <c r="I60" s="232" t="inlineStr">
        <is>
          <t>麻辣烫麻辣拌</t>
        </is>
      </c>
      <c r="J60" s="503" t="inlineStr">
        <is>
          <t>虞冬梅</t>
        </is>
      </c>
      <c r="K60" s="545">
        <f>LET(k,D60&amp;"|"&amp;E60&amp;"|"&amp;H60&amp;"|"&amp;I60&amp;"|"&amp;J60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60" s="546" t="n"/>
      <c r="M60" s="224" t="n"/>
      <c r="N60" s="557" t="n">
        <v>1741.59</v>
      </c>
      <c r="O60" s="548" t="n">
        <v>800000</v>
      </c>
      <c r="P60" s="247" t="n">
        <v>0.18</v>
      </c>
      <c r="Q60" s="461">
        <f>K60*P60</f>
        <v/>
      </c>
      <c r="R60" s="558" t="n"/>
      <c r="S60" s="461">
        <f>Q60-R60</f>
        <v/>
      </c>
      <c r="T60" s="235" t="n">
        <v>0</v>
      </c>
      <c r="U60" s="461">
        <f>K60*T60</f>
        <v/>
      </c>
      <c r="V60" s="461" t="n"/>
      <c r="W60" s="461">
        <f>U60-V60</f>
        <v/>
      </c>
      <c r="X60" s="235" t="n">
        <v>0</v>
      </c>
      <c r="Y60" s="461">
        <f>K60*X60</f>
        <v/>
      </c>
      <c r="Z60" s="461" t="n"/>
      <c r="AA60" s="461">
        <f>Y60-Z60</f>
        <v/>
      </c>
      <c r="AB60" s="247" t="n">
        <v>0</v>
      </c>
      <c r="AC60" s="461">
        <f>K60*AB60</f>
        <v/>
      </c>
      <c r="AD60" s="461" t="n"/>
      <c r="AE60" s="461">
        <f>AC60-AD60</f>
        <v/>
      </c>
      <c r="AF60" s="247" t="n">
        <v>0</v>
      </c>
      <c r="AG60" s="461">
        <f>K60*AF60</f>
        <v/>
      </c>
      <c r="AH60" s="461" t="n"/>
      <c r="AI60" s="461">
        <f>AG60-AH60</f>
        <v/>
      </c>
      <c r="AJ60" s="247" t="n">
        <v>0</v>
      </c>
      <c r="AK60" s="461">
        <f>K60*AJ60</f>
        <v/>
      </c>
      <c r="AL60" s="461" t="n"/>
      <c r="AM60" s="461">
        <f>AK60-AL60</f>
        <v/>
      </c>
      <c r="AN60" s="235" t="n">
        <v>0</v>
      </c>
      <c r="AO60" s="461">
        <f>K60*AN60</f>
        <v/>
      </c>
      <c r="AP60" s="461" t="n"/>
      <c r="AQ60" s="461">
        <f>AO60-AP60</f>
        <v/>
      </c>
      <c r="AR60" s="247" t="n">
        <v>0.03</v>
      </c>
      <c r="AS60" s="461">
        <f>K60*AR60</f>
        <v/>
      </c>
      <c r="AT60" s="558" t="n"/>
      <c r="AU60" s="461">
        <f>AS60-AT60</f>
        <v/>
      </c>
      <c r="AV60" s="247" t="n">
        <v>0.03</v>
      </c>
      <c r="AW60" s="461">
        <f>K60*AV60</f>
        <v/>
      </c>
      <c r="AX60" s="558" t="n"/>
      <c r="AY60" s="461">
        <f>AW60-AX60</f>
        <v/>
      </c>
      <c r="AZ60" s="227" t="inlineStr">
        <is>
          <t xml:space="preserve"> 按实</t>
        </is>
      </c>
      <c r="BA60" s="461">
        <f>BB60</f>
        <v/>
      </c>
      <c r="BB60" s="461" t="n"/>
      <c r="BC60" s="461">
        <f>BA60-BB60</f>
        <v/>
      </c>
      <c r="BD60" s="235" t="n">
        <v>0</v>
      </c>
      <c r="BE60" s="461">
        <f>K60*BD60</f>
        <v/>
      </c>
      <c r="BF60" s="235" t="n"/>
      <c r="BG60" s="461">
        <f>BE60-BF60</f>
        <v/>
      </c>
      <c r="BH60" s="235" t="n">
        <v>0</v>
      </c>
      <c r="BI60" s="461">
        <f>K60*BH60</f>
        <v/>
      </c>
      <c r="BJ60" s="235" t="n"/>
      <c r="BK60" s="461">
        <f>BI60-BJ60</f>
        <v/>
      </c>
      <c r="BL60" s="235" t="inlineStr">
        <is>
          <t xml:space="preserve"> 按实</t>
        </is>
      </c>
      <c r="BM60" s="220">
        <f>BN60</f>
        <v/>
      </c>
      <c r="BN60" s="220" t="n"/>
      <c r="BO60" s="220">
        <f>BM60-BN60</f>
        <v/>
      </c>
      <c r="BP60" s="220">
        <f>N60+Q60+U60+Y60+AC60+AG60+AK60+AO60+AS60+AW60+BA60+BE60+BI60+BM60</f>
        <v/>
      </c>
      <c r="BQ60" s="220">
        <f>N60+R60+V60+Z60+AD60+AH60+AL60+AP60+AT60+AX60+BB60+BF60+BJ60+BN60</f>
        <v/>
      </c>
      <c r="BR60" s="220">
        <f>BP60-BQ60</f>
        <v/>
      </c>
      <c r="BS60" s="247" t="inlineStr">
        <is>
          <t>/</t>
        </is>
      </c>
      <c r="BT60" s="235" t="inlineStr">
        <is>
          <t>/</t>
        </is>
      </c>
      <c r="BU60" s="250" t="inlineStr">
        <is>
          <t>1、装修折旧费：25万/年，分组作业未分摊，服务费已包含</t>
        </is>
      </c>
      <c r="BV60" s="230" t="inlineStr">
        <is>
          <t xml:space="preserve">1、签订期间：2026.3.1-2026.7.31；
2、指标按照全年换算；
</t>
        </is>
      </c>
      <c r="BW60" s="534" t="n"/>
    </row>
    <row r="61" ht="36" customFormat="1" customHeight="1" s="209">
      <c r="A61" s="219" t="n">
        <v>77</v>
      </c>
      <c r="B61" s="220" t="inlineStr">
        <is>
          <t>KQCY0077</t>
        </is>
      </c>
      <c r="C61" s="221" t="inlineStr">
        <is>
          <t>餐饮二分部</t>
        </is>
      </c>
      <c r="D61" s="221" t="inlineStr">
        <is>
          <t>CF360</t>
        </is>
      </c>
      <c r="E61" s="242" t="inlineStr">
        <is>
          <t>南通师专新校区食堂</t>
        </is>
      </c>
      <c r="F61" s="219" t="inlineStr">
        <is>
          <t>分组作业</t>
        </is>
      </c>
      <c r="G61" s="243" t="inlineStr">
        <is>
          <t>郑虎</t>
        </is>
      </c>
      <c r="H61" s="222" t="inlineStr">
        <is>
          <t>第八班组</t>
        </is>
      </c>
      <c r="I61" s="232" t="inlineStr">
        <is>
          <t>真老大手工云吞</t>
        </is>
      </c>
      <c r="J61" s="503" t="inlineStr">
        <is>
          <t>彭晴</t>
        </is>
      </c>
      <c r="K61" s="545">
        <f>LET(k,D61&amp;"|"&amp;E61&amp;"|"&amp;H61&amp;"|"&amp;I61&amp;"|"&amp;J61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61" s="546" t="n"/>
      <c r="M61" s="224" t="n"/>
      <c r="N61" s="557" t="n">
        <v>1726.59</v>
      </c>
      <c r="O61" s="548" t="n">
        <v>800000</v>
      </c>
      <c r="P61" s="247" t="n">
        <v>0.2</v>
      </c>
      <c r="Q61" s="461">
        <f>K61*P61</f>
        <v/>
      </c>
      <c r="R61" s="558" t="n"/>
      <c r="S61" s="461">
        <f>Q61-R61</f>
        <v/>
      </c>
      <c r="T61" s="235" t="n">
        <v>0</v>
      </c>
      <c r="U61" s="461">
        <f>K61*T61</f>
        <v/>
      </c>
      <c r="V61" s="461" t="n"/>
      <c r="W61" s="461">
        <f>U61-V61</f>
        <v/>
      </c>
      <c r="X61" s="235" t="n">
        <v>0</v>
      </c>
      <c r="Y61" s="461">
        <f>K61*X61</f>
        <v/>
      </c>
      <c r="Z61" s="461" t="n"/>
      <c r="AA61" s="461">
        <f>Y61-Z61</f>
        <v/>
      </c>
      <c r="AB61" s="247" t="n">
        <v>0</v>
      </c>
      <c r="AC61" s="461">
        <f>K61*AB61</f>
        <v/>
      </c>
      <c r="AD61" s="461" t="n"/>
      <c r="AE61" s="461">
        <f>AC61-AD61</f>
        <v/>
      </c>
      <c r="AF61" s="247" t="n">
        <v>0</v>
      </c>
      <c r="AG61" s="461">
        <f>K61*AF61</f>
        <v/>
      </c>
      <c r="AH61" s="461" t="n"/>
      <c r="AI61" s="461">
        <f>AG61-AH61</f>
        <v/>
      </c>
      <c r="AJ61" s="247" t="n">
        <v>0</v>
      </c>
      <c r="AK61" s="461">
        <f>K61*AJ61</f>
        <v/>
      </c>
      <c r="AL61" s="461" t="n"/>
      <c r="AM61" s="461">
        <f>AK61-AL61</f>
        <v/>
      </c>
      <c r="AN61" s="235" t="n">
        <v>0</v>
      </c>
      <c r="AO61" s="461">
        <f>K61*AN61</f>
        <v/>
      </c>
      <c r="AP61" s="461" t="n"/>
      <c r="AQ61" s="461">
        <f>AO61-AP61</f>
        <v/>
      </c>
      <c r="AR61" s="247" t="n">
        <v>0.03</v>
      </c>
      <c r="AS61" s="461">
        <f>K61*AR61</f>
        <v/>
      </c>
      <c r="AT61" s="558" t="n"/>
      <c r="AU61" s="461">
        <f>AS61-AT61</f>
        <v/>
      </c>
      <c r="AV61" s="247" t="n">
        <v>0.04</v>
      </c>
      <c r="AW61" s="461">
        <f>K61*AV61</f>
        <v/>
      </c>
      <c r="AX61" s="558" t="n"/>
      <c r="AY61" s="461">
        <f>AW61-AX61</f>
        <v/>
      </c>
      <c r="AZ61" s="227" t="inlineStr">
        <is>
          <t xml:space="preserve"> 按实</t>
        </is>
      </c>
      <c r="BA61" s="461">
        <f>BB61</f>
        <v/>
      </c>
      <c r="BB61" s="461" t="n"/>
      <c r="BC61" s="461">
        <f>BA61-BB61</f>
        <v/>
      </c>
      <c r="BD61" s="235" t="n">
        <v>0</v>
      </c>
      <c r="BE61" s="461">
        <f>K61*BD61</f>
        <v/>
      </c>
      <c r="BF61" s="235" t="n"/>
      <c r="BG61" s="461">
        <f>BE61-BF61</f>
        <v/>
      </c>
      <c r="BH61" s="235" t="n">
        <v>0</v>
      </c>
      <c r="BI61" s="461">
        <f>K61*BH61</f>
        <v/>
      </c>
      <c r="BJ61" s="235" t="n"/>
      <c r="BK61" s="461">
        <f>BI61-BJ61</f>
        <v/>
      </c>
      <c r="BL61" s="235" t="inlineStr">
        <is>
          <t xml:space="preserve"> 按实</t>
        </is>
      </c>
      <c r="BM61" s="220">
        <f>BN61</f>
        <v/>
      </c>
      <c r="BN61" s="220" t="n"/>
      <c r="BO61" s="220">
        <f>BM61-BN61</f>
        <v/>
      </c>
      <c r="BP61" s="220">
        <f>N61+Q61+U61+Y61+AC61+AG61+AK61+AO61+AS61+AW61+BA61+BE61+BI61+BM61</f>
        <v/>
      </c>
      <c r="BQ61" s="220">
        <f>N61+R61+V61+Z61+AD61+AH61+AL61+AP61+AT61+AX61+BB61+BF61+BJ61+BN61</f>
        <v/>
      </c>
      <c r="BR61" s="220">
        <f>BP61-BQ61</f>
        <v/>
      </c>
      <c r="BS61" s="247" t="inlineStr">
        <is>
          <t>/</t>
        </is>
      </c>
      <c r="BT61" s="235" t="inlineStr">
        <is>
          <t>/</t>
        </is>
      </c>
      <c r="BU61" s="250" t="inlineStr">
        <is>
          <t>1、装修折旧费：25万/年，分组作业未分摊，服务费已包含</t>
        </is>
      </c>
      <c r="BV61" s="230" t="inlineStr">
        <is>
          <t xml:space="preserve">1、签订期间：2026.3.1-2026.7.31；
2、指标按照全年换算；
</t>
        </is>
      </c>
      <c r="BW61" s="534" t="n"/>
    </row>
    <row r="62" ht="36" customFormat="1" customHeight="1" s="209">
      <c r="A62" s="219" t="n">
        <v>78</v>
      </c>
      <c r="B62" s="220" t="inlineStr">
        <is>
          <t>KQCY0078</t>
        </is>
      </c>
      <c r="C62" s="221" t="inlineStr">
        <is>
          <t>餐饮二分部</t>
        </is>
      </c>
      <c r="D62" s="221" t="inlineStr">
        <is>
          <t>CF360</t>
        </is>
      </c>
      <c r="E62" s="242" t="inlineStr">
        <is>
          <t>南通师专新校区食堂</t>
        </is>
      </c>
      <c r="F62" s="219" t="inlineStr">
        <is>
          <t>分组作业</t>
        </is>
      </c>
      <c r="G62" s="243" t="inlineStr">
        <is>
          <t>郑虎</t>
        </is>
      </c>
      <c r="H62" s="222" t="inlineStr">
        <is>
          <t>第九班组</t>
        </is>
      </c>
      <c r="I62" s="232" t="inlineStr">
        <is>
          <t>朱家小馆羊杂面</t>
        </is>
      </c>
      <c r="J62" s="503" t="inlineStr">
        <is>
          <t>薛桂中</t>
        </is>
      </c>
      <c r="K62" s="545">
        <f>LET(k,D62&amp;"|"&amp;E62&amp;"|"&amp;H62&amp;"|"&amp;I62&amp;"|"&amp;J62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62" s="546" t="n"/>
      <c r="M62" s="224" t="n"/>
      <c r="N62" s="557" t="n">
        <v>1769.59</v>
      </c>
      <c r="O62" s="548" t="n">
        <v>960000</v>
      </c>
      <c r="P62" s="247" t="n">
        <v>0.2</v>
      </c>
      <c r="Q62" s="461">
        <f>K62*P62</f>
        <v/>
      </c>
      <c r="R62" s="558" t="n"/>
      <c r="S62" s="461">
        <f>Q62-R62</f>
        <v/>
      </c>
      <c r="T62" s="235" t="n">
        <v>0</v>
      </c>
      <c r="U62" s="461">
        <f>K62*T62</f>
        <v/>
      </c>
      <c r="V62" s="461" t="n"/>
      <c r="W62" s="461">
        <f>U62-V62</f>
        <v/>
      </c>
      <c r="X62" s="235" t="n">
        <v>0</v>
      </c>
      <c r="Y62" s="461">
        <f>K62*X62</f>
        <v/>
      </c>
      <c r="Z62" s="461" t="n"/>
      <c r="AA62" s="461">
        <f>Y62-Z62</f>
        <v/>
      </c>
      <c r="AB62" s="247" t="n">
        <v>0</v>
      </c>
      <c r="AC62" s="461">
        <f>K62*AB62</f>
        <v/>
      </c>
      <c r="AD62" s="461" t="n"/>
      <c r="AE62" s="461">
        <f>AC62-AD62</f>
        <v/>
      </c>
      <c r="AF62" s="247" t="n">
        <v>0</v>
      </c>
      <c r="AG62" s="461">
        <f>K62*AF62</f>
        <v/>
      </c>
      <c r="AH62" s="461" t="n"/>
      <c r="AI62" s="461">
        <f>AG62-AH62</f>
        <v/>
      </c>
      <c r="AJ62" s="247" t="n">
        <v>0</v>
      </c>
      <c r="AK62" s="461">
        <f>K62*AJ62</f>
        <v/>
      </c>
      <c r="AL62" s="461" t="n"/>
      <c r="AM62" s="461">
        <f>AK62-AL62</f>
        <v/>
      </c>
      <c r="AN62" s="235" t="n">
        <v>0</v>
      </c>
      <c r="AO62" s="461">
        <f>K62*AN62</f>
        <v/>
      </c>
      <c r="AP62" s="461" t="n"/>
      <c r="AQ62" s="461">
        <f>AO62-AP62</f>
        <v/>
      </c>
      <c r="AR62" s="247" t="n">
        <v>0.03</v>
      </c>
      <c r="AS62" s="461">
        <f>K62*AR62</f>
        <v/>
      </c>
      <c r="AT62" s="558" t="n"/>
      <c r="AU62" s="461">
        <f>AS62-AT62</f>
        <v/>
      </c>
      <c r="AV62" s="247" t="n">
        <v>0.04</v>
      </c>
      <c r="AW62" s="461">
        <f>K62*AV62</f>
        <v/>
      </c>
      <c r="AX62" s="558" t="n"/>
      <c r="AY62" s="461">
        <f>AW62-AX62</f>
        <v/>
      </c>
      <c r="AZ62" s="227" t="inlineStr">
        <is>
          <t xml:space="preserve"> 按实</t>
        </is>
      </c>
      <c r="BA62" s="461">
        <f>BB62</f>
        <v/>
      </c>
      <c r="BB62" s="461" t="n"/>
      <c r="BC62" s="461">
        <f>BA62-BB62</f>
        <v/>
      </c>
      <c r="BD62" s="235" t="n">
        <v>0</v>
      </c>
      <c r="BE62" s="461">
        <f>K62*BD62</f>
        <v/>
      </c>
      <c r="BF62" s="235" t="n"/>
      <c r="BG62" s="461">
        <f>BE62-BF62</f>
        <v/>
      </c>
      <c r="BH62" s="235" t="n">
        <v>0</v>
      </c>
      <c r="BI62" s="461">
        <f>K62*BH62</f>
        <v/>
      </c>
      <c r="BJ62" s="235" t="n"/>
      <c r="BK62" s="461">
        <f>BI62-BJ62</f>
        <v/>
      </c>
      <c r="BL62" s="235" t="inlineStr">
        <is>
          <t xml:space="preserve"> 按实</t>
        </is>
      </c>
      <c r="BM62" s="220">
        <f>BN62</f>
        <v/>
      </c>
      <c r="BN62" s="220" t="n"/>
      <c r="BO62" s="220">
        <f>BM62-BN62</f>
        <v/>
      </c>
      <c r="BP62" s="220">
        <f>N62+Q62+U62+Y62+AC62+AG62+AK62+AO62+AS62+AW62+BA62+BE62+BI62+BM62</f>
        <v/>
      </c>
      <c r="BQ62" s="220">
        <f>N62+R62+V62+Z62+AD62+AH62+AL62+AP62+AT62+AX62+BB62+BF62+BJ62+BN62</f>
        <v/>
      </c>
      <c r="BR62" s="220">
        <f>BP62-BQ62</f>
        <v/>
      </c>
      <c r="BS62" s="247" t="inlineStr">
        <is>
          <t>/</t>
        </is>
      </c>
      <c r="BT62" s="235" t="inlineStr">
        <is>
          <t>/</t>
        </is>
      </c>
      <c r="BU62" s="250" t="inlineStr">
        <is>
          <t>1、装修折旧费：25万/年，分组作业未分摊，服务费已包含</t>
        </is>
      </c>
      <c r="BV62" s="230" t="inlineStr">
        <is>
          <t xml:space="preserve">1、签订期间：2026.3.1-2026.7.31；
2、指标按照全年换算；
</t>
        </is>
      </c>
      <c r="BW62" s="534" t="n"/>
    </row>
    <row r="63" ht="48" customFormat="1" customHeight="1" s="209">
      <c r="A63" s="219" t="n">
        <v>79</v>
      </c>
      <c r="B63" s="220" t="inlineStr">
        <is>
          <t>KQCY0079</t>
        </is>
      </c>
      <c r="C63" s="221" t="inlineStr">
        <is>
          <t>餐饮二分部</t>
        </is>
      </c>
      <c r="D63" s="221" t="inlineStr">
        <is>
          <t>CF360</t>
        </is>
      </c>
      <c r="E63" s="242" t="inlineStr">
        <is>
          <t>南通师专新校区食堂</t>
        </is>
      </c>
      <c r="F63" s="219" t="inlineStr">
        <is>
          <t>分组作业</t>
        </is>
      </c>
      <c r="G63" s="243" t="inlineStr">
        <is>
          <t>郑虎</t>
        </is>
      </c>
      <c r="H63" s="222" t="inlineStr">
        <is>
          <t>第十班组</t>
        </is>
      </c>
      <c r="I63" s="232" t="inlineStr">
        <is>
          <t>奶茶</t>
        </is>
      </c>
      <c r="J63" s="503" t="inlineStr">
        <is>
          <t>王艳</t>
        </is>
      </c>
      <c r="K63" s="545">
        <f>LET(k,D63&amp;"|"&amp;E63&amp;"|"&amp;H63&amp;"|"&amp;I63&amp;"|"&amp;J63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63" s="546" t="n"/>
      <c r="M63" s="224" t="n"/>
      <c r="N63" s="557" t="n">
        <v>43</v>
      </c>
      <c r="O63" s="548" t="n">
        <v>480000</v>
      </c>
      <c r="P63" s="247" t="n">
        <v>0.18</v>
      </c>
      <c r="Q63" s="461">
        <f>K63*P63</f>
        <v/>
      </c>
      <c r="R63" s="558" t="n"/>
      <c r="S63" s="461">
        <f>Q63-R63</f>
        <v/>
      </c>
      <c r="T63" s="235" t="n">
        <v>0</v>
      </c>
      <c r="U63" s="461">
        <f>K63*T63</f>
        <v/>
      </c>
      <c r="V63" s="461" t="n"/>
      <c r="W63" s="461">
        <f>U63-V63</f>
        <v/>
      </c>
      <c r="X63" s="235" t="n">
        <v>0</v>
      </c>
      <c r="Y63" s="461">
        <f>K63*X63</f>
        <v/>
      </c>
      <c r="Z63" s="461" t="n"/>
      <c r="AA63" s="461">
        <f>Y63-Z63</f>
        <v/>
      </c>
      <c r="AB63" s="247" t="n">
        <v>0</v>
      </c>
      <c r="AC63" s="461">
        <f>K63*AB63</f>
        <v/>
      </c>
      <c r="AD63" s="461" t="n"/>
      <c r="AE63" s="461">
        <f>AC63-AD63</f>
        <v/>
      </c>
      <c r="AF63" s="247" t="n">
        <v>0</v>
      </c>
      <c r="AG63" s="461">
        <f>K63*AF63</f>
        <v/>
      </c>
      <c r="AH63" s="461" t="n"/>
      <c r="AI63" s="461">
        <f>AG63-AH63</f>
        <v/>
      </c>
      <c r="AJ63" s="247" t="n">
        <v>0</v>
      </c>
      <c r="AK63" s="461">
        <f>K63*AJ63</f>
        <v/>
      </c>
      <c r="AL63" s="461" t="n"/>
      <c r="AM63" s="461">
        <f>AK63-AL63</f>
        <v/>
      </c>
      <c r="AN63" s="235" t="n">
        <v>0</v>
      </c>
      <c r="AO63" s="461">
        <f>K63*AN63</f>
        <v/>
      </c>
      <c r="AP63" s="461" t="n"/>
      <c r="AQ63" s="461">
        <f>AO63-AP63</f>
        <v/>
      </c>
      <c r="AR63" s="247" t="n">
        <v>0</v>
      </c>
      <c r="AS63" s="461">
        <f>K63*AR63</f>
        <v/>
      </c>
      <c r="AT63" s="461" t="n"/>
      <c r="AU63" s="461">
        <f>AS63-AT63</f>
        <v/>
      </c>
      <c r="AV63" s="551" t="inlineStr">
        <is>
          <t>按实</t>
        </is>
      </c>
      <c r="AW63" s="558" t="n"/>
      <c r="AX63" s="558" t="n"/>
      <c r="AY63" s="461">
        <f>AW63-AX63</f>
        <v/>
      </c>
      <c r="AZ63" s="227" t="inlineStr">
        <is>
          <t xml:space="preserve"> 按实</t>
        </is>
      </c>
      <c r="BA63" s="461">
        <f>BB63</f>
        <v/>
      </c>
      <c r="BB63" s="461" t="n"/>
      <c r="BC63" s="461">
        <f>BA63-BB63</f>
        <v/>
      </c>
      <c r="BD63" s="235" t="n">
        <v>0</v>
      </c>
      <c r="BE63" s="461">
        <f>K63*BD63</f>
        <v/>
      </c>
      <c r="BF63" s="235" t="n"/>
      <c r="BG63" s="461">
        <f>BE63-BF63</f>
        <v/>
      </c>
      <c r="BH63" s="235" t="n">
        <v>0</v>
      </c>
      <c r="BI63" s="461">
        <f>K63*BH63</f>
        <v/>
      </c>
      <c r="BJ63" s="235" t="n"/>
      <c r="BK63" s="461">
        <f>BI63-BJ63</f>
        <v/>
      </c>
      <c r="BL63" s="235" t="inlineStr">
        <is>
          <t xml:space="preserve"> 按实</t>
        </is>
      </c>
      <c r="BM63" s="220" t="n"/>
      <c r="BN63" s="220" t="n"/>
      <c r="BO63" s="220">
        <f>BM63-BN63</f>
        <v/>
      </c>
      <c r="BP63" s="220">
        <f>N63+Q63+U63+Y63+AC63+AG63+AK63+AO63+AS63+AW63+BA63+BE63+BI63+BM63</f>
        <v/>
      </c>
      <c r="BQ63" s="220">
        <f>N63+R63+V63+Z63+AD63+AH63+AL63+AP63+AT63+AX63+BB63+BF63+BJ63+BN63</f>
        <v/>
      </c>
      <c r="BR63" s="220">
        <f>BP63-BQ63</f>
        <v/>
      </c>
      <c r="BS63" s="247" t="inlineStr">
        <is>
          <t>/</t>
        </is>
      </c>
      <c r="BT63" s="235" t="inlineStr">
        <is>
          <t>/</t>
        </is>
      </c>
      <c r="BU63" s="250" t="inlineStr">
        <is>
          <t>1、装修折旧费：25万/年，分组作业未分摊，服务费已包含；
2、卫生费：分组作业不在食堂内，未分摊，服务费已包含；</t>
        </is>
      </c>
      <c r="BV63" s="230" t="inlineStr">
        <is>
          <t>1、签订期间：2026.3.1-2026.7.31；
2、指标按照全年换算；</t>
        </is>
      </c>
      <c r="BW63" s="534" t="n"/>
    </row>
    <row r="64" ht="60" customFormat="1" customHeight="1" s="209">
      <c r="A64" s="219" t="n">
        <v>82</v>
      </c>
      <c r="B64" s="220" t="inlineStr">
        <is>
          <t>KQCY0082</t>
        </is>
      </c>
      <c r="C64" s="221" t="inlineStr">
        <is>
          <t>餐饮二分部</t>
        </is>
      </c>
      <c r="D64" s="221" t="inlineStr">
        <is>
          <t>CF364</t>
        </is>
      </c>
      <c r="E64" s="242" t="inlineStr">
        <is>
          <t>江苏航运思本轩食堂</t>
        </is>
      </c>
      <c r="F64" s="219" t="inlineStr">
        <is>
          <t>分组作业</t>
        </is>
      </c>
      <c r="G64" s="243" t="inlineStr">
        <is>
          <t>郑虎</t>
        </is>
      </c>
      <c r="H64" s="222" t="inlineStr">
        <is>
          <t>第二班组</t>
        </is>
      </c>
      <c r="I64" s="232" t="inlineStr">
        <is>
          <t>粉丝汤（牛肉、老母鸡、牛杂、拆骨）</t>
        </is>
      </c>
      <c r="J64" s="503" t="inlineStr">
        <is>
          <t>满超</t>
        </is>
      </c>
      <c r="K64" s="545">
        <f>LET(k,D64&amp;"|"&amp;E64&amp;"|"&amp;H64&amp;"|"&amp;I64&amp;"|"&amp;J64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64" s="546" t="n"/>
      <c r="M64" s="224" t="n"/>
      <c r="N64" s="559" t="n">
        <v>2216.63</v>
      </c>
      <c r="O64" s="548" t="n">
        <v>590000</v>
      </c>
      <c r="P64" s="247" t="n">
        <v>0.12</v>
      </c>
      <c r="Q64" s="461">
        <f>K64*P64</f>
        <v/>
      </c>
      <c r="R64" s="559" t="n">
        <v>841.272</v>
      </c>
      <c r="S64" s="461">
        <f>Q64-R64</f>
        <v/>
      </c>
      <c r="T64" s="247" t="n">
        <v>0.01</v>
      </c>
      <c r="U64" s="461">
        <f>K64*T64</f>
        <v/>
      </c>
      <c r="V64" s="72" t="n">
        <v>70.10599999999999</v>
      </c>
      <c r="W64" s="461">
        <f>U64-V64</f>
        <v/>
      </c>
      <c r="X64" s="247" t="inlineStr">
        <is>
          <t>按实</t>
        </is>
      </c>
      <c r="Y64" s="461">
        <f>Z64</f>
        <v/>
      </c>
      <c r="Z64" s="461" t="n"/>
      <c r="AA64" s="461">
        <f>Y64-Z64</f>
        <v/>
      </c>
      <c r="AB64" s="247" t="n">
        <v>0.01</v>
      </c>
      <c r="AC64" s="461">
        <f>K64*AB64</f>
        <v/>
      </c>
      <c r="AD64" s="72" t="n">
        <v>70.10599999999999</v>
      </c>
      <c r="AE64" s="560">
        <f>AC64-AD64</f>
        <v/>
      </c>
      <c r="AF64" s="247" t="n">
        <v>0.01</v>
      </c>
      <c r="AG64" s="461">
        <f>K64*AF64</f>
        <v/>
      </c>
      <c r="AH64" s="72" t="n">
        <v>70.10599999999999</v>
      </c>
      <c r="AI64" s="461">
        <f>AG64-AH64</f>
        <v/>
      </c>
      <c r="AJ64" s="247" t="n">
        <v>0.01</v>
      </c>
      <c r="AK64" s="461">
        <f>K64*AJ64</f>
        <v/>
      </c>
      <c r="AL64" s="72" t="n">
        <v>70.10599999999999</v>
      </c>
      <c r="AM64" s="461">
        <f>AK64-AL64</f>
        <v/>
      </c>
      <c r="AN64" s="247" t="n">
        <v>0.02</v>
      </c>
      <c r="AO64" s="461">
        <f>K64*AN64</f>
        <v/>
      </c>
      <c r="AP64" s="72" t="n">
        <v>140.212</v>
      </c>
      <c r="AQ64" s="461">
        <f>AO64-AP64</f>
        <v/>
      </c>
      <c r="AR64" s="247" t="inlineStr">
        <is>
          <t>按实</t>
        </is>
      </c>
      <c r="AS64" s="561" t="n">
        <v>690.59</v>
      </c>
      <c r="AT64" s="561" t="n">
        <v>690.59</v>
      </c>
      <c r="AU64" s="461">
        <f>AS64-AT64</f>
        <v/>
      </c>
      <c r="AV64" s="551" t="inlineStr">
        <is>
          <t>按实</t>
        </is>
      </c>
      <c r="AW64" s="562" t="n">
        <v>421.866547125898</v>
      </c>
      <c r="AX64" s="562" t="n">
        <v>421.866547125898</v>
      </c>
      <c r="AY64" s="461">
        <f>AW64-AX64</f>
        <v/>
      </c>
      <c r="AZ64" s="235" t="inlineStr">
        <is>
          <t>按实</t>
        </is>
      </c>
      <c r="BA64" s="461">
        <f>BB64</f>
        <v/>
      </c>
      <c r="BB64" s="461" t="n"/>
      <c r="BC64" s="461">
        <f>BA64-BB64</f>
        <v/>
      </c>
      <c r="BD64" s="235" t="n">
        <v>0</v>
      </c>
      <c r="BE64" s="461">
        <f>K64*BD64</f>
        <v/>
      </c>
      <c r="BF64" s="461" t="n"/>
      <c r="BG64" s="461">
        <f>BE64-BF64</f>
        <v/>
      </c>
      <c r="BH64" s="235" t="n">
        <v>0</v>
      </c>
      <c r="BI64" s="461">
        <f>K64*BH64</f>
        <v/>
      </c>
      <c r="BJ64" s="461" t="n"/>
      <c r="BK64" s="461">
        <f>BI64-BJ64</f>
        <v/>
      </c>
      <c r="BL64" s="235" t="inlineStr">
        <is>
          <t>按实</t>
        </is>
      </c>
      <c r="BM64" s="220">
        <f>BN64</f>
        <v/>
      </c>
      <c r="BN64" s="220" t="n"/>
      <c r="BO64" s="220">
        <f>BM64-BN64</f>
        <v/>
      </c>
      <c r="BP64" s="220">
        <f>N64+Q64+U64+Y64+AC64+AG64+AK64+AO64+AS64+AW64+BA64+BE64+BI64+BM64</f>
        <v/>
      </c>
      <c r="BQ64" s="220">
        <f>N64+R64+V64+Z64+AD64+AH64+AL64+AP64+AT64+AX64+BB64+BF64+BJ64+BN64</f>
        <v/>
      </c>
      <c r="BR64" s="220" t="n">
        <v>0</v>
      </c>
      <c r="BS64" s="247" t="inlineStr">
        <is>
          <t>/</t>
        </is>
      </c>
      <c r="BT64" s="235" t="inlineStr">
        <is>
          <t>/</t>
        </is>
      </c>
      <c r="BU64"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64" s="230" t="inlineStr">
        <is>
          <t>1、签订期间：2025.9.1-2026.8.31；
2、指标按照全年换算；</t>
        </is>
      </c>
      <c r="BW64" s="534" t="n"/>
    </row>
    <row r="65" ht="60" customFormat="1" customHeight="1" s="209">
      <c r="A65" s="219" t="n">
        <v>83</v>
      </c>
      <c r="B65" s="220" t="inlineStr">
        <is>
          <t>KQCY0083</t>
        </is>
      </c>
      <c r="C65" s="221" t="inlineStr">
        <is>
          <t>餐饮二分部</t>
        </is>
      </c>
      <c r="D65" s="221" t="inlineStr">
        <is>
          <t>CF364</t>
        </is>
      </c>
      <c r="E65" s="242" t="inlineStr">
        <is>
          <t>江苏航运思本轩食堂</t>
        </is>
      </c>
      <c r="F65" s="219" t="inlineStr">
        <is>
          <t>分组作业</t>
        </is>
      </c>
      <c r="G65" s="243" t="inlineStr">
        <is>
          <t>郑虎</t>
        </is>
      </c>
      <c r="H65" s="222" t="inlineStr">
        <is>
          <t>第三班组</t>
        </is>
      </c>
      <c r="I65" s="232" t="inlineStr">
        <is>
          <t>拌饭（鸡腿饭、酸梅鸭饭）</t>
        </is>
      </c>
      <c r="J65" s="503" t="inlineStr">
        <is>
          <t>唐德生</t>
        </is>
      </c>
      <c r="K65" s="545">
        <f>LET(k,D65&amp;"|"&amp;E65&amp;"|"&amp;H65&amp;"|"&amp;I65&amp;"|"&amp;J65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65" s="546" t="n"/>
      <c r="M65" s="224" t="n"/>
      <c r="N65" s="563" t="n">
        <v>2173.63</v>
      </c>
      <c r="O65" s="548" t="n">
        <v>400000</v>
      </c>
      <c r="P65" s="247" t="n">
        <v>0.12</v>
      </c>
      <c r="Q65" s="461">
        <f>K65*P65</f>
        <v/>
      </c>
      <c r="R65" s="559" t="n">
        <v>1404.0108</v>
      </c>
      <c r="S65" s="461">
        <f>Q65-R65</f>
        <v/>
      </c>
      <c r="T65" s="247" t="n">
        <v>0.01</v>
      </c>
      <c r="U65" s="461">
        <f>K65*T65</f>
        <v/>
      </c>
      <c r="V65" s="72" t="n">
        <v>117.0009</v>
      </c>
      <c r="W65" s="461">
        <f>U65-V65</f>
        <v/>
      </c>
      <c r="X65" s="247" t="inlineStr">
        <is>
          <t>按实</t>
        </is>
      </c>
      <c r="Y65" s="461">
        <f>Z65</f>
        <v/>
      </c>
      <c r="Z65" s="461" t="n"/>
      <c r="AA65" s="461">
        <f>Y65-Z65</f>
        <v/>
      </c>
      <c r="AB65" s="247" t="n">
        <v>0.01</v>
      </c>
      <c r="AC65" s="461">
        <f>K65*AB65</f>
        <v/>
      </c>
      <c r="AD65" s="72" t="n">
        <v>117.0009</v>
      </c>
      <c r="AE65" s="560">
        <f>AC65-AD65</f>
        <v/>
      </c>
      <c r="AF65" s="247" t="n">
        <v>0.01</v>
      </c>
      <c r="AG65" s="461">
        <f>K65*AF65</f>
        <v/>
      </c>
      <c r="AH65" s="72" t="n">
        <v>117.0009</v>
      </c>
      <c r="AI65" s="461">
        <f>AG65-AH65</f>
        <v/>
      </c>
      <c r="AJ65" s="247" t="n">
        <v>0.01</v>
      </c>
      <c r="AK65" s="461">
        <f>K65*AJ65</f>
        <v/>
      </c>
      <c r="AL65" s="72" t="n">
        <v>117.0009</v>
      </c>
      <c r="AM65" s="461">
        <f>AK65-AL65</f>
        <v/>
      </c>
      <c r="AN65" s="247" t="n">
        <v>0.02</v>
      </c>
      <c r="AO65" s="461">
        <f>K65*AN65</f>
        <v/>
      </c>
      <c r="AP65" s="72" t="n">
        <v>234.0018</v>
      </c>
      <c r="AQ65" s="461">
        <f>AO65-AP65</f>
        <v/>
      </c>
      <c r="AR65" s="247" t="n">
        <v>0.03</v>
      </c>
      <c r="AS65" s="561" t="n">
        <v>351.0027</v>
      </c>
      <c r="AT65" s="561" t="n">
        <v>351.0027</v>
      </c>
      <c r="AU65" s="461">
        <f>AS65-AT65</f>
        <v/>
      </c>
      <c r="AV65" s="247" t="n">
        <v>0.03</v>
      </c>
      <c r="AW65" s="562" t="n">
        <v>351.0027</v>
      </c>
      <c r="AX65" s="562" t="n">
        <v>351.0027</v>
      </c>
      <c r="AY65" s="461">
        <f>AW65-AX65</f>
        <v/>
      </c>
      <c r="AZ65" s="235" t="inlineStr">
        <is>
          <t>按实</t>
        </is>
      </c>
      <c r="BA65" s="461">
        <f>BB65</f>
        <v/>
      </c>
      <c r="BB65" s="461" t="n"/>
      <c r="BC65" s="461">
        <f>BA65-BB65</f>
        <v/>
      </c>
      <c r="BD65" s="235" t="n">
        <v>0</v>
      </c>
      <c r="BE65" s="461">
        <f>K65*BD65</f>
        <v/>
      </c>
      <c r="BF65" s="461" t="n"/>
      <c r="BG65" s="461">
        <f>BE65-BF65</f>
        <v/>
      </c>
      <c r="BH65" s="235" t="n">
        <v>0</v>
      </c>
      <c r="BI65" s="461">
        <f>K65*BH65</f>
        <v/>
      </c>
      <c r="BJ65" s="461" t="n"/>
      <c r="BK65" s="461">
        <f>BI65-BJ65</f>
        <v/>
      </c>
      <c r="BL65" s="235" t="inlineStr">
        <is>
          <t>按实</t>
        </is>
      </c>
      <c r="BM65" s="220">
        <f>BN65</f>
        <v/>
      </c>
      <c r="BN65" s="220" t="n"/>
      <c r="BO65" s="220">
        <f>BM65-BN65</f>
        <v/>
      </c>
      <c r="BP65" s="220">
        <f>N65+Q65+U65+Y65+AC65+AG65+AK65+AO65+AS65+AW65+BA65+BE65+BI65+BM65</f>
        <v/>
      </c>
      <c r="BQ65" s="220">
        <f>N65+R65+V65+Z65+AD65+AH65+AL65+AP65+AT65+AX65+BB65+BF65+BJ65+BN65</f>
        <v/>
      </c>
      <c r="BR65" s="220" t="n">
        <v>0</v>
      </c>
      <c r="BS65" s="247" t="inlineStr">
        <is>
          <t>/</t>
        </is>
      </c>
      <c r="BT65" s="235" t="inlineStr">
        <is>
          <t>/</t>
        </is>
      </c>
      <c r="BU65"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65" s="230" t="inlineStr">
        <is>
          <t>1、签订期间：2025.9.1-2026.8.31；
2、指标按照全年换算；</t>
        </is>
      </c>
      <c r="BW65" s="534" t="n"/>
    </row>
    <row r="66" ht="60" customFormat="1" customHeight="1" s="209">
      <c r="A66" s="219" t="n">
        <v>84</v>
      </c>
      <c r="B66" s="220" t="inlineStr">
        <is>
          <t>KQCY0084</t>
        </is>
      </c>
      <c r="C66" s="221" t="inlineStr">
        <is>
          <t>餐饮二分部</t>
        </is>
      </c>
      <c r="D66" s="221" t="inlineStr">
        <is>
          <t>CF364</t>
        </is>
      </c>
      <c r="E66" s="242" t="inlineStr">
        <is>
          <t>江苏航运思本轩食堂</t>
        </is>
      </c>
      <c r="F66" s="219" t="inlineStr">
        <is>
          <t>分组作业</t>
        </is>
      </c>
      <c r="G66" s="243" t="inlineStr">
        <is>
          <t>郑虎</t>
        </is>
      </c>
      <c r="H66" s="222" t="inlineStr">
        <is>
          <t>第五班组</t>
        </is>
      </c>
      <c r="I66" s="232" t="inlineStr">
        <is>
          <t>早餐</t>
        </is>
      </c>
      <c r="J66" s="503" t="inlineStr">
        <is>
          <t>潘捷</t>
        </is>
      </c>
      <c r="K66" s="545">
        <f>LET(k,D66&amp;"|"&amp;E66&amp;"|"&amp;H66&amp;"|"&amp;I66&amp;"|"&amp;J66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66" s="546" t="n"/>
      <c r="M66" s="224" t="n"/>
      <c r="N66" s="559" t="n"/>
      <c r="O66" s="548" t="n">
        <v>240000</v>
      </c>
      <c r="P66" s="247" t="n">
        <v>0.05</v>
      </c>
      <c r="Q66" s="461">
        <f>K66*P66</f>
        <v/>
      </c>
      <c r="R66" s="559" t="n"/>
      <c r="S66" s="461">
        <f>Q66-R66</f>
        <v/>
      </c>
      <c r="T66" s="247" t="n">
        <v>0.01</v>
      </c>
      <c r="U66" s="461">
        <f>K66*T66</f>
        <v/>
      </c>
      <c r="V66" s="72" t="n">
        <v>0</v>
      </c>
      <c r="W66" s="461">
        <f>U66-V66</f>
        <v/>
      </c>
      <c r="X66" s="247" t="inlineStr">
        <is>
          <t>按实</t>
        </is>
      </c>
      <c r="Y66" s="461">
        <f>Z66</f>
        <v/>
      </c>
      <c r="Z66" s="461" t="n"/>
      <c r="AA66" s="461">
        <f>Y66-Z66</f>
        <v/>
      </c>
      <c r="AB66" s="247" t="n">
        <v>0.01</v>
      </c>
      <c r="AC66" s="461">
        <f>K66*AB66</f>
        <v/>
      </c>
      <c r="AD66" s="72" t="n">
        <v>0</v>
      </c>
      <c r="AE66" s="560">
        <f>AC66-AD66</f>
        <v/>
      </c>
      <c r="AF66" s="247" t="n">
        <v>0.01</v>
      </c>
      <c r="AG66" s="461">
        <f>K66*AF66</f>
        <v/>
      </c>
      <c r="AH66" s="72" t="n">
        <v>0</v>
      </c>
      <c r="AI66" s="461">
        <f>AG66-AH66</f>
        <v/>
      </c>
      <c r="AJ66" s="247" t="n">
        <v>0.01</v>
      </c>
      <c r="AK66" s="461">
        <f>K66*AJ66</f>
        <v/>
      </c>
      <c r="AL66" s="72" t="n">
        <v>0</v>
      </c>
      <c r="AM66" s="461">
        <f>AK66-AL66</f>
        <v/>
      </c>
      <c r="AN66" s="247" t="n">
        <v>0.01</v>
      </c>
      <c r="AO66" s="461">
        <f>K66*AN66</f>
        <v/>
      </c>
      <c r="AP66" s="72" t="n">
        <v>0</v>
      </c>
      <c r="AQ66" s="461">
        <f>AO66-AP66</f>
        <v/>
      </c>
      <c r="AR66" s="247" t="inlineStr">
        <is>
          <t>按实</t>
        </is>
      </c>
      <c r="AS66" s="72" t="n">
        <v>0</v>
      </c>
      <c r="AT66" s="72" t="n">
        <v>0</v>
      </c>
      <c r="AU66" s="461">
        <f>AS66-AT66</f>
        <v/>
      </c>
      <c r="AV66" s="551" t="inlineStr">
        <is>
          <t>按实</t>
        </is>
      </c>
      <c r="AW66" s="72" t="n">
        <v>0</v>
      </c>
      <c r="AX66" s="72" t="n">
        <v>0</v>
      </c>
      <c r="AY66" s="461">
        <f>AW66-AX66</f>
        <v/>
      </c>
      <c r="AZ66" s="235" t="inlineStr">
        <is>
          <t>按实</t>
        </is>
      </c>
      <c r="BA66" s="461">
        <f>BB66</f>
        <v/>
      </c>
      <c r="BB66" s="461" t="n"/>
      <c r="BC66" s="461">
        <f>BA66-BB66</f>
        <v/>
      </c>
      <c r="BD66" s="235" t="n">
        <v>0</v>
      </c>
      <c r="BE66" s="461">
        <f>K66*BD66</f>
        <v/>
      </c>
      <c r="BF66" s="461" t="n"/>
      <c r="BG66" s="461">
        <f>BE66-BF66</f>
        <v/>
      </c>
      <c r="BH66" s="235" t="n">
        <v>0</v>
      </c>
      <c r="BI66" s="461">
        <f>K66*BH66</f>
        <v/>
      </c>
      <c r="BJ66" s="461" t="n"/>
      <c r="BK66" s="461">
        <f>BI66-BJ66</f>
        <v/>
      </c>
      <c r="BL66" s="235" t="inlineStr">
        <is>
          <t>按实</t>
        </is>
      </c>
      <c r="BM66" s="220">
        <f>BN66</f>
        <v/>
      </c>
      <c r="BN66" s="220" t="n"/>
      <c r="BO66" s="220">
        <f>BM66-BN66</f>
        <v/>
      </c>
      <c r="BP66" s="220">
        <f>N66+Q66+U66+Y66+AC66+AG66+AK66+AO66+AS66+AW66+BA66+BE66+BI66+BM66</f>
        <v/>
      </c>
      <c r="BQ66" s="220">
        <f>N66+R66+V66+Z66+AD66+AH66+AL66+AP66+AT66+AX66+BB66+BF66+BJ66+BN66</f>
        <v/>
      </c>
      <c r="BR66" s="220" t="n">
        <v>0</v>
      </c>
      <c r="BS66" s="247" t="inlineStr">
        <is>
          <t>/</t>
        </is>
      </c>
      <c r="BT66" s="235" t="inlineStr">
        <is>
          <t>/</t>
        </is>
      </c>
      <c r="BU66"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66" s="230" t="inlineStr">
        <is>
          <t>1、签订期间：2025.9.1-2026.8.31；
2、指标按照全年换算；</t>
        </is>
      </c>
      <c r="BW66" s="534" t="n"/>
    </row>
    <row r="67" ht="60" customFormat="1" customHeight="1" s="209">
      <c r="A67" s="219" t="n">
        <v>86</v>
      </c>
      <c r="B67" s="220" t="inlineStr">
        <is>
          <t>KQCY0086</t>
        </is>
      </c>
      <c r="C67" s="221" t="inlineStr">
        <is>
          <t>餐饮二分部</t>
        </is>
      </c>
      <c r="D67" s="221" t="inlineStr">
        <is>
          <t>CF364</t>
        </is>
      </c>
      <c r="E67" s="242" t="inlineStr">
        <is>
          <t>江苏航运思本轩食堂</t>
        </is>
      </c>
      <c r="F67" s="219" t="inlineStr">
        <is>
          <t>分组作业</t>
        </is>
      </c>
      <c r="G67" s="243" t="inlineStr">
        <is>
          <t>郑虎</t>
        </is>
      </c>
      <c r="H67" s="222" t="inlineStr">
        <is>
          <t>第七班组</t>
        </is>
      </c>
      <c r="I67" s="232" t="inlineStr">
        <is>
          <t>锡纸饭</t>
        </is>
      </c>
      <c r="J67" s="503" t="inlineStr">
        <is>
          <t>陈芳</t>
        </is>
      </c>
      <c r="K67" s="545">
        <f>LET(k,D67&amp;"|"&amp;E67&amp;"|"&amp;H67&amp;"|"&amp;I67&amp;"|"&amp;J67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67" s="546" t="n"/>
      <c r="M67" s="224" t="n"/>
      <c r="N67" s="559" t="n">
        <v>2638.97</v>
      </c>
      <c r="O67" s="548" t="n">
        <v>365000</v>
      </c>
      <c r="P67" s="247" t="n">
        <v>0.12</v>
      </c>
      <c r="Q67" s="461">
        <f>K67*P67</f>
        <v/>
      </c>
      <c r="R67" s="559" t="n">
        <v>375.5364</v>
      </c>
      <c r="S67" s="461">
        <f>Q67-R67</f>
        <v/>
      </c>
      <c r="T67" s="247" t="n">
        <v>0.01</v>
      </c>
      <c r="U67" s="461">
        <f>K67*T67</f>
        <v/>
      </c>
      <c r="V67" s="72" t="n">
        <v>31.2947</v>
      </c>
      <c r="W67" s="461">
        <f>U67-V67</f>
        <v/>
      </c>
      <c r="X67" s="247" t="inlineStr">
        <is>
          <t>按实</t>
        </is>
      </c>
      <c r="Y67" s="461">
        <f>Z67</f>
        <v/>
      </c>
      <c r="Z67" s="461" t="n"/>
      <c r="AA67" s="461">
        <f>Y67-Z67</f>
        <v/>
      </c>
      <c r="AB67" s="247" t="n">
        <v>0.01</v>
      </c>
      <c r="AC67" s="461">
        <f>K67*AB67</f>
        <v/>
      </c>
      <c r="AD67" s="72" t="n">
        <v>31.2947</v>
      </c>
      <c r="AE67" s="560">
        <f>AC67-AD67</f>
        <v/>
      </c>
      <c r="AF67" s="247" t="n">
        <v>0.01</v>
      </c>
      <c r="AG67" s="461">
        <f>K67*AF67</f>
        <v/>
      </c>
      <c r="AH67" s="72" t="n">
        <v>31.2947</v>
      </c>
      <c r="AI67" s="461">
        <f>AG67-AH67</f>
        <v/>
      </c>
      <c r="AJ67" s="247" t="n">
        <v>0.01</v>
      </c>
      <c r="AK67" s="461">
        <f>K67*AJ67</f>
        <v/>
      </c>
      <c r="AL67" s="72" t="n">
        <v>31.2947</v>
      </c>
      <c r="AM67" s="461">
        <f>AK67-AL67</f>
        <v/>
      </c>
      <c r="AN67" s="247" t="n">
        <v>0.02</v>
      </c>
      <c r="AO67" s="461">
        <f>K67*AN67</f>
        <v/>
      </c>
      <c r="AP67" s="72" t="n">
        <v>62.5894</v>
      </c>
      <c r="AQ67" s="461">
        <f>AO67-AP67</f>
        <v/>
      </c>
      <c r="AR67" s="247" t="inlineStr">
        <is>
          <t>按实</t>
        </is>
      </c>
      <c r="AS67" s="72" t="n">
        <v>690.59</v>
      </c>
      <c r="AT67" s="72" t="n">
        <v>690.59</v>
      </c>
      <c r="AU67" s="461">
        <f>AS67-AT67</f>
        <v/>
      </c>
      <c r="AV67" s="551" t="inlineStr">
        <is>
          <t>按实</t>
        </is>
      </c>
      <c r="AW67" s="562" t="n">
        <v>188.317505382433</v>
      </c>
      <c r="AX67" s="562" t="n">
        <v>188.317505382433</v>
      </c>
      <c r="AY67" s="461">
        <f>AW67-AX67</f>
        <v/>
      </c>
      <c r="AZ67" s="235" t="inlineStr">
        <is>
          <t>按实</t>
        </is>
      </c>
      <c r="BA67" s="461">
        <f>BB67</f>
        <v/>
      </c>
      <c r="BB67" s="461" t="n"/>
      <c r="BC67" s="461">
        <f>BA67-BB67</f>
        <v/>
      </c>
      <c r="BD67" s="235" t="n">
        <v>0</v>
      </c>
      <c r="BE67" s="461">
        <f>K67*BD67</f>
        <v/>
      </c>
      <c r="BF67" s="461" t="n"/>
      <c r="BG67" s="461">
        <f>BE67-BF67</f>
        <v/>
      </c>
      <c r="BH67" s="235" t="n">
        <v>0</v>
      </c>
      <c r="BI67" s="461">
        <f>K67*BH67</f>
        <v/>
      </c>
      <c r="BJ67" s="461" t="n"/>
      <c r="BK67" s="461">
        <f>BI67-BJ67</f>
        <v/>
      </c>
      <c r="BL67" s="235" t="inlineStr">
        <is>
          <t>按实</t>
        </is>
      </c>
      <c r="BM67" s="220">
        <f>BN67</f>
        <v/>
      </c>
      <c r="BN67" s="220" t="n"/>
      <c r="BO67" s="220">
        <f>BM67-BN67</f>
        <v/>
      </c>
      <c r="BP67" s="220">
        <f>N67+Q67+U67+Y67+AC67+AG67+AK67+AO67+AS67+AW67+BA67+BE67+BI67+BM67</f>
        <v/>
      </c>
      <c r="BQ67" s="220">
        <f>N67+R67+V67+Z67+AD67+AH67+AL67+AP67+AT67+AX67+BB67+BF67+BJ67+BN67</f>
        <v/>
      </c>
      <c r="BR67" s="220" t="n">
        <v>0</v>
      </c>
      <c r="BS67" s="247" t="inlineStr">
        <is>
          <t>/</t>
        </is>
      </c>
      <c r="BT67" s="235" t="inlineStr">
        <is>
          <t>/</t>
        </is>
      </c>
      <c r="BU67"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67" s="230" t="inlineStr">
        <is>
          <t>1、签订期间：2025.9.1-2026.8.31；
2、指标按照全年换算；</t>
        </is>
      </c>
      <c r="BW67" s="534" t="n"/>
    </row>
    <row r="68" ht="60" customFormat="1" customHeight="1" s="209">
      <c r="A68" s="219" t="n">
        <v>89</v>
      </c>
      <c r="B68" s="220" t="inlineStr">
        <is>
          <t>KQCY0089</t>
        </is>
      </c>
      <c r="C68" s="221" t="inlineStr">
        <is>
          <t>餐饮二分部</t>
        </is>
      </c>
      <c r="D68" s="221" t="inlineStr">
        <is>
          <t>CF364</t>
        </is>
      </c>
      <c r="E68" s="242" t="inlineStr">
        <is>
          <t>江苏航运思本轩食堂</t>
        </is>
      </c>
      <c r="F68" s="219" t="inlineStr">
        <is>
          <t>分组作业</t>
        </is>
      </c>
      <c r="G68" s="243" t="inlineStr">
        <is>
          <t>郑虎</t>
        </is>
      </c>
      <c r="H68" s="222" t="inlineStr">
        <is>
          <t>第十班组</t>
        </is>
      </c>
      <c r="I68" s="232" t="inlineStr">
        <is>
          <t>烤鸭饭</t>
        </is>
      </c>
      <c r="J68" s="503" t="inlineStr">
        <is>
          <t>蒋继承</t>
        </is>
      </c>
      <c r="K68" s="545">
        <f>LET(k,D68&amp;"|"&amp;E68&amp;"|"&amp;H68&amp;"|"&amp;I68&amp;"|"&amp;J68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68" s="546" t="n"/>
      <c r="M68" s="224" t="n"/>
      <c r="N68" s="559" t="n">
        <v>2638.97</v>
      </c>
      <c r="O68" s="548" t="n">
        <v>1440000</v>
      </c>
      <c r="P68" s="247" t="n">
        <v>0.12</v>
      </c>
      <c r="Q68" s="461">
        <f>K68*P68</f>
        <v/>
      </c>
      <c r="R68" s="559" t="n">
        <v>1261.5984</v>
      </c>
      <c r="S68" s="461">
        <f>Q68-R68</f>
        <v/>
      </c>
      <c r="T68" s="247" t="n">
        <v>0.01</v>
      </c>
      <c r="U68" s="461">
        <f>K68*T68</f>
        <v/>
      </c>
      <c r="V68" s="72" t="n">
        <v>105.1332</v>
      </c>
      <c r="W68" s="461">
        <f>U68-V68</f>
        <v/>
      </c>
      <c r="X68" s="247" t="inlineStr">
        <is>
          <t>按实</t>
        </is>
      </c>
      <c r="Y68" s="461">
        <f>Z68</f>
        <v/>
      </c>
      <c r="Z68" s="461" t="n"/>
      <c r="AA68" s="461">
        <f>Y68-Z68</f>
        <v/>
      </c>
      <c r="AB68" s="247" t="n">
        <v>0.01</v>
      </c>
      <c r="AC68" s="461">
        <f>K68*AB68</f>
        <v/>
      </c>
      <c r="AD68" s="72" t="n">
        <v>105.1332</v>
      </c>
      <c r="AE68" s="560">
        <f>AC68-AD68</f>
        <v/>
      </c>
      <c r="AF68" s="247" t="n">
        <v>0.01</v>
      </c>
      <c r="AG68" s="461">
        <f>K68*AF68</f>
        <v/>
      </c>
      <c r="AH68" s="72" t="n">
        <v>105.1332</v>
      </c>
      <c r="AI68" s="461">
        <f>AG68-AH68</f>
        <v/>
      </c>
      <c r="AJ68" s="247" t="n">
        <v>0.01</v>
      </c>
      <c r="AK68" s="461">
        <f>K68*AJ68</f>
        <v/>
      </c>
      <c r="AL68" s="72" t="n">
        <v>105.1332</v>
      </c>
      <c r="AM68" s="461">
        <f>AK68-AL68</f>
        <v/>
      </c>
      <c r="AN68" s="247" t="n">
        <v>0.02</v>
      </c>
      <c r="AO68" s="461">
        <f>K68*AN68</f>
        <v/>
      </c>
      <c r="AP68" s="72" t="n">
        <v>210.2664</v>
      </c>
      <c r="AQ68" s="461">
        <f>AO68-AP68</f>
        <v/>
      </c>
      <c r="AR68" s="247" t="n">
        <v>0.03</v>
      </c>
      <c r="AS68" s="72" t="n">
        <v>315.3996</v>
      </c>
      <c r="AT68" s="72" t="n">
        <v>315.3996</v>
      </c>
      <c r="AU68" s="461">
        <f>AS68-AT68</f>
        <v/>
      </c>
      <c r="AV68" s="247" t="n">
        <v>0.02</v>
      </c>
      <c r="AW68" s="562" t="n">
        <v>210.2664</v>
      </c>
      <c r="AX68" s="562" t="n">
        <v>210.2664</v>
      </c>
      <c r="AY68" s="461">
        <f>AW68-AX68</f>
        <v/>
      </c>
      <c r="AZ68" s="235" t="inlineStr">
        <is>
          <t>按实</t>
        </is>
      </c>
      <c r="BA68" s="461">
        <f>BB68</f>
        <v/>
      </c>
      <c r="BB68" s="461" t="n"/>
      <c r="BC68" s="461">
        <f>BA68-BB68</f>
        <v/>
      </c>
      <c r="BD68" s="235" t="n">
        <v>0</v>
      </c>
      <c r="BE68" s="461">
        <f>K68*BD68</f>
        <v/>
      </c>
      <c r="BF68" s="461" t="n"/>
      <c r="BG68" s="461">
        <f>BE68-BF68</f>
        <v/>
      </c>
      <c r="BH68" s="235" t="n">
        <v>0</v>
      </c>
      <c r="BI68" s="461">
        <f>K68*BH68</f>
        <v/>
      </c>
      <c r="BJ68" s="461" t="n"/>
      <c r="BK68" s="461">
        <f>BI68-BJ68</f>
        <v/>
      </c>
      <c r="BL68" s="235" t="inlineStr">
        <is>
          <t>按实</t>
        </is>
      </c>
      <c r="BM68" s="220">
        <f>BN68</f>
        <v/>
      </c>
      <c r="BN68" s="220" t="n"/>
      <c r="BO68" s="220">
        <f>BM68-BN68</f>
        <v/>
      </c>
      <c r="BP68" s="220">
        <f>N68+Q68+U68+Y68+AC68+AG68+AK68+AO68+AS68+AW68+BA68+BE68+BI68+BM68</f>
        <v/>
      </c>
      <c r="BQ68" s="220">
        <f>N68+R68+V68+Z68+AD68+AH68+AL68+AP68+AT68+AX68+BB68+BF68+BJ68+BN68</f>
        <v/>
      </c>
      <c r="BR68" s="220" t="n">
        <v>0</v>
      </c>
      <c r="BS68" s="247" t="inlineStr">
        <is>
          <t>/</t>
        </is>
      </c>
      <c r="BT68" s="235" t="inlineStr">
        <is>
          <t>/</t>
        </is>
      </c>
      <c r="BU68"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68" s="230" t="inlineStr">
        <is>
          <t>1、签订期间：2025.9.1-2026.8.31；
2、指标按照全年换算；</t>
        </is>
      </c>
      <c r="BW68" s="534" t="n"/>
    </row>
    <row r="69" ht="60" customFormat="1" customHeight="1" s="209">
      <c r="A69" s="219" t="n">
        <v>90</v>
      </c>
      <c r="B69" s="220" t="inlineStr">
        <is>
          <t>KQCY0090</t>
        </is>
      </c>
      <c r="C69" s="221" t="inlineStr">
        <is>
          <t>餐饮二分部</t>
        </is>
      </c>
      <c r="D69" s="221" t="inlineStr">
        <is>
          <t>CF364</t>
        </is>
      </c>
      <c r="E69" s="242" t="inlineStr">
        <is>
          <t>江苏航运思本轩食堂</t>
        </is>
      </c>
      <c r="F69" s="219" t="inlineStr">
        <is>
          <t>分组作业</t>
        </is>
      </c>
      <c r="G69" s="243" t="inlineStr">
        <is>
          <t>郑虎</t>
        </is>
      </c>
      <c r="H69" s="222" t="inlineStr">
        <is>
          <t>第十一班组</t>
        </is>
      </c>
      <c r="I69" s="232" t="inlineStr">
        <is>
          <t>朱家小馆</t>
        </is>
      </c>
      <c r="J69" s="503" t="inlineStr">
        <is>
          <t>张慧南</t>
        </is>
      </c>
      <c r="K69" s="545">
        <f>LET(k,D69&amp;"|"&amp;E69&amp;"|"&amp;H69&amp;"|"&amp;I69&amp;"|"&amp;J69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69" s="546" t="n"/>
      <c r="M69" s="224" t="n"/>
      <c r="N69" s="559" t="n">
        <v>2216.63</v>
      </c>
      <c r="O69" s="548" t="n">
        <v>560000</v>
      </c>
      <c r="P69" s="247" t="n">
        <v>0.12</v>
      </c>
      <c r="Q69" s="461">
        <f>K69*P69</f>
        <v/>
      </c>
      <c r="R69" s="559" t="n">
        <v>1135.95</v>
      </c>
      <c r="S69" s="461">
        <f>Q69-R69</f>
        <v/>
      </c>
      <c r="T69" s="247" t="n">
        <v>0.01</v>
      </c>
      <c r="U69" s="461">
        <f>K69*T69</f>
        <v/>
      </c>
      <c r="V69" s="72" t="n">
        <v>94.66249999999999</v>
      </c>
      <c r="W69" s="461">
        <f>U69-V69</f>
        <v/>
      </c>
      <c r="X69" s="247" t="inlineStr">
        <is>
          <t>按实</t>
        </is>
      </c>
      <c r="Y69" s="461">
        <f>Z69</f>
        <v/>
      </c>
      <c r="Z69" s="461" t="n"/>
      <c r="AA69" s="461">
        <f>Y69-Z69</f>
        <v/>
      </c>
      <c r="AB69" s="247" t="n">
        <v>0.01</v>
      </c>
      <c r="AC69" s="461">
        <f>K69*AB69</f>
        <v/>
      </c>
      <c r="AD69" s="72" t="n">
        <v>94.66249999999999</v>
      </c>
      <c r="AE69" s="560">
        <f>AC69-AD69</f>
        <v/>
      </c>
      <c r="AF69" s="247" t="n">
        <v>0.01</v>
      </c>
      <c r="AG69" s="461">
        <f>K69*AF69</f>
        <v/>
      </c>
      <c r="AH69" s="72" t="n">
        <v>94.66249999999999</v>
      </c>
      <c r="AI69" s="461">
        <f>AG69-AH69</f>
        <v/>
      </c>
      <c r="AJ69" s="247" t="n">
        <v>0.01</v>
      </c>
      <c r="AK69" s="461">
        <f>K69*AJ69</f>
        <v/>
      </c>
      <c r="AL69" s="72" t="n">
        <v>94.66249999999999</v>
      </c>
      <c r="AM69" s="461">
        <f>AK69-AL69</f>
        <v/>
      </c>
      <c r="AN69" s="247" t="n">
        <v>0.02</v>
      </c>
      <c r="AO69" s="461">
        <f>K69*AN69</f>
        <v/>
      </c>
      <c r="AP69" s="72" t="n">
        <v>189.325</v>
      </c>
      <c r="AQ69" s="461">
        <f>AO69-AP69</f>
        <v/>
      </c>
      <c r="AR69" s="247" t="n">
        <v>0.04</v>
      </c>
      <c r="AS69" s="72" t="n">
        <v>378.65</v>
      </c>
      <c r="AT69" s="72" t="n">
        <v>378.65</v>
      </c>
      <c r="AU69" s="461">
        <f>AS69-AT69</f>
        <v/>
      </c>
      <c r="AV69" s="247" t="n">
        <v>0.04</v>
      </c>
      <c r="AW69" s="562" t="n">
        <v>378.65</v>
      </c>
      <c r="AX69" s="562" t="n">
        <v>378.65</v>
      </c>
      <c r="AY69" s="461">
        <f>AW69-AX69</f>
        <v/>
      </c>
      <c r="AZ69" s="235" t="inlineStr">
        <is>
          <t>按实</t>
        </is>
      </c>
      <c r="BA69" s="461">
        <f>BB69</f>
        <v/>
      </c>
      <c r="BB69" s="461">
        <f>1000</f>
        <v/>
      </c>
      <c r="BC69" s="461">
        <f>BA69-BB69</f>
        <v/>
      </c>
      <c r="BD69" s="235" t="n">
        <v>0</v>
      </c>
      <c r="BE69" s="461">
        <f>K69*BD69</f>
        <v/>
      </c>
      <c r="BF69" s="461" t="n"/>
      <c r="BG69" s="461">
        <f>BE69-BF69</f>
        <v/>
      </c>
      <c r="BH69" s="235" t="n">
        <v>0</v>
      </c>
      <c r="BI69" s="461">
        <f>K69*BH69</f>
        <v/>
      </c>
      <c r="BJ69" s="461" t="n"/>
      <c r="BK69" s="461">
        <f>BI69-BJ69</f>
        <v/>
      </c>
      <c r="BL69" s="235" t="inlineStr">
        <is>
          <t>按实</t>
        </is>
      </c>
      <c r="BM69" s="564" t="n">
        <v>19676.09</v>
      </c>
      <c r="BN69" s="564" t="n">
        <v>19676.09</v>
      </c>
      <c r="BO69" s="220">
        <f>BM69-BN69</f>
        <v/>
      </c>
      <c r="BP69" s="220">
        <f>N69+Q69+U69+Y69+AC69+AG69+AK69+AO69+AS69+AW69+BA69+BE69+BI69+BM69</f>
        <v/>
      </c>
      <c r="BQ69" s="220">
        <f>N69+R69+V69+Z69+AD69+AH69+AL69+AP69+AT69+AX69+BB69+BF69+BJ69+BN69</f>
        <v/>
      </c>
      <c r="BR69" s="220">
        <f>BP69-BQ69</f>
        <v/>
      </c>
      <c r="BS69" s="247" t="inlineStr">
        <is>
          <t>/</t>
        </is>
      </c>
      <c r="BT69" s="235" t="inlineStr">
        <is>
          <t>/</t>
        </is>
      </c>
      <c r="BU69"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69" s="230" t="inlineStr">
        <is>
          <t>1、签订期间：2025.9.1-2026.8.31；
2、指标按照全年换算；</t>
        </is>
      </c>
      <c r="BW69" s="534" t="n"/>
    </row>
    <row r="70" ht="24" customFormat="1" customHeight="1" s="209">
      <c r="A70" s="219" t="n">
        <v>95</v>
      </c>
      <c r="B70" s="220" t="inlineStr">
        <is>
          <t>KQCY0095</t>
        </is>
      </c>
      <c r="C70" s="221" t="inlineStr">
        <is>
          <t>餐饮二分部</t>
        </is>
      </c>
      <c r="D70" s="221" t="inlineStr">
        <is>
          <t>CF363</t>
        </is>
      </c>
      <c r="E70" s="242" t="inlineStr">
        <is>
          <t>南通大学启东校区</t>
        </is>
      </c>
      <c r="F70" s="219" t="inlineStr">
        <is>
          <t>分组作业</t>
        </is>
      </c>
      <c r="G70" s="243" t="inlineStr">
        <is>
          <t>郑虎</t>
        </is>
      </c>
      <c r="H70" s="222" t="inlineStr">
        <is>
          <t>第一班组</t>
        </is>
      </c>
      <c r="I70" s="237" t="inlineStr">
        <is>
          <t>基本大伙</t>
        </is>
      </c>
      <c r="J70" s="503" t="inlineStr">
        <is>
          <t>朱寿凤</t>
        </is>
      </c>
      <c r="K70" s="545">
        <f>LET(k,D70&amp;"|"&amp;E70&amp;"|"&amp;H70&amp;"|"&amp;I70&amp;"|"&amp;J70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70" s="546" t="n"/>
      <c r="M70" s="224" t="n"/>
      <c r="N70" s="565" t="n">
        <v>196</v>
      </c>
      <c r="O70" s="548" t="n">
        <v>2400000</v>
      </c>
      <c r="P70" s="247" t="n">
        <v>0.18</v>
      </c>
      <c r="Q70" s="461">
        <f>K70*P70</f>
        <v/>
      </c>
      <c r="R70" s="565" t="n">
        <v>6439.716</v>
      </c>
      <c r="S70" s="461">
        <f>Q70-R70</f>
        <v/>
      </c>
      <c r="T70" s="235" t="n">
        <v>0</v>
      </c>
      <c r="U70" s="461">
        <f>K70*T70</f>
        <v/>
      </c>
      <c r="V70" s="461" t="n"/>
      <c r="W70" s="461">
        <f>U70-V70</f>
        <v/>
      </c>
      <c r="X70" s="235" t="n">
        <v>0</v>
      </c>
      <c r="Y70" s="461">
        <f>K70*X70</f>
        <v/>
      </c>
      <c r="Z70" s="461" t="n"/>
      <c r="AA70" s="461">
        <f>Y70-Z70</f>
        <v/>
      </c>
      <c r="AB70" s="247" t="n">
        <v>0</v>
      </c>
      <c r="AC70" s="461">
        <f>K70*AB70</f>
        <v/>
      </c>
      <c r="AD70" s="461" t="n"/>
      <c r="AE70" s="461">
        <f>AC70-AD70</f>
        <v/>
      </c>
      <c r="AF70" s="247" t="n">
        <v>0</v>
      </c>
      <c r="AG70" s="461">
        <f>K70*AF70</f>
        <v/>
      </c>
      <c r="AH70" s="461" t="n"/>
      <c r="AI70" s="461">
        <f>AG70-AH70</f>
        <v/>
      </c>
      <c r="AJ70" s="247" t="inlineStr">
        <is>
          <t>按比例分摊</t>
        </is>
      </c>
      <c r="AK70" s="461">
        <f>AL70</f>
        <v/>
      </c>
      <c r="AL70" s="461" t="n"/>
      <c r="AM70" s="461">
        <f>AK70-AL70</f>
        <v/>
      </c>
      <c r="AN70" s="566" t="inlineStr">
        <is>
          <t>500/月，1、2、7、8月不收</t>
        </is>
      </c>
      <c r="AO70" s="565" t="n">
        <v>200</v>
      </c>
      <c r="AP70" s="565" t="n">
        <v>200</v>
      </c>
      <c r="AQ70" s="461">
        <f>AO70-AP70</f>
        <v/>
      </c>
      <c r="AR70" s="247" t="n">
        <v>0.03</v>
      </c>
      <c r="AS70" s="461">
        <f>K70*AR70</f>
        <v/>
      </c>
      <c r="AT70" s="565" t="n">
        <v>1073.286</v>
      </c>
      <c r="AU70" s="461">
        <f>AS70-AT70</f>
        <v/>
      </c>
      <c r="AV70" s="247" t="n">
        <v>0.04</v>
      </c>
      <c r="AW70" s="461">
        <f>K70*AV70</f>
        <v/>
      </c>
      <c r="AX70" s="565" t="n">
        <v>1431.048</v>
      </c>
      <c r="AY70" s="461">
        <f>AW70-AX70</f>
        <v/>
      </c>
      <c r="AZ70" s="235" t="inlineStr">
        <is>
          <t xml:space="preserve"> 按实</t>
        </is>
      </c>
      <c r="BA70" s="461">
        <f>BB70</f>
        <v/>
      </c>
      <c r="BB70" s="461" t="n"/>
      <c r="BC70" s="461">
        <f>BA70-BB70</f>
        <v/>
      </c>
      <c r="BD70" s="235" t="n">
        <v>0</v>
      </c>
      <c r="BE70" s="461">
        <f>K70*BD70</f>
        <v/>
      </c>
      <c r="BF70" s="235" t="n"/>
      <c r="BG70" s="461">
        <f>BE70-BF70</f>
        <v/>
      </c>
      <c r="BH70" s="235" t="n">
        <v>0</v>
      </c>
      <c r="BI70" s="461">
        <f>K70*BH70</f>
        <v/>
      </c>
      <c r="BJ70" s="235" t="n"/>
      <c r="BK70" s="461">
        <f>BI70-BJ70</f>
        <v/>
      </c>
      <c r="BL70" s="235" t="inlineStr">
        <is>
          <t xml:space="preserve"> 按实</t>
        </is>
      </c>
      <c r="BM70" s="565" t="n">
        <v>12049.233884017</v>
      </c>
      <c r="BN70" s="565" t="n">
        <v>12049.233884017</v>
      </c>
      <c r="BO70" s="220">
        <f>BM70-BN70</f>
        <v/>
      </c>
      <c r="BP70" s="220">
        <f>N70+Q70+U70+Y70+AC70+AG70+AK70+AO70+AS70+AW70+BA70+BE70+BI70+BM70</f>
        <v/>
      </c>
      <c r="BQ70" s="220">
        <f>N70+R70+V70+Z70+AD70+AH70+AL70+AP70+AT70+AX70+BB70+BF70+BJ70+BN70</f>
        <v/>
      </c>
      <c r="BR70" s="220">
        <f>BP70-BQ70</f>
        <v/>
      </c>
      <c r="BS70" s="247" t="inlineStr">
        <is>
          <t>/</t>
        </is>
      </c>
      <c r="BT70" s="235" t="inlineStr">
        <is>
          <t>/</t>
        </is>
      </c>
      <c r="BU70" s="250" t="inlineStr">
        <is>
          <t>1、甲方管理费：校方按营业额比例13%收取，分组作业应分摊未分摊，已补分摊，服务费比例应做相应调整；</t>
        </is>
      </c>
      <c r="BV70" s="230" t="inlineStr">
        <is>
          <t>1、签订期间：2025.9.1-2026.8.31；
2、指标按照全年换算；</t>
        </is>
      </c>
      <c r="BW70" s="534" t="n"/>
    </row>
    <row r="71" ht="24" customFormat="1" customHeight="1" s="209">
      <c r="A71" s="219" t="n">
        <v>96</v>
      </c>
      <c r="B71" s="220" t="inlineStr">
        <is>
          <t>KQCY0096</t>
        </is>
      </c>
      <c r="C71" s="221" t="inlineStr">
        <is>
          <t>餐饮二分部</t>
        </is>
      </c>
      <c r="D71" s="221" t="inlineStr">
        <is>
          <t>CF363</t>
        </is>
      </c>
      <c r="E71" s="242" t="inlineStr">
        <is>
          <t>南通大学启东校区</t>
        </is>
      </c>
      <c r="F71" s="219" t="inlineStr">
        <is>
          <t>分组作业</t>
        </is>
      </c>
      <c r="G71" s="243" t="inlineStr">
        <is>
          <t>郑虎</t>
        </is>
      </c>
      <c r="H71" s="222" t="inlineStr">
        <is>
          <t>第二班组</t>
        </is>
      </c>
      <c r="I71" s="237" t="inlineStr">
        <is>
          <t>自选称重</t>
        </is>
      </c>
      <c r="J71" s="503" t="inlineStr">
        <is>
          <t>朱寿凤</t>
        </is>
      </c>
      <c r="K71" s="545">
        <f>LET(k,D71&amp;"|"&amp;E71&amp;"|"&amp;H71&amp;"|"&amp;I71&amp;"|"&amp;J71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71" s="546" t="n"/>
      <c r="M71" s="224" t="n"/>
      <c r="N71" s="565" t="n">
        <v>1840.53</v>
      </c>
      <c r="O71" s="548" t="n">
        <v>1400000</v>
      </c>
      <c r="P71" s="247" t="n">
        <v>0.19</v>
      </c>
      <c r="Q71" s="461">
        <f>K71*P71</f>
        <v/>
      </c>
      <c r="R71" s="565" t="n">
        <v>4179.62</v>
      </c>
      <c r="S71" s="461">
        <f>Q71-R71</f>
        <v/>
      </c>
      <c r="T71" s="235" t="n">
        <v>0</v>
      </c>
      <c r="U71" s="461">
        <f>K71*T71</f>
        <v/>
      </c>
      <c r="V71" s="461" t="n"/>
      <c r="W71" s="461">
        <f>U71-V71</f>
        <v/>
      </c>
      <c r="X71" s="235" t="n">
        <v>0</v>
      </c>
      <c r="Y71" s="461">
        <f>K71*X71</f>
        <v/>
      </c>
      <c r="Z71" s="461" t="n"/>
      <c r="AA71" s="461">
        <f>Y71-Z71</f>
        <v/>
      </c>
      <c r="AB71" s="247" t="n">
        <v>0</v>
      </c>
      <c r="AC71" s="461">
        <f>K71*AB71</f>
        <v/>
      </c>
      <c r="AD71" s="461" t="n"/>
      <c r="AE71" s="461">
        <f>AC71-AD71</f>
        <v/>
      </c>
      <c r="AF71" s="247" t="n">
        <v>0</v>
      </c>
      <c r="AG71" s="461">
        <f>K71*AF71</f>
        <v/>
      </c>
      <c r="AH71" s="461" t="n"/>
      <c r="AI71" s="461">
        <f>AG71-AH71</f>
        <v/>
      </c>
      <c r="AJ71" s="247" t="inlineStr">
        <is>
          <t>按比例分摊</t>
        </is>
      </c>
      <c r="AK71" s="461">
        <f>AL71</f>
        <v/>
      </c>
      <c r="AL71" s="461" t="n"/>
      <c r="AM71" s="461">
        <f>AK71-AL71</f>
        <v/>
      </c>
      <c r="AN71" s="566" t="inlineStr">
        <is>
          <t>500/月，1、2、7、8月不收</t>
        </is>
      </c>
      <c r="AO71" s="565" t="n">
        <v>200</v>
      </c>
      <c r="AP71" s="565" t="n">
        <v>200</v>
      </c>
      <c r="AQ71" s="461">
        <f>AO71-AP71</f>
        <v/>
      </c>
      <c r="AR71" s="247" t="n">
        <v>0.03</v>
      </c>
      <c r="AS71" s="461">
        <f>K71*AR71</f>
        <v/>
      </c>
      <c r="AT71" s="565" t="n">
        <v>659.9400000000001</v>
      </c>
      <c r="AU71" s="461">
        <f>AS71-AT71</f>
        <v/>
      </c>
      <c r="AV71" s="247" t="n">
        <v>0.04</v>
      </c>
      <c r="AW71" s="461">
        <f>K71*AV71</f>
        <v/>
      </c>
      <c r="AX71" s="565" t="n">
        <v>879.92</v>
      </c>
      <c r="AY71" s="461">
        <f>AW71-AX71</f>
        <v/>
      </c>
      <c r="AZ71" s="235" t="inlineStr">
        <is>
          <t xml:space="preserve"> 按实</t>
        </is>
      </c>
      <c r="BA71" s="461">
        <f>BB71</f>
        <v/>
      </c>
      <c r="BB71" s="461" t="n"/>
      <c r="BC71" s="461">
        <f>BA71-BB71</f>
        <v/>
      </c>
      <c r="BD71" s="235" t="n">
        <v>0</v>
      </c>
      <c r="BE71" s="461">
        <f>K71*BD71</f>
        <v/>
      </c>
      <c r="BF71" s="235" t="n"/>
      <c r="BG71" s="461">
        <f>BE71-BF71</f>
        <v/>
      </c>
      <c r="BH71" s="235" t="n">
        <v>0</v>
      </c>
      <c r="BI71" s="461">
        <f>K71*BH71</f>
        <v/>
      </c>
      <c r="BJ71" s="235" t="n"/>
      <c r="BK71" s="461">
        <f>BI71-BJ71</f>
        <v/>
      </c>
      <c r="BL71" s="235" t="inlineStr">
        <is>
          <t xml:space="preserve"> 按实</t>
        </is>
      </c>
      <c r="BM71" s="565" t="n">
        <v>5553.95086324367</v>
      </c>
      <c r="BN71" s="565" t="n">
        <v>5553.95086324367</v>
      </c>
      <c r="BO71" s="220">
        <f>BM71-BN71</f>
        <v/>
      </c>
      <c r="BP71" s="220">
        <f>N71+Q71+U71+Y71+AC71+AG71+AK71+AO71+AS71+AW71+BA71+BE71+BI71+BM71</f>
        <v/>
      </c>
      <c r="BQ71" s="220">
        <f>N71+R71+V71+Z71+AD71+AH71+AL71+AP71+AT71+AX71+BB71+BF71+BJ71+BN71</f>
        <v/>
      </c>
      <c r="BR71" s="220">
        <f>BP71-BQ71</f>
        <v/>
      </c>
      <c r="BS71" s="247" t="inlineStr">
        <is>
          <t>/</t>
        </is>
      </c>
      <c r="BT71" s="235" t="inlineStr">
        <is>
          <t>/</t>
        </is>
      </c>
      <c r="BU71" s="250" t="inlineStr">
        <is>
          <t>1、甲方管理费：校方按营业额比例13%收取，分组作业应分摊未分摊，已补分摊，服务费比例应做相应调整；</t>
        </is>
      </c>
      <c r="BV71" s="230" t="inlineStr">
        <is>
          <t>1、签订期间：2025.9.1-2026.8.31；
2、指标按照全年换算；</t>
        </is>
      </c>
      <c r="BW71" s="534" t="n"/>
    </row>
    <row r="72" ht="24" customFormat="1" customHeight="1" s="209">
      <c r="A72" s="219" t="n">
        <v>97</v>
      </c>
      <c r="B72" s="220" t="inlineStr">
        <is>
          <t>KQCY0097</t>
        </is>
      </c>
      <c r="C72" s="221" t="inlineStr">
        <is>
          <t>餐饮二分部</t>
        </is>
      </c>
      <c r="D72" s="221" t="inlineStr">
        <is>
          <t>CF363</t>
        </is>
      </c>
      <c r="E72" s="242" t="inlineStr">
        <is>
          <t>南通大学启东校区</t>
        </is>
      </c>
      <c r="F72" s="219" t="inlineStr">
        <is>
          <t>分组作业</t>
        </is>
      </c>
      <c r="G72" s="243" t="inlineStr">
        <is>
          <t>郑虎</t>
        </is>
      </c>
      <c r="H72" s="222" t="inlineStr">
        <is>
          <t>第三班组</t>
        </is>
      </c>
      <c r="I72" s="237" t="inlineStr">
        <is>
          <t>中式早点</t>
        </is>
      </c>
      <c r="J72" s="503" t="inlineStr">
        <is>
          <t>王正明</t>
        </is>
      </c>
      <c r="K72" s="545">
        <f>LET(k,D72&amp;"|"&amp;E72&amp;"|"&amp;H72&amp;"|"&amp;I72&amp;"|"&amp;J72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72" s="546" t="n"/>
      <c r="M72" s="224" t="n"/>
      <c r="N72" s="565" t="n">
        <v>56</v>
      </c>
      <c r="O72" s="548" t="n">
        <v>2000000</v>
      </c>
      <c r="P72" s="247" t="n">
        <v>0.21</v>
      </c>
      <c r="Q72" s="461">
        <f>K72*P72</f>
        <v/>
      </c>
      <c r="R72" s="565" t="n">
        <v>6379.338</v>
      </c>
      <c r="S72" s="461">
        <f>Q72-R72</f>
        <v/>
      </c>
      <c r="T72" s="235" t="n">
        <v>0</v>
      </c>
      <c r="U72" s="461">
        <f>K72*T72</f>
        <v/>
      </c>
      <c r="V72" s="461" t="n"/>
      <c r="W72" s="461">
        <f>U72-V72</f>
        <v/>
      </c>
      <c r="X72" s="235" t="n">
        <v>0</v>
      </c>
      <c r="Y72" s="461">
        <f>K72*X72</f>
        <v/>
      </c>
      <c r="Z72" s="461" t="n"/>
      <c r="AA72" s="461">
        <f>Y72-Z72</f>
        <v/>
      </c>
      <c r="AB72" s="247" t="n">
        <v>0</v>
      </c>
      <c r="AC72" s="461">
        <f>K72*AB72</f>
        <v/>
      </c>
      <c r="AD72" s="461" t="n"/>
      <c r="AE72" s="461">
        <f>AC72-AD72</f>
        <v/>
      </c>
      <c r="AF72" s="247" t="n">
        <v>0</v>
      </c>
      <c r="AG72" s="461">
        <f>K72*AF72</f>
        <v/>
      </c>
      <c r="AH72" s="461" t="n"/>
      <c r="AI72" s="461">
        <f>AG72-AH72</f>
        <v/>
      </c>
      <c r="AJ72" s="247" t="inlineStr">
        <is>
          <t>按比例分摊</t>
        </is>
      </c>
      <c r="AK72" s="461">
        <f>AL72</f>
        <v/>
      </c>
      <c r="AL72" s="461" t="n"/>
      <c r="AM72" s="461">
        <f>AK72-AL72</f>
        <v/>
      </c>
      <c r="AN72" s="566" t="inlineStr">
        <is>
          <t>500/月，1、2、7、8月不收</t>
        </is>
      </c>
      <c r="AO72" s="565" t="n">
        <v>200</v>
      </c>
      <c r="AP72" s="565" t="n">
        <v>200</v>
      </c>
      <c r="AQ72" s="461">
        <f>AO72-AP72</f>
        <v/>
      </c>
      <c r="AR72" s="247" t="n">
        <v>0.03</v>
      </c>
      <c r="AS72" s="461">
        <f>K72*AR72</f>
        <v/>
      </c>
      <c r="AT72" s="565" t="n">
        <v>911.3339999999999</v>
      </c>
      <c r="AU72" s="461">
        <f>AS72-AT72</f>
        <v/>
      </c>
      <c r="AV72" s="247" t="n">
        <v>0.04</v>
      </c>
      <c r="AW72" s="461">
        <f>K72*AV72</f>
        <v/>
      </c>
      <c r="AX72" s="565" t="n">
        <v>1215.112</v>
      </c>
      <c r="AY72" s="461">
        <f>AW72-AX72</f>
        <v/>
      </c>
      <c r="AZ72" s="235" t="inlineStr">
        <is>
          <t xml:space="preserve"> 按实</t>
        </is>
      </c>
      <c r="BA72" s="461">
        <f>BB72</f>
        <v/>
      </c>
      <c r="BB72" s="461" t="n"/>
      <c r="BC72" s="461">
        <f>BA72-BB72</f>
        <v/>
      </c>
      <c r="BD72" s="235" t="n">
        <v>0</v>
      </c>
      <c r="BE72" s="461">
        <f>K72*BD72</f>
        <v/>
      </c>
      <c r="BF72" s="235" t="n"/>
      <c r="BG72" s="461">
        <f>BE72-BF72</f>
        <v/>
      </c>
      <c r="BH72" s="235" t="n">
        <v>0</v>
      </c>
      <c r="BI72" s="461">
        <f>K72*BH72</f>
        <v/>
      </c>
      <c r="BJ72" s="235" t="n"/>
      <c r="BK72" s="461">
        <f>BI72-BJ72</f>
        <v/>
      </c>
      <c r="BL72" s="235" t="inlineStr">
        <is>
          <t xml:space="preserve"> 按实</t>
        </is>
      </c>
      <c r="BM72" s="565" t="n">
        <v>5366.75141390986</v>
      </c>
      <c r="BN72" s="565" t="n">
        <v>5366.75141390986</v>
      </c>
      <c r="BO72" s="220">
        <f>BM72-BN72</f>
        <v/>
      </c>
      <c r="BP72" s="220">
        <f>N72+Q72+U72+Y72+AC72+AG72+AK72+AO72+AS72+AW72+BA72+BE72+BI72+BM72</f>
        <v/>
      </c>
      <c r="BQ72" s="220">
        <f>N72+R72+V72+Z72+AD72+AH72+AL72+AP72+AT72+AX72+BB72+BF72+BJ72+BN72</f>
        <v/>
      </c>
      <c r="BR72" s="220">
        <f>BP72-BQ72</f>
        <v/>
      </c>
      <c r="BS72" s="247" t="inlineStr">
        <is>
          <t>/</t>
        </is>
      </c>
      <c r="BT72" s="235" t="inlineStr">
        <is>
          <t>/</t>
        </is>
      </c>
      <c r="BU72" s="250" t="inlineStr">
        <is>
          <t>1、甲方管理费：校方按营业额比例13%收取，分组作业应分摊未分摊，已补分摊，服务费比例应做相应调整；</t>
        </is>
      </c>
      <c r="BV72" s="230" t="inlineStr">
        <is>
          <t>1、签订期间：2025.9.1-2026.8.31；
2、指标按照全年换算；</t>
        </is>
      </c>
      <c r="BW72" s="534" t="n"/>
    </row>
    <row r="73" ht="24" customFormat="1" customHeight="1" s="209">
      <c r="A73" s="219" t="n">
        <v>98</v>
      </c>
      <c r="B73" s="220" t="inlineStr">
        <is>
          <t>KQCY0098</t>
        </is>
      </c>
      <c r="C73" s="221" t="inlineStr">
        <is>
          <t>餐饮二分部</t>
        </is>
      </c>
      <c r="D73" s="221" t="inlineStr">
        <is>
          <t>CF363</t>
        </is>
      </c>
      <c r="E73" s="242" t="inlineStr">
        <is>
          <t>南通大学启东校区</t>
        </is>
      </c>
      <c r="F73" s="219" t="inlineStr">
        <is>
          <t>分组作业</t>
        </is>
      </c>
      <c r="G73" s="243" t="inlineStr">
        <is>
          <t>郑虎</t>
        </is>
      </c>
      <c r="H73" s="222" t="inlineStr">
        <is>
          <t>第四班组</t>
        </is>
      </c>
      <c r="I73" s="237" t="inlineStr">
        <is>
          <t>黄焖鸡酸菜鱼</t>
        </is>
      </c>
      <c r="J73" s="503" t="inlineStr">
        <is>
          <t>金健华</t>
        </is>
      </c>
      <c r="K73" s="545">
        <f>LET(k,D73&amp;"|"&amp;E73&amp;"|"&amp;H73&amp;"|"&amp;I73&amp;"|"&amp;J73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73" s="546" t="n"/>
      <c r="M73" s="224" t="n"/>
      <c r="N73" s="565" t="n">
        <v>2346.53</v>
      </c>
      <c r="O73" s="548" t="n">
        <v>1080000</v>
      </c>
      <c r="P73" s="247" t="n">
        <v>0.2</v>
      </c>
      <c r="Q73" s="461">
        <f>K73*P73</f>
        <v/>
      </c>
      <c r="R73" s="565" t="n">
        <v>1614.2</v>
      </c>
      <c r="S73" s="461">
        <f>Q73-R73</f>
        <v/>
      </c>
      <c r="T73" s="235" t="n">
        <v>0</v>
      </c>
      <c r="U73" s="461">
        <f>K73*T73</f>
        <v/>
      </c>
      <c r="V73" s="461" t="n"/>
      <c r="W73" s="461">
        <f>U73-V73</f>
        <v/>
      </c>
      <c r="X73" s="235" t="n">
        <v>0</v>
      </c>
      <c r="Y73" s="461">
        <f>K73*X73</f>
        <v/>
      </c>
      <c r="Z73" s="461" t="n"/>
      <c r="AA73" s="461">
        <f>Y73-Z73</f>
        <v/>
      </c>
      <c r="AB73" s="247" t="n">
        <v>0</v>
      </c>
      <c r="AC73" s="461">
        <f>K73*AB73</f>
        <v/>
      </c>
      <c r="AD73" s="461" t="n"/>
      <c r="AE73" s="461">
        <f>AC73-AD73</f>
        <v/>
      </c>
      <c r="AF73" s="247" t="n">
        <v>0</v>
      </c>
      <c r="AG73" s="461">
        <f>K73*AF73</f>
        <v/>
      </c>
      <c r="AH73" s="461" t="n"/>
      <c r="AI73" s="461">
        <f>AG73-AH73</f>
        <v/>
      </c>
      <c r="AJ73" s="247" t="inlineStr">
        <is>
          <t>按比例分摊</t>
        </is>
      </c>
      <c r="AK73" s="461">
        <f>AL73</f>
        <v/>
      </c>
      <c r="AL73" s="461" t="n"/>
      <c r="AM73" s="461">
        <f>AK73-AL73</f>
        <v/>
      </c>
      <c r="AN73" s="566" t="inlineStr">
        <is>
          <t>500/月，1、2、7、8月不收</t>
        </is>
      </c>
      <c r="AO73" s="565" t="n">
        <v>200</v>
      </c>
      <c r="AP73" s="565" t="n">
        <v>200</v>
      </c>
      <c r="AQ73" s="461">
        <f>AO73-AP73</f>
        <v/>
      </c>
      <c r="AR73" s="247" t="n">
        <v>0.03</v>
      </c>
      <c r="AS73" s="461">
        <f>K73*AR73</f>
        <v/>
      </c>
      <c r="AT73" s="565" t="n">
        <v>242.13</v>
      </c>
      <c r="AU73" s="461">
        <f>AS73-AT73</f>
        <v/>
      </c>
      <c r="AV73" s="247" t="n">
        <v>0.04</v>
      </c>
      <c r="AW73" s="461">
        <f>K73*AV73</f>
        <v/>
      </c>
      <c r="AX73" s="565" t="n">
        <v>322.84</v>
      </c>
      <c r="AY73" s="461">
        <f>AW73-AX73</f>
        <v/>
      </c>
      <c r="AZ73" s="235" t="inlineStr">
        <is>
          <t xml:space="preserve"> 按实</t>
        </is>
      </c>
      <c r="BA73" s="461">
        <f>BB73</f>
        <v/>
      </c>
      <c r="BB73" s="461" t="n"/>
      <c r="BC73" s="461">
        <f>BA73-BB73</f>
        <v/>
      </c>
      <c r="BD73" s="235" t="n">
        <v>0</v>
      </c>
      <c r="BE73" s="461">
        <f>K73*BD73</f>
        <v/>
      </c>
      <c r="BF73" s="235" t="n"/>
      <c r="BG73" s="461">
        <f>BE73-BF73</f>
        <v/>
      </c>
      <c r="BH73" s="235" t="n">
        <v>0</v>
      </c>
      <c r="BI73" s="461">
        <f>K73*BH73</f>
        <v/>
      </c>
      <c r="BJ73" s="235" t="n"/>
      <c r="BK73" s="461">
        <f>BI73-BJ73</f>
        <v/>
      </c>
      <c r="BL73" s="235" t="inlineStr">
        <is>
          <t xml:space="preserve"> 按实</t>
        </is>
      </c>
      <c r="BM73" s="565" t="n">
        <v>2170.30915479769</v>
      </c>
      <c r="BN73" s="565" t="n">
        <v>2170.30915479769</v>
      </c>
      <c r="BO73" s="220">
        <f>BM73-BN73</f>
        <v/>
      </c>
      <c r="BP73" s="220">
        <f>N73+Q73+U73+Y73+AC73+AG73+AK73+AO73+AS73+AW73+BA73+BE73+BI73+BM73</f>
        <v/>
      </c>
      <c r="BQ73" s="220">
        <f>N73+R73+V73+Z73+AD73+AH73+AL73+AP73+AT73+AX73+BB73+BF73+BJ73+BN73</f>
        <v/>
      </c>
      <c r="BR73" s="220">
        <f>BP73-BQ73</f>
        <v/>
      </c>
      <c r="BS73" s="247" t="inlineStr">
        <is>
          <t>/</t>
        </is>
      </c>
      <c r="BT73" s="235" t="inlineStr">
        <is>
          <t>/</t>
        </is>
      </c>
      <c r="BU73" s="250" t="inlineStr">
        <is>
          <t>1、甲方管理费：校方按营业额比例13%收取，分组作业应分摊未分摊，已补分摊，服务费比例应做相应调整；</t>
        </is>
      </c>
      <c r="BV73" s="230" t="inlineStr">
        <is>
          <t>1、签订期间：2025.9.1-2026.8.31；
2、指标按照全年换算；</t>
        </is>
      </c>
      <c r="BW73" s="534" t="n"/>
    </row>
    <row r="74" ht="24" customFormat="1" customHeight="1" s="209">
      <c r="A74" s="219" t="n">
        <v>99</v>
      </c>
      <c r="B74" s="220" t="inlineStr">
        <is>
          <t>KQCY0099</t>
        </is>
      </c>
      <c r="C74" s="221" t="inlineStr">
        <is>
          <t>餐饮二分部</t>
        </is>
      </c>
      <c r="D74" s="221" t="inlineStr">
        <is>
          <t>CF363</t>
        </is>
      </c>
      <c r="E74" s="242" t="inlineStr">
        <is>
          <t>南通大学启东校区</t>
        </is>
      </c>
      <c r="F74" s="219" t="inlineStr">
        <is>
          <t>分组作业</t>
        </is>
      </c>
      <c r="G74" s="243" t="inlineStr">
        <is>
          <t>郑虎</t>
        </is>
      </c>
      <c r="H74" s="222" t="inlineStr">
        <is>
          <t>第五班组</t>
        </is>
      </c>
      <c r="I74" s="237" t="inlineStr">
        <is>
          <t>卤肉饭套餐</t>
        </is>
      </c>
      <c r="J74" s="503" t="inlineStr">
        <is>
          <t>金健华</t>
        </is>
      </c>
      <c r="K74" s="545">
        <f>LET(k,D74&amp;"|"&amp;E74&amp;"|"&amp;H74&amp;"|"&amp;I74&amp;"|"&amp;J74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74" s="546" t="n"/>
      <c r="M74" s="224" t="n"/>
      <c r="N74" s="565" t="n">
        <v>2318.53</v>
      </c>
      <c r="O74" s="548" t="n">
        <v>920000</v>
      </c>
      <c r="P74" s="247" t="n">
        <v>0.2</v>
      </c>
      <c r="Q74" s="461">
        <f>K74*P74</f>
        <v/>
      </c>
      <c r="R74" s="565" t="n">
        <v>2305.6</v>
      </c>
      <c r="S74" s="461">
        <f>Q74-R74</f>
        <v/>
      </c>
      <c r="T74" s="235" t="n">
        <v>0</v>
      </c>
      <c r="U74" s="461">
        <f>K74*T74</f>
        <v/>
      </c>
      <c r="V74" s="461" t="n"/>
      <c r="W74" s="461">
        <f>U74-V74</f>
        <v/>
      </c>
      <c r="X74" s="235" t="n">
        <v>0</v>
      </c>
      <c r="Y74" s="461">
        <f>K74*X74</f>
        <v/>
      </c>
      <c r="Z74" s="461" t="n"/>
      <c r="AA74" s="461">
        <f>Y74-Z74</f>
        <v/>
      </c>
      <c r="AB74" s="247" t="n">
        <v>0</v>
      </c>
      <c r="AC74" s="461">
        <f>K74*AB74</f>
        <v/>
      </c>
      <c r="AD74" s="461" t="n"/>
      <c r="AE74" s="461">
        <f>AC74-AD74</f>
        <v/>
      </c>
      <c r="AF74" s="247" t="n">
        <v>0</v>
      </c>
      <c r="AG74" s="461">
        <f>K74*AF74</f>
        <v/>
      </c>
      <c r="AH74" s="461" t="n"/>
      <c r="AI74" s="461">
        <f>AG74-AH74</f>
        <v/>
      </c>
      <c r="AJ74" s="247" t="inlineStr">
        <is>
          <t>按比例分摊</t>
        </is>
      </c>
      <c r="AK74" s="461">
        <f>AL74</f>
        <v/>
      </c>
      <c r="AL74" s="461" t="n"/>
      <c r="AM74" s="461">
        <f>AK74-AL74</f>
        <v/>
      </c>
      <c r="AN74" s="566" t="inlineStr">
        <is>
          <t>500/月，1、2、7、8月不收</t>
        </is>
      </c>
      <c r="AO74" s="565" t="n">
        <v>200</v>
      </c>
      <c r="AP74" s="565" t="n">
        <v>200</v>
      </c>
      <c r="AQ74" s="461">
        <f>AO74-AP74</f>
        <v/>
      </c>
      <c r="AR74" s="247" t="n">
        <v>0.03</v>
      </c>
      <c r="AS74" s="461">
        <f>K74*AR74</f>
        <v/>
      </c>
      <c r="AT74" s="565" t="n">
        <v>345.84</v>
      </c>
      <c r="AU74" s="461">
        <f>AS74-AT74</f>
        <v/>
      </c>
      <c r="AV74" s="247" t="n">
        <v>0.04</v>
      </c>
      <c r="AW74" s="461">
        <f>K74*AV74</f>
        <v/>
      </c>
      <c r="AX74" s="565" t="n">
        <v>461.12</v>
      </c>
      <c r="AY74" s="461">
        <f>AW74-AX74</f>
        <v/>
      </c>
      <c r="AZ74" s="235" t="inlineStr">
        <is>
          <t xml:space="preserve"> 按实</t>
        </is>
      </c>
      <c r="BA74" s="461">
        <f>BB74</f>
        <v/>
      </c>
      <c r="BB74" s="461" t="n"/>
      <c r="BC74" s="461">
        <f>BA74-BB74</f>
        <v/>
      </c>
      <c r="BD74" s="235" t="n">
        <v>0</v>
      </c>
      <c r="BE74" s="461">
        <f>K74*BD74</f>
        <v/>
      </c>
      <c r="BF74" s="235" t="n"/>
      <c r="BG74" s="461">
        <f>BE74-BF74</f>
        <v/>
      </c>
      <c r="BH74" s="235" t="n">
        <v>0</v>
      </c>
      <c r="BI74" s="461">
        <f>K74*BH74</f>
        <v/>
      </c>
      <c r="BJ74" s="235" t="n"/>
      <c r="BK74" s="461">
        <f>BI74-BJ74</f>
        <v/>
      </c>
      <c r="BL74" s="235" t="inlineStr">
        <is>
          <t xml:space="preserve"> 按实</t>
        </is>
      </c>
      <c r="BM74" s="565" t="n">
        <v>3107.27519099341</v>
      </c>
      <c r="BN74" s="565" t="n">
        <v>3107.27519099341</v>
      </c>
      <c r="BO74" s="220">
        <f>BM74-BN74</f>
        <v/>
      </c>
      <c r="BP74" s="220">
        <f>N74+Q74+U74+Y74+AC74+AG74+AK74+AO74+AS74+AW74+BA74+BE74+BI74+BM74</f>
        <v/>
      </c>
      <c r="BQ74" s="220">
        <f>N74+R74+V74+Z74+AD74+AH74+AL74+AP74+AT74+AX74+BB74+BF74+BJ74+BN74</f>
        <v/>
      </c>
      <c r="BR74" s="220">
        <f>BP74-BQ74</f>
        <v/>
      </c>
      <c r="BS74" s="247" t="inlineStr">
        <is>
          <t>/</t>
        </is>
      </c>
      <c r="BT74" s="235" t="inlineStr">
        <is>
          <t>/</t>
        </is>
      </c>
      <c r="BU74" s="250" t="inlineStr">
        <is>
          <t>1、甲方管理费：校方按营业额比例13%收取，分组作业应分摊未分摊，已补分摊，服务费比例应做相应调整；</t>
        </is>
      </c>
      <c r="BV74" s="230" t="inlineStr">
        <is>
          <t>1、签订期间：2025.9.1-2026.8.31；
2、指标按照全年换算；</t>
        </is>
      </c>
      <c r="BW74" s="534" t="n"/>
    </row>
    <row r="75" ht="24" customFormat="1" customHeight="1" s="209">
      <c r="A75" s="219" t="n">
        <v>100</v>
      </c>
      <c r="B75" s="220" t="inlineStr">
        <is>
          <t>KQCY0100</t>
        </is>
      </c>
      <c r="C75" s="221" t="inlineStr">
        <is>
          <t>餐饮二分部</t>
        </is>
      </c>
      <c r="D75" s="221" t="inlineStr">
        <is>
          <t>CF363</t>
        </is>
      </c>
      <c r="E75" s="242" t="inlineStr">
        <is>
          <t>南通大学启东校区</t>
        </is>
      </c>
      <c r="F75" s="219" t="inlineStr">
        <is>
          <t>分组作业</t>
        </is>
      </c>
      <c r="G75" s="243" t="inlineStr">
        <is>
          <t>郑虎</t>
        </is>
      </c>
      <c r="H75" s="222" t="inlineStr">
        <is>
          <t>第六班组</t>
        </is>
      </c>
      <c r="I75" s="237" t="inlineStr">
        <is>
          <t>营养粥杂粮煎饼</t>
        </is>
      </c>
      <c r="J75" s="503" t="inlineStr">
        <is>
          <t>邵国才</t>
        </is>
      </c>
      <c r="K75" s="545">
        <f>LET(k,D75&amp;"|"&amp;E75&amp;"|"&amp;H75&amp;"|"&amp;I75&amp;"|"&amp;J75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75" s="546" t="n"/>
      <c r="M75" s="224" t="n"/>
      <c r="N75" s="565" t="n">
        <v>28</v>
      </c>
      <c r="O75" s="548" t="n">
        <v>720000</v>
      </c>
      <c r="P75" s="247" t="n">
        <v>0.23</v>
      </c>
      <c r="Q75" s="461">
        <f>K75*P75</f>
        <v/>
      </c>
      <c r="R75" s="565" t="n">
        <v>968.645</v>
      </c>
      <c r="S75" s="461">
        <f>Q75-R75</f>
        <v/>
      </c>
      <c r="T75" s="235" t="n">
        <v>0</v>
      </c>
      <c r="U75" s="461">
        <f>K75*T75</f>
        <v/>
      </c>
      <c r="V75" s="461" t="n"/>
      <c r="W75" s="461">
        <f>U75-V75</f>
        <v/>
      </c>
      <c r="X75" s="235" t="n">
        <v>0</v>
      </c>
      <c r="Y75" s="461">
        <f>K75*X75</f>
        <v/>
      </c>
      <c r="Z75" s="461" t="n"/>
      <c r="AA75" s="461">
        <f>Y75-Z75</f>
        <v/>
      </c>
      <c r="AB75" s="247" t="n">
        <v>0</v>
      </c>
      <c r="AC75" s="461">
        <f>K75*AB75</f>
        <v/>
      </c>
      <c r="AD75" s="461" t="n"/>
      <c r="AE75" s="461">
        <f>AC75-AD75</f>
        <v/>
      </c>
      <c r="AF75" s="247" t="n">
        <v>0</v>
      </c>
      <c r="AG75" s="461">
        <f>K75*AF75</f>
        <v/>
      </c>
      <c r="AH75" s="461" t="n"/>
      <c r="AI75" s="461">
        <f>AG75-AH75</f>
        <v/>
      </c>
      <c r="AJ75" s="247" t="inlineStr">
        <is>
          <t>按比例分摊</t>
        </is>
      </c>
      <c r="AK75" s="461">
        <f>AL75</f>
        <v/>
      </c>
      <c r="AL75" s="461" t="n"/>
      <c r="AM75" s="461">
        <f>AK75-AL75</f>
        <v/>
      </c>
      <c r="AN75" s="566" t="inlineStr">
        <is>
          <t>500/月，1、2、7、8月不收</t>
        </is>
      </c>
      <c r="AO75" s="565" t="n">
        <v>200</v>
      </c>
      <c r="AP75" s="565" t="n">
        <v>200</v>
      </c>
      <c r="AQ75" s="461">
        <f>AO75-AP75</f>
        <v/>
      </c>
      <c r="AR75" s="247" t="n">
        <v>0.03</v>
      </c>
      <c r="AS75" s="461">
        <f>K75*AR75</f>
        <v/>
      </c>
      <c r="AT75" s="565" t="n">
        <v>126.345</v>
      </c>
      <c r="AU75" s="461">
        <f>AS75-AT75</f>
        <v/>
      </c>
      <c r="AV75" s="247" t="n">
        <v>0.04</v>
      </c>
      <c r="AW75" s="461">
        <f>K75*AV75</f>
        <v/>
      </c>
      <c r="AX75" s="565" t="n">
        <v>168.46</v>
      </c>
      <c r="AY75" s="461">
        <f>AW75-AX75</f>
        <v/>
      </c>
      <c r="AZ75" s="235" t="inlineStr">
        <is>
          <t xml:space="preserve"> 按实</t>
        </is>
      </c>
      <c r="BA75" s="461">
        <f>BB75</f>
        <v/>
      </c>
      <c r="BB75" s="461" t="n"/>
      <c r="BC75" s="461">
        <f>BA75-BB75</f>
        <v/>
      </c>
      <c r="BD75" s="235" t="n">
        <v>0</v>
      </c>
      <c r="BE75" s="461">
        <f>K75*BD75</f>
        <v/>
      </c>
      <c r="BF75" s="235" t="n"/>
      <c r="BG75" s="461">
        <f>BE75-BF75</f>
        <v/>
      </c>
      <c r="BH75" s="235" t="n">
        <v>0</v>
      </c>
      <c r="BI75" s="461">
        <f>K75*BH75</f>
        <v/>
      </c>
      <c r="BJ75" s="235" t="n"/>
      <c r="BK75" s="461">
        <f>BI75-BJ75</f>
        <v/>
      </c>
      <c r="BL75" s="235" t="inlineStr">
        <is>
          <t xml:space="preserve"> 按实</t>
        </is>
      </c>
      <c r="BM75" s="565" t="n">
        <v>318.205801688822</v>
      </c>
      <c r="BN75" s="565" t="n">
        <v>318.205801688822</v>
      </c>
      <c r="BO75" s="220">
        <f>BM75-BN75</f>
        <v/>
      </c>
      <c r="BP75" s="220">
        <f>N75+Q75+U75+Y75+AC75+AG75+AK75+AO75+AS75+AW75+BA75+BE75+BI75+BM75</f>
        <v/>
      </c>
      <c r="BQ75" s="220">
        <f>N75+R75+V75+Z75+AD75+AH75+AL75+AP75+AT75+AX75+BB75+BF75+BJ75+BN75</f>
        <v/>
      </c>
      <c r="BR75" s="220">
        <f>BP75-BQ75</f>
        <v/>
      </c>
      <c r="BS75" s="247" t="inlineStr">
        <is>
          <t>/</t>
        </is>
      </c>
      <c r="BT75" s="235" t="inlineStr">
        <is>
          <t>/</t>
        </is>
      </c>
      <c r="BU75" s="250" t="inlineStr">
        <is>
          <t>1、甲方管理费：校方按营业额比例13%收取，分组作业应分摊未分摊，已补分摊，服务费比例应做相应调整；</t>
        </is>
      </c>
      <c r="BV75" s="230" t="inlineStr">
        <is>
          <t>1、签订期间：2025.9.1-2026.8.31；
2、指标按照全年换算；</t>
        </is>
      </c>
      <c r="BW75" s="534" t="n"/>
    </row>
    <row r="76" ht="24" customFormat="1" customHeight="1" s="209">
      <c r="A76" s="219" t="n">
        <v>101</v>
      </c>
      <c r="B76" s="220" t="inlineStr">
        <is>
          <t>KQCY0101</t>
        </is>
      </c>
      <c r="C76" s="221" t="inlineStr">
        <is>
          <t>餐饮二分部</t>
        </is>
      </c>
      <c r="D76" s="221" t="inlineStr">
        <is>
          <t>CF363</t>
        </is>
      </c>
      <c r="E76" s="242" t="inlineStr">
        <is>
          <t>南通大学启东校区</t>
        </is>
      </c>
      <c r="F76" s="219" t="inlineStr">
        <is>
          <t>分组作业</t>
        </is>
      </c>
      <c r="G76" s="243" t="inlineStr">
        <is>
          <t>郑虎</t>
        </is>
      </c>
      <c r="H76" s="222" t="inlineStr">
        <is>
          <t>第七班组</t>
        </is>
      </c>
      <c r="I76" s="237" t="inlineStr">
        <is>
          <t>面条馄饨</t>
        </is>
      </c>
      <c r="J76" s="503" t="inlineStr">
        <is>
          <t>邵国才</t>
        </is>
      </c>
      <c r="K76" s="545">
        <f>LET(k,D76&amp;"|"&amp;E76&amp;"|"&amp;H76&amp;"|"&amp;I76&amp;"|"&amp;J76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76" s="546" t="n"/>
      <c r="M76" s="224" t="n"/>
      <c r="N76" s="565" t="n">
        <v>1883.53</v>
      </c>
      <c r="O76" s="548" t="n">
        <v>1080000</v>
      </c>
      <c r="P76" s="247" t="n">
        <v>0.23</v>
      </c>
      <c r="Q76" s="461">
        <f>K76*P76</f>
        <v/>
      </c>
      <c r="R76" s="565" t="n">
        <v>8158.79</v>
      </c>
      <c r="S76" s="461">
        <f>Q76-R76</f>
        <v/>
      </c>
      <c r="T76" s="235" t="n">
        <v>0</v>
      </c>
      <c r="U76" s="461">
        <f>K76*T76</f>
        <v/>
      </c>
      <c r="V76" s="461" t="n"/>
      <c r="W76" s="461">
        <f>U76-V76</f>
        <v/>
      </c>
      <c r="X76" s="235" t="n">
        <v>0</v>
      </c>
      <c r="Y76" s="461">
        <f>K76*X76</f>
        <v/>
      </c>
      <c r="Z76" s="461" t="n"/>
      <c r="AA76" s="461">
        <f>Y76-Z76</f>
        <v/>
      </c>
      <c r="AB76" s="247" t="n">
        <v>0</v>
      </c>
      <c r="AC76" s="461">
        <f>K76*AB76</f>
        <v/>
      </c>
      <c r="AD76" s="461" t="n"/>
      <c r="AE76" s="461">
        <f>AC76-AD76</f>
        <v/>
      </c>
      <c r="AF76" s="247" t="n">
        <v>0</v>
      </c>
      <c r="AG76" s="461">
        <f>K76*AF76</f>
        <v/>
      </c>
      <c r="AH76" s="461" t="n"/>
      <c r="AI76" s="461">
        <f>AG76-AH76</f>
        <v/>
      </c>
      <c r="AJ76" s="247" t="inlineStr">
        <is>
          <t>按比例分摊</t>
        </is>
      </c>
      <c r="AK76" s="461">
        <f>AL76</f>
        <v/>
      </c>
      <c r="AL76" s="461" t="n"/>
      <c r="AM76" s="461">
        <f>AK76-AL76</f>
        <v/>
      </c>
      <c r="AN76" s="566" t="inlineStr">
        <is>
          <t>500/月，1、2、7、8月不收</t>
        </is>
      </c>
      <c r="AO76" s="565" t="n">
        <v>200</v>
      </c>
      <c r="AP76" s="565" t="n">
        <v>200</v>
      </c>
      <c r="AQ76" s="461">
        <f>AO76-AP76</f>
        <v/>
      </c>
      <c r="AR76" s="247" t="n">
        <v>0.03</v>
      </c>
      <c r="AS76" s="461">
        <f>K76*AR76</f>
        <v/>
      </c>
      <c r="AT76" s="565" t="n">
        <v>1064.19</v>
      </c>
      <c r="AU76" s="461">
        <f>AS76-AT76</f>
        <v/>
      </c>
      <c r="AV76" s="247" t="n">
        <v>0.04</v>
      </c>
      <c r="AW76" s="461">
        <f>K76*AV76</f>
        <v/>
      </c>
      <c r="AX76" s="565" t="n">
        <v>1418.92</v>
      </c>
      <c r="AY76" s="461">
        <f>AW76-AX76</f>
        <v/>
      </c>
      <c r="AZ76" s="235" t="inlineStr">
        <is>
          <t xml:space="preserve"> 按实</t>
        </is>
      </c>
      <c r="BA76" s="461">
        <f>BB76</f>
        <v/>
      </c>
      <c r="BB76" s="461" t="n"/>
      <c r="BC76" s="461">
        <f>BA76-BB76</f>
        <v/>
      </c>
      <c r="BD76" s="235" t="n">
        <v>0</v>
      </c>
      <c r="BE76" s="461">
        <f>K76*BD76</f>
        <v/>
      </c>
      <c r="BF76" s="235" t="n"/>
      <c r="BG76" s="461">
        <f>BE76-BF76</f>
        <v/>
      </c>
      <c r="BH76" s="235" t="n">
        <v>0</v>
      </c>
      <c r="BI76" s="461">
        <f>K76*BH76</f>
        <v/>
      </c>
      <c r="BJ76" s="235" t="n"/>
      <c r="BK76" s="461">
        <f>BI76-BJ76</f>
        <v/>
      </c>
      <c r="BL76" s="235" t="inlineStr">
        <is>
          <t xml:space="preserve"> 按实</t>
        </is>
      </c>
      <c r="BM76" s="565" t="n">
        <v>7396.06147294493</v>
      </c>
      <c r="BN76" s="565" t="n">
        <v>7396.06147294493</v>
      </c>
      <c r="BO76" s="220">
        <f>BM76-BN76</f>
        <v/>
      </c>
      <c r="BP76" s="220">
        <f>N76+Q76+U76+Y76+AC76+AG76+AK76+AO76+AS76+AW76+BA76+BE76+BI76+BM76</f>
        <v/>
      </c>
      <c r="BQ76" s="220">
        <f>N76+R76+V76+Z76+AD76+AH76+AL76+AP76+AT76+AX76+BB76+BF76+BJ76+BN76</f>
        <v/>
      </c>
      <c r="BR76" s="220">
        <f>BP76-BQ76</f>
        <v/>
      </c>
      <c r="BS76" s="247" t="inlineStr">
        <is>
          <t>/</t>
        </is>
      </c>
      <c r="BT76" s="235" t="inlineStr">
        <is>
          <t>/</t>
        </is>
      </c>
      <c r="BU76" s="250" t="inlineStr">
        <is>
          <t>1、甲方管理费：校方按营业额比例13%收取，分组作业应分摊未分摊，已补分摊，服务费比例应做相应调整；</t>
        </is>
      </c>
      <c r="BV76" s="230" t="inlineStr">
        <is>
          <t>1、签订期间：2025.9.1-2026.8.31；
2、指标按照全年换算；</t>
        </is>
      </c>
      <c r="BW76" s="534" t="n"/>
    </row>
    <row r="77" ht="24" customFormat="1" customHeight="1" s="209">
      <c r="A77" s="219" t="n">
        <v>102</v>
      </c>
      <c r="B77" s="220" t="inlineStr">
        <is>
          <t>KQCY0102</t>
        </is>
      </c>
      <c r="C77" s="221" t="inlineStr">
        <is>
          <t>餐饮二分部</t>
        </is>
      </c>
      <c r="D77" s="221" t="inlineStr">
        <is>
          <t>CF363</t>
        </is>
      </c>
      <c r="E77" s="242" t="inlineStr">
        <is>
          <t>南通大学启东校区</t>
        </is>
      </c>
      <c r="F77" s="219" t="inlineStr">
        <is>
          <t>分组作业</t>
        </is>
      </c>
      <c r="G77" s="243" t="inlineStr">
        <is>
          <t>郑虎</t>
        </is>
      </c>
      <c r="H77" s="222" t="inlineStr">
        <is>
          <t>第八班组</t>
        </is>
      </c>
      <c r="I77" s="237" t="inlineStr">
        <is>
          <t>米线汤包</t>
        </is>
      </c>
      <c r="J77" s="503" t="inlineStr">
        <is>
          <t>王友强</t>
        </is>
      </c>
      <c r="K77" s="545">
        <f>LET(k,D77&amp;"|"&amp;E77&amp;"|"&amp;H77&amp;"|"&amp;I77&amp;"|"&amp;J77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77" s="546" t="n"/>
      <c r="M77" s="224" t="n"/>
      <c r="N77" s="565" t="n">
        <v>1840.53</v>
      </c>
      <c r="O77" s="548" t="n">
        <v>880000</v>
      </c>
      <c r="P77" s="247" t="n">
        <v>0.23</v>
      </c>
      <c r="Q77" s="461">
        <f>K77*P77</f>
        <v/>
      </c>
      <c r="R77" s="565" t="n">
        <v>4684.709</v>
      </c>
      <c r="S77" s="461">
        <f>Q77-R77</f>
        <v/>
      </c>
      <c r="T77" s="235" t="n">
        <v>0</v>
      </c>
      <c r="U77" s="461">
        <f>K77*T77</f>
        <v/>
      </c>
      <c r="V77" s="461" t="n"/>
      <c r="W77" s="461">
        <f>U77-V77</f>
        <v/>
      </c>
      <c r="X77" s="235" t="n">
        <v>0</v>
      </c>
      <c r="Y77" s="461">
        <f>K77*X77</f>
        <v/>
      </c>
      <c r="Z77" s="461" t="n"/>
      <c r="AA77" s="461">
        <f>Y77-Z77</f>
        <v/>
      </c>
      <c r="AB77" s="247" t="n">
        <v>0</v>
      </c>
      <c r="AC77" s="461">
        <f>K77*AB77</f>
        <v/>
      </c>
      <c r="AD77" s="461" t="n"/>
      <c r="AE77" s="461">
        <f>AC77-AD77</f>
        <v/>
      </c>
      <c r="AF77" s="247" t="n">
        <v>0</v>
      </c>
      <c r="AG77" s="461">
        <f>K77*AF77</f>
        <v/>
      </c>
      <c r="AH77" s="461" t="n"/>
      <c r="AI77" s="461">
        <f>AG77-AH77</f>
        <v/>
      </c>
      <c r="AJ77" s="247" t="inlineStr">
        <is>
          <t>按比例分摊</t>
        </is>
      </c>
      <c r="AK77" s="461">
        <f>AL77</f>
        <v/>
      </c>
      <c r="AL77" s="461" t="n"/>
      <c r="AM77" s="461">
        <f>AK77-AL77</f>
        <v/>
      </c>
      <c r="AN77" s="566" t="inlineStr">
        <is>
          <t>500/月，1、2、7、8月不收</t>
        </is>
      </c>
      <c r="AO77" s="565" t="n">
        <v>200</v>
      </c>
      <c r="AP77" s="565" t="n">
        <v>200</v>
      </c>
      <c r="AQ77" s="461">
        <f>AO77-AP77</f>
        <v/>
      </c>
      <c r="AR77" s="247" t="n">
        <v>0.03</v>
      </c>
      <c r="AS77" s="461">
        <f>K77*AR77</f>
        <v/>
      </c>
      <c r="AT77" s="565" t="n">
        <v>611.049</v>
      </c>
      <c r="AU77" s="461">
        <f>AS77-AT77</f>
        <v/>
      </c>
      <c r="AV77" s="247" t="n">
        <v>0.04</v>
      </c>
      <c r="AW77" s="461">
        <f>K77*AV77</f>
        <v/>
      </c>
      <c r="AX77" s="565" t="n">
        <v>814.732</v>
      </c>
      <c r="AY77" s="461">
        <f>AW77-AX77</f>
        <v/>
      </c>
      <c r="AZ77" s="235" t="inlineStr">
        <is>
          <t xml:space="preserve"> 按实</t>
        </is>
      </c>
      <c r="BA77" s="461">
        <f>BB77</f>
        <v/>
      </c>
      <c r="BB77" s="461" t="n"/>
      <c r="BC77" s="461">
        <f>BA77-BB77</f>
        <v/>
      </c>
      <c r="BD77" s="235" t="n">
        <v>0</v>
      </c>
      <c r="BE77" s="461">
        <f>K77*BD77</f>
        <v/>
      </c>
      <c r="BF77" s="235" t="n"/>
      <c r="BG77" s="461">
        <f>BE77-BF77</f>
        <v/>
      </c>
      <c r="BH77" s="235" t="n">
        <v>0</v>
      </c>
      <c r="BI77" s="461">
        <f>K77*BH77</f>
        <v/>
      </c>
      <c r="BJ77" s="235" t="n"/>
      <c r="BK77" s="461">
        <f>BI77-BJ77</f>
        <v/>
      </c>
      <c r="BL77" s="235" t="inlineStr">
        <is>
          <t xml:space="preserve"> 按实</t>
        </is>
      </c>
      <c r="BM77" s="565" t="n">
        <v>4937.76019150859</v>
      </c>
      <c r="BN77" s="565" t="n">
        <v>4937.76019150859</v>
      </c>
      <c r="BO77" s="220">
        <f>BM77-BN77</f>
        <v/>
      </c>
      <c r="BP77" s="220">
        <f>N77+Q77+U77+Y77+AC77+AG77+AK77+AO77+AS77+AW77+BA77+BE77+BI77+BM77</f>
        <v/>
      </c>
      <c r="BQ77" s="220">
        <f>N77+R77+V77+Z77+AD77+AH77+AL77+AP77+AT77+AX77+BB77+BF77+BJ77+BN77</f>
        <v/>
      </c>
      <c r="BR77" s="220">
        <f>BP77-BQ77</f>
        <v/>
      </c>
      <c r="BS77" s="247" t="inlineStr">
        <is>
          <t>/</t>
        </is>
      </c>
      <c r="BT77" s="235" t="inlineStr">
        <is>
          <t>/</t>
        </is>
      </c>
      <c r="BU77" s="250" t="inlineStr">
        <is>
          <t>1、甲方管理费：校方按营业额比例13%收取，分组作业应分摊未分摊，已补分摊，服务费比例应做相应调整；</t>
        </is>
      </c>
      <c r="BV77" s="230" t="inlineStr">
        <is>
          <t>1、签订期间：2025.9.1-2026.8.31；
2、指标按照全年换算；</t>
        </is>
      </c>
      <c r="BW77" s="534" t="n"/>
    </row>
    <row r="78" ht="24" customFormat="1" customHeight="1" s="209">
      <c r="A78" s="219" t="n">
        <v>103</v>
      </c>
      <c r="B78" s="220" t="inlineStr">
        <is>
          <t>KQCY0103</t>
        </is>
      </c>
      <c r="C78" s="221" t="inlineStr">
        <is>
          <t>餐饮二分部</t>
        </is>
      </c>
      <c r="D78" s="221" t="inlineStr">
        <is>
          <t>CF363</t>
        </is>
      </c>
      <c r="E78" s="242" t="inlineStr">
        <is>
          <t>南通大学启东校区</t>
        </is>
      </c>
      <c r="F78" s="219" t="inlineStr">
        <is>
          <t>分组作业</t>
        </is>
      </c>
      <c r="G78" s="243" t="inlineStr">
        <is>
          <t>郑虎</t>
        </is>
      </c>
      <c r="H78" s="222" t="inlineStr">
        <is>
          <t>第九班组</t>
        </is>
      </c>
      <c r="I78" s="237" t="inlineStr">
        <is>
          <t>香锅焖面</t>
        </is>
      </c>
      <c r="J78" s="503" t="inlineStr">
        <is>
          <t>王正明</t>
        </is>
      </c>
      <c r="K78" s="545">
        <f>LET(k,D78&amp;"|"&amp;E78&amp;"|"&amp;H78&amp;"|"&amp;I78&amp;"|"&amp;J78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78" s="546" t="n"/>
      <c r="M78" s="224" t="n"/>
      <c r="N78" s="565" t="n">
        <v>2290.53</v>
      </c>
      <c r="O78" s="548" t="n">
        <v>880000</v>
      </c>
      <c r="P78" s="247" t="n">
        <v>0.23</v>
      </c>
      <c r="Q78" s="461">
        <f>K78*P78</f>
        <v/>
      </c>
      <c r="R78" s="565" t="n">
        <v>1285.24</v>
      </c>
      <c r="S78" s="461">
        <f>Q78-R78</f>
        <v/>
      </c>
      <c r="T78" s="235" t="n">
        <v>0</v>
      </c>
      <c r="U78" s="461">
        <f>K78*T78</f>
        <v/>
      </c>
      <c r="V78" s="461" t="n"/>
      <c r="W78" s="461">
        <f>U78-V78</f>
        <v/>
      </c>
      <c r="X78" s="235" t="n">
        <v>0</v>
      </c>
      <c r="Y78" s="461">
        <f>K78*X78</f>
        <v/>
      </c>
      <c r="Z78" s="461" t="n"/>
      <c r="AA78" s="461">
        <f>Y78-Z78</f>
        <v/>
      </c>
      <c r="AB78" s="247" t="n">
        <v>0</v>
      </c>
      <c r="AC78" s="461">
        <f>K78*AB78</f>
        <v/>
      </c>
      <c r="AD78" s="461" t="n"/>
      <c r="AE78" s="461">
        <f>AC78-AD78</f>
        <v/>
      </c>
      <c r="AF78" s="247" t="n">
        <v>0</v>
      </c>
      <c r="AG78" s="461">
        <f>K78*AF78</f>
        <v/>
      </c>
      <c r="AH78" s="461" t="n"/>
      <c r="AI78" s="461">
        <f>AG78-AH78</f>
        <v/>
      </c>
      <c r="AJ78" s="247" t="inlineStr">
        <is>
          <t>按比例分摊</t>
        </is>
      </c>
      <c r="AK78" s="461">
        <f>AL78</f>
        <v/>
      </c>
      <c r="AL78" s="461" t="n"/>
      <c r="AM78" s="461">
        <f>AK78-AL78</f>
        <v/>
      </c>
      <c r="AN78" s="566" t="inlineStr">
        <is>
          <t>500/月，1、2、7、8月不收</t>
        </is>
      </c>
      <c r="AO78" s="565" t="n">
        <v>200</v>
      </c>
      <c r="AP78" s="565" t="n">
        <v>200</v>
      </c>
      <c r="AQ78" s="461">
        <f>AO78-AP78</f>
        <v/>
      </c>
      <c r="AR78" s="247" t="n">
        <v>0.03</v>
      </c>
      <c r="AS78" s="461">
        <f>K78*AR78</f>
        <v/>
      </c>
      <c r="AT78" s="565" t="n">
        <v>167.64</v>
      </c>
      <c r="AU78" s="461">
        <f>AS78-AT78</f>
        <v/>
      </c>
      <c r="AV78" s="247" t="n">
        <v>0.04</v>
      </c>
      <c r="AW78" s="461">
        <f>K78*AV78</f>
        <v/>
      </c>
      <c r="AX78" s="565" t="n">
        <v>223.52</v>
      </c>
      <c r="AY78" s="461">
        <f>AW78-AX78</f>
        <v/>
      </c>
      <c r="AZ78" s="235" t="inlineStr">
        <is>
          <t xml:space="preserve"> 按实</t>
        </is>
      </c>
      <c r="BA78" s="461">
        <f>BB78</f>
        <v/>
      </c>
      <c r="BB78" s="461" t="n"/>
      <c r="BC78" s="461">
        <f>BA78-BB78</f>
        <v/>
      </c>
      <c r="BD78" s="235" t="n">
        <v>0</v>
      </c>
      <c r="BE78" s="461">
        <f>K78*BD78</f>
        <v/>
      </c>
      <c r="BF78" s="235" t="n"/>
      <c r="BG78" s="461">
        <f>BE78-BF78</f>
        <v/>
      </c>
      <c r="BH78" s="235" t="n">
        <v>0</v>
      </c>
      <c r="BI78" s="461">
        <f>K78*BH78</f>
        <v/>
      </c>
      <c r="BJ78" s="235" t="n"/>
      <c r="BK78" s="461">
        <f>BI78-BJ78</f>
        <v/>
      </c>
      <c r="BL78" s="235" t="inlineStr">
        <is>
          <t xml:space="preserve"> 按实</t>
        </is>
      </c>
      <c r="BM78" s="565" t="n">
        <v>696.771371206729</v>
      </c>
      <c r="BN78" s="565" t="n">
        <v>696.771371206729</v>
      </c>
      <c r="BO78" s="220">
        <f>BM78-BN78</f>
        <v/>
      </c>
      <c r="BP78" s="220">
        <f>N78+Q78+U78+Y78+AC78+AG78+AK78+AO78+AS78+AW78+BA78+BE78+BI78+BM78</f>
        <v/>
      </c>
      <c r="BQ78" s="220">
        <f>N78+R78+V78+Z78+AD78+AH78+AL78+AP78+AT78+AX78+BB78+BF78+BJ78+BN78</f>
        <v/>
      </c>
      <c r="BR78" s="220">
        <f>BP78-BQ78</f>
        <v/>
      </c>
      <c r="BS78" s="247" t="inlineStr">
        <is>
          <t>/</t>
        </is>
      </c>
      <c r="BT78" s="235" t="inlineStr">
        <is>
          <t>/</t>
        </is>
      </c>
      <c r="BU78" s="250" t="inlineStr">
        <is>
          <t>1、甲方管理费：校方按营业额比例13%收取，分组作业应分摊未分摊，已补分摊，服务费比例应做相应调整；</t>
        </is>
      </c>
      <c r="BV78" s="230" t="inlineStr">
        <is>
          <t>1、签订期间：2025.9.1-2026.8.31；
2、指标按照全年换算；</t>
        </is>
      </c>
      <c r="BW78" s="534" t="n"/>
    </row>
    <row r="79" ht="36" customFormat="1" customHeight="1" s="209">
      <c r="A79" s="219" t="n">
        <v>104</v>
      </c>
      <c r="B79" s="220" t="inlineStr">
        <is>
          <t>KQCY0104</t>
        </is>
      </c>
      <c r="C79" s="221" t="inlineStr">
        <is>
          <t>餐饮二分部</t>
        </is>
      </c>
      <c r="D79" s="221" t="inlineStr">
        <is>
          <t>CF363</t>
        </is>
      </c>
      <c r="E79" s="242" t="inlineStr">
        <is>
          <t>南通大学启东校区</t>
        </is>
      </c>
      <c r="F79" s="219" t="inlineStr">
        <is>
          <t>分组作业</t>
        </is>
      </c>
      <c r="G79" s="243" t="inlineStr">
        <is>
          <t>郑虎</t>
        </is>
      </c>
      <c r="H79" s="222" t="inlineStr">
        <is>
          <t>第十班组</t>
        </is>
      </c>
      <c r="I79" s="237" t="inlineStr">
        <is>
          <t>猪肚鸡瓦罐汤套餐</t>
        </is>
      </c>
      <c r="J79" s="503" t="inlineStr">
        <is>
          <t>翟林璐</t>
        </is>
      </c>
      <c r="K79" s="545">
        <f>LET(k,D79&amp;"|"&amp;E79&amp;"|"&amp;H79&amp;"|"&amp;I79&amp;"|"&amp;J79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79" s="546" t="n"/>
      <c r="M79" s="224" t="n"/>
      <c r="N79" s="565" t="n">
        <v>2318.53</v>
      </c>
      <c r="O79" s="548" t="n">
        <v>1520000</v>
      </c>
      <c r="P79" s="247" t="n">
        <v>0.21</v>
      </c>
      <c r="Q79" s="461">
        <f>K79*P79</f>
        <v/>
      </c>
      <c r="R79" s="565" t="n">
        <v>7328.307</v>
      </c>
      <c r="S79" s="461">
        <f>Q79-R79</f>
        <v/>
      </c>
      <c r="T79" s="235" t="n">
        <v>0</v>
      </c>
      <c r="U79" s="461">
        <f>K79*T79</f>
        <v/>
      </c>
      <c r="V79" s="461" t="n"/>
      <c r="W79" s="461">
        <f>U79-V79</f>
        <v/>
      </c>
      <c r="X79" s="235" t="n">
        <v>0</v>
      </c>
      <c r="Y79" s="461">
        <f>K79*X79</f>
        <v/>
      </c>
      <c r="Z79" s="461" t="n"/>
      <c r="AA79" s="461">
        <f>Y79-Z79</f>
        <v/>
      </c>
      <c r="AB79" s="247" t="n">
        <v>0</v>
      </c>
      <c r="AC79" s="461">
        <f>K79*AB79</f>
        <v/>
      </c>
      <c r="AD79" s="461" t="n"/>
      <c r="AE79" s="461">
        <f>AC79-AD79</f>
        <v/>
      </c>
      <c r="AF79" s="247" t="n">
        <v>0</v>
      </c>
      <c r="AG79" s="461">
        <f>K79*AF79</f>
        <v/>
      </c>
      <c r="AH79" s="461" t="n"/>
      <c r="AI79" s="461">
        <f>AG79-AH79</f>
        <v/>
      </c>
      <c r="AJ79" s="247" t="inlineStr">
        <is>
          <t>按比例分摊</t>
        </is>
      </c>
      <c r="AK79" s="461">
        <f>AL79</f>
        <v/>
      </c>
      <c r="AL79" s="461" t="n"/>
      <c r="AM79" s="461">
        <f>AK79-AL79</f>
        <v/>
      </c>
      <c r="AN79" s="566" t="inlineStr">
        <is>
          <t>500/月，1、2、7、8月不收</t>
        </is>
      </c>
      <c r="AO79" s="565" t="n">
        <v>200</v>
      </c>
      <c r="AP79" s="565" t="n">
        <v>200</v>
      </c>
      <c r="AQ79" s="461">
        <f>AO79-AP79</f>
        <v/>
      </c>
      <c r="AR79" s="247" t="n">
        <v>0.03</v>
      </c>
      <c r="AS79" s="461">
        <f>K79*AR79</f>
        <v/>
      </c>
      <c r="AT79" s="565" t="n">
        <v>1046.901</v>
      </c>
      <c r="AU79" s="461">
        <f>AS79-AT79</f>
        <v/>
      </c>
      <c r="AV79" s="247" t="n">
        <v>0.04</v>
      </c>
      <c r="AW79" s="461">
        <f>K79*AV79</f>
        <v/>
      </c>
      <c r="AX79" s="565" t="n">
        <v>1395.868</v>
      </c>
      <c r="AY79" s="461">
        <f>AW79-AX79</f>
        <v/>
      </c>
      <c r="AZ79" s="235" t="inlineStr">
        <is>
          <t xml:space="preserve"> 按实</t>
        </is>
      </c>
      <c r="BA79" s="461">
        <f>BB79</f>
        <v/>
      </c>
      <c r="BB79" s="461" t="n"/>
      <c r="BC79" s="461">
        <f>BA79-BB79</f>
        <v/>
      </c>
      <c r="BD79" s="235" t="n">
        <v>0</v>
      </c>
      <c r="BE79" s="461">
        <f>K79*BD79</f>
        <v/>
      </c>
      <c r="BF79" s="235" t="n"/>
      <c r="BG79" s="461">
        <f>BE79-BF79</f>
        <v/>
      </c>
      <c r="BH79" s="235" t="n">
        <v>0</v>
      </c>
      <c r="BI79" s="461">
        <f>K79*BH79</f>
        <v/>
      </c>
      <c r="BJ79" s="235" t="n"/>
      <c r="BK79" s="461">
        <f>BI79-BJ79</f>
        <v/>
      </c>
      <c r="BL79" s="235" t="inlineStr">
        <is>
          <t xml:space="preserve"> 按实</t>
        </is>
      </c>
      <c r="BM79" s="565" t="n">
        <v>10798.7753220454</v>
      </c>
      <c r="BN79" s="565" t="n">
        <v>10798.7753220454</v>
      </c>
      <c r="BO79" s="220">
        <f>BM79-BN79</f>
        <v/>
      </c>
      <c r="BP79" s="220">
        <f>N79+Q79+U79+Y79+AC79+AG79+AK79+AO79+AS79+AW79+BA79+BE79+BI79+BM79</f>
        <v/>
      </c>
      <c r="BQ79" s="220">
        <f>N79+R79+V79+Z79+AD79+AH79+AL79+AP79+AT79+AX79+BB79+BF79+BJ79+BN79</f>
        <v/>
      </c>
      <c r="BR79" s="220">
        <f>BP79-BQ79</f>
        <v/>
      </c>
      <c r="BS79" s="247" t="inlineStr">
        <is>
          <t>/</t>
        </is>
      </c>
      <c r="BT79" s="235" t="inlineStr">
        <is>
          <t>/</t>
        </is>
      </c>
      <c r="BU79" s="250" t="inlineStr">
        <is>
          <t>1、甲方管理费：校方按营业额比例13%收取，分组作业应分摊未分摊，已补分摊，服务费比例应做相应调整；</t>
        </is>
      </c>
      <c r="BV79" s="230" t="inlineStr">
        <is>
          <t xml:space="preserve">1、签订期间：2025.9.1-2026.8.31；
2、指标按照全年换算；
</t>
        </is>
      </c>
      <c r="BW79" s="534" t="n"/>
    </row>
    <row r="80" ht="36" customFormat="1" customHeight="1" s="209">
      <c r="A80" s="219" t="n">
        <v>105</v>
      </c>
      <c r="B80" s="220" t="inlineStr">
        <is>
          <t>KQCY0105</t>
        </is>
      </c>
      <c r="C80" s="221" t="inlineStr">
        <is>
          <t>餐饮二分部</t>
        </is>
      </c>
      <c r="D80" s="221" t="inlineStr">
        <is>
          <t>CF363</t>
        </is>
      </c>
      <c r="E80" s="242" t="inlineStr">
        <is>
          <t>南通大学启东校区</t>
        </is>
      </c>
      <c r="F80" s="219" t="inlineStr">
        <is>
          <t>分组作业</t>
        </is>
      </c>
      <c r="G80" s="243" t="inlineStr">
        <is>
          <t>郑虎</t>
        </is>
      </c>
      <c r="H80" s="222" t="inlineStr">
        <is>
          <t>第十一班组</t>
        </is>
      </c>
      <c r="I80" s="237" t="inlineStr">
        <is>
          <t>汉堡小锅现炒</t>
        </is>
      </c>
      <c r="J80" s="503" t="inlineStr">
        <is>
          <t>韩荣荣</t>
        </is>
      </c>
      <c r="K80" s="545">
        <f>LET(k,D80&amp;"|"&amp;E80&amp;"|"&amp;H80&amp;"|"&amp;I80&amp;"|"&amp;J80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80" s="546" t="n"/>
      <c r="M80" s="224" t="n"/>
      <c r="N80" s="565" t="n">
        <v>3625.06</v>
      </c>
      <c r="O80" s="548" t="n">
        <v>1080000</v>
      </c>
      <c r="P80" s="247" t="n">
        <v>0.22</v>
      </c>
      <c r="Q80" s="461">
        <f>K80*P80</f>
        <v/>
      </c>
      <c r="R80" s="565" t="n">
        <v>9648.705</v>
      </c>
      <c r="S80" s="461">
        <f>Q80-R80</f>
        <v/>
      </c>
      <c r="T80" s="235" t="n">
        <v>0</v>
      </c>
      <c r="U80" s="461">
        <f>K80*T80</f>
        <v/>
      </c>
      <c r="V80" s="461" t="n"/>
      <c r="W80" s="461">
        <f>U80-V80</f>
        <v/>
      </c>
      <c r="X80" s="235" t="n">
        <v>0</v>
      </c>
      <c r="Y80" s="461">
        <f>K80*X80</f>
        <v/>
      </c>
      <c r="Z80" s="461" t="n"/>
      <c r="AA80" s="461">
        <f>Y80-Z80</f>
        <v/>
      </c>
      <c r="AB80" s="247" t="n">
        <v>0</v>
      </c>
      <c r="AC80" s="461">
        <f>K80*AB80</f>
        <v/>
      </c>
      <c r="AD80" s="461" t="n"/>
      <c r="AE80" s="461">
        <f>AC80-AD80</f>
        <v/>
      </c>
      <c r="AF80" s="247" t="n">
        <v>0</v>
      </c>
      <c r="AG80" s="461">
        <f>K80*AF80</f>
        <v/>
      </c>
      <c r="AH80" s="461" t="n"/>
      <c r="AI80" s="461">
        <f>AG80-AH80</f>
        <v/>
      </c>
      <c r="AJ80" s="247" t="inlineStr">
        <is>
          <t>按比例分摊</t>
        </is>
      </c>
      <c r="AK80" s="461">
        <f>AL80</f>
        <v/>
      </c>
      <c r="AL80" s="461" t="n"/>
      <c r="AM80" s="461">
        <f>AK80-AL80</f>
        <v/>
      </c>
      <c r="AN80" s="566" t="inlineStr">
        <is>
          <t>500/月，1、2、7、8月不收</t>
        </is>
      </c>
      <c r="AO80" s="565" t="n">
        <v>200</v>
      </c>
      <c r="AP80" s="565" t="n">
        <v>200</v>
      </c>
      <c r="AQ80" s="461">
        <f>AO80-AP80</f>
        <v/>
      </c>
      <c r="AR80" s="247" t="n">
        <v>0.03</v>
      </c>
      <c r="AS80" s="461">
        <f>K80*AR80</f>
        <v/>
      </c>
      <c r="AT80" s="565" t="n">
        <v>1315.7325</v>
      </c>
      <c r="AU80" s="461">
        <f>AS80-AT80</f>
        <v/>
      </c>
      <c r="AV80" s="247" t="n">
        <v>0.04</v>
      </c>
      <c r="AW80" s="461">
        <f>K80*AV80</f>
        <v/>
      </c>
      <c r="AX80" s="565" t="n">
        <v>1754.31</v>
      </c>
      <c r="AY80" s="461">
        <f>AW80-AX80</f>
        <v/>
      </c>
      <c r="AZ80" s="235" t="inlineStr">
        <is>
          <t xml:space="preserve"> 按实</t>
        </is>
      </c>
      <c r="BA80" s="461">
        <f>BB80</f>
        <v/>
      </c>
      <c r="BB80" s="461" t="n"/>
      <c r="BC80" s="461">
        <f>BA80-BB80</f>
        <v/>
      </c>
      <c r="BD80" s="235" t="n">
        <v>0</v>
      </c>
      <c r="BE80" s="461">
        <f>K80*BD80</f>
        <v/>
      </c>
      <c r="BF80" s="235" t="n"/>
      <c r="BG80" s="461">
        <f>BE80-BF80</f>
        <v/>
      </c>
      <c r="BH80" s="235" t="n">
        <v>0</v>
      </c>
      <c r="BI80" s="461">
        <f>K80*BH80</f>
        <v/>
      </c>
      <c r="BJ80" s="235" t="n"/>
      <c r="BK80" s="461">
        <f>BI80-BJ80</f>
        <v/>
      </c>
      <c r="BL80" s="235" t="inlineStr">
        <is>
          <t xml:space="preserve"> 按实</t>
        </is>
      </c>
      <c r="BM80" s="565" t="n">
        <v>6200.85157684527</v>
      </c>
      <c r="BN80" s="565" t="n">
        <v>6200.85157684527</v>
      </c>
      <c r="BO80" s="220">
        <f>BM80-BN80</f>
        <v/>
      </c>
      <c r="BP80" s="220">
        <f>N80+Q80+U80+Y80+AC80+AG80+AK80+AO80+AS80+AW80+BA80+BE80+BI80+BM80</f>
        <v/>
      </c>
      <c r="BQ80" s="220">
        <f>N80+R80+V80+Z80+AD80+AH80+AL80+AP80+AT80+AX80+BB80+BF80+BJ80+BN80</f>
        <v/>
      </c>
      <c r="BR80" s="220">
        <f>BP80-BQ80</f>
        <v/>
      </c>
      <c r="BS80" s="247" t="inlineStr">
        <is>
          <t>/</t>
        </is>
      </c>
      <c r="BT80" s="235" t="inlineStr">
        <is>
          <t>/</t>
        </is>
      </c>
      <c r="BU80" s="250" t="inlineStr">
        <is>
          <t>1、甲方管理费：校方按营业额比例13%收取，分组作业应分摊未分摊，已补分摊，服务费比例应做相应调整；</t>
        </is>
      </c>
      <c r="BV80" s="230" t="inlineStr">
        <is>
          <t xml:space="preserve">1、签订期间：2025.9.1-2026.8.31；
2、指标按照全年换算；
</t>
        </is>
      </c>
      <c r="BW80" s="534" t="n"/>
    </row>
    <row r="81" ht="36" customFormat="1" customHeight="1" s="209">
      <c r="A81" s="219" t="n">
        <v>106</v>
      </c>
      <c r="B81" s="220" t="inlineStr">
        <is>
          <t>KQCY0106</t>
        </is>
      </c>
      <c r="C81" s="221" t="inlineStr">
        <is>
          <t>餐饮二分部</t>
        </is>
      </c>
      <c r="D81" s="221" t="inlineStr">
        <is>
          <t>CF363</t>
        </is>
      </c>
      <c r="E81" s="242" t="inlineStr">
        <is>
          <t>南通大学启东校区</t>
        </is>
      </c>
      <c r="F81" s="219" t="inlineStr">
        <is>
          <t>分组作业</t>
        </is>
      </c>
      <c r="G81" s="243" t="inlineStr">
        <is>
          <t>郑虎</t>
        </is>
      </c>
      <c r="H81" s="222" t="inlineStr">
        <is>
          <t>第十二班组</t>
        </is>
      </c>
      <c r="I81" s="237" t="inlineStr">
        <is>
          <t>铁板炒饭</t>
        </is>
      </c>
      <c r="J81" s="503" t="inlineStr">
        <is>
          <t>王志河</t>
        </is>
      </c>
      <c r="K81" s="545">
        <f>LET(k,D81&amp;"|"&amp;E81&amp;"|"&amp;H81&amp;"|"&amp;I81&amp;"|"&amp;J81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81" s="546" t="n"/>
      <c r="M81" s="224" t="n"/>
      <c r="N81" s="565" t="n">
        <v>4075.06</v>
      </c>
      <c r="O81" s="548" t="n">
        <v>880000</v>
      </c>
      <c r="P81" s="247" t="n">
        <v>0.23</v>
      </c>
      <c r="Q81" s="461">
        <f>K81*P81</f>
        <v/>
      </c>
      <c r="R81" s="565" t="n">
        <v>5904.79</v>
      </c>
      <c r="S81" s="461">
        <f>Q81-R81</f>
        <v/>
      </c>
      <c r="T81" s="235" t="n">
        <v>0</v>
      </c>
      <c r="U81" s="461">
        <f>K81*T81</f>
        <v/>
      </c>
      <c r="V81" s="461" t="n"/>
      <c r="W81" s="461">
        <f>U81-V81</f>
        <v/>
      </c>
      <c r="X81" s="235" t="n">
        <v>0</v>
      </c>
      <c r="Y81" s="461">
        <f>K81*X81</f>
        <v/>
      </c>
      <c r="Z81" s="461" t="n"/>
      <c r="AA81" s="461">
        <f>Y81-Z81</f>
        <v/>
      </c>
      <c r="AB81" s="247" t="n">
        <v>0</v>
      </c>
      <c r="AC81" s="461">
        <f>K81*AB81</f>
        <v/>
      </c>
      <c r="AD81" s="461" t="n"/>
      <c r="AE81" s="461">
        <f>AC81-AD81</f>
        <v/>
      </c>
      <c r="AF81" s="247" t="n">
        <v>0</v>
      </c>
      <c r="AG81" s="461">
        <f>K81*AF81</f>
        <v/>
      </c>
      <c r="AH81" s="461" t="n"/>
      <c r="AI81" s="461">
        <f>AG81-AH81</f>
        <v/>
      </c>
      <c r="AJ81" s="247" t="inlineStr">
        <is>
          <t>按比例分摊</t>
        </is>
      </c>
      <c r="AK81" s="461">
        <f>AL81</f>
        <v/>
      </c>
      <c r="AL81" s="461" t="n"/>
      <c r="AM81" s="461">
        <f>AK81-AL81</f>
        <v/>
      </c>
      <c r="AN81" s="566" t="inlineStr">
        <is>
          <t>500/月，1、2、7、8月不收</t>
        </is>
      </c>
      <c r="AO81" s="565" t="n">
        <v>200</v>
      </c>
      <c r="AP81" s="565" t="n">
        <v>200</v>
      </c>
      <c r="AQ81" s="461">
        <f>AO81-AP81</f>
        <v/>
      </c>
      <c r="AR81" s="247" t="n">
        <v>0.03</v>
      </c>
      <c r="AS81" s="461">
        <f>K81*AR81</f>
        <v/>
      </c>
      <c r="AT81" s="565" t="n">
        <v>770.1900000000001</v>
      </c>
      <c r="AU81" s="461">
        <f>AS81-AT81</f>
        <v/>
      </c>
      <c r="AV81" s="247" t="n">
        <v>0.04</v>
      </c>
      <c r="AW81" s="461">
        <f>K81*AV81</f>
        <v/>
      </c>
      <c r="AX81" s="565" t="n">
        <v>1026.92</v>
      </c>
      <c r="AY81" s="461">
        <f>AW81-AX81</f>
        <v/>
      </c>
      <c r="AZ81" s="235" t="inlineStr">
        <is>
          <t xml:space="preserve"> 按实</t>
        </is>
      </c>
      <c r="BA81" s="461">
        <f>BB81</f>
        <v/>
      </c>
      <c r="BB81" s="461" t="n">
        <v>500</v>
      </c>
      <c r="BC81" s="461">
        <f>BA81-BB81</f>
        <v/>
      </c>
      <c r="BD81" s="235" t="n">
        <v>0</v>
      </c>
      <c r="BE81" s="461">
        <f>K81*BD81</f>
        <v/>
      </c>
      <c r="BF81" s="235" t="n"/>
      <c r="BG81" s="461">
        <f>BE81-BF81</f>
        <v/>
      </c>
      <c r="BH81" s="235" t="n">
        <v>0</v>
      </c>
      <c r="BI81" s="461">
        <f>K81*BH81</f>
        <v/>
      </c>
      <c r="BJ81" s="235" t="n"/>
      <c r="BK81" s="461">
        <f>BI81-BJ81</f>
        <v/>
      </c>
      <c r="BL81" s="235" t="inlineStr">
        <is>
          <t xml:space="preserve"> 按实</t>
        </is>
      </c>
      <c r="BM81" s="565" t="n">
        <v>7310.72375679856</v>
      </c>
      <c r="BN81" s="565" t="n">
        <v>7310.72375679856</v>
      </c>
      <c r="BO81" s="220">
        <f>BM81-BN81</f>
        <v/>
      </c>
      <c r="BP81" s="220">
        <f>N81+Q81+U81+Y81+AC81+AG81+AK81+AO81+AS81+AW81+BA81+BE81+BI81+BM81</f>
        <v/>
      </c>
      <c r="BQ81" s="220">
        <f>N81+R81+V81+Z81+AD81+AH81+AL81+AP81+AT81+AX81+BB81+BF81+BJ81+BN81</f>
        <v/>
      </c>
      <c r="BR81" s="220">
        <f>BP81-BQ81</f>
        <v/>
      </c>
      <c r="BS81" s="247" t="inlineStr">
        <is>
          <t>/</t>
        </is>
      </c>
      <c r="BT81" s="235" t="inlineStr">
        <is>
          <t>/</t>
        </is>
      </c>
      <c r="BU81" s="250" t="inlineStr">
        <is>
          <t>1、甲方管理费：校方按营业额比例13%收取，分组作业应分摊未分摊，已补分摊，服务费比例应做相应调整；</t>
        </is>
      </c>
      <c r="BV81" s="230" t="inlineStr">
        <is>
          <t xml:space="preserve">1、签订期间：2025.9.1-2026.8.31；
2、指标按照全年换算；
</t>
        </is>
      </c>
      <c r="BW81" s="534" t="n"/>
    </row>
    <row r="82" ht="12" customFormat="1" customHeight="1" s="209">
      <c r="A82" s="219" t="n">
        <v>107</v>
      </c>
      <c r="B82" s="220" t="inlineStr">
        <is>
          <t>KQCY0107</t>
        </is>
      </c>
      <c r="C82" s="221" t="inlineStr">
        <is>
          <t>餐饮二分部</t>
        </is>
      </c>
      <c r="D82" s="221" t="inlineStr">
        <is>
          <t>CF160</t>
        </is>
      </c>
      <c r="E82" s="221" t="inlineStr">
        <is>
          <t>高新区实验高中食堂(金山路校区)</t>
        </is>
      </c>
      <c r="F82" s="219" t="inlineStr">
        <is>
          <t>人员服务外包</t>
        </is>
      </c>
      <c r="G82" s="243" t="inlineStr">
        <is>
          <t>陈晨</t>
        </is>
      </c>
      <c r="H82" s="222" t="inlineStr">
        <is>
          <t>/</t>
        </is>
      </c>
      <c r="I82" s="503" t="inlineStr">
        <is>
          <t>/</t>
        </is>
      </c>
      <c r="J82" s="503" t="inlineStr">
        <is>
          <t>/</t>
        </is>
      </c>
      <c r="K82" s="545">
        <f>LET(k,D82&amp;"|"&amp;E82&amp;"|"&amp;H82&amp;"|"&amp;I82&amp;"|"&amp;J82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82" s="546" t="n"/>
      <c r="M82" s="224" t="n"/>
      <c r="N82" s="547" t="n"/>
      <c r="O82" s="548" t="n">
        <v>2462000</v>
      </c>
      <c r="P82" s="552" t="n">
        <v>0</v>
      </c>
      <c r="Q82" s="461">
        <f>K82*P82</f>
        <v/>
      </c>
      <c r="R82" s="227" t="n"/>
      <c r="S82" s="461">
        <f>Q82-R82</f>
        <v/>
      </c>
      <c r="T82" s="227" t="n">
        <v>0</v>
      </c>
      <c r="U82" s="461">
        <f>K82*T82</f>
        <v/>
      </c>
      <c r="V82" s="227" t="n"/>
      <c r="W82" s="461">
        <f>U82-V82</f>
        <v/>
      </c>
      <c r="X82" s="227" t="n">
        <v>0</v>
      </c>
      <c r="Y82" s="461">
        <f>K82*X82</f>
        <v/>
      </c>
      <c r="Z82" s="227" t="n"/>
      <c r="AA82" s="461">
        <f>Y82-Z82</f>
        <v/>
      </c>
      <c r="AB82" s="227" t="n">
        <v>0</v>
      </c>
      <c r="AC82" s="461">
        <f>K82*AB82</f>
        <v/>
      </c>
      <c r="AD82" s="227" t="n"/>
      <c r="AE82" s="461">
        <f>AC82-AD82</f>
        <v/>
      </c>
      <c r="AF82" s="227" t="n">
        <v>0</v>
      </c>
      <c r="AG82" s="461">
        <f>K82*AF82</f>
        <v/>
      </c>
      <c r="AH82" s="461" t="n"/>
      <c r="AI82" s="461">
        <f>AG82-AH82</f>
        <v/>
      </c>
      <c r="AJ82" s="235" t="n">
        <v>0</v>
      </c>
      <c r="AK82" s="461">
        <f>K82*AJ82</f>
        <v/>
      </c>
      <c r="AL82" s="461" t="n"/>
      <c r="AM82" s="461">
        <f>AK82-AL82</f>
        <v/>
      </c>
      <c r="AN82" s="235" t="n">
        <v>0</v>
      </c>
      <c r="AO82" s="461">
        <f>K82*AN82</f>
        <v/>
      </c>
      <c r="AP82" s="461" t="n"/>
      <c r="AQ82" s="461">
        <f>AO82-AP82</f>
        <v/>
      </c>
      <c r="AR82" s="235" t="n">
        <v>0</v>
      </c>
      <c r="AS82" s="461">
        <f>K82*AR82</f>
        <v/>
      </c>
      <c r="AT82" s="461" t="n"/>
      <c r="AU82" s="461">
        <f>AS82-AT82</f>
        <v/>
      </c>
      <c r="AV82" s="235" t="n">
        <v>0</v>
      </c>
      <c r="AW82" s="461">
        <f>K82*AV82</f>
        <v/>
      </c>
      <c r="AX82" s="461" t="n"/>
      <c r="AY82" s="461">
        <f>AW82-AX82</f>
        <v/>
      </c>
      <c r="AZ82" s="235" t="n">
        <v>0</v>
      </c>
      <c r="BA82" s="461">
        <f>K82*AZ82</f>
        <v/>
      </c>
      <c r="BB82" s="461" t="n"/>
      <c r="BC82" s="461">
        <f>BA82-BB82</f>
        <v/>
      </c>
      <c r="BD82" s="461" t="n"/>
      <c r="BE82" s="461">
        <f>K82*BD82</f>
        <v/>
      </c>
      <c r="BF82" s="461" t="n"/>
      <c r="BG82" s="461">
        <f>BE82-BF82</f>
        <v/>
      </c>
      <c r="BH82" s="461" t="n"/>
      <c r="BI82" s="461">
        <f>K82*BH82</f>
        <v/>
      </c>
      <c r="BJ82" s="461" t="n"/>
      <c r="BK82" s="461">
        <f>BI82-BJ82</f>
        <v/>
      </c>
      <c r="BL82" s="461" t="n">
        <v>0</v>
      </c>
      <c r="BM82" s="220">
        <f>K82*BL82</f>
        <v/>
      </c>
      <c r="BN82" s="220" t="n"/>
      <c r="BO82" s="220">
        <f>BM82-BN82</f>
        <v/>
      </c>
      <c r="BP82" s="220">
        <f>N82+Q82+U82+Y82+AC82+AG82+AK82+AO82+AS82+AW82+BA82+BE82+BI82+BM82</f>
        <v/>
      </c>
      <c r="BQ82" s="220">
        <f>N82+R82+V82+Z82+AD82+AH82+AL82+AP82+AT82+AX82+BB82+BF82+BJ82+BN82</f>
        <v/>
      </c>
      <c r="BR82" s="220">
        <f>BP82-BQ82</f>
        <v/>
      </c>
      <c r="BS82" s="220" t="n"/>
      <c r="BT82" s="229" t="inlineStr">
        <is>
          <t>/</t>
        </is>
      </c>
      <c r="BU82" s="230" t="inlineStr">
        <is>
          <t>1、分部管理费：卡机营业额的3%，最高限额20万元</t>
        </is>
      </c>
      <c r="BV82" s="230" t="n"/>
      <c r="BW82" s="534" t="n"/>
    </row>
    <row r="83" ht="12" customFormat="1" customHeight="1" s="209">
      <c r="A83" s="219" t="n">
        <v>108</v>
      </c>
      <c r="B83" s="220" t="inlineStr">
        <is>
          <t>KQCY0108</t>
        </is>
      </c>
      <c r="C83" s="221" t="inlineStr">
        <is>
          <t>餐饮二分部</t>
        </is>
      </c>
      <c r="D83" s="221" t="inlineStr">
        <is>
          <t>CF174</t>
        </is>
      </c>
      <c r="E83" s="221" t="inlineStr">
        <is>
          <t>高新区实验高中食堂(科技城校区)</t>
        </is>
      </c>
      <c r="F83" s="219" t="inlineStr">
        <is>
          <t>人员服务外包</t>
        </is>
      </c>
      <c r="G83" s="243" t="inlineStr">
        <is>
          <t>陈晨</t>
        </is>
      </c>
      <c r="H83" s="222" t="inlineStr">
        <is>
          <t>/</t>
        </is>
      </c>
      <c r="I83" s="503" t="inlineStr">
        <is>
          <t>/</t>
        </is>
      </c>
      <c r="J83" s="503" t="inlineStr">
        <is>
          <t>/</t>
        </is>
      </c>
      <c r="K83" s="545">
        <f>LET(k,D83&amp;"|"&amp;E83&amp;"|"&amp;H83&amp;"|"&amp;I83&amp;"|"&amp;J83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83" s="546" t="n"/>
      <c r="M83" s="224" t="n"/>
      <c r="N83" s="547" t="n"/>
      <c r="O83" s="548" t="n">
        <v>2465000</v>
      </c>
      <c r="P83" s="552" t="n">
        <v>0</v>
      </c>
      <c r="Q83" s="461">
        <f>K83*P83</f>
        <v/>
      </c>
      <c r="R83" s="227" t="n"/>
      <c r="S83" s="461">
        <f>Q83-R83</f>
        <v/>
      </c>
      <c r="T83" s="227" t="n">
        <v>0</v>
      </c>
      <c r="U83" s="461">
        <f>K83*T83</f>
        <v/>
      </c>
      <c r="V83" s="227" t="n"/>
      <c r="W83" s="461">
        <f>U83-V83</f>
        <v/>
      </c>
      <c r="X83" s="227" t="n">
        <v>0</v>
      </c>
      <c r="Y83" s="461">
        <f>K83*X83</f>
        <v/>
      </c>
      <c r="Z83" s="227" t="n"/>
      <c r="AA83" s="461">
        <f>Y83-Z83</f>
        <v/>
      </c>
      <c r="AB83" s="227" t="n">
        <v>0</v>
      </c>
      <c r="AC83" s="461">
        <f>K83*AB83</f>
        <v/>
      </c>
      <c r="AD83" s="227" t="n"/>
      <c r="AE83" s="461">
        <f>AC83-AD83</f>
        <v/>
      </c>
      <c r="AF83" s="227" t="n">
        <v>0</v>
      </c>
      <c r="AG83" s="461">
        <f>K83*AF83</f>
        <v/>
      </c>
      <c r="AH83" s="461" t="n"/>
      <c r="AI83" s="461">
        <f>AG83-AH83</f>
        <v/>
      </c>
      <c r="AJ83" s="235" t="n">
        <v>0</v>
      </c>
      <c r="AK83" s="461">
        <f>K83*AJ83</f>
        <v/>
      </c>
      <c r="AL83" s="461" t="n"/>
      <c r="AM83" s="461">
        <f>AK83-AL83</f>
        <v/>
      </c>
      <c r="AN83" s="235" t="n">
        <v>0</v>
      </c>
      <c r="AO83" s="461">
        <f>K83*AN83</f>
        <v/>
      </c>
      <c r="AP83" s="461" t="n"/>
      <c r="AQ83" s="461">
        <f>AO83-AP83</f>
        <v/>
      </c>
      <c r="AR83" s="235" t="n">
        <v>0</v>
      </c>
      <c r="AS83" s="461">
        <f>K83*AR83</f>
        <v/>
      </c>
      <c r="AT83" s="461" t="n"/>
      <c r="AU83" s="461">
        <f>AS83-AT83</f>
        <v/>
      </c>
      <c r="AV83" s="235" t="n">
        <v>0</v>
      </c>
      <c r="AW83" s="461">
        <f>K83*AV83</f>
        <v/>
      </c>
      <c r="AX83" s="461" t="n"/>
      <c r="AY83" s="461">
        <f>AW83-AX83</f>
        <v/>
      </c>
      <c r="AZ83" s="235" t="n">
        <v>0</v>
      </c>
      <c r="BA83" s="461">
        <f>K83*AZ83</f>
        <v/>
      </c>
      <c r="BB83" s="461" t="n"/>
      <c r="BC83" s="461">
        <f>BA83-BB83</f>
        <v/>
      </c>
      <c r="BD83" s="461" t="n"/>
      <c r="BE83" s="461">
        <f>K83*BD83</f>
        <v/>
      </c>
      <c r="BF83" s="461" t="n"/>
      <c r="BG83" s="461">
        <f>BE83-BF83</f>
        <v/>
      </c>
      <c r="BH83" s="461" t="n"/>
      <c r="BI83" s="461">
        <f>K83*BH83</f>
        <v/>
      </c>
      <c r="BJ83" s="461" t="n"/>
      <c r="BK83" s="461">
        <f>BI83-BJ83</f>
        <v/>
      </c>
      <c r="BL83" s="461" t="n">
        <v>0</v>
      </c>
      <c r="BM83" s="220">
        <f>K83*BL83</f>
        <v/>
      </c>
      <c r="BN83" s="220" t="n"/>
      <c r="BO83" s="220">
        <f>BM83-BN83</f>
        <v/>
      </c>
      <c r="BP83" s="220">
        <f>N83+Q83+U83+Y83+AC83+AG83+AK83+AO83+AS83+AW83+BA83+BE83+BI83+BM83</f>
        <v/>
      </c>
      <c r="BQ83" s="220">
        <f>N83+R83+V83+Z83+AD83+AH83+AL83+AP83+AT83+AX83+BB83+BF83+BJ83+BN83</f>
        <v/>
      </c>
      <c r="BR83" s="220">
        <f>BP83-BQ83</f>
        <v/>
      </c>
      <c r="BS83" s="220" t="n"/>
      <c r="BT83" s="229" t="inlineStr">
        <is>
          <t>/</t>
        </is>
      </c>
      <c r="BU83" s="230" t="inlineStr">
        <is>
          <t>1、分部管理费：卡机营业额的3%，最高限额20万元</t>
        </is>
      </c>
      <c r="BV83" s="230" t="n"/>
      <c r="BW83" s="534" t="n"/>
    </row>
    <row r="84" ht="12" customFormat="1" customHeight="1" s="209">
      <c r="A84" s="219" t="n">
        <v>109</v>
      </c>
      <c r="B84" s="220" t="inlineStr">
        <is>
          <t>KQCY0109</t>
        </is>
      </c>
      <c r="C84" s="221" t="inlineStr">
        <is>
          <t>餐饮二分部</t>
        </is>
      </c>
      <c r="D84" s="221" t="inlineStr">
        <is>
          <t>CF175</t>
        </is>
      </c>
      <c r="E84" s="221" t="inlineStr">
        <is>
          <t>高新区实验初中食堂(金山路校区)</t>
        </is>
      </c>
      <c r="F84" s="219" t="inlineStr">
        <is>
          <t>人员服务外包</t>
        </is>
      </c>
      <c r="G84" s="243" t="inlineStr">
        <is>
          <t>陈晨</t>
        </is>
      </c>
      <c r="H84" s="222" t="inlineStr">
        <is>
          <t>/</t>
        </is>
      </c>
      <c r="I84" s="503" t="inlineStr">
        <is>
          <t>/</t>
        </is>
      </c>
      <c r="J84" s="503" t="inlineStr">
        <is>
          <t>/</t>
        </is>
      </c>
      <c r="K84" s="545">
        <f>LET(k,D84&amp;"|"&amp;E84&amp;"|"&amp;H84&amp;"|"&amp;I84&amp;"|"&amp;J84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84" s="546" t="n"/>
      <c r="M84" s="224" t="n"/>
      <c r="N84" s="547" t="n"/>
      <c r="O84" s="548" t="n">
        <v>2650000</v>
      </c>
      <c r="P84" s="552" t="n">
        <v>0</v>
      </c>
      <c r="Q84" s="461">
        <f>K84*P84</f>
        <v/>
      </c>
      <c r="R84" s="227" t="n"/>
      <c r="S84" s="461">
        <f>Q84-R84</f>
        <v/>
      </c>
      <c r="T84" s="227" t="n">
        <v>0</v>
      </c>
      <c r="U84" s="461">
        <f>K84*T84</f>
        <v/>
      </c>
      <c r="V84" s="227" t="n"/>
      <c r="W84" s="461">
        <f>U84-V84</f>
        <v/>
      </c>
      <c r="X84" s="227" t="n">
        <v>0</v>
      </c>
      <c r="Y84" s="461">
        <f>K84*X84</f>
        <v/>
      </c>
      <c r="Z84" s="227" t="n"/>
      <c r="AA84" s="461">
        <f>Y84-Z84</f>
        <v/>
      </c>
      <c r="AB84" s="227" t="n">
        <v>0</v>
      </c>
      <c r="AC84" s="461">
        <f>K84*AB84</f>
        <v/>
      </c>
      <c r="AD84" s="227" t="n"/>
      <c r="AE84" s="461">
        <f>AC84-AD84</f>
        <v/>
      </c>
      <c r="AF84" s="227" t="n">
        <v>0</v>
      </c>
      <c r="AG84" s="461">
        <f>K84*AF84</f>
        <v/>
      </c>
      <c r="AH84" s="461" t="n"/>
      <c r="AI84" s="461">
        <f>AG84-AH84</f>
        <v/>
      </c>
      <c r="AJ84" s="235" t="n">
        <v>0</v>
      </c>
      <c r="AK84" s="461">
        <f>K84*AJ84</f>
        <v/>
      </c>
      <c r="AL84" s="461" t="n"/>
      <c r="AM84" s="461">
        <f>AK84-AL84</f>
        <v/>
      </c>
      <c r="AN84" s="235" t="n">
        <v>0</v>
      </c>
      <c r="AO84" s="461">
        <f>K84*AN84</f>
        <v/>
      </c>
      <c r="AP84" s="461" t="n"/>
      <c r="AQ84" s="461">
        <f>AO84-AP84</f>
        <v/>
      </c>
      <c r="AR84" s="235" t="n">
        <v>0</v>
      </c>
      <c r="AS84" s="461">
        <f>K84*AR84</f>
        <v/>
      </c>
      <c r="AT84" s="461" t="n"/>
      <c r="AU84" s="461">
        <f>AS84-AT84</f>
        <v/>
      </c>
      <c r="AV84" s="235" t="n">
        <v>0</v>
      </c>
      <c r="AW84" s="461">
        <f>K84*AV84</f>
        <v/>
      </c>
      <c r="AX84" s="461" t="n"/>
      <c r="AY84" s="461">
        <f>AW84-AX84</f>
        <v/>
      </c>
      <c r="AZ84" s="235" t="n">
        <v>0</v>
      </c>
      <c r="BA84" s="461">
        <f>K84*AZ84</f>
        <v/>
      </c>
      <c r="BB84" s="461" t="n"/>
      <c r="BC84" s="461">
        <f>BA84-BB84</f>
        <v/>
      </c>
      <c r="BD84" s="461" t="n"/>
      <c r="BE84" s="461">
        <f>K84*BD84</f>
        <v/>
      </c>
      <c r="BF84" s="461" t="n"/>
      <c r="BG84" s="461">
        <f>BE84-BF84</f>
        <v/>
      </c>
      <c r="BH84" s="461" t="n"/>
      <c r="BI84" s="461">
        <f>K84*BH84</f>
        <v/>
      </c>
      <c r="BJ84" s="461" t="n"/>
      <c r="BK84" s="461">
        <f>BI84-BJ84</f>
        <v/>
      </c>
      <c r="BL84" s="461" t="n">
        <v>0</v>
      </c>
      <c r="BM84" s="220">
        <f>K84*BL84</f>
        <v/>
      </c>
      <c r="BN84" s="220" t="n"/>
      <c r="BO84" s="220">
        <f>BM84-BN84</f>
        <v/>
      </c>
      <c r="BP84" s="220">
        <f>N84+Q84+U84+Y84+AC84+AG84+AK84+AO84+AS84+AW84+BA84+BE84+BI84+BM84</f>
        <v/>
      </c>
      <c r="BQ84" s="220">
        <f>N84+R84+V84+Z84+AD84+AH84+AL84+AP84+AT84+AX84+BB84+BF84+BJ84+BN84</f>
        <v/>
      </c>
      <c r="BR84" s="220">
        <f>BP84-BQ84</f>
        <v/>
      </c>
      <c r="BS84" s="220" t="n"/>
      <c r="BT84" s="229" t="inlineStr">
        <is>
          <t>/</t>
        </is>
      </c>
      <c r="BU84" s="230" t="inlineStr">
        <is>
          <t>1、分部管理费：卡机营业额的3%，最高限额20万元</t>
        </is>
      </c>
      <c r="BV84" s="230" t="n"/>
      <c r="BW84" s="534" t="n"/>
    </row>
    <row r="85" ht="12" customFormat="1" customHeight="1" s="209">
      <c r="A85" s="219" t="n">
        <v>110</v>
      </c>
      <c r="B85" s="220" t="inlineStr">
        <is>
          <t>KQCY0110</t>
        </is>
      </c>
      <c r="C85" s="221" t="inlineStr">
        <is>
          <t>餐饮二分部</t>
        </is>
      </c>
      <c r="D85" s="221" t="inlineStr">
        <is>
          <t>CF177</t>
        </is>
      </c>
      <c r="E85" s="221" t="inlineStr">
        <is>
          <t>高新区实验初中食堂(锦峰路校区)</t>
        </is>
      </c>
      <c r="F85" s="219" t="inlineStr">
        <is>
          <t>人员服务外包</t>
        </is>
      </c>
      <c r="G85" s="243" t="inlineStr">
        <is>
          <t>陈晨</t>
        </is>
      </c>
      <c r="H85" s="222" t="inlineStr">
        <is>
          <t>/</t>
        </is>
      </c>
      <c r="I85" s="503" t="inlineStr">
        <is>
          <t>/</t>
        </is>
      </c>
      <c r="J85" s="503" t="inlineStr">
        <is>
          <t>/</t>
        </is>
      </c>
      <c r="K85" s="545">
        <f>LET(k,D85&amp;"|"&amp;E85&amp;"|"&amp;H85&amp;"|"&amp;I85&amp;"|"&amp;J85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85" s="546" t="n"/>
      <c r="M85" s="224" t="n"/>
      <c r="N85" s="547" t="n"/>
      <c r="O85" s="548" t="n">
        <v>1574000</v>
      </c>
      <c r="P85" s="552" t="n">
        <v>0</v>
      </c>
      <c r="Q85" s="461">
        <f>K85*P85</f>
        <v/>
      </c>
      <c r="R85" s="227" t="n"/>
      <c r="S85" s="461">
        <f>Q85-R85</f>
        <v/>
      </c>
      <c r="T85" s="227" t="n">
        <v>0</v>
      </c>
      <c r="U85" s="461">
        <f>K85*T85</f>
        <v/>
      </c>
      <c r="V85" s="227" t="n"/>
      <c r="W85" s="461">
        <f>U85-V85</f>
        <v/>
      </c>
      <c r="X85" s="227" t="n">
        <v>0</v>
      </c>
      <c r="Y85" s="461">
        <f>K85*X85</f>
        <v/>
      </c>
      <c r="Z85" s="227" t="n"/>
      <c r="AA85" s="461">
        <f>Y85-Z85</f>
        <v/>
      </c>
      <c r="AB85" s="227" t="n">
        <v>0</v>
      </c>
      <c r="AC85" s="461">
        <f>K85*AB85</f>
        <v/>
      </c>
      <c r="AD85" s="227" t="n"/>
      <c r="AE85" s="461">
        <f>AC85-AD85</f>
        <v/>
      </c>
      <c r="AF85" s="227" t="n">
        <v>0</v>
      </c>
      <c r="AG85" s="461">
        <f>K85*AF85</f>
        <v/>
      </c>
      <c r="AH85" s="461" t="n"/>
      <c r="AI85" s="461">
        <f>AG85-AH85</f>
        <v/>
      </c>
      <c r="AJ85" s="235" t="n">
        <v>0</v>
      </c>
      <c r="AK85" s="461">
        <f>K85*AJ85</f>
        <v/>
      </c>
      <c r="AL85" s="461" t="n"/>
      <c r="AM85" s="461">
        <f>AK85-AL85</f>
        <v/>
      </c>
      <c r="AN85" s="235" t="n">
        <v>0</v>
      </c>
      <c r="AO85" s="461">
        <f>K85*AN85</f>
        <v/>
      </c>
      <c r="AP85" s="461" t="n"/>
      <c r="AQ85" s="461">
        <f>AO85-AP85</f>
        <v/>
      </c>
      <c r="AR85" s="235" t="n">
        <v>0</v>
      </c>
      <c r="AS85" s="461">
        <f>K85*AR85</f>
        <v/>
      </c>
      <c r="AT85" s="461" t="n"/>
      <c r="AU85" s="461">
        <f>AS85-AT85</f>
        <v/>
      </c>
      <c r="AV85" s="235" t="n">
        <v>0</v>
      </c>
      <c r="AW85" s="461">
        <f>K85*AV85</f>
        <v/>
      </c>
      <c r="AX85" s="461" t="n"/>
      <c r="AY85" s="461">
        <f>AW85-AX85</f>
        <v/>
      </c>
      <c r="AZ85" s="235" t="n">
        <v>0</v>
      </c>
      <c r="BA85" s="461">
        <f>K85*AZ85</f>
        <v/>
      </c>
      <c r="BB85" s="461" t="n"/>
      <c r="BC85" s="461">
        <f>BA85-BB85</f>
        <v/>
      </c>
      <c r="BD85" s="461" t="n"/>
      <c r="BE85" s="461">
        <f>K85*BD85</f>
        <v/>
      </c>
      <c r="BF85" s="461" t="n"/>
      <c r="BG85" s="461">
        <f>BE85-BF85</f>
        <v/>
      </c>
      <c r="BH85" s="461" t="n"/>
      <c r="BI85" s="461">
        <f>K85*BH85</f>
        <v/>
      </c>
      <c r="BJ85" s="461" t="n"/>
      <c r="BK85" s="461">
        <f>BI85-BJ85</f>
        <v/>
      </c>
      <c r="BL85" s="461" t="n">
        <v>0</v>
      </c>
      <c r="BM85" s="220">
        <f>K85*BL85</f>
        <v/>
      </c>
      <c r="BN85" s="220" t="n"/>
      <c r="BO85" s="220">
        <f>BM85-BN85</f>
        <v/>
      </c>
      <c r="BP85" s="220">
        <f>N85+Q85+U85+Y85+AC85+AG85+AK85+AO85+AS85+AW85+BA85+BE85+BI85+BM85</f>
        <v/>
      </c>
      <c r="BQ85" s="220">
        <f>N85+R85+V85+Z85+AD85+AH85+AL85+AP85+AT85+AX85+BB85+BF85+BJ85+BN85</f>
        <v/>
      </c>
      <c r="BR85" s="220">
        <f>BP85-BQ85</f>
        <v/>
      </c>
      <c r="BS85" s="220" t="n"/>
      <c r="BT85" s="229" t="inlineStr">
        <is>
          <t>/</t>
        </is>
      </c>
      <c r="BU85" s="230" t="inlineStr">
        <is>
          <t>1、分部管理费：卡机营业额的3%，最高限额20万元</t>
        </is>
      </c>
      <c r="BV85" s="230" t="n"/>
      <c r="BW85" s="534" t="n"/>
    </row>
    <row r="86" ht="12" customFormat="1" customHeight="1" s="209">
      <c r="A86" s="219" t="n">
        <v>111</v>
      </c>
      <c r="B86" s="220" t="inlineStr">
        <is>
          <t>KQCY0111</t>
        </is>
      </c>
      <c r="C86" s="221" t="inlineStr">
        <is>
          <t>餐饮二分部</t>
        </is>
      </c>
      <c r="D86" s="221" t="inlineStr">
        <is>
          <t>CF173</t>
        </is>
      </c>
      <c r="E86" s="221" t="inlineStr">
        <is>
          <t>高新区一中食堂（汾湖路校区）</t>
        </is>
      </c>
      <c r="F86" s="219" t="inlineStr">
        <is>
          <t>人员服务外包</t>
        </is>
      </c>
      <c r="G86" s="243" t="inlineStr">
        <is>
          <t>陈晨</t>
        </is>
      </c>
      <c r="H86" s="222" t="inlineStr">
        <is>
          <t>/</t>
        </is>
      </c>
      <c r="I86" s="503" t="inlineStr">
        <is>
          <t>/</t>
        </is>
      </c>
      <c r="J86" s="503" t="inlineStr">
        <is>
          <t>/</t>
        </is>
      </c>
      <c r="K86" s="545">
        <f>LET(k,D86&amp;"|"&amp;E86&amp;"|"&amp;H86&amp;"|"&amp;I86&amp;"|"&amp;J86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86" s="546" t="n"/>
      <c r="M86" s="224" t="n"/>
      <c r="N86" s="547" t="n"/>
      <c r="O86" s="548" t="n">
        <v>3130000</v>
      </c>
      <c r="P86" s="552" t="n">
        <v>0</v>
      </c>
      <c r="Q86" s="461">
        <f>K86*P86</f>
        <v/>
      </c>
      <c r="R86" s="227" t="n"/>
      <c r="S86" s="461">
        <f>Q86-R86</f>
        <v/>
      </c>
      <c r="T86" s="227" t="n">
        <v>0</v>
      </c>
      <c r="U86" s="461">
        <f>K86*T86</f>
        <v/>
      </c>
      <c r="V86" s="227" t="n"/>
      <c r="W86" s="461">
        <f>U86-V86</f>
        <v/>
      </c>
      <c r="X86" s="227" t="n">
        <v>0</v>
      </c>
      <c r="Y86" s="461">
        <f>K86*X86</f>
        <v/>
      </c>
      <c r="Z86" s="227" t="n"/>
      <c r="AA86" s="461">
        <f>Y86-Z86</f>
        <v/>
      </c>
      <c r="AB86" s="227" t="n">
        <v>0</v>
      </c>
      <c r="AC86" s="461">
        <f>K86*AB86</f>
        <v/>
      </c>
      <c r="AD86" s="227" t="n"/>
      <c r="AE86" s="461">
        <f>AC86-AD86</f>
        <v/>
      </c>
      <c r="AF86" s="227" t="n">
        <v>0</v>
      </c>
      <c r="AG86" s="461">
        <f>K86*AF86</f>
        <v/>
      </c>
      <c r="AH86" s="461" t="n"/>
      <c r="AI86" s="461">
        <f>AG86-AH86</f>
        <v/>
      </c>
      <c r="AJ86" s="235" t="n">
        <v>0</v>
      </c>
      <c r="AK86" s="461">
        <f>K86*AJ86</f>
        <v/>
      </c>
      <c r="AL86" s="461" t="n"/>
      <c r="AM86" s="461">
        <f>AK86-AL86</f>
        <v/>
      </c>
      <c r="AN86" s="235" t="n">
        <v>0</v>
      </c>
      <c r="AO86" s="461">
        <f>K86*AN86</f>
        <v/>
      </c>
      <c r="AP86" s="461" t="n"/>
      <c r="AQ86" s="461">
        <f>AO86-AP86</f>
        <v/>
      </c>
      <c r="AR86" s="235" t="n">
        <v>0</v>
      </c>
      <c r="AS86" s="461">
        <f>K86*AR86</f>
        <v/>
      </c>
      <c r="AT86" s="461" t="n"/>
      <c r="AU86" s="461">
        <f>AS86-AT86</f>
        <v/>
      </c>
      <c r="AV86" s="235" t="n">
        <v>0</v>
      </c>
      <c r="AW86" s="461">
        <f>K86*AV86</f>
        <v/>
      </c>
      <c r="AX86" s="461" t="n"/>
      <c r="AY86" s="461">
        <f>AW86-AX86</f>
        <v/>
      </c>
      <c r="AZ86" s="235" t="n">
        <v>0</v>
      </c>
      <c r="BA86" s="461">
        <f>K86*AZ86</f>
        <v/>
      </c>
      <c r="BB86" s="461" t="n"/>
      <c r="BC86" s="461">
        <f>BA86-BB86</f>
        <v/>
      </c>
      <c r="BD86" s="461" t="n"/>
      <c r="BE86" s="461">
        <f>K86*BD86</f>
        <v/>
      </c>
      <c r="BF86" s="461" t="n"/>
      <c r="BG86" s="461">
        <f>BE86-BF86</f>
        <v/>
      </c>
      <c r="BH86" s="461" t="n"/>
      <c r="BI86" s="461">
        <f>K86*BH86</f>
        <v/>
      </c>
      <c r="BJ86" s="461" t="n"/>
      <c r="BK86" s="461">
        <f>BI86-BJ86</f>
        <v/>
      </c>
      <c r="BL86" s="461" t="n">
        <v>0</v>
      </c>
      <c r="BM86" s="220">
        <f>K86*BL86</f>
        <v/>
      </c>
      <c r="BN86" s="220" t="n"/>
      <c r="BO86" s="220">
        <f>BM86-BN86</f>
        <v/>
      </c>
      <c r="BP86" s="220">
        <f>N86+Q86+U86+Y86+AC86+AG86+AK86+AO86+AS86+AW86+BA86+BE86+BI86+BM86</f>
        <v/>
      </c>
      <c r="BQ86" s="220">
        <f>N86+R86+V86+Z86+AD86+AH86+AL86+AP86+AT86+AX86+BB86+BF86+BJ86+BN86</f>
        <v/>
      </c>
      <c r="BR86" s="220">
        <f>BP86-BQ86</f>
        <v/>
      </c>
      <c r="BS86" s="220" t="n"/>
      <c r="BT86" s="229" t="inlineStr">
        <is>
          <t>/</t>
        </is>
      </c>
      <c r="BU86" s="230" t="inlineStr">
        <is>
          <t>1、分部管理费：卡机营业额的3%，最高限额20万元</t>
        </is>
      </c>
      <c r="BV86" s="230" t="n"/>
      <c r="BW86" s="534" t="n"/>
    </row>
    <row r="87" ht="12" customFormat="1" customHeight="1" s="209">
      <c r="A87" s="219" t="n">
        <v>112</v>
      </c>
      <c r="B87" s="220" t="inlineStr">
        <is>
          <t>KQCY0112</t>
        </is>
      </c>
      <c r="C87" s="221" t="inlineStr">
        <is>
          <t>餐饮二分部</t>
        </is>
      </c>
      <c r="D87" s="221" t="inlineStr">
        <is>
          <t>CF179</t>
        </is>
      </c>
      <c r="E87" s="221" t="inlineStr">
        <is>
          <t>高新区一中食堂（科技城校区）</t>
        </is>
      </c>
      <c r="F87" s="219" t="inlineStr">
        <is>
          <t>人员服务外包</t>
        </is>
      </c>
      <c r="G87" s="243" t="inlineStr">
        <is>
          <t>陈晨</t>
        </is>
      </c>
      <c r="H87" s="222" t="inlineStr">
        <is>
          <t>/</t>
        </is>
      </c>
      <c r="I87" s="503" t="inlineStr">
        <is>
          <t>/</t>
        </is>
      </c>
      <c r="J87" s="503" t="inlineStr">
        <is>
          <t>/</t>
        </is>
      </c>
      <c r="K87" s="545">
        <f>LET(k,D87&amp;"|"&amp;E87&amp;"|"&amp;H87&amp;"|"&amp;I87&amp;"|"&amp;J87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87" s="546" t="n"/>
      <c r="M87" s="224" t="n"/>
      <c r="N87" s="547" t="n"/>
      <c r="O87" s="548" t="n">
        <v>2588000</v>
      </c>
      <c r="P87" s="552" t="n">
        <v>0</v>
      </c>
      <c r="Q87" s="461">
        <f>K87*P87</f>
        <v/>
      </c>
      <c r="R87" s="227" t="n"/>
      <c r="S87" s="461">
        <f>Q87-R87</f>
        <v/>
      </c>
      <c r="T87" s="227" t="n">
        <v>0</v>
      </c>
      <c r="U87" s="461">
        <f>K87*T87</f>
        <v/>
      </c>
      <c r="V87" s="227" t="n"/>
      <c r="W87" s="461">
        <f>U87-V87</f>
        <v/>
      </c>
      <c r="X87" s="227" t="n">
        <v>0</v>
      </c>
      <c r="Y87" s="461">
        <f>K87*X87</f>
        <v/>
      </c>
      <c r="Z87" s="227" t="n"/>
      <c r="AA87" s="461">
        <f>Y87-Z87</f>
        <v/>
      </c>
      <c r="AB87" s="227" t="n">
        <v>0</v>
      </c>
      <c r="AC87" s="461">
        <f>K87*AB87</f>
        <v/>
      </c>
      <c r="AD87" s="227" t="n"/>
      <c r="AE87" s="461">
        <f>AC87-AD87</f>
        <v/>
      </c>
      <c r="AF87" s="227" t="n">
        <v>0</v>
      </c>
      <c r="AG87" s="461">
        <f>K87*AF87</f>
        <v/>
      </c>
      <c r="AH87" s="461" t="n"/>
      <c r="AI87" s="461">
        <f>AG87-AH87</f>
        <v/>
      </c>
      <c r="AJ87" s="235" t="n">
        <v>0</v>
      </c>
      <c r="AK87" s="461">
        <f>K87*AJ87</f>
        <v/>
      </c>
      <c r="AL87" s="461" t="n"/>
      <c r="AM87" s="461">
        <f>AK87-AL87</f>
        <v/>
      </c>
      <c r="AN87" s="235" t="n">
        <v>0</v>
      </c>
      <c r="AO87" s="461">
        <f>K87*AN87</f>
        <v/>
      </c>
      <c r="AP87" s="461" t="n"/>
      <c r="AQ87" s="461">
        <f>AO87-AP87</f>
        <v/>
      </c>
      <c r="AR87" s="235" t="n">
        <v>0</v>
      </c>
      <c r="AS87" s="461">
        <f>K87*AR87</f>
        <v/>
      </c>
      <c r="AT87" s="461" t="n"/>
      <c r="AU87" s="461">
        <f>AS87-AT87</f>
        <v/>
      </c>
      <c r="AV87" s="235" t="n">
        <v>0</v>
      </c>
      <c r="AW87" s="461">
        <f>K87*AV87</f>
        <v/>
      </c>
      <c r="AX87" s="461" t="n"/>
      <c r="AY87" s="461">
        <f>AW87-AX87</f>
        <v/>
      </c>
      <c r="AZ87" s="235" t="n">
        <v>0</v>
      </c>
      <c r="BA87" s="461">
        <f>K87*AZ87</f>
        <v/>
      </c>
      <c r="BB87" s="461" t="n"/>
      <c r="BC87" s="461">
        <f>BA87-BB87</f>
        <v/>
      </c>
      <c r="BD87" s="461" t="n"/>
      <c r="BE87" s="461">
        <f>K87*BD87</f>
        <v/>
      </c>
      <c r="BF87" s="461" t="n"/>
      <c r="BG87" s="461">
        <f>BE87-BF87</f>
        <v/>
      </c>
      <c r="BH87" s="461" t="n"/>
      <c r="BI87" s="461">
        <f>K87*BH87</f>
        <v/>
      </c>
      <c r="BJ87" s="461" t="n"/>
      <c r="BK87" s="461">
        <f>BI87-BJ87</f>
        <v/>
      </c>
      <c r="BL87" s="461" t="n">
        <v>0</v>
      </c>
      <c r="BM87" s="220">
        <f>K87*BL87</f>
        <v/>
      </c>
      <c r="BN87" s="220" t="n"/>
      <c r="BO87" s="220">
        <f>BM87-BN87</f>
        <v/>
      </c>
      <c r="BP87" s="220">
        <f>N87+Q87+U87+Y87+AC87+AG87+AK87+AO87+AS87+AW87+BA87+BE87+BI87+BM87</f>
        <v/>
      </c>
      <c r="BQ87" s="220">
        <f>N87+R87+V87+Z87+AD87+AH87+AL87+AP87+AT87+AX87+BB87+BF87+BJ87+BN87</f>
        <v/>
      </c>
      <c r="BR87" s="220">
        <f>BP87-BQ87</f>
        <v/>
      </c>
      <c r="BS87" s="220" t="n"/>
      <c r="BT87" s="229" t="inlineStr">
        <is>
          <t>/</t>
        </is>
      </c>
      <c r="BU87" s="230" t="inlineStr">
        <is>
          <t>1、分部管理费：卡机营业额的3%，最高限额20万元</t>
        </is>
      </c>
      <c r="BV87" s="230" t="n"/>
      <c r="BW87" s="534" t="n"/>
    </row>
    <row r="88" ht="12" customFormat="1" customHeight="1" s="209">
      <c r="A88" s="219" t="n">
        <v>113</v>
      </c>
      <c r="B88" s="220" t="inlineStr">
        <is>
          <t>KQCY0113</t>
        </is>
      </c>
      <c r="C88" s="221" t="inlineStr">
        <is>
          <t>餐饮二分部</t>
        </is>
      </c>
      <c r="D88" s="221" t="inlineStr">
        <is>
          <t>CF180</t>
        </is>
      </c>
      <c r="E88" s="221" t="inlineStr">
        <is>
          <t>高新区一初中食堂（珠江路校区）</t>
        </is>
      </c>
      <c r="F88" s="219" t="inlineStr">
        <is>
          <t>人员服务外包</t>
        </is>
      </c>
      <c r="G88" s="243" t="inlineStr">
        <is>
          <t>陈晨</t>
        </is>
      </c>
      <c r="H88" s="222" t="inlineStr">
        <is>
          <t>/</t>
        </is>
      </c>
      <c r="I88" s="503" t="inlineStr">
        <is>
          <t>/</t>
        </is>
      </c>
      <c r="J88" s="503" t="inlineStr">
        <is>
          <t>/</t>
        </is>
      </c>
      <c r="K88" s="545">
        <f>LET(k,D88&amp;"|"&amp;E88&amp;"|"&amp;H88&amp;"|"&amp;I88&amp;"|"&amp;J88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88" s="546" t="n"/>
      <c r="M88" s="224" t="n"/>
      <c r="N88" s="547" t="n"/>
      <c r="O88" s="548" t="n">
        <v>1249000</v>
      </c>
      <c r="P88" s="552" t="n">
        <v>0</v>
      </c>
      <c r="Q88" s="461">
        <f>K88*P88</f>
        <v/>
      </c>
      <c r="R88" s="227" t="n"/>
      <c r="S88" s="461">
        <f>Q88-R88</f>
        <v/>
      </c>
      <c r="T88" s="227" t="n">
        <v>0</v>
      </c>
      <c r="U88" s="461">
        <f>K88*T88</f>
        <v/>
      </c>
      <c r="V88" s="227" t="n"/>
      <c r="W88" s="461">
        <f>U88-V88</f>
        <v/>
      </c>
      <c r="X88" s="227" t="n">
        <v>0</v>
      </c>
      <c r="Y88" s="461">
        <f>K88*X88</f>
        <v/>
      </c>
      <c r="Z88" s="227" t="n"/>
      <c r="AA88" s="461">
        <f>Y88-Z88</f>
        <v/>
      </c>
      <c r="AB88" s="227" t="n">
        <v>0</v>
      </c>
      <c r="AC88" s="461">
        <f>K88*AB88</f>
        <v/>
      </c>
      <c r="AD88" s="227" t="n"/>
      <c r="AE88" s="461">
        <f>AC88-AD88</f>
        <v/>
      </c>
      <c r="AF88" s="227" t="n">
        <v>0</v>
      </c>
      <c r="AG88" s="461">
        <f>K88*AF88</f>
        <v/>
      </c>
      <c r="AH88" s="461" t="n"/>
      <c r="AI88" s="461">
        <f>AG88-AH88</f>
        <v/>
      </c>
      <c r="AJ88" s="235" t="n">
        <v>0</v>
      </c>
      <c r="AK88" s="461">
        <f>K88*AJ88</f>
        <v/>
      </c>
      <c r="AL88" s="461" t="n"/>
      <c r="AM88" s="461">
        <f>AK88-AL88</f>
        <v/>
      </c>
      <c r="AN88" s="235" t="n">
        <v>0</v>
      </c>
      <c r="AO88" s="461">
        <f>K88*AN88</f>
        <v/>
      </c>
      <c r="AP88" s="461" t="n"/>
      <c r="AQ88" s="461">
        <f>AO88-AP88</f>
        <v/>
      </c>
      <c r="AR88" s="235" t="n">
        <v>0</v>
      </c>
      <c r="AS88" s="461">
        <f>K88*AR88</f>
        <v/>
      </c>
      <c r="AT88" s="461" t="n"/>
      <c r="AU88" s="461">
        <f>AS88-AT88</f>
        <v/>
      </c>
      <c r="AV88" s="235" t="n">
        <v>0</v>
      </c>
      <c r="AW88" s="461">
        <f>K88*AV88</f>
        <v/>
      </c>
      <c r="AX88" s="461" t="n"/>
      <c r="AY88" s="461">
        <f>AW88-AX88</f>
        <v/>
      </c>
      <c r="AZ88" s="235" t="n">
        <v>0</v>
      </c>
      <c r="BA88" s="461">
        <f>K88*AZ88</f>
        <v/>
      </c>
      <c r="BB88" s="461" t="n"/>
      <c r="BC88" s="461">
        <f>BA88-BB88</f>
        <v/>
      </c>
      <c r="BD88" s="461" t="n"/>
      <c r="BE88" s="461">
        <f>K88*BD88</f>
        <v/>
      </c>
      <c r="BF88" s="461" t="n"/>
      <c r="BG88" s="461">
        <f>BE88-BF88</f>
        <v/>
      </c>
      <c r="BH88" s="461" t="n"/>
      <c r="BI88" s="461">
        <f>K88*BH88</f>
        <v/>
      </c>
      <c r="BJ88" s="461" t="n"/>
      <c r="BK88" s="461">
        <f>BI88-BJ88</f>
        <v/>
      </c>
      <c r="BL88" s="461" t="n">
        <v>0</v>
      </c>
      <c r="BM88" s="220">
        <f>K88*BL88</f>
        <v/>
      </c>
      <c r="BN88" s="220" t="n"/>
      <c r="BO88" s="220">
        <f>BM88-BN88</f>
        <v/>
      </c>
      <c r="BP88" s="220">
        <f>N88+Q88+U88+Y88+AC88+AG88+AK88+AO88+AS88+AW88+BA88+BE88+BI88+BM88</f>
        <v/>
      </c>
      <c r="BQ88" s="220">
        <f>N88+R88+V88+Z88+AD88+AH88+AL88+AP88+AT88+AX88+BB88+BF88+BJ88+BN88</f>
        <v/>
      </c>
      <c r="BR88" s="220">
        <f>BP88-BQ88</f>
        <v/>
      </c>
      <c r="BS88" s="220" t="n"/>
      <c r="BT88" s="229" t="inlineStr">
        <is>
          <t>/</t>
        </is>
      </c>
      <c r="BU88" s="230" t="inlineStr">
        <is>
          <t>1、分部管理费：卡机营业额的3%，最高限额20万元</t>
        </is>
      </c>
      <c r="BV88" s="230" t="n"/>
      <c r="BW88" s="534" t="n"/>
    </row>
    <row r="89" ht="12" customFormat="1" customHeight="1" s="209">
      <c r="A89" s="219" t="n">
        <v>114</v>
      </c>
      <c r="B89" s="220" t="inlineStr">
        <is>
          <t>KQCY0114</t>
        </is>
      </c>
      <c r="C89" s="221" t="inlineStr">
        <is>
          <t>餐饮二分部</t>
        </is>
      </c>
      <c r="D89" s="221" t="inlineStr">
        <is>
          <t>CF183</t>
        </is>
      </c>
      <c r="E89" s="221" t="inlineStr">
        <is>
          <t>中医科苏州新校区食堂</t>
        </is>
      </c>
      <c r="F89" s="219" t="inlineStr">
        <is>
          <t>人员服务外包</t>
        </is>
      </c>
      <c r="G89" s="222" t="inlineStr">
        <is>
          <t>徐敏捷</t>
        </is>
      </c>
      <c r="H89" s="222" t="inlineStr">
        <is>
          <t>/</t>
        </is>
      </c>
      <c r="I89" s="503" t="inlineStr">
        <is>
          <t>/</t>
        </is>
      </c>
      <c r="J89" s="503" t="inlineStr">
        <is>
          <t>/</t>
        </is>
      </c>
      <c r="K89" s="545">
        <f>LET(k,D89&amp;"|"&amp;E89&amp;"|"&amp;H89&amp;"|"&amp;I89&amp;"|"&amp;J89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89" s="546" t="n"/>
      <c r="M89" s="224" t="n"/>
      <c r="N89" s="547" t="n"/>
      <c r="O89" s="548" t="n">
        <v>0</v>
      </c>
      <c r="P89" s="227" t="n">
        <v>0</v>
      </c>
      <c r="Q89" s="461">
        <f>K89*P89</f>
        <v/>
      </c>
      <c r="R89" s="227" t="n"/>
      <c r="S89" s="461">
        <f>Q89-R89</f>
        <v/>
      </c>
      <c r="T89" s="227" t="n">
        <v>0</v>
      </c>
      <c r="U89" s="461">
        <f>K89*T89</f>
        <v/>
      </c>
      <c r="V89" s="227" t="n"/>
      <c r="W89" s="461">
        <f>U89-V89</f>
        <v/>
      </c>
      <c r="X89" s="227" t="n">
        <v>0</v>
      </c>
      <c r="Y89" s="461">
        <f>K89*X89</f>
        <v/>
      </c>
      <c r="Z89" s="227" t="n"/>
      <c r="AA89" s="461">
        <f>Y89-Z89</f>
        <v/>
      </c>
      <c r="AB89" s="227" t="n">
        <v>0</v>
      </c>
      <c r="AC89" s="461">
        <f>K89*AB89</f>
        <v/>
      </c>
      <c r="AD89" s="227" t="n"/>
      <c r="AE89" s="461">
        <f>AC89-AD89</f>
        <v/>
      </c>
      <c r="AF89" s="227" t="n">
        <v>0</v>
      </c>
      <c r="AG89" s="461">
        <f>K89*AF89</f>
        <v/>
      </c>
      <c r="AH89" s="227" t="n"/>
      <c r="AI89" s="461">
        <f>AG89-AH89</f>
        <v/>
      </c>
      <c r="AJ89" s="227" t="n">
        <v>0</v>
      </c>
      <c r="AK89" s="461">
        <f>K89*AJ89</f>
        <v/>
      </c>
      <c r="AL89" s="227" t="n"/>
      <c r="AM89" s="461">
        <f>AK89-AL89</f>
        <v/>
      </c>
      <c r="AN89" s="227" t="n">
        <v>0</v>
      </c>
      <c r="AO89" s="461">
        <f>K89*AN89</f>
        <v/>
      </c>
      <c r="AP89" s="461" t="n"/>
      <c r="AQ89" s="461">
        <f>AO89-AP89</f>
        <v/>
      </c>
      <c r="AR89" s="461" t="n">
        <v>0</v>
      </c>
      <c r="AS89" s="461">
        <f>K89*AR89</f>
        <v/>
      </c>
      <c r="AT89" s="227" t="n"/>
      <c r="AU89" s="461">
        <f>AS89-AT89</f>
        <v/>
      </c>
      <c r="AV89" s="227" t="n">
        <v>0</v>
      </c>
      <c r="AW89" s="461">
        <f>K89*AV89</f>
        <v/>
      </c>
      <c r="AX89" s="227" t="n"/>
      <c r="AY89" s="461">
        <f>AW89-AX89</f>
        <v/>
      </c>
      <c r="AZ89" s="227" t="n">
        <v>0</v>
      </c>
      <c r="BA89" s="461">
        <f>K89*AZ89</f>
        <v/>
      </c>
      <c r="BB89" s="461" t="n"/>
      <c r="BC89" s="461">
        <f>BA89-BB89</f>
        <v/>
      </c>
      <c r="BD89" s="461" t="n"/>
      <c r="BE89" s="461">
        <f>K89*BD89</f>
        <v/>
      </c>
      <c r="BF89" s="461" t="n"/>
      <c r="BG89" s="461">
        <f>BE89-BF89</f>
        <v/>
      </c>
      <c r="BH89" s="461" t="n"/>
      <c r="BI89" s="461">
        <f>K89*BH89</f>
        <v/>
      </c>
      <c r="BJ89" s="461" t="n"/>
      <c r="BK89" s="461">
        <f>BI89-BJ89</f>
        <v/>
      </c>
      <c r="BL89" s="461" t="n">
        <v>0</v>
      </c>
      <c r="BM89" s="220">
        <f>K89*BL89</f>
        <v/>
      </c>
      <c r="BN89" s="220" t="n"/>
      <c r="BO89" s="220">
        <f>BM89-BN89</f>
        <v/>
      </c>
      <c r="BP89" s="220">
        <f>N89+Q89+U89+Y89+AC89+AG89+AK89+AO89+AS89+AW89+BA89+BE89+BI89+BM89</f>
        <v/>
      </c>
      <c r="BQ89" s="220">
        <f>N89+R89+V89+Z89+AD89+AH89+AL89+AP89+AT89+AX89+BB89+BF89+BJ89+BN89</f>
        <v/>
      </c>
      <c r="BR89" s="220">
        <f>BP89-BQ89</f>
        <v/>
      </c>
      <c r="BS89" s="254" t="n">
        <v>0.08</v>
      </c>
      <c r="BT89" s="229" t="n">
        <v>0.015</v>
      </c>
      <c r="BU89" s="230" t="n"/>
      <c r="BV89" s="230" t="n"/>
      <c r="BW89" s="534" t="n"/>
    </row>
    <row r="90" ht="36" customFormat="1" customHeight="1" s="209">
      <c r="A90" s="219" t="n">
        <v>117</v>
      </c>
      <c r="B90" s="220" t="inlineStr">
        <is>
          <t>KQCY0117</t>
        </is>
      </c>
      <c r="C90" s="221" t="inlineStr">
        <is>
          <t>餐饮二分部</t>
        </is>
      </c>
      <c r="D90" s="221" t="inlineStr">
        <is>
          <t>CF450</t>
        </is>
      </c>
      <c r="E90" s="221" t="inlineStr">
        <is>
          <t>天津大学学二食堂</t>
        </is>
      </c>
      <c r="F90" s="219" t="inlineStr">
        <is>
          <t>强责</t>
        </is>
      </c>
      <c r="G90" s="222" t="inlineStr">
        <is>
          <t>徐敏捷</t>
        </is>
      </c>
      <c r="H90" s="503" t="inlineStr">
        <is>
          <t>/</t>
        </is>
      </c>
      <c r="I90" s="232" t="inlineStr">
        <is>
          <t>馄饨（轻食）</t>
        </is>
      </c>
      <c r="J90" s="503" t="inlineStr">
        <is>
          <t>李佳玉</t>
        </is>
      </c>
      <c r="K90" s="545">
        <f>LET(k,D90&amp;"|"&amp;E90&amp;"|"&amp;H90&amp;"|"&amp;I90&amp;"|"&amp;J90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90" s="546" t="n"/>
      <c r="M90" s="224" t="n"/>
      <c r="N90" s="547" t="n">
        <v>59195</v>
      </c>
      <c r="O90" s="548" t="n">
        <v>400000</v>
      </c>
      <c r="P90" s="276" t="n">
        <v>0.17</v>
      </c>
      <c r="Q90" s="461">
        <f>K90*P90</f>
        <v/>
      </c>
      <c r="R90" s="277" t="n">
        <v>42136.26</v>
      </c>
      <c r="S90" s="461">
        <f>Q90-R90</f>
        <v/>
      </c>
      <c r="T90" s="227" t="n">
        <v>0</v>
      </c>
      <c r="U90" s="461">
        <f>K90*T90</f>
        <v/>
      </c>
      <c r="V90" s="227" t="n">
        <v>0</v>
      </c>
      <c r="W90" s="461">
        <f>U90-V90</f>
        <v/>
      </c>
      <c r="X90" s="276" t="n">
        <v>0.02</v>
      </c>
      <c r="Y90" s="461">
        <f>K90*X90</f>
        <v/>
      </c>
      <c r="Z90" s="277" t="n">
        <v>5479.77</v>
      </c>
      <c r="AA90" s="461">
        <f>Y90-Z90</f>
        <v/>
      </c>
      <c r="AB90" s="227" t="n">
        <v>0</v>
      </c>
      <c r="AC90" s="461">
        <f>K90*AB90</f>
        <v/>
      </c>
      <c r="AD90" s="227" t="n">
        <v>0</v>
      </c>
      <c r="AE90" s="461">
        <f>AC90-AD90</f>
        <v/>
      </c>
      <c r="AF90" s="227" t="n">
        <v>0</v>
      </c>
      <c r="AG90" s="461">
        <f>K90*AF90</f>
        <v/>
      </c>
      <c r="AH90" s="227" t="n">
        <v>0</v>
      </c>
      <c r="AI90" s="461">
        <f>AG90-AH90</f>
        <v/>
      </c>
      <c r="AJ90" s="227" t="n">
        <v>0</v>
      </c>
      <c r="AK90" s="461">
        <f>K90*AJ90</f>
        <v/>
      </c>
      <c r="AL90" s="227" t="n">
        <v>0</v>
      </c>
      <c r="AM90" s="461">
        <f>AK90-AL90</f>
        <v/>
      </c>
      <c r="AN90" s="227" t="n">
        <v>0</v>
      </c>
      <c r="AO90" s="461">
        <f>K90*AN90</f>
        <v/>
      </c>
      <c r="AP90" s="461" t="n">
        <v>0</v>
      </c>
      <c r="AQ90" s="461">
        <f>AO90-AP90</f>
        <v/>
      </c>
      <c r="AR90" s="235" t="n">
        <v>0.04</v>
      </c>
      <c r="AS90" s="461">
        <f>K90*AR90</f>
        <v/>
      </c>
      <c r="AT90" s="277" t="n">
        <v>10959.55</v>
      </c>
      <c r="AU90" s="461">
        <f>AS90-AT90</f>
        <v/>
      </c>
      <c r="AV90" s="235" t="n">
        <v>0.04</v>
      </c>
      <c r="AW90" s="461">
        <f>K90*AV90</f>
        <v/>
      </c>
      <c r="AX90" s="277" t="n">
        <v>10475.37</v>
      </c>
      <c r="AY90" s="461">
        <f>AW90-AX90</f>
        <v/>
      </c>
      <c r="AZ90" s="227" t="n">
        <v>0</v>
      </c>
      <c r="BA90" s="461">
        <f>K90*AZ90</f>
        <v/>
      </c>
      <c r="BB90" s="278" t="n">
        <v>0</v>
      </c>
      <c r="BC90" s="461">
        <f>BA90-BB90</f>
        <v/>
      </c>
      <c r="BD90" s="279" t="n"/>
      <c r="BE90" s="461">
        <f>K90*BD90</f>
        <v/>
      </c>
      <c r="BF90" s="279" t="n">
        <v>0</v>
      </c>
      <c r="BG90" s="461">
        <f>BE90-BF90</f>
        <v/>
      </c>
      <c r="BH90" s="279" t="n"/>
      <c r="BI90" s="461">
        <f>K90*BH90</f>
        <v/>
      </c>
      <c r="BJ90" s="279" t="n">
        <v>0</v>
      </c>
      <c r="BK90" s="461">
        <f>BI90-BJ90</f>
        <v/>
      </c>
      <c r="BL90" s="279" t="inlineStr">
        <is>
          <t>按实</t>
        </is>
      </c>
      <c r="BM90" s="220">
        <f>BN90</f>
        <v/>
      </c>
      <c r="BN90" s="280" t="n">
        <v>139626.01</v>
      </c>
      <c r="BO90" s="220">
        <f>BM90-BN90</f>
        <v/>
      </c>
      <c r="BP90" s="220">
        <f>N90+Q90+U90+Y90+AC90+AG90+AK90+AO90+AS90+AW90+BA90+BE90+BI90+BM90</f>
        <v/>
      </c>
      <c r="BQ90" s="220">
        <f>N90+R90+V90+Z90+AD90+AH90+AL90+AP90+AT90+AX90+BB90+BF90+BJ90+BN90</f>
        <v/>
      </c>
      <c r="BR90" s="220">
        <f>BP90-BQ90</f>
        <v/>
      </c>
      <c r="BS90" s="227" t="inlineStr">
        <is>
          <t>/</t>
        </is>
      </c>
      <c r="BT90" s="227" t="inlineStr">
        <is>
          <t>/</t>
        </is>
      </c>
      <c r="BU90" s="230" t="n"/>
      <c r="BV90" s="230" t="inlineStr">
        <is>
          <t xml:space="preserve">
1、签订期间：2026.1.1-2026.8.1；
2、指标按照全年换算；</t>
        </is>
      </c>
      <c r="BW90" s="534" t="n"/>
    </row>
    <row r="91" ht="36" customFormat="1" customHeight="1" s="209">
      <c r="A91" s="219" t="n">
        <v>118</v>
      </c>
      <c r="B91" s="220" t="inlineStr">
        <is>
          <t>KQCY0118</t>
        </is>
      </c>
      <c r="C91" s="221" t="inlineStr">
        <is>
          <t>餐饮二分部</t>
        </is>
      </c>
      <c r="D91" s="221" t="inlineStr">
        <is>
          <t>CF450</t>
        </is>
      </c>
      <c r="E91" s="221" t="inlineStr">
        <is>
          <t>天津大学学二食堂</t>
        </is>
      </c>
      <c r="F91" s="219" t="inlineStr">
        <is>
          <t>强责</t>
        </is>
      </c>
      <c r="G91" s="222" t="inlineStr">
        <is>
          <t>徐敏捷</t>
        </is>
      </c>
      <c r="H91" s="503" t="inlineStr">
        <is>
          <t>/</t>
        </is>
      </c>
      <c r="I91" s="237" t="inlineStr">
        <is>
          <t>面夫子</t>
        </is>
      </c>
      <c r="J91" s="461" t="inlineStr">
        <is>
          <t>刘魁</t>
        </is>
      </c>
      <c r="K91" s="545">
        <f>LET(k,D91&amp;"|"&amp;E91&amp;"|"&amp;H91&amp;"|"&amp;I91&amp;"|"&amp;J91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91" s="546" t="n"/>
      <c r="M91" s="224" t="n"/>
      <c r="N91" s="547" t="n"/>
      <c r="O91" s="548" t="n">
        <v>380000</v>
      </c>
      <c r="P91" s="276" t="n">
        <v>0.15</v>
      </c>
      <c r="Q91" s="461">
        <f>K91*P91</f>
        <v/>
      </c>
      <c r="R91" s="277" t="n"/>
      <c r="S91" s="461">
        <f>Q91-R91</f>
        <v/>
      </c>
      <c r="T91" s="227" t="n">
        <v>0</v>
      </c>
      <c r="U91" s="461">
        <f>K91*T91</f>
        <v/>
      </c>
      <c r="V91" s="227" t="n"/>
      <c r="W91" s="461">
        <f>U91-V91</f>
        <v/>
      </c>
      <c r="X91" s="276" t="n">
        <v>0.02</v>
      </c>
      <c r="Y91" s="461">
        <f>K91*X91</f>
        <v/>
      </c>
      <c r="Z91" s="277" t="n"/>
      <c r="AA91" s="461">
        <f>Y91-Z91</f>
        <v/>
      </c>
      <c r="AB91" s="227" t="n">
        <v>0</v>
      </c>
      <c r="AC91" s="461">
        <f>K91*AB91</f>
        <v/>
      </c>
      <c r="AD91" s="227" t="n"/>
      <c r="AE91" s="461">
        <f>AC91-AD91</f>
        <v/>
      </c>
      <c r="AF91" s="227" t="n">
        <v>0</v>
      </c>
      <c r="AG91" s="461">
        <f>K91*AF91</f>
        <v/>
      </c>
      <c r="AH91" s="227" t="n"/>
      <c r="AI91" s="461">
        <f>AG91-AH91</f>
        <v/>
      </c>
      <c r="AJ91" s="227" t="n">
        <v>0</v>
      </c>
      <c r="AK91" s="461">
        <f>K91*AJ91</f>
        <v/>
      </c>
      <c r="AL91" s="227" t="n"/>
      <c r="AM91" s="461">
        <f>AK91-AL91</f>
        <v/>
      </c>
      <c r="AN91" s="227" t="n">
        <v>0</v>
      </c>
      <c r="AO91" s="461">
        <f>K91*AN91</f>
        <v/>
      </c>
      <c r="AP91" s="461" t="n"/>
      <c r="AQ91" s="461">
        <f>AO91-AP91</f>
        <v/>
      </c>
      <c r="AR91" s="235" t="n">
        <v>0.04</v>
      </c>
      <c r="AS91" s="461">
        <f>K91*AR91</f>
        <v/>
      </c>
      <c r="AT91" s="277" t="n"/>
      <c r="AU91" s="461">
        <f>AS91-AT91</f>
        <v/>
      </c>
      <c r="AV91" s="235" t="n">
        <v>0.04</v>
      </c>
      <c r="AW91" s="461">
        <f>K91*AV91</f>
        <v/>
      </c>
      <c r="AX91" s="277" t="n"/>
      <c r="AY91" s="461">
        <f>AW91-AX91</f>
        <v/>
      </c>
      <c r="AZ91" s="227" t="n">
        <v>0</v>
      </c>
      <c r="BA91" s="461">
        <f>K91*AZ91</f>
        <v/>
      </c>
      <c r="BB91" s="278" t="n"/>
      <c r="BC91" s="461">
        <f>BA91-BB91</f>
        <v/>
      </c>
      <c r="BD91" s="279" t="n"/>
      <c r="BE91" s="461">
        <f>K91*BD91</f>
        <v/>
      </c>
      <c r="BF91" s="279" t="n"/>
      <c r="BG91" s="461">
        <f>BE91-BF91</f>
        <v/>
      </c>
      <c r="BH91" s="279" t="n"/>
      <c r="BI91" s="461">
        <f>K91*BH91</f>
        <v/>
      </c>
      <c r="BJ91" s="279" t="n"/>
      <c r="BK91" s="461">
        <f>BI91-BJ91</f>
        <v/>
      </c>
      <c r="BL91" s="279" t="inlineStr">
        <is>
          <t>按实</t>
        </is>
      </c>
      <c r="BM91" s="220">
        <f>BN91</f>
        <v/>
      </c>
      <c r="BN91" s="280" t="n"/>
      <c r="BO91" s="220">
        <f>BM91-BN91</f>
        <v/>
      </c>
      <c r="BP91" s="220">
        <f>N91+Q91+U91+Y91+AC91+AG91+AK91+AO91+AS91+AW91+BA91+BE91+BI91+BM91</f>
        <v/>
      </c>
      <c r="BQ91" s="220">
        <f>N91+R91+V91+Z91+AD91+AH91+AL91+AP91+AT91+AX91+BB91+BF91+BJ91+BN91</f>
        <v/>
      </c>
      <c r="BR91" s="220">
        <f>BP91-BQ91</f>
        <v/>
      </c>
      <c r="BS91" s="227" t="inlineStr">
        <is>
          <t>/</t>
        </is>
      </c>
      <c r="BT91" s="227" t="inlineStr">
        <is>
          <t>/</t>
        </is>
      </c>
      <c r="BU91" s="230" t="n"/>
      <c r="BV91" s="230" t="inlineStr">
        <is>
          <t xml:space="preserve">
1、签订期间：2026.1.1-2026.8.1；
2、指标按照全年换算；</t>
        </is>
      </c>
      <c r="BW91" s="534" t="n"/>
    </row>
    <row r="92" ht="36" customFormat="1" customHeight="1" s="209">
      <c r="A92" s="219" t="n">
        <v>119</v>
      </c>
      <c r="B92" s="220" t="inlineStr">
        <is>
          <t>KQCY0119</t>
        </is>
      </c>
      <c r="C92" s="221" t="inlineStr">
        <is>
          <t>餐饮二分部</t>
        </is>
      </c>
      <c r="D92" s="221" t="inlineStr">
        <is>
          <t>CF450</t>
        </is>
      </c>
      <c r="E92" s="221" t="inlineStr">
        <is>
          <t>天津大学学二食堂</t>
        </is>
      </c>
      <c r="F92" s="219" t="inlineStr">
        <is>
          <t>强责</t>
        </is>
      </c>
      <c r="G92" s="222" t="inlineStr">
        <is>
          <t>徐敏捷</t>
        </is>
      </c>
      <c r="H92" s="503" t="inlineStr">
        <is>
          <t>/</t>
        </is>
      </c>
      <c r="I92" s="237" t="inlineStr">
        <is>
          <t>滑蛋饭</t>
        </is>
      </c>
      <c r="J92" s="503" t="inlineStr">
        <is>
          <t>李保</t>
        </is>
      </c>
      <c r="K92" s="545">
        <f>LET(k,D92&amp;"|"&amp;E92&amp;"|"&amp;H92&amp;"|"&amp;I92&amp;"|"&amp;J92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92" s="546" t="n"/>
      <c r="M92" s="224" t="n"/>
      <c r="N92" s="547" t="n"/>
      <c r="O92" s="548" t="n">
        <v>500000</v>
      </c>
      <c r="P92" s="276" t="n">
        <v>0.18</v>
      </c>
      <c r="Q92" s="461">
        <f>K92*P92</f>
        <v/>
      </c>
      <c r="R92" s="277" t="n"/>
      <c r="S92" s="461">
        <f>Q92-R92</f>
        <v/>
      </c>
      <c r="T92" s="227" t="n">
        <v>0</v>
      </c>
      <c r="U92" s="461">
        <f>K92*T92</f>
        <v/>
      </c>
      <c r="V92" s="227" t="n"/>
      <c r="W92" s="461">
        <f>U92-V92</f>
        <v/>
      </c>
      <c r="X92" s="276" t="n">
        <v>0.02</v>
      </c>
      <c r="Y92" s="461">
        <f>K92*X92</f>
        <v/>
      </c>
      <c r="Z92" s="277" t="n"/>
      <c r="AA92" s="461">
        <f>Y92-Z92</f>
        <v/>
      </c>
      <c r="AB92" s="227" t="n">
        <v>0</v>
      </c>
      <c r="AC92" s="461">
        <f>K92*AB92</f>
        <v/>
      </c>
      <c r="AD92" s="227" t="n"/>
      <c r="AE92" s="461">
        <f>AC92-AD92</f>
        <v/>
      </c>
      <c r="AF92" s="227" t="n">
        <v>0</v>
      </c>
      <c r="AG92" s="461">
        <f>K92*AF92</f>
        <v/>
      </c>
      <c r="AH92" s="227" t="n"/>
      <c r="AI92" s="461">
        <f>AG92-AH92</f>
        <v/>
      </c>
      <c r="AJ92" s="227" t="n">
        <v>0</v>
      </c>
      <c r="AK92" s="461">
        <f>K92*AJ92</f>
        <v/>
      </c>
      <c r="AL92" s="227" t="n"/>
      <c r="AM92" s="461">
        <f>AK92-AL92</f>
        <v/>
      </c>
      <c r="AN92" s="227" t="n">
        <v>0</v>
      </c>
      <c r="AO92" s="461">
        <f>K92*AN92</f>
        <v/>
      </c>
      <c r="AP92" s="461" t="n"/>
      <c r="AQ92" s="461">
        <f>AO92-AP92</f>
        <v/>
      </c>
      <c r="AR92" s="235" t="n">
        <v>0.04</v>
      </c>
      <c r="AS92" s="461">
        <f>K92*AR92</f>
        <v/>
      </c>
      <c r="AT92" s="277" t="n"/>
      <c r="AU92" s="461">
        <f>AS92-AT92</f>
        <v/>
      </c>
      <c r="AV92" s="235" t="n">
        <v>0.04</v>
      </c>
      <c r="AW92" s="461">
        <f>K92*AV92</f>
        <v/>
      </c>
      <c r="AX92" s="277" t="n"/>
      <c r="AY92" s="461">
        <f>AW92-AX92</f>
        <v/>
      </c>
      <c r="AZ92" s="227" t="n">
        <v>0</v>
      </c>
      <c r="BA92" s="461">
        <f>K92*AZ92</f>
        <v/>
      </c>
      <c r="BB92" s="278" t="n"/>
      <c r="BC92" s="461">
        <f>BA92-BB92</f>
        <v/>
      </c>
      <c r="BD92" s="279" t="n"/>
      <c r="BE92" s="461">
        <f>K92*BD92</f>
        <v/>
      </c>
      <c r="BF92" s="279" t="n"/>
      <c r="BG92" s="461">
        <f>BE92-BF92</f>
        <v/>
      </c>
      <c r="BH92" s="279" t="n"/>
      <c r="BI92" s="461">
        <f>K92*BH92</f>
        <v/>
      </c>
      <c r="BJ92" s="279" t="n"/>
      <c r="BK92" s="461">
        <f>BI92-BJ92</f>
        <v/>
      </c>
      <c r="BL92" s="279" t="inlineStr">
        <is>
          <t>按实</t>
        </is>
      </c>
      <c r="BM92" s="220">
        <f>BN92</f>
        <v/>
      </c>
      <c r="BN92" s="280" t="n"/>
      <c r="BO92" s="220">
        <f>BM92-BN92</f>
        <v/>
      </c>
      <c r="BP92" s="220">
        <f>N92+Q92+U92+Y92+AC92+AG92+AK92+AO92+AS92+AW92+BA92+BE92+BI92+BM92</f>
        <v/>
      </c>
      <c r="BQ92" s="220">
        <f>N92+R92+V92+Z92+AD92+AH92+AL92+AP92+AT92+AX92+BB92+BF92+BJ92+BN92</f>
        <v/>
      </c>
      <c r="BR92" s="220">
        <f>BP92-BQ92</f>
        <v/>
      </c>
      <c r="BS92" s="227" t="inlineStr">
        <is>
          <t>/</t>
        </is>
      </c>
      <c r="BT92" s="227" t="inlineStr">
        <is>
          <t>/</t>
        </is>
      </c>
      <c r="BU92" s="230" t="n"/>
      <c r="BV92" s="230" t="inlineStr">
        <is>
          <t xml:space="preserve">
1、签订期间：2026.1.1-2026.8.1；
2、指标按照全年换算；</t>
        </is>
      </c>
      <c r="BW92" s="534" t="n"/>
    </row>
    <row r="93" ht="36" customFormat="1" customHeight="1" s="209">
      <c r="A93" s="219" t="n">
        <v>120</v>
      </c>
      <c r="B93" s="220" t="inlineStr">
        <is>
          <t>KQCY0120</t>
        </is>
      </c>
      <c r="C93" s="221" t="inlineStr">
        <is>
          <t>餐饮二分部</t>
        </is>
      </c>
      <c r="D93" s="221" t="inlineStr">
        <is>
          <t>CF450</t>
        </is>
      </c>
      <c r="E93" s="221" t="inlineStr">
        <is>
          <t>天津大学学二食堂</t>
        </is>
      </c>
      <c r="F93" s="219" t="inlineStr">
        <is>
          <t>强责</t>
        </is>
      </c>
      <c r="G93" s="222" t="inlineStr">
        <is>
          <t>徐敏捷</t>
        </is>
      </c>
      <c r="H93" s="503" t="inlineStr">
        <is>
          <t>/</t>
        </is>
      </c>
      <c r="I93" s="237" t="inlineStr">
        <is>
          <t>基本伙窗口</t>
        </is>
      </c>
      <c r="J93" s="503" t="inlineStr">
        <is>
          <t>孟祥东</t>
        </is>
      </c>
      <c r="K93" s="545">
        <f>LET(k,D93&amp;"|"&amp;E93&amp;"|"&amp;H93&amp;"|"&amp;I93&amp;"|"&amp;J93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93" s="546" t="n"/>
      <c r="M93" s="224" t="n"/>
      <c r="N93" s="547" t="n"/>
      <c r="O93" s="548" t="n">
        <v>800000</v>
      </c>
      <c r="P93" s="276" t="n">
        <v>0.1</v>
      </c>
      <c r="Q93" s="461">
        <f>K93*P93</f>
        <v/>
      </c>
      <c r="R93" s="277" t="n"/>
      <c r="S93" s="461">
        <f>Q93-R93</f>
        <v/>
      </c>
      <c r="T93" s="227" t="n">
        <v>0</v>
      </c>
      <c r="U93" s="461">
        <f>K93*T93</f>
        <v/>
      </c>
      <c r="V93" s="227" t="n"/>
      <c r="W93" s="461">
        <f>U93-V93</f>
        <v/>
      </c>
      <c r="X93" s="276" t="n">
        <v>0.02</v>
      </c>
      <c r="Y93" s="461">
        <f>K93*X93</f>
        <v/>
      </c>
      <c r="Z93" s="277" t="n"/>
      <c r="AA93" s="461">
        <f>Y93-Z93</f>
        <v/>
      </c>
      <c r="AB93" s="227" t="n">
        <v>0</v>
      </c>
      <c r="AC93" s="461">
        <f>K93*AB93</f>
        <v/>
      </c>
      <c r="AD93" s="227" t="n"/>
      <c r="AE93" s="461">
        <f>AC93-AD93</f>
        <v/>
      </c>
      <c r="AF93" s="227" t="n">
        <v>0</v>
      </c>
      <c r="AG93" s="461">
        <f>K93*AF93</f>
        <v/>
      </c>
      <c r="AH93" s="227" t="n"/>
      <c r="AI93" s="461">
        <f>AG93-AH93</f>
        <v/>
      </c>
      <c r="AJ93" s="227" t="n">
        <v>0</v>
      </c>
      <c r="AK93" s="461">
        <f>K93*AJ93</f>
        <v/>
      </c>
      <c r="AL93" s="227" t="n"/>
      <c r="AM93" s="461">
        <f>AK93-AL93</f>
        <v/>
      </c>
      <c r="AN93" s="227" t="n">
        <v>0</v>
      </c>
      <c r="AO93" s="461">
        <f>K93*AN93</f>
        <v/>
      </c>
      <c r="AP93" s="461" t="n"/>
      <c r="AQ93" s="461">
        <f>AO93-AP93</f>
        <v/>
      </c>
      <c r="AR93" s="235" t="n">
        <v>0.04</v>
      </c>
      <c r="AS93" s="461">
        <f>K93*AR93</f>
        <v/>
      </c>
      <c r="AT93" s="277" t="n"/>
      <c r="AU93" s="461">
        <f>AS93-AT93</f>
        <v/>
      </c>
      <c r="AV93" s="235" t="n">
        <v>0.04</v>
      </c>
      <c r="AW93" s="461">
        <f>K93*AV93</f>
        <v/>
      </c>
      <c r="AX93" s="277" t="n"/>
      <c r="AY93" s="461">
        <f>AW93-AX93</f>
        <v/>
      </c>
      <c r="AZ93" s="227" t="n">
        <v>0</v>
      </c>
      <c r="BA93" s="461">
        <f>K93*AZ93</f>
        <v/>
      </c>
      <c r="BB93" s="278" t="n"/>
      <c r="BC93" s="461">
        <f>BA93-BB93</f>
        <v/>
      </c>
      <c r="BD93" s="279" t="n"/>
      <c r="BE93" s="461">
        <f>K93*BD93</f>
        <v/>
      </c>
      <c r="BF93" s="279" t="n"/>
      <c r="BG93" s="461">
        <f>BE93-BF93</f>
        <v/>
      </c>
      <c r="BH93" s="279" t="n"/>
      <c r="BI93" s="461">
        <f>K93*BH93</f>
        <v/>
      </c>
      <c r="BJ93" s="279" t="n"/>
      <c r="BK93" s="461">
        <f>BI93-BJ93</f>
        <v/>
      </c>
      <c r="BL93" s="279" t="inlineStr">
        <is>
          <t>按实</t>
        </is>
      </c>
      <c r="BM93" s="220">
        <f>BN93</f>
        <v/>
      </c>
      <c r="BN93" s="280" t="n"/>
      <c r="BO93" s="220">
        <f>BM93-BN93</f>
        <v/>
      </c>
      <c r="BP93" s="220">
        <f>N93+Q93+U93+Y93+AC93+AG93+AK93+AO93+AS93+AW93+BA93+BE93+BI93+BM93</f>
        <v/>
      </c>
      <c r="BQ93" s="220">
        <f>N93+R93+V93+Z93+AD93+AH93+AL93+AP93+AT93+AX93+BB93+BF93+BJ93+BN93</f>
        <v/>
      </c>
      <c r="BR93" s="220">
        <f>BP93-BQ93</f>
        <v/>
      </c>
      <c r="BS93" s="227" t="inlineStr">
        <is>
          <t>/</t>
        </is>
      </c>
      <c r="BT93" s="227" t="inlineStr">
        <is>
          <t>/</t>
        </is>
      </c>
      <c r="BU93" s="230" t="n"/>
      <c r="BV93" s="230" t="inlineStr">
        <is>
          <t xml:space="preserve">
1、签订期间：2026.1.1-2026.8.1；
2、指标按照全年换算；</t>
        </is>
      </c>
      <c r="BW93" s="534" t="n"/>
    </row>
    <row r="94" ht="36" customFormat="1" customHeight="1" s="209">
      <c r="A94" s="219" t="n">
        <v>121</v>
      </c>
      <c r="B94" s="220" t="inlineStr">
        <is>
          <t>KQCY0121</t>
        </is>
      </c>
      <c r="C94" s="221" t="inlineStr">
        <is>
          <t>餐饮二分部</t>
        </is>
      </c>
      <c r="D94" s="221" t="inlineStr">
        <is>
          <t>CF450</t>
        </is>
      </c>
      <c r="E94" s="221" t="inlineStr">
        <is>
          <t>天津大学学二食堂</t>
        </is>
      </c>
      <c r="F94" s="219" t="inlineStr">
        <is>
          <t>强责</t>
        </is>
      </c>
      <c r="G94" s="222" t="inlineStr">
        <is>
          <t>徐敏捷</t>
        </is>
      </c>
      <c r="H94" s="503" t="inlineStr">
        <is>
          <t>/</t>
        </is>
      </c>
      <c r="I94" s="237" t="inlineStr">
        <is>
          <t>小卖部</t>
        </is>
      </c>
      <c r="J94" s="503" t="inlineStr">
        <is>
          <t>张玉珠</t>
        </is>
      </c>
      <c r="K94" s="545">
        <f>LET(k,D94&amp;"|"&amp;E94&amp;"|"&amp;H94&amp;"|"&amp;I94&amp;"|"&amp;J94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94" s="546" t="n"/>
      <c r="M94" s="224" t="n"/>
      <c r="N94" s="547" t="n"/>
      <c r="O94" s="548" t="n">
        <v>240000</v>
      </c>
      <c r="P94" s="276" t="n">
        <v>0.02</v>
      </c>
      <c r="Q94" s="461">
        <f>K94*P94</f>
        <v/>
      </c>
      <c r="R94" s="277" t="n"/>
      <c r="S94" s="461">
        <f>Q94-R94</f>
        <v/>
      </c>
      <c r="T94" s="227" t="n">
        <v>0</v>
      </c>
      <c r="U94" s="461">
        <f>K94*T94</f>
        <v/>
      </c>
      <c r="V94" s="227" t="n"/>
      <c r="W94" s="461">
        <f>U94-V94</f>
        <v/>
      </c>
      <c r="X94" s="276" t="n">
        <v>0.02</v>
      </c>
      <c r="Y94" s="461">
        <f>K94*X94</f>
        <v/>
      </c>
      <c r="Z94" s="281" t="n"/>
      <c r="AA94" s="461">
        <f>Y94-Z94</f>
        <v/>
      </c>
      <c r="AB94" s="227" t="n">
        <v>0</v>
      </c>
      <c r="AC94" s="461">
        <f>K94*AB94</f>
        <v/>
      </c>
      <c r="AD94" s="227" t="n"/>
      <c r="AE94" s="461">
        <f>AC94-AD94</f>
        <v/>
      </c>
      <c r="AF94" s="227" t="n">
        <v>0</v>
      </c>
      <c r="AG94" s="461">
        <f>K94*AF94</f>
        <v/>
      </c>
      <c r="AH94" s="227" t="n"/>
      <c r="AI94" s="461">
        <f>AG94-AH94</f>
        <v/>
      </c>
      <c r="AJ94" s="227" t="n">
        <v>0</v>
      </c>
      <c r="AK94" s="461">
        <f>K94*AJ94</f>
        <v/>
      </c>
      <c r="AL94" s="227" t="n"/>
      <c r="AM94" s="461">
        <f>AK94-AL94</f>
        <v/>
      </c>
      <c r="AN94" s="227" t="n">
        <v>0</v>
      </c>
      <c r="AO94" s="461">
        <f>K94*AN94</f>
        <v/>
      </c>
      <c r="AP94" s="461" t="n"/>
      <c r="AQ94" s="461">
        <f>AO94-AP94</f>
        <v/>
      </c>
      <c r="AR94" s="235" t="n">
        <v>0.04</v>
      </c>
      <c r="AS94" s="461">
        <f>K94*AR94</f>
        <v/>
      </c>
      <c r="AT94" s="281" t="n"/>
      <c r="AU94" s="461">
        <f>AS94-AT94</f>
        <v/>
      </c>
      <c r="AV94" s="276" t="n">
        <v>0.01</v>
      </c>
      <c r="AW94" s="461">
        <f>K94*AV94</f>
        <v/>
      </c>
      <c r="AX94" s="281" t="n"/>
      <c r="AY94" s="461">
        <f>AW94-AX94</f>
        <v/>
      </c>
      <c r="AZ94" s="227" t="n">
        <v>0</v>
      </c>
      <c r="BA94" s="461">
        <f>K94*AZ94</f>
        <v/>
      </c>
      <c r="BB94" s="278" t="n"/>
      <c r="BC94" s="461">
        <f>BA94-BB94</f>
        <v/>
      </c>
      <c r="BD94" s="279" t="n"/>
      <c r="BE94" s="461">
        <f>K94*BD94</f>
        <v/>
      </c>
      <c r="BF94" s="279" t="n"/>
      <c r="BG94" s="461">
        <f>BE94-BF94</f>
        <v/>
      </c>
      <c r="BH94" s="279" t="n"/>
      <c r="BI94" s="461">
        <f>K94*BH94</f>
        <v/>
      </c>
      <c r="BJ94" s="279" t="n"/>
      <c r="BK94" s="461">
        <f>BI94-BJ94</f>
        <v/>
      </c>
      <c r="BL94" s="279" t="inlineStr">
        <is>
          <t>按实</t>
        </is>
      </c>
      <c r="BM94" s="220">
        <f>BN94</f>
        <v/>
      </c>
      <c r="BN94" s="280" t="n"/>
      <c r="BO94" s="220">
        <f>BM94-BN94</f>
        <v/>
      </c>
      <c r="BP94" s="220">
        <f>N94+Q94+U94+Y94+AC94+AG94+AK94+AO94+AS94+AW94+BA94+BE94+BI94+BM94</f>
        <v/>
      </c>
      <c r="BQ94" s="220">
        <f>N94+R94+V94+Z94+AD94+AH94+AL94+AP94+AT94+AX94+BB94+BF94+BJ94+BN94</f>
        <v/>
      </c>
      <c r="BR94" s="220">
        <f>BP94-BQ94</f>
        <v/>
      </c>
      <c r="BS94" s="227" t="inlineStr">
        <is>
          <t>/</t>
        </is>
      </c>
      <c r="BT94" s="227" t="inlineStr">
        <is>
          <t>/</t>
        </is>
      </c>
      <c r="BU94" s="230" t="n"/>
      <c r="BV94" s="230" t="inlineStr">
        <is>
          <t xml:space="preserve">
1、签订期间：2026.1.1-2026.8.1；
2、指标按照全年换算；</t>
        </is>
      </c>
      <c r="BW94" s="534" t="n"/>
    </row>
    <row r="95" ht="36" customFormat="1" customHeight="1" s="209">
      <c r="A95" s="219" t="n">
        <v>122</v>
      </c>
      <c r="B95" s="220" t="inlineStr">
        <is>
          <t>KQCY0122</t>
        </is>
      </c>
      <c r="C95" s="221" t="inlineStr">
        <is>
          <t>餐饮二分部</t>
        </is>
      </c>
      <c r="D95" s="221" t="inlineStr">
        <is>
          <t>CF450</t>
        </is>
      </c>
      <c r="E95" s="221" t="inlineStr">
        <is>
          <t>天津大学学二食堂</t>
        </is>
      </c>
      <c r="F95" s="219" t="inlineStr">
        <is>
          <t>强责</t>
        </is>
      </c>
      <c r="G95" s="222" t="inlineStr">
        <is>
          <t>徐敏捷</t>
        </is>
      </c>
      <c r="H95" s="503" t="inlineStr">
        <is>
          <t>/</t>
        </is>
      </c>
      <c r="I95" s="237" t="inlineStr">
        <is>
          <t>黄焖鸡</t>
        </is>
      </c>
      <c r="J95" s="503" t="inlineStr">
        <is>
          <t>蒋彩云</t>
        </is>
      </c>
      <c r="K95" s="545">
        <f>LET(k,D95&amp;"|"&amp;E95&amp;"|"&amp;H95&amp;"|"&amp;I95&amp;"|"&amp;J95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95" s="546" t="n"/>
      <c r="M95" s="224" t="n"/>
      <c r="N95" s="547" t="n"/>
      <c r="O95" s="548" t="n">
        <v>480000</v>
      </c>
      <c r="P95" s="276" t="n">
        <v>0.18</v>
      </c>
      <c r="Q95" s="461">
        <f>K95*P95</f>
        <v/>
      </c>
      <c r="R95" s="277" t="n"/>
      <c r="S95" s="461">
        <f>Q95-R95</f>
        <v/>
      </c>
      <c r="T95" s="227" t="n">
        <v>0</v>
      </c>
      <c r="U95" s="461">
        <f>K95*T95</f>
        <v/>
      </c>
      <c r="V95" s="227" t="n"/>
      <c r="W95" s="461">
        <f>U95-V95</f>
        <v/>
      </c>
      <c r="X95" s="276" t="n">
        <v>0.02</v>
      </c>
      <c r="Y95" s="461">
        <f>K95*X95</f>
        <v/>
      </c>
      <c r="Z95" s="277" t="n"/>
      <c r="AA95" s="461">
        <f>Y95-Z95</f>
        <v/>
      </c>
      <c r="AB95" s="227" t="n">
        <v>0</v>
      </c>
      <c r="AC95" s="461">
        <f>K95*AB95</f>
        <v/>
      </c>
      <c r="AD95" s="227" t="n"/>
      <c r="AE95" s="461">
        <f>AC95-AD95</f>
        <v/>
      </c>
      <c r="AF95" s="227" t="n">
        <v>0</v>
      </c>
      <c r="AG95" s="461">
        <f>K95*AF95</f>
        <v/>
      </c>
      <c r="AH95" s="227" t="n"/>
      <c r="AI95" s="461">
        <f>AG95-AH95</f>
        <v/>
      </c>
      <c r="AJ95" s="227" t="n">
        <v>0</v>
      </c>
      <c r="AK95" s="461">
        <f>K95*AJ95</f>
        <v/>
      </c>
      <c r="AL95" s="227" t="n"/>
      <c r="AM95" s="461">
        <f>AK95-AL95</f>
        <v/>
      </c>
      <c r="AN95" s="227" t="n">
        <v>0</v>
      </c>
      <c r="AO95" s="461">
        <f>K95*AN95</f>
        <v/>
      </c>
      <c r="AP95" s="461" t="n"/>
      <c r="AQ95" s="461">
        <f>AO95-AP95</f>
        <v/>
      </c>
      <c r="AR95" s="235" t="n">
        <v>0.04</v>
      </c>
      <c r="AS95" s="461">
        <f>K95*AR95</f>
        <v/>
      </c>
      <c r="AT95" s="277" t="n"/>
      <c r="AU95" s="461">
        <f>AS95-AT95</f>
        <v/>
      </c>
      <c r="AV95" s="235" t="n">
        <v>0.04</v>
      </c>
      <c r="AW95" s="461">
        <f>K95*AV95</f>
        <v/>
      </c>
      <c r="AX95" s="277" t="n"/>
      <c r="AY95" s="461">
        <f>AW95-AX95</f>
        <v/>
      </c>
      <c r="AZ95" s="227" t="n">
        <v>0</v>
      </c>
      <c r="BA95" s="461">
        <f>K95*AZ95</f>
        <v/>
      </c>
      <c r="BB95" s="278" t="n"/>
      <c r="BC95" s="461">
        <f>BA95-BB95</f>
        <v/>
      </c>
      <c r="BD95" s="279" t="n"/>
      <c r="BE95" s="461">
        <f>K95*BD95</f>
        <v/>
      </c>
      <c r="BF95" s="279" t="n"/>
      <c r="BG95" s="461">
        <f>BE95-BF95</f>
        <v/>
      </c>
      <c r="BH95" s="279" t="n"/>
      <c r="BI95" s="461">
        <f>K95*BH95</f>
        <v/>
      </c>
      <c r="BJ95" s="279" t="n"/>
      <c r="BK95" s="461">
        <f>BI95-BJ95</f>
        <v/>
      </c>
      <c r="BL95" s="279" t="inlineStr">
        <is>
          <t>按实</t>
        </is>
      </c>
      <c r="BM95" s="220">
        <f>BN95</f>
        <v/>
      </c>
      <c r="BN95" s="280" t="n"/>
      <c r="BO95" s="220">
        <f>BM95-BN95</f>
        <v/>
      </c>
      <c r="BP95" s="220">
        <f>N95+Q95+U95+Y95+AC95+AG95+AK95+AO95+AS95+AW95+BA95+BE95+BI95+BM95</f>
        <v/>
      </c>
      <c r="BQ95" s="220">
        <f>N95+R95+V95+Z95+AD95+AH95+AL95+AP95+AT95+AX95+BB95+BF95+BJ95+BN95</f>
        <v/>
      </c>
      <c r="BR95" s="220">
        <f>BP95-BQ95</f>
        <v/>
      </c>
      <c r="BS95" s="227" t="inlineStr">
        <is>
          <t>/</t>
        </is>
      </c>
      <c r="BT95" s="227" t="inlineStr">
        <is>
          <t>/</t>
        </is>
      </c>
      <c r="BU95" s="230" t="n"/>
      <c r="BV95" s="230" t="inlineStr">
        <is>
          <t xml:space="preserve">
1、签订期间：2026.1.1-2026.8.1；
2、指标按照全年换算；</t>
        </is>
      </c>
      <c r="BW95" s="534" t="n"/>
    </row>
    <row r="96" ht="36" customFormat="1" customHeight="1" s="209">
      <c r="A96" s="219" t="n">
        <v>123</v>
      </c>
      <c r="B96" s="220" t="inlineStr">
        <is>
          <t>KQCY0123</t>
        </is>
      </c>
      <c r="C96" s="221" t="inlineStr">
        <is>
          <t>餐饮二分部</t>
        </is>
      </c>
      <c r="D96" s="221" t="inlineStr">
        <is>
          <t>CF450</t>
        </is>
      </c>
      <c r="E96" s="221" t="inlineStr">
        <is>
          <t>天津大学学二食堂</t>
        </is>
      </c>
      <c r="F96" s="219" t="inlineStr">
        <is>
          <t>强责</t>
        </is>
      </c>
      <c r="G96" s="222" t="inlineStr">
        <is>
          <t>徐敏捷</t>
        </is>
      </c>
      <c r="H96" s="503" t="inlineStr">
        <is>
          <t>/</t>
        </is>
      </c>
      <c r="I96" s="237" t="inlineStr">
        <is>
          <t>南方面条</t>
        </is>
      </c>
      <c r="J96" s="503" t="inlineStr">
        <is>
          <t>孟祥东</t>
        </is>
      </c>
      <c r="K96" s="545">
        <f>LET(k,D96&amp;"|"&amp;E96&amp;"|"&amp;H96&amp;"|"&amp;I96&amp;"|"&amp;J96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96" s="546" t="n"/>
      <c r="M96" s="224" t="n"/>
      <c r="N96" s="547" t="n"/>
      <c r="O96" s="548" t="n">
        <v>240000</v>
      </c>
      <c r="P96" s="276" t="n">
        <v>0.18</v>
      </c>
      <c r="Q96" s="461">
        <f>K96*P96</f>
        <v/>
      </c>
      <c r="R96" s="277" t="n"/>
      <c r="S96" s="461">
        <f>Q96-R96</f>
        <v/>
      </c>
      <c r="T96" s="227" t="n">
        <v>0</v>
      </c>
      <c r="U96" s="461">
        <f>K96*T96</f>
        <v/>
      </c>
      <c r="V96" s="227" t="n"/>
      <c r="W96" s="461">
        <f>U96-V96</f>
        <v/>
      </c>
      <c r="X96" s="276" t="n">
        <v>0.02</v>
      </c>
      <c r="Y96" s="461">
        <f>K96*X96</f>
        <v/>
      </c>
      <c r="Z96" s="281" t="n"/>
      <c r="AA96" s="461">
        <f>Y96-Z96</f>
        <v/>
      </c>
      <c r="AB96" s="227" t="n">
        <v>0</v>
      </c>
      <c r="AC96" s="461">
        <f>K96*AB96</f>
        <v/>
      </c>
      <c r="AD96" s="227" t="n"/>
      <c r="AE96" s="461">
        <f>AC96-AD96</f>
        <v/>
      </c>
      <c r="AF96" s="227" t="n">
        <v>0</v>
      </c>
      <c r="AG96" s="461">
        <f>K96*AF96</f>
        <v/>
      </c>
      <c r="AH96" s="227" t="n"/>
      <c r="AI96" s="461">
        <f>AG96-AH96</f>
        <v/>
      </c>
      <c r="AJ96" s="227" t="n">
        <v>0</v>
      </c>
      <c r="AK96" s="461">
        <f>K96*AJ96</f>
        <v/>
      </c>
      <c r="AL96" s="227" t="n"/>
      <c r="AM96" s="461">
        <f>AK96-AL96</f>
        <v/>
      </c>
      <c r="AN96" s="227" t="n">
        <v>0</v>
      </c>
      <c r="AO96" s="461">
        <f>K96*AN96</f>
        <v/>
      </c>
      <c r="AP96" s="461" t="n"/>
      <c r="AQ96" s="461">
        <f>AO96-AP96</f>
        <v/>
      </c>
      <c r="AR96" s="235" t="n">
        <v>0.04</v>
      </c>
      <c r="AS96" s="461">
        <f>K96*AR96</f>
        <v/>
      </c>
      <c r="AT96" s="277" t="n"/>
      <c r="AU96" s="461">
        <f>AS96-AT96</f>
        <v/>
      </c>
      <c r="AV96" s="235" t="n">
        <v>0.04</v>
      </c>
      <c r="AW96" s="461">
        <f>K96*AV96</f>
        <v/>
      </c>
      <c r="AX96" s="277" t="n"/>
      <c r="AY96" s="461">
        <f>AW96-AX96</f>
        <v/>
      </c>
      <c r="AZ96" s="227" t="n">
        <v>0</v>
      </c>
      <c r="BA96" s="461">
        <f>K96*AZ96</f>
        <v/>
      </c>
      <c r="BB96" s="278" t="n"/>
      <c r="BC96" s="461">
        <f>BA96-BB96</f>
        <v/>
      </c>
      <c r="BD96" s="279" t="n"/>
      <c r="BE96" s="461">
        <f>K96*BD96</f>
        <v/>
      </c>
      <c r="BF96" s="279" t="n"/>
      <c r="BG96" s="461">
        <f>BE96-BF96</f>
        <v/>
      </c>
      <c r="BH96" s="279" t="n"/>
      <c r="BI96" s="461">
        <f>K96*BH96</f>
        <v/>
      </c>
      <c r="BJ96" s="279" t="n"/>
      <c r="BK96" s="461">
        <f>BI96-BJ96</f>
        <v/>
      </c>
      <c r="BL96" s="279" t="inlineStr">
        <is>
          <t>按实</t>
        </is>
      </c>
      <c r="BM96" s="220">
        <f>BN96</f>
        <v/>
      </c>
      <c r="BN96" s="280" t="n"/>
      <c r="BO96" s="220">
        <f>BM96-BN96</f>
        <v/>
      </c>
      <c r="BP96" s="220">
        <f>N96+Q96+U96+Y96+AC96+AG96+AK96+AO96+AS96+AW96+BA96+BE96+BI96+BM96</f>
        <v/>
      </c>
      <c r="BQ96" s="220">
        <f>N96+R96+V96+Z96+AD96+AH96+AL96+AP96+AT96+AX96+BB96+BF96+BJ96+BN96</f>
        <v/>
      </c>
      <c r="BR96" s="220">
        <f>BP96-BQ96</f>
        <v/>
      </c>
      <c r="BS96" s="227" t="inlineStr">
        <is>
          <t>/</t>
        </is>
      </c>
      <c r="BT96" s="227" t="inlineStr">
        <is>
          <t>/</t>
        </is>
      </c>
      <c r="BU96" s="230" t="n"/>
      <c r="BV96" s="230" t="inlineStr">
        <is>
          <t xml:space="preserve">
1、签订期间：2026.1.1-2026.8.1；
2、指标按照全年换算；</t>
        </is>
      </c>
      <c r="BW96" s="534" t="n"/>
    </row>
    <row r="97" ht="36" customFormat="1" customHeight="1" s="209">
      <c r="A97" s="219" t="n">
        <v>124</v>
      </c>
      <c r="B97" s="220" t="inlineStr">
        <is>
          <t>KQCY0124</t>
        </is>
      </c>
      <c r="C97" s="221" t="inlineStr">
        <is>
          <t>餐饮二分部</t>
        </is>
      </c>
      <c r="D97" s="221" t="inlineStr">
        <is>
          <t>CF450</t>
        </is>
      </c>
      <c r="E97" s="221" t="inlineStr">
        <is>
          <t>天津大学学二食堂</t>
        </is>
      </c>
      <c r="F97" s="219" t="inlineStr">
        <is>
          <t>强责</t>
        </is>
      </c>
      <c r="G97" s="222" t="inlineStr">
        <is>
          <t>徐敏捷</t>
        </is>
      </c>
      <c r="H97" s="503" t="inlineStr">
        <is>
          <t>/</t>
        </is>
      </c>
      <c r="I97" s="237" t="inlineStr">
        <is>
          <t>饸饹面</t>
        </is>
      </c>
      <c r="J97" s="503" t="inlineStr">
        <is>
          <t>要志远</t>
        </is>
      </c>
      <c r="K97" s="545">
        <f>LET(k,D97&amp;"|"&amp;E97&amp;"|"&amp;H97&amp;"|"&amp;I97&amp;"|"&amp;J97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97" s="546" t="n"/>
      <c r="M97" s="224" t="n"/>
      <c r="N97" s="547" t="n"/>
      <c r="O97" s="548" t="n">
        <v>220000</v>
      </c>
      <c r="P97" s="276" t="n">
        <v>0.18</v>
      </c>
      <c r="Q97" s="461">
        <f>K97*P97</f>
        <v/>
      </c>
      <c r="R97" s="277" t="n"/>
      <c r="S97" s="461">
        <f>Q97-R97</f>
        <v/>
      </c>
      <c r="T97" s="227" t="n">
        <v>0</v>
      </c>
      <c r="U97" s="461">
        <f>K97*T97</f>
        <v/>
      </c>
      <c r="V97" s="227" t="n"/>
      <c r="W97" s="461">
        <f>U97-V97</f>
        <v/>
      </c>
      <c r="X97" s="276" t="n">
        <v>0.02</v>
      </c>
      <c r="Y97" s="461">
        <f>K97*X97</f>
        <v/>
      </c>
      <c r="Z97" s="281" t="n"/>
      <c r="AA97" s="461">
        <f>Y97-Z97</f>
        <v/>
      </c>
      <c r="AB97" s="227" t="n">
        <v>0</v>
      </c>
      <c r="AC97" s="461">
        <f>K97*AB97</f>
        <v/>
      </c>
      <c r="AD97" s="227" t="n"/>
      <c r="AE97" s="461">
        <f>AC97-AD97</f>
        <v/>
      </c>
      <c r="AF97" s="227" t="n">
        <v>0</v>
      </c>
      <c r="AG97" s="461">
        <f>K97*AF97</f>
        <v/>
      </c>
      <c r="AH97" s="227" t="n"/>
      <c r="AI97" s="461">
        <f>AG97-AH97</f>
        <v/>
      </c>
      <c r="AJ97" s="227" t="n">
        <v>0</v>
      </c>
      <c r="AK97" s="461">
        <f>K97*AJ97</f>
        <v/>
      </c>
      <c r="AL97" s="227" t="n"/>
      <c r="AM97" s="461">
        <f>AK97-AL97</f>
        <v/>
      </c>
      <c r="AN97" s="227" t="n">
        <v>0</v>
      </c>
      <c r="AO97" s="461">
        <f>K97*AN97</f>
        <v/>
      </c>
      <c r="AP97" s="461" t="n"/>
      <c r="AQ97" s="461">
        <f>AO97-AP97</f>
        <v/>
      </c>
      <c r="AR97" s="235" t="n">
        <v>0.04</v>
      </c>
      <c r="AS97" s="461">
        <f>K97*AR97</f>
        <v/>
      </c>
      <c r="AT97" s="277" t="n"/>
      <c r="AU97" s="461">
        <f>AS97-AT97</f>
        <v/>
      </c>
      <c r="AV97" s="235" t="n">
        <v>0.04</v>
      </c>
      <c r="AW97" s="461">
        <f>K97*AV97</f>
        <v/>
      </c>
      <c r="AX97" s="277" t="n"/>
      <c r="AY97" s="461">
        <f>AW97-AX97</f>
        <v/>
      </c>
      <c r="AZ97" s="227" t="n">
        <v>0</v>
      </c>
      <c r="BA97" s="461">
        <f>K97*AZ97</f>
        <v/>
      </c>
      <c r="BB97" s="278" t="n"/>
      <c r="BC97" s="461">
        <f>BA97-BB97</f>
        <v/>
      </c>
      <c r="BD97" s="279" t="n"/>
      <c r="BE97" s="461">
        <f>K97*BD97</f>
        <v/>
      </c>
      <c r="BF97" s="279" t="n"/>
      <c r="BG97" s="461">
        <f>BE97-BF97</f>
        <v/>
      </c>
      <c r="BH97" s="279" t="n"/>
      <c r="BI97" s="461">
        <f>K97*BH97</f>
        <v/>
      </c>
      <c r="BJ97" s="279" t="n"/>
      <c r="BK97" s="461">
        <f>BI97-BJ97</f>
        <v/>
      </c>
      <c r="BL97" s="279" t="inlineStr">
        <is>
          <t>按实</t>
        </is>
      </c>
      <c r="BM97" s="220">
        <f>BN97</f>
        <v/>
      </c>
      <c r="BN97" s="280" t="n"/>
      <c r="BO97" s="220">
        <f>BM97-BN97</f>
        <v/>
      </c>
      <c r="BP97" s="220">
        <f>N97+Q97+U97+Y97+AC97+AG97+AK97+AO97+AS97+AW97+BA97+BE97+BI97+BM97</f>
        <v/>
      </c>
      <c r="BQ97" s="220">
        <f>N97+R97+V97+Z97+AD97+AH97+AL97+AP97+AT97+AX97+BB97+BF97+BJ97+BN97</f>
        <v/>
      </c>
      <c r="BR97" s="220">
        <f>BP97-BQ97</f>
        <v/>
      </c>
      <c r="BS97" s="227" t="inlineStr">
        <is>
          <t>/</t>
        </is>
      </c>
      <c r="BT97" s="227" t="inlineStr">
        <is>
          <t>/</t>
        </is>
      </c>
      <c r="BU97" s="230" t="n"/>
      <c r="BV97" s="230" t="inlineStr">
        <is>
          <t xml:space="preserve">
1、签订期间：2026.1.1-2026.8.1；
2、指标按照全年换算；</t>
        </is>
      </c>
      <c r="BW97" s="534" t="n"/>
    </row>
    <row r="98" ht="36" customFormat="1" customHeight="1" s="209">
      <c r="A98" s="219" t="n">
        <v>125</v>
      </c>
      <c r="B98" s="220" t="inlineStr">
        <is>
          <t>KQCY0125</t>
        </is>
      </c>
      <c r="C98" s="221" t="inlineStr">
        <is>
          <t>餐饮二分部</t>
        </is>
      </c>
      <c r="D98" s="221" t="inlineStr">
        <is>
          <t>CF450</t>
        </is>
      </c>
      <c r="E98" s="221" t="inlineStr">
        <is>
          <t>天津大学学二食堂</t>
        </is>
      </c>
      <c r="F98" s="219" t="inlineStr">
        <is>
          <t>强责</t>
        </is>
      </c>
      <c r="G98" s="222" t="inlineStr">
        <is>
          <t>徐敏捷</t>
        </is>
      </c>
      <c r="H98" s="503" t="inlineStr">
        <is>
          <t>/</t>
        </is>
      </c>
      <c r="I98" s="237" t="inlineStr">
        <is>
          <t>麻辣烫</t>
        </is>
      </c>
      <c r="J98" s="503" t="inlineStr">
        <is>
          <t>孟迪</t>
        </is>
      </c>
      <c r="K98" s="545">
        <f>LET(k,D98&amp;"|"&amp;E98&amp;"|"&amp;H98&amp;"|"&amp;I98&amp;"|"&amp;J98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98" s="546" t="n"/>
      <c r="M98" s="224" t="n"/>
      <c r="N98" s="547" t="n"/>
      <c r="O98" s="548" t="n">
        <v>300000</v>
      </c>
      <c r="P98" s="276" t="n">
        <v>0.18</v>
      </c>
      <c r="Q98" s="461">
        <f>K98*P98</f>
        <v/>
      </c>
      <c r="R98" s="277" t="n"/>
      <c r="S98" s="461">
        <f>Q98-R98</f>
        <v/>
      </c>
      <c r="T98" s="227" t="n">
        <v>0</v>
      </c>
      <c r="U98" s="461">
        <f>K98*T98</f>
        <v/>
      </c>
      <c r="V98" s="227" t="n"/>
      <c r="W98" s="461">
        <f>U98-V98</f>
        <v/>
      </c>
      <c r="X98" s="276" t="n">
        <v>0.02</v>
      </c>
      <c r="Y98" s="461">
        <f>K98*X98</f>
        <v/>
      </c>
      <c r="Z98" s="281" t="n"/>
      <c r="AA98" s="461">
        <f>Y98-Z98</f>
        <v/>
      </c>
      <c r="AB98" s="227" t="n">
        <v>0</v>
      </c>
      <c r="AC98" s="461">
        <f>K98*AB98</f>
        <v/>
      </c>
      <c r="AD98" s="227" t="n"/>
      <c r="AE98" s="461">
        <f>AC98-AD98</f>
        <v/>
      </c>
      <c r="AF98" s="227" t="n">
        <v>0</v>
      </c>
      <c r="AG98" s="461">
        <f>K98*AF98</f>
        <v/>
      </c>
      <c r="AH98" s="227" t="n"/>
      <c r="AI98" s="461">
        <f>AG98-AH98</f>
        <v/>
      </c>
      <c r="AJ98" s="227" t="n">
        <v>0</v>
      </c>
      <c r="AK98" s="461">
        <f>K98*AJ98</f>
        <v/>
      </c>
      <c r="AL98" s="227" t="n"/>
      <c r="AM98" s="461">
        <f>AK98-AL98</f>
        <v/>
      </c>
      <c r="AN98" s="227" t="n">
        <v>0</v>
      </c>
      <c r="AO98" s="461">
        <f>K98*AN98</f>
        <v/>
      </c>
      <c r="AP98" s="461" t="n"/>
      <c r="AQ98" s="461">
        <f>AO98-AP98</f>
        <v/>
      </c>
      <c r="AR98" s="235" t="n">
        <v>0.04</v>
      </c>
      <c r="AS98" s="461">
        <f>K98*AR98</f>
        <v/>
      </c>
      <c r="AT98" s="277" t="n"/>
      <c r="AU98" s="461">
        <f>AS98-AT98</f>
        <v/>
      </c>
      <c r="AV98" s="235" t="n">
        <v>0.04</v>
      </c>
      <c r="AW98" s="461">
        <f>K98*AV98</f>
        <v/>
      </c>
      <c r="AX98" s="277" t="n"/>
      <c r="AY98" s="461">
        <f>AW98-AX98</f>
        <v/>
      </c>
      <c r="AZ98" s="227" t="n">
        <v>0</v>
      </c>
      <c r="BA98" s="461">
        <f>K98*AZ98</f>
        <v/>
      </c>
      <c r="BB98" s="278" t="n"/>
      <c r="BC98" s="461">
        <f>BA98-BB98</f>
        <v/>
      </c>
      <c r="BD98" s="279" t="n"/>
      <c r="BE98" s="461">
        <f>K98*BD98</f>
        <v/>
      </c>
      <c r="BF98" s="279" t="n"/>
      <c r="BG98" s="461">
        <f>BE98-BF98</f>
        <v/>
      </c>
      <c r="BH98" s="279" t="n"/>
      <c r="BI98" s="461">
        <f>K98*BH98</f>
        <v/>
      </c>
      <c r="BJ98" s="279" t="n"/>
      <c r="BK98" s="461">
        <f>BI98-BJ98</f>
        <v/>
      </c>
      <c r="BL98" s="279" t="inlineStr">
        <is>
          <t>按实</t>
        </is>
      </c>
      <c r="BM98" s="220">
        <f>BN98</f>
        <v/>
      </c>
      <c r="BN98" s="282" t="n"/>
      <c r="BO98" s="220">
        <f>BM98-BN98</f>
        <v/>
      </c>
      <c r="BP98" s="220">
        <f>N98+Q98+U98+Y98+AC98+AG98+AK98+AO98+AS98+AW98+BA98+BE98+BI98+BM98</f>
        <v/>
      </c>
      <c r="BQ98" s="220">
        <f>N98+R98+V98+Z98+AD98+AH98+AL98+AP98+AT98+AX98+BB98+BF98+BJ98+BN98</f>
        <v/>
      </c>
      <c r="BR98" s="220">
        <f>BP98-BQ98</f>
        <v/>
      </c>
      <c r="BS98" s="227" t="inlineStr">
        <is>
          <t>/</t>
        </is>
      </c>
      <c r="BT98" s="227" t="inlineStr">
        <is>
          <t>/</t>
        </is>
      </c>
      <c r="BU98" s="230" t="n"/>
      <c r="BV98" s="230" t="inlineStr">
        <is>
          <t xml:space="preserve">
1、签订期间：2026.1.1-2026.8.1；
2、指标按照全年换算；</t>
        </is>
      </c>
      <c r="BW98" s="534" t="n"/>
    </row>
    <row r="99" ht="36" customFormat="1" customHeight="1" s="209">
      <c r="A99" s="219" t="n">
        <v>126</v>
      </c>
      <c r="B99" s="220" t="inlineStr">
        <is>
          <t>KQCY0126</t>
        </is>
      </c>
      <c r="C99" s="221" t="inlineStr">
        <is>
          <t>餐饮二分部</t>
        </is>
      </c>
      <c r="D99" s="221" t="inlineStr">
        <is>
          <t>CF450</t>
        </is>
      </c>
      <c r="E99" s="221" t="inlineStr">
        <is>
          <t>天津大学学二食堂</t>
        </is>
      </c>
      <c r="F99" s="219" t="inlineStr">
        <is>
          <t>强责</t>
        </is>
      </c>
      <c r="G99" s="222" t="inlineStr">
        <is>
          <t>徐敏捷</t>
        </is>
      </c>
      <c r="H99" s="503" t="inlineStr">
        <is>
          <t>/</t>
        </is>
      </c>
      <c r="I99" s="237" t="inlineStr">
        <is>
          <t>烤鸭饭</t>
        </is>
      </c>
      <c r="J99" s="503" t="inlineStr">
        <is>
          <t>董子帅</t>
        </is>
      </c>
      <c r="K99" s="545">
        <f>LET(k,D99&amp;"|"&amp;E99&amp;"|"&amp;H99&amp;"|"&amp;I99&amp;"|"&amp;J99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99" s="546" t="n"/>
      <c r="M99" s="224" t="n"/>
      <c r="N99" s="547" t="n"/>
      <c r="O99" s="548" t="n">
        <v>400000</v>
      </c>
      <c r="P99" s="276" t="n">
        <v>0.18</v>
      </c>
      <c r="Q99" s="461">
        <f>K99*P99</f>
        <v/>
      </c>
      <c r="R99" s="277" t="n"/>
      <c r="S99" s="461">
        <f>Q99-R99</f>
        <v/>
      </c>
      <c r="T99" s="227" t="n">
        <v>0</v>
      </c>
      <c r="U99" s="461">
        <f>K99*T99</f>
        <v/>
      </c>
      <c r="V99" s="227" t="n"/>
      <c r="W99" s="461">
        <f>U99-V99</f>
        <v/>
      </c>
      <c r="X99" s="276" t="n">
        <v>0.02</v>
      </c>
      <c r="Y99" s="461">
        <f>K99*X99</f>
        <v/>
      </c>
      <c r="Z99" s="277" t="n"/>
      <c r="AA99" s="461">
        <f>Y99-Z99</f>
        <v/>
      </c>
      <c r="AB99" s="227" t="n">
        <v>0</v>
      </c>
      <c r="AC99" s="461">
        <f>K99*AB99</f>
        <v/>
      </c>
      <c r="AD99" s="227" t="n"/>
      <c r="AE99" s="461">
        <f>AC99-AD99</f>
        <v/>
      </c>
      <c r="AF99" s="227" t="n">
        <v>0</v>
      </c>
      <c r="AG99" s="461">
        <f>K99*AF99</f>
        <v/>
      </c>
      <c r="AH99" s="227" t="n"/>
      <c r="AI99" s="461">
        <f>AG99-AH99</f>
        <v/>
      </c>
      <c r="AJ99" s="227" t="n">
        <v>0</v>
      </c>
      <c r="AK99" s="461">
        <f>K99*AJ99</f>
        <v/>
      </c>
      <c r="AL99" s="227" t="n"/>
      <c r="AM99" s="461">
        <f>AK99-AL99</f>
        <v/>
      </c>
      <c r="AN99" s="227" t="n">
        <v>0</v>
      </c>
      <c r="AO99" s="461">
        <f>K99*AN99</f>
        <v/>
      </c>
      <c r="AP99" s="461" t="n"/>
      <c r="AQ99" s="461">
        <f>AO99-AP99</f>
        <v/>
      </c>
      <c r="AR99" s="235" t="n">
        <v>0.04</v>
      </c>
      <c r="AS99" s="461">
        <f>K99*AR99</f>
        <v/>
      </c>
      <c r="AT99" s="277" t="n"/>
      <c r="AU99" s="461">
        <f>AS99-AT99</f>
        <v/>
      </c>
      <c r="AV99" s="235" t="n">
        <v>0.04</v>
      </c>
      <c r="AW99" s="461">
        <f>K99*AV99</f>
        <v/>
      </c>
      <c r="AX99" s="277" t="n"/>
      <c r="AY99" s="461">
        <f>AW99-AX99</f>
        <v/>
      </c>
      <c r="AZ99" s="227" t="n">
        <v>0</v>
      </c>
      <c r="BA99" s="461">
        <f>K99*AZ99</f>
        <v/>
      </c>
      <c r="BB99" s="278" t="n"/>
      <c r="BC99" s="461">
        <f>BA99-BB99</f>
        <v/>
      </c>
      <c r="BD99" s="279" t="n"/>
      <c r="BE99" s="461">
        <f>K99*BD99</f>
        <v/>
      </c>
      <c r="BF99" s="279" t="n"/>
      <c r="BG99" s="461">
        <f>BE99-BF99</f>
        <v/>
      </c>
      <c r="BH99" s="279" t="n"/>
      <c r="BI99" s="461">
        <f>K99*BH99</f>
        <v/>
      </c>
      <c r="BJ99" s="279" t="n"/>
      <c r="BK99" s="461">
        <f>BI99-BJ99</f>
        <v/>
      </c>
      <c r="BL99" s="279" t="inlineStr">
        <is>
          <t>按实</t>
        </is>
      </c>
      <c r="BM99" s="220">
        <f>BN99</f>
        <v/>
      </c>
      <c r="BN99" s="282" t="n"/>
      <c r="BO99" s="220">
        <f>BM99-BN99</f>
        <v/>
      </c>
      <c r="BP99" s="220">
        <f>N99+Q99+U99+Y99+AC99+AG99+AK99+AO99+AS99+AW99+BA99+BE99+BI99+BM99</f>
        <v/>
      </c>
      <c r="BQ99" s="220">
        <f>N99+R99+V99+Z99+AD99+AH99+AL99+AP99+AT99+AX99+BB99+BF99+BJ99+BN99</f>
        <v/>
      </c>
      <c r="BR99" s="220">
        <f>BP99-BQ99</f>
        <v/>
      </c>
      <c r="BS99" s="227" t="inlineStr">
        <is>
          <t>/</t>
        </is>
      </c>
      <c r="BT99" s="227" t="inlineStr">
        <is>
          <t>/</t>
        </is>
      </c>
      <c r="BU99" s="230" t="n"/>
      <c r="BV99" s="230" t="inlineStr">
        <is>
          <t xml:space="preserve">
1、签订期间：2026.1.1-2026.8.1；
2、指标按照全年换算；</t>
        </is>
      </c>
      <c r="BW99" s="534" t="n"/>
    </row>
    <row r="100" ht="36" customFormat="1" customHeight="1" s="209">
      <c r="A100" s="219" t="n">
        <v>127</v>
      </c>
      <c r="B100" s="220" t="inlineStr">
        <is>
          <t>KQCY0127</t>
        </is>
      </c>
      <c r="C100" s="221" t="inlineStr">
        <is>
          <t>餐饮二分部</t>
        </is>
      </c>
      <c r="D100" s="221" t="inlineStr">
        <is>
          <t>CF450</t>
        </is>
      </c>
      <c r="E100" s="221" t="inlineStr">
        <is>
          <t>天津大学学二食堂</t>
        </is>
      </c>
      <c r="F100" s="219" t="inlineStr">
        <is>
          <t>强责</t>
        </is>
      </c>
      <c r="G100" s="222" t="inlineStr">
        <is>
          <t>徐敏捷</t>
        </is>
      </c>
      <c r="H100" s="503" t="inlineStr">
        <is>
          <t>/</t>
        </is>
      </c>
      <c r="I100" s="237" t="inlineStr">
        <is>
          <t>真有面</t>
        </is>
      </c>
      <c r="J100" s="461" t="inlineStr">
        <is>
          <t>尹细老</t>
        </is>
      </c>
      <c r="K100" s="545">
        <f>LET(k,D100&amp;"|"&amp;E100&amp;"|"&amp;H100&amp;"|"&amp;I100&amp;"|"&amp;J100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00" s="546" t="n"/>
      <c r="M100" s="224" t="n"/>
      <c r="N100" s="547" t="n"/>
      <c r="O100" s="548" t="n">
        <v>300000</v>
      </c>
      <c r="P100" s="276" t="n">
        <v>0.18</v>
      </c>
      <c r="Q100" s="461">
        <f>K100*P100</f>
        <v/>
      </c>
      <c r="R100" s="277" t="n"/>
      <c r="S100" s="461">
        <f>Q100-R100</f>
        <v/>
      </c>
      <c r="T100" s="227" t="n">
        <v>0</v>
      </c>
      <c r="U100" s="461">
        <f>K100*T100</f>
        <v/>
      </c>
      <c r="V100" s="227" t="n"/>
      <c r="W100" s="461">
        <f>U100-V100</f>
        <v/>
      </c>
      <c r="X100" s="276" t="n">
        <v>0.02</v>
      </c>
      <c r="Y100" s="461">
        <f>K100*X100</f>
        <v/>
      </c>
      <c r="Z100" s="277" t="n"/>
      <c r="AA100" s="461">
        <f>Y100-Z100</f>
        <v/>
      </c>
      <c r="AB100" s="227" t="n">
        <v>0</v>
      </c>
      <c r="AC100" s="461">
        <f>K100*AB100</f>
        <v/>
      </c>
      <c r="AD100" s="227" t="n"/>
      <c r="AE100" s="461">
        <f>AC100-AD100</f>
        <v/>
      </c>
      <c r="AF100" s="227" t="n">
        <v>0</v>
      </c>
      <c r="AG100" s="461">
        <f>K100*AF100</f>
        <v/>
      </c>
      <c r="AH100" s="227" t="n"/>
      <c r="AI100" s="461">
        <f>AG100-AH100</f>
        <v/>
      </c>
      <c r="AJ100" s="227" t="n">
        <v>0</v>
      </c>
      <c r="AK100" s="461">
        <f>K100*AJ100</f>
        <v/>
      </c>
      <c r="AL100" s="227" t="n"/>
      <c r="AM100" s="461">
        <f>AK100-AL100</f>
        <v/>
      </c>
      <c r="AN100" s="227" t="n">
        <v>0</v>
      </c>
      <c r="AO100" s="461">
        <f>K100*AN100</f>
        <v/>
      </c>
      <c r="AP100" s="461" t="n"/>
      <c r="AQ100" s="461">
        <f>AO100-AP100</f>
        <v/>
      </c>
      <c r="AR100" s="235" t="n">
        <v>0.04</v>
      </c>
      <c r="AS100" s="461">
        <f>K100*AR100</f>
        <v/>
      </c>
      <c r="AT100" s="277" t="n"/>
      <c r="AU100" s="461">
        <f>AS100-AT100</f>
        <v/>
      </c>
      <c r="AV100" s="235" t="n">
        <v>0.04</v>
      </c>
      <c r="AW100" s="461">
        <f>K100*AV100</f>
        <v/>
      </c>
      <c r="AX100" s="277" t="n"/>
      <c r="AY100" s="461">
        <f>AW100-AX100</f>
        <v/>
      </c>
      <c r="AZ100" s="227" t="n">
        <v>0</v>
      </c>
      <c r="BA100" s="461">
        <f>K100*AZ100</f>
        <v/>
      </c>
      <c r="BB100" s="278" t="n"/>
      <c r="BC100" s="461">
        <f>BA100-BB100</f>
        <v/>
      </c>
      <c r="BD100" s="279" t="n"/>
      <c r="BE100" s="461">
        <f>K100*BD100</f>
        <v/>
      </c>
      <c r="BF100" s="279" t="n"/>
      <c r="BG100" s="461">
        <f>BE100-BF100</f>
        <v/>
      </c>
      <c r="BH100" s="279" t="n"/>
      <c r="BI100" s="461">
        <f>K100*BH100</f>
        <v/>
      </c>
      <c r="BJ100" s="279" t="n"/>
      <c r="BK100" s="461">
        <f>BI100-BJ100</f>
        <v/>
      </c>
      <c r="BL100" s="279" t="inlineStr">
        <is>
          <t>按实</t>
        </is>
      </c>
      <c r="BM100" s="220">
        <f>BN100</f>
        <v/>
      </c>
      <c r="BN100" s="280" t="n"/>
      <c r="BO100" s="220">
        <f>BM100-BN100</f>
        <v/>
      </c>
      <c r="BP100" s="220">
        <f>N100+Q100+U100+Y100+AC100+AG100+AK100+AO100+AS100+AW100+BA100+BE100+BI100+BM100</f>
        <v/>
      </c>
      <c r="BQ100" s="220">
        <f>N100+R100+V100+Z100+AD100+AH100+AL100+AP100+AT100+AX100+BB100+BF100+BJ100+BN100</f>
        <v/>
      </c>
      <c r="BR100" s="220">
        <f>BP100-BQ100</f>
        <v/>
      </c>
      <c r="BS100" s="227" t="inlineStr">
        <is>
          <t>/</t>
        </is>
      </c>
      <c r="BT100" s="227" t="inlineStr">
        <is>
          <t>/</t>
        </is>
      </c>
      <c r="BU100" s="230" t="n"/>
      <c r="BV100" s="230" t="inlineStr">
        <is>
          <t xml:space="preserve">
1、签订期间：2026.1.1-2026.8.1；
2、指标按照全年换算；</t>
        </is>
      </c>
      <c r="BW100" s="534" t="n"/>
    </row>
    <row r="101" ht="36" customFormat="1" customHeight="1" s="209">
      <c r="A101" s="219" t="n">
        <v>128</v>
      </c>
      <c r="B101" s="220" t="inlineStr">
        <is>
          <t>KQCY0128</t>
        </is>
      </c>
      <c r="C101" s="221" t="inlineStr">
        <is>
          <t>餐饮二分部</t>
        </is>
      </c>
      <c r="D101" s="221" t="inlineStr">
        <is>
          <t>CF450</t>
        </is>
      </c>
      <c r="E101" s="221" t="inlineStr">
        <is>
          <t>天津大学学二食堂</t>
        </is>
      </c>
      <c r="F101" s="219" t="inlineStr">
        <is>
          <t>强责</t>
        </is>
      </c>
      <c r="G101" s="222" t="inlineStr">
        <is>
          <t>徐敏捷</t>
        </is>
      </c>
      <c r="H101" s="503" t="inlineStr">
        <is>
          <t>/</t>
        </is>
      </c>
      <c r="I101" s="237" t="inlineStr">
        <is>
          <t>云南生烫米线</t>
        </is>
      </c>
      <c r="J101" s="503" t="inlineStr">
        <is>
          <t>由俊楠</t>
        </is>
      </c>
      <c r="K101" s="545">
        <f>LET(k,D101&amp;"|"&amp;E101&amp;"|"&amp;H101&amp;"|"&amp;I101&amp;"|"&amp;J101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01" s="546" t="n"/>
      <c r="M101" s="224" t="n"/>
      <c r="N101" s="547" t="n"/>
      <c r="O101" s="548" t="n">
        <v>220000</v>
      </c>
      <c r="P101" s="276" t="n">
        <v>0.18</v>
      </c>
      <c r="Q101" s="461">
        <f>K101*P101</f>
        <v/>
      </c>
      <c r="R101" s="277" t="n"/>
      <c r="S101" s="461">
        <f>Q101-R101</f>
        <v/>
      </c>
      <c r="T101" s="227" t="n">
        <v>0</v>
      </c>
      <c r="U101" s="461">
        <f>K101*T101</f>
        <v/>
      </c>
      <c r="V101" s="227" t="n"/>
      <c r="W101" s="461">
        <f>U101-V101</f>
        <v/>
      </c>
      <c r="X101" s="276" t="n">
        <v>0.02</v>
      </c>
      <c r="Y101" s="461">
        <f>K101*X101</f>
        <v/>
      </c>
      <c r="Z101" s="277" t="n"/>
      <c r="AA101" s="461">
        <f>Y101-Z101</f>
        <v/>
      </c>
      <c r="AB101" s="227" t="n">
        <v>0</v>
      </c>
      <c r="AC101" s="461">
        <f>K101*AB101</f>
        <v/>
      </c>
      <c r="AD101" s="227" t="n"/>
      <c r="AE101" s="461">
        <f>AC101-AD101</f>
        <v/>
      </c>
      <c r="AF101" s="227" t="n">
        <v>0</v>
      </c>
      <c r="AG101" s="461">
        <f>K101*AF101</f>
        <v/>
      </c>
      <c r="AH101" s="227" t="n"/>
      <c r="AI101" s="461">
        <f>AG101-AH101</f>
        <v/>
      </c>
      <c r="AJ101" s="227" t="n">
        <v>0</v>
      </c>
      <c r="AK101" s="461">
        <f>K101*AJ101</f>
        <v/>
      </c>
      <c r="AL101" s="227" t="n"/>
      <c r="AM101" s="461">
        <f>AK101-AL101</f>
        <v/>
      </c>
      <c r="AN101" s="227" t="n">
        <v>0</v>
      </c>
      <c r="AO101" s="461">
        <f>K101*AN101</f>
        <v/>
      </c>
      <c r="AP101" s="461" t="n"/>
      <c r="AQ101" s="461">
        <f>AO101-AP101</f>
        <v/>
      </c>
      <c r="AR101" s="235" t="n">
        <v>0.04</v>
      </c>
      <c r="AS101" s="461">
        <f>K101*AR101</f>
        <v/>
      </c>
      <c r="AT101" s="277" t="n"/>
      <c r="AU101" s="461">
        <f>AS101-AT101</f>
        <v/>
      </c>
      <c r="AV101" s="235" t="n">
        <v>0.04</v>
      </c>
      <c r="AW101" s="461">
        <f>K101*AV101</f>
        <v/>
      </c>
      <c r="AX101" s="277" t="n"/>
      <c r="AY101" s="461">
        <f>AW101-AX101</f>
        <v/>
      </c>
      <c r="AZ101" s="227" t="n">
        <v>0</v>
      </c>
      <c r="BA101" s="461">
        <f>K101*AZ101</f>
        <v/>
      </c>
      <c r="BB101" s="278" t="n"/>
      <c r="BC101" s="461">
        <f>BA101-BB101</f>
        <v/>
      </c>
      <c r="BD101" s="279" t="n"/>
      <c r="BE101" s="461">
        <f>K101*BD101</f>
        <v/>
      </c>
      <c r="BF101" s="279" t="n"/>
      <c r="BG101" s="461">
        <f>BE101-BF101</f>
        <v/>
      </c>
      <c r="BH101" s="279" t="n"/>
      <c r="BI101" s="461">
        <f>K101*BH101</f>
        <v/>
      </c>
      <c r="BJ101" s="279" t="n"/>
      <c r="BK101" s="461">
        <f>BI101-BJ101</f>
        <v/>
      </c>
      <c r="BL101" s="279" t="inlineStr">
        <is>
          <t>按实</t>
        </is>
      </c>
      <c r="BM101" s="220">
        <f>BN101</f>
        <v/>
      </c>
      <c r="BN101" s="280" t="n"/>
      <c r="BO101" s="220">
        <f>BM101-BN101</f>
        <v/>
      </c>
      <c r="BP101" s="220">
        <f>N101+Q101+U101+Y101+AC101+AG101+AK101+AO101+AS101+AW101+BA101+BE101+BI101+BM101</f>
        <v/>
      </c>
      <c r="BQ101" s="220">
        <f>N101+R101+V101+Z101+AD101+AH101+AL101+AP101+AT101+AX101+BB101+BF101+BJ101+BN101</f>
        <v/>
      </c>
      <c r="BR101" s="220">
        <f>BP101-BQ101</f>
        <v/>
      </c>
      <c r="BS101" s="227" t="inlineStr">
        <is>
          <t>/</t>
        </is>
      </c>
      <c r="BT101" s="227" t="inlineStr">
        <is>
          <t>/</t>
        </is>
      </c>
      <c r="BU101" s="230" t="n"/>
      <c r="BV101" s="230" t="inlineStr">
        <is>
          <t xml:space="preserve">
1、签订期间：2026.1.1-2026.8.1；
2、指标按照全年换算；</t>
        </is>
      </c>
      <c r="BW101" s="534" t="n"/>
    </row>
    <row r="102" ht="12" customFormat="1" customHeight="1" s="209">
      <c r="A102" s="219" t="n">
        <v>129</v>
      </c>
      <c r="B102" s="220" t="inlineStr">
        <is>
          <t>KQCY0129</t>
        </is>
      </c>
      <c r="C102" s="221" t="inlineStr">
        <is>
          <t>餐饮二分部</t>
        </is>
      </c>
      <c r="D102" s="221" t="inlineStr">
        <is>
          <t>CF513</t>
        </is>
      </c>
      <c r="E102" s="221" t="inlineStr">
        <is>
          <t>天津大学学三食堂</t>
        </is>
      </c>
      <c r="F102" s="219" t="inlineStr">
        <is>
          <t>人员服务外包</t>
        </is>
      </c>
      <c r="G102" s="222" t="inlineStr">
        <is>
          <t>徐敏捷</t>
        </is>
      </c>
      <c r="H102" s="222" t="inlineStr">
        <is>
          <t>/</t>
        </is>
      </c>
      <c r="I102" s="503" t="inlineStr">
        <is>
          <t>/</t>
        </is>
      </c>
      <c r="J102" s="503" t="inlineStr">
        <is>
          <t>/</t>
        </is>
      </c>
      <c r="K102" s="545">
        <f>LET(k,D102&amp;"|"&amp;E102&amp;"|"&amp;H102&amp;"|"&amp;I102&amp;"|"&amp;J102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02" s="546" t="n"/>
      <c r="M102" s="224" t="n"/>
      <c r="N102" s="547" t="n"/>
      <c r="O102" s="548" t="n">
        <v>566000</v>
      </c>
      <c r="P102" s="227" t="n">
        <v>0</v>
      </c>
      <c r="Q102" s="461">
        <f>K102*P102</f>
        <v/>
      </c>
      <c r="R102" s="227" t="n"/>
      <c r="S102" s="461">
        <f>Q102-R102</f>
        <v/>
      </c>
      <c r="T102" s="227" t="n">
        <v>0</v>
      </c>
      <c r="U102" s="461">
        <f>K102*T102</f>
        <v/>
      </c>
      <c r="V102" s="227" t="n"/>
      <c r="W102" s="461">
        <f>U102-V102</f>
        <v/>
      </c>
      <c r="X102" s="227" t="n">
        <v>0</v>
      </c>
      <c r="Y102" s="461">
        <f>K102*X102</f>
        <v/>
      </c>
      <c r="Z102" s="227" t="n"/>
      <c r="AA102" s="461">
        <f>Y102-Z102</f>
        <v/>
      </c>
      <c r="AB102" s="227" t="n">
        <v>0</v>
      </c>
      <c r="AC102" s="461">
        <f>K102*AB102</f>
        <v/>
      </c>
      <c r="AD102" s="227" t="n"/>
      <c r="AE102" s="461">
        <f>AC102-AD102</f>
        <v/>
      </c>
      <c r="AF102" s="227" t="n">
        <v>0</v>
      </c>
      <c r="AG102" s="461">
        <f>K102*AF102</f>
        <v/>
      </c>
      <c r="AH102" s="227" t="n"/>
      <c r="AI102" s="461">
        <f>AG102-AH102</f>
        <v/>
      </c>
      <c r="AJ102" s="227" t="n">
        <v>0</v>
      </c>
      <c r="AK102" s="461">
        <f>K102*AJ102</f>
        <v/>
      </c>
      <c r="AL102" s="227" t="n"/>
      <c r="AM102" s="461">
        <f>AK102-AL102</f>
        <v/>
      </c>
      <c r="AN102" s="227" t="n">
        <v>0</v>
      </c>
      <c r="AO102" s="461">
        <f>K102*AN102</f>
        <v/>
      </c>
      <c r="AP102" s="461" t="n"/>
      <c r="AQ102" s="461">
        <f>AO102-AP102</f>
        <v/>
      </c>
      <c r="AR102" s="461" t="n">
        <v>0</v>
      </c>
      <c r="AS102" s="461">
        <f>K102*AR102</f>
        <v/>
      </c>
      <c r="AT102" s="227" t="n"/>
      <c r="AU102" s="461">
        <f>AS102-AT102</f>
        <v/>
      </c>
      <c r="AV102" s="227" t="n">
        <v>0</v>
      </c>
      <c r="AW102" s="461">
        <f>K102*AV102</f>
        <v/>
      </c>
      <c r="AX102" s="227" t="n"/>
      <c r="AY102" s="461">
        <f>AW102-AX102</f>
        <v/>
      </c>
      <c r="AZ102" s="227" t="n">
        <v>0</v>
      </c>
      <c r="BA102" s="461">
        <f>K102*AZ102</f>
        <v/>
      </c>
      <c r="BB102" s="461" t="n"/>
      <c r="BC102" s="461">
        <f>BA102-BB102</f>
        <v/>
      </c>
      <c r="BD102" s="461" t="n"/>
      <c r="BE102" s="461">
        <f>K102*BD102</f>
        <v/>
      </c>
      <c r="BF102" s="461" t="n"/>
      <c r="BG102" s="461">
        <f>BE102-BF102</f>
        <v/>
      </c>
      <c r="BH102" s="461" t="n"/>
      <c r="BI102" s="461">
        <f>K102*BH102</f>
        <v/>
      </c>
      <c r="BJ102" s="461" t="n"/>
      <c r="BK102" s="461">
        <f>BI102-BJ102</f>
        <v/>
      </c>
      <c r="BL102" s="461" t="n">
        <v>0</v>
      </c>
      <c r="BM102" s="220">
        <f>K102*BL102</f>
        <v/>
      </c>
      <c r="BN102" s="220" t="n"/>
      <c r="BO102" s="220">
        <f>BM102-BN102</f>
        <v/>
      </c>
      <c r="BP102" s="220">
        <f>N102+Q102+U102+Y102+AC102+AG102+AK102+AO102+AS102+AW102+BA102+BE102+BI102+BM102</f>
        <v/>
      </c>
      <c r="BQ102" s="220">
        <f>N102+R102+V102+Z102+AD102+AH102+AL102+AP102+AT102+AX102+BB102+BF102+BJ102+BN102</f>
        <v/>
      </c>
      <c r="BR102" s="220">
        <f>BP102-BQ102</f>
        <v/>
      </c>
      <c r="BS102" s="220" t="n">
        <v>100000</v>
      </c>
      <c r="BT102" s="229" t="inlineStr">
        <is>
          <t>/</t>
        </is>
      </c>
      <c r="BU102" s="230" t="inlineStr">
        <is>
          <t>1、分部管理费：10万元</t>
        </is>
      </c>
      <c r="BV102" s="230" t="n"/>
      <c r="BW102" s="534" t="n"/>
    </row>
    <row r="103" ht="12" customFormat="1" customHeight="1" s="209">
      <c r="A103" s="219" t="n">
        <v>130</v>
      </c>
      <c r="B103" s="220" t="inlineStr">
        <is>
          <t>KQCY0130</t>
        </is>
      </c>
      <c r="C103" s="221" t="inlineStr">
        <is>
          <t>餐饮二分部</t>
        </is>
      </c>
      <c r="D103" s="221" t="inlineStr">
        <is>
          <t>CF453</t>
        </is>
      </c>
      <c r="E103" s="221" t="inlineStr">
        <is>
          <t>天津大学学四食堂</t>
        </is>
      </c>
      <c r="F103" s="219" t="inlineStr">
        <is>
          <t>人员服务外包</t>
        </is>
      </c>
      <c r="G103" s="222" t="inlineStr">
        <is>
          <t>徐敏捷</t>
        </is>
      </c>
      <c r="H103" s="222" t="inlineStr">
        <is>
          <t>/</t>
        </is>
      </c>
      <c r="I103" s="503" t="inlineStr">
        <is>
          <t>/</t>
        </is>
      </c>
      <c r="J103" s="503" t="inlineStr">
        <is>
          <t>/</t>
        </is>
      </c>
      <c r="K103" s="545">
        <f>LET(k,D103&amp;"|"&amp;E103&amp;"|"&amp;H103&amp;"|"&amp;I103&amp;"|"&amp;J103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03" s="546" t="n"/>
      <c r="M103" s="224" t="n"/>
      <c r="N103" s="547" t="n"/>
      <c r="O103" s="548" t="n">
        <v>710000</v>
      </c>
      <c r="P103" s="227" t="n">
        <v>0</v>
      </c>
      <c r="Q103" s="461">
        <f>K103*P103</f>
        <v/>
      </c>
      <c r="R103" s="227" t="n"/>
      <c r="S103" s="461">
        <f>Q103-R103</f>
        <v/>
      </c>
      <c r="T103" s="227" t="n">
        <v>0</v>
      </c>
      <c r="U103" s="461">
        <f>K103*T103</f>
        <v/>
      </c>
      <c r="V103" s="227" t="n"/>
      <c r="W103" s="461">
        <f>U103-V103</f>
        <v/>
      </c>
      <c r="X103" s="227" t="n">
        <v>0</v>
      </c>
      <c r="Y103" s="461">
        <f>K103*X103</f>
        <v/>
      </c>
      <c r="Z103" s="227" t="n"/>
      <c r="AA103" s="461">
        <f>Y103-Z103</f>
        <v/>
      </c>
      <c r="AB103" s="227" t="n">
        <v>0</v>
      </c>
      <c r="AC103" s="461">
        <f>K103*AB103</f>
        <v/>
      </c>
      <c r="AD103" s="227" t="n"/>
      <c r="AE103" s="461">
        <f>AC103-AD103</f>
        <v/>
      </c>
      <c r="AF103" s="227" t="n">
        <v>0</v>
      </c>
      <c r="AG103" s="461">
        <f>K103*AF103</f>
        <v/>
      </c>
      <c r="AH103" s="227" t="n"/>
      <c r="AI103" s="461">
        <f>AG103-AH103</f>
        <v/>
      </c>
      <c r="AJ103" s="227" t="n">
        <v>0</v>
      </c>
      <c r="AK103" s="461">
        <f>K103*AJ103</f>
        <v/>
      </c>
      <c r="AL103" s="227" t="n"/>
      <c r="AM103" s="461">
        <f>AK103-AL103</f>
        <v/>
      </c>
      <c r="AN103" s="227" t="n">
        <v>0</v>
      </c>
      <c r="AO103" s="461">
        <f>K103*AN103</f>
        <v/>
      </c>
      <c r="AP103" s="461" t="n"/>
      <c r="AQ103" s="461">
        <f>AO103-AP103</f>
        <v/>
      </c>
      <c r="AR103" s="461" t="n">
        <v>0</v>
      </c>
      <c r="AS103" s="461">
        <f>K103*AR103</f>
        <v/>
      </c>
      <c r="AT103" s="227" t="n"/>
      <c r="AU103" s="461">
        <f>AS103-AT103</f>
        <v/>
      </c>
      <c r="AV103" s="227" t="n">
        <v>0</v>
      </c>
      <c r="AW103" s="461">
        <f>K103*AV103</f>
        <v/>
      </c>
      <c r="AX103" s="227" t="n"/>
      <c r="AY103" s="461">
        <f>AW103-AX103</f>
        <v/>
      </c>
      <c r="AZ103" s="227" t="n">
        <v>0</v>
      </c>
      <c r="BA103" s="461">
        <f>K103*AZ103</f>
        <v/>
      </c>
      <c r="BB103" s="461" t="n"/>
      <c r="BC103" s="461">
        <f>BA103-BB103</f>
        <v/>
      </c>
      <c r="BD103" s="461" t="n"/>
      <c r="BE103" s="461">
        <f>K103*BD103</f>
        <v/>
      </c>
      <c r="BF103" s="461" t="n"/>
      <c r="BG103" s="461">
        <f>BE103-BF103</f>
        <v/>
      </c>
      <c r="BH103" s="461" t="n"/>
      <c r="BI103" s="461">
        <f>K103*BH103</f>
        <v/>
      </c>
      <c r="BJ103" s="461" t="n"/>
      <c r="BK103" s="461">
        <f>BI103-BJ103</f>
        <v/>
      </c>
      <c r="BL103" s="461" t="n">
        <v>0</v>
      </c>
      <c r="BM103" s="220">
        <f>K103*BL103</f>
        <v/>
      </c>
      <c r="BN103" s="220" t="n"/>
      <c r="BO103" s="220">
        <f>BM103-BN103</f>
        <v/>
      </c>
      <c r="BP103" s="220">
        <f>N103+Q103+U103+Y103+AC103+AG103+AK103+AO103+AS103+AW103+BA103+BE103+BI103+BM103</f>
        <v/>
      </c>
      <c r="BQ103" s="220">
        <f>N103+R103+V103+Z103+AD103+AH103+AL103+AP103+AT103+AX103+BB103+BF103+BJ103+BN103</f>
        <v/>
      </c>
      <c r="BR103" s="220">
        <f>BP103-BQ103</f>
        <v/>
      </c>
      <c r="BS103" s="220" t="n">
        <v>100000</v>
      </c>
      <c r="BT103" s="229" t="inlineStr">
        <is>
          <t>/</t>
        </is>
      </c>
      <c r="BU103" s="230" t="inlineStr">
        <is>
          <t>1、分部管理费：10万元</t>
        </is>
      </c>
      <c r="BV103" s="230" t="n"/>
      <c r="BW103" s="534" t="n"/>
    </row>
    <row r="104" ht="24" customFormat="1" customHeight="1" s="209">
      <c r="A104" s="219" t="n">
        <v>131</v>
      </c>
      <c r="B104" s="220" t="inlineStr">
        <is>
          <t>KQCY0131</t>
        </is>
      </c>
      <c r="C104" s="221" t="inlineStr">
        <is>
          <t>餐饮三分部</t>
        </is>
      </c>
      <c r="D104" s="221" t="inlineStr">
        <is>
          <t>CF190</t>
        </is>
      </c>
      <c r="E104" s="242" t="inlineStr">
        <is>
          <t>苏旅财食堂</t>
        </is>
      </c>
      <c r="F104" s="221" t="inlineStr">
        <is>
          <t>人员服务外包</t>
        </is>
      </c>
      <c r="G104" s="243" t="inlineStr">
        <is>
          <t>郑虎</t>
        </is>
      </c>
      <c r="H104" s="220" t="inlineStr">
        <is>
          <t>/</t>
        </is>
      </c>
      <c r="I104" s="239" t="inlineStr">
        <is>
          <t>/</t>
        </is>
      </c>
      <c r="J104" s="220" t="inlineStr">
        <is>
          <t>/</t>
        </is>
      </c>
      <c r="K104" s="545">
        <f>LET(k,D104&amp;"|"&amp;E104&amp;"|"&amp;H104&amp;"|"&amp;I104&amp;"|"&amp;J104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04" s="546" t="n"/>
      <c r="M104" s="235" t="n"/>
      <c r="N104" s="547" t="n"/>
      <c r="O104" s="548" t="n">
        <v>0</v>
      </c>
      <c r="P104" s="227" t="n">
        <v>0</v>
      </c>
      <c r="Q104" s="461">
        <f>K104*P104</f>
        <v/>
      </c>
      <c r="R104" s="461" t="n"/>
      <c r="S104" s="461">
        <f>Q104-R104</f>
        <v/>
      </c>
      <c r="T104" s="235" t="n"/>
      <c r="U104" s="461">
        <f>K104*T104</f>
        <v/>
      </c>
      <c r="V104" s="227" t="n"/>
      <c r="W104" s="461">
        <f>U104-V104</f>
        <v/>
      </c>
      <c r="X104" s="227" t="n"/>
      <c r="Y104" s="461">
        <f>K104*X104</f>
        <v/>
      </c>
      <c r="Z104" s="227" t="n"/>
      <c r="AA104" s="461">
        <f>Y104-Z104</f>
        <v/>
      </c>
      <c r="AB104" s="227" t="n"/>
      <c r="AC104" s="461">
        <f>K104*AB104</f>
        <v/>
      </c>
      <c r="AD104" s="227" t="n"/>
      <c r="AE104" s="461">
        <f>AC104-AD104</f>
        <v/>
      </c>
      <c r="AF104" s="227" t="n">
        <v>0</v>
      </c>
      <c r="AG104" s="461">
        <f>K104*AF104</f>
        <v/>
      </c>
      <c r="AH104" s="227" t="n"/>
      <c r="AI104" s="461">
        <f>AG104-AH104</f>
        <v/>
      </c>
      <c r="AJ104" s="227" t="n">
        <v>0</v>
      </c>
      <c r="AK104" s="461">
        <f>K104*AJ104</f>
        <v/>
      </c>
      <c r="AL104" s="227" t="n"/>
      <c r="AM104" s="461">
        <f>AK104-AL104</f>
        <v/>
      </c>
      <c r="AN104" s="227" t="n">
        <v>0</v>
      </c>
      <c r="AO104" s="461">
        <f>K104*AN104</f>
        <v/>
      </c>
      <c r="AP104" s="461" t="n"/>
      <c r="AQ104" s="461">
        <f>AO104-AP104</f>
        <v/>
      </c>
      <c r="AR104" s="461" t="n">
        <v>0</v>
      </c>
      <c r="AS104" s="461">
        <f>K104*AR104</f>
        <v/>
      </c>
      <c r="AT104" s="227" t="n"/>
      <c r="AU104" s="461">
        <f>AS104-AT104</f>
        <v/>
      </c>
      <c r="AV104" s="227" t="n">
        <v>0</v>
      </c>
      <c r="AW104" s="461">
        <f>K104*AV104</f>
        <v/>
      </c>
      <c r="AX104" s="227" t="n"/>
      <c r="AY104" s="461">
        <f>AW104-AX104</f>
        <v/>
      </c>
      <c r="AZ104" s="227" t="n">
        <v>0</v>
      </c>
      <c r="BA104" s="461">
        <f>K104*AZ104</f>
        <v/>
      </c>
      <c r="BB104" s="461" t="n"/>
      <c r="BC104" s="461">
        <f>BA104-BB104</f>
        <v/>
      </c>
      <c r="BD104" s="461" t="n"/>
      <c r="BE104" s="461">
        <f>K104*BD104</f>
        <v/>
      </c>
      <c r="BF104" s="461" t="n"/>
      <c r="BG104" s="461">
        <f>BE104-BF104</f>
        <v/>
      </c>
      <c r="BH104" s="461" t="n"/>
      <c r="BI104" s="461">
        <f>K104*BH104</f>
        <v/>
      </c>
      <c r="BJ104" s="461" t="n"/>
      <c r="BK104" s="461">
        <f>BI104-BJ104</f>
        <v/>
      </c>
      <c r="BL104" s="461" t="n">
        <v>0</v>
      </c>
      <c r="BM104" s="220">
        <f>K104*BL104</f>
        <v/>
      </c>
      <c r="BN104" s="220" t="n"/>
      <c r="BO104" s="220">
        <f>BM104-BN104</f>
        <v/>
      </c>
      <c r="BP104" s="220">
        <f>N104+Q104+U104+Y104+AC104+AG104+AK104+AO104+AS104+AW104+BA104+BE104+BI104+BM104</f>
        <v/>
      </c>
      <c r="BQ104" s="220">
        <f>N104+R104+V104+Z104+AD104+AH104+AL104+AP104+AT104+AX104+BB104+BF104+BJ104+BN104</f>
        <v/>
      </c>
      <c r="BR104" s="220">
        <f>BP104-BQ104</f>
        <v/>
      </c>
      <c r="BS104" s="220" t="n"/>
      <c r="BT104" s="235" t="inlineStr">
        <is>
          <t>/</t>
        </is>
      </c>
      <c r="BU104" s="230" t="inlineStr">
        <is>
          <t>1、自营未实际经营；
2、分部管理费：100000/年+1%营业额</t>
        </is>
      </c>
      <c r="BV104" s="230" t="n"/>
      <c r="BW104" s="534" t="n"/>
    </row>
    <row r="105" ht="24" customFormat="1" customHeight="1" s="209">
      <c r="A105" s="219" t="n">
        <v>132</v>
      </c>
      <c r="B105" s="220" t="inlineStr">
        <is>
          <t>KQCY0132</t>
        </is>
      </c>
      <c r="C105" s="221" t="inlineStr">
        <is>
          <t>餐饮三分部</t>
        </is>
      </c>
      <c r="D105" s="221" t="inlineStr">
        <is>
          <t>CF190</t>
        </is>
      </c>
      <c r="E105" s="242" t="inlineStr">
        <is>
          <t>苏旅财食堂</t>
        </is>
      </c>
      <c r="F105" s="221" t="inlineStr">
        <is>
          <t>人员服务外包</t>
        </is>
      </c>
      <c r="G105" s="243" t="inlineStr">
        <is>
          <t>郑虎</t>
        </is>
      </c>
      <c r="H105" s="222" t="inlineStr">
        <is>
          <t>第一班组</t>
        </is>
      </c>
      <c r="I105" s="232" t="inlineStr">
        <is>
          <t>苏式汤面</t>
        </is>
      </c>
      <c r="J105" s="503" t="inlineStr">
        <is>
          <t>闵晓均</t>
        </is>
      </c>
      <c r="K105" s="545">
        <f>LET(k,D105&amp;"|"&amp;E105&amp;"|"&amp;H105&amp;"|"&amp;I105&amp;"|"&amp;J105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05" s="546" t="n"/>
      <c r="M105" s="224" t="n"/>
      <c r="N105" s="567" t="n">
        <v>1246.63</v>
      </c>
      <c r="O105" s="548" t="n">
        <v>280000</v>
      </c>
      <c r="P105" s="247" t="n">
        <v>0.09</v>
      </c>
      <c r="Q105" s="461">
        <f>K105*P105</f>
        <v/>
      </c>
      <c r="R105" s="461">
        <f>Q105</f>
        <v/>
      </c>
      <c r="S105" s="461">
        <f>Q105-R105</f>
        <v/>
      </c>
      <c r="T105" s="235" t="n">
        <v>0</v>
      </c>
      <c r="U105" s="461">
        <f>K105*T105</f>
        <v/>
      </c>
      <c r="V105" s="461" t="n"/>
      <c r="W105" s="461">
        <f>U105-V105</f>
        <v/>
      </c>
      <c r="X105" s="235" t="n">
        <v>0</v>
      </c>
      <c r="Y105" s="461">
        <f>K105*X105</f>
        <v/>
      </c>
      <c r="Z105" s="227" t="n"/>
      <c r="AA105" s="461">
        <f>Y105-Z105</f>
        <v/>
      </c>
      <c r="AB105" s="227" t="inlineStr">
        <is>
          <t>137.45 元/月，3、4、5、6月收取</t>
        </is>
      </c>
      <c r="AC105" s="461" t="n"/>
      <c r="AD105" s="227" t="n"/>
      <c r="AE105" s="461">
        <f>AC105-AD105</f>
        <v/>
      </c>
      <c r="AF105" s="276" t="n">
        <v>0.02</v>
      </c>
      <c r="AG105" s="461">
        <f>K105*AF105</f>
        <v/>
      </c>
      <c r="AH105" s="461">
        <f>AG105</f>
        <v/>
      </c>
      <c r="AI105" s="461">
        <f>AG105-AH105</f>
        <v/>
      </c>
      <c r="AJ105" s="247" t="n">
        <v>0</v>
      </c>
      <c r="AK105" s="461">
        <f>K105*AJ105</f>
        <v/>
      </c>
      <c r="AL105" s="461" t="n"/>
      <c r="AM105" s="461">
        <f>AK105-AL105</f>
        <v/>
      </c>
      <c r="AN105" s="235" t="n">
        <v>0</v>
      </c>
      <c r="AO105" s="461">
        <f>K105*AN105</f>
        <v/>
      </c>
      <c r="AP105" s="461" t="n"/>
      <c r="AQ105" s="461">
        <f>AO105-AP105</f>
        <v/>
      </c>
      <c r="AR105" s="247" t="inlineStr">
        <is>
          <t>按实</t>
        </is>
      </c>
      <c r="AS105" s="461">
        <f>AT105</f>
        <v/>
      </c>
      <c r="AT105" s="227" t="n"/>
      <c r="AU105" s="461">
        <f>AS105-AT105</f>
        <v/>
      </c>
      <c r="AV105" s="284" t="n">
        <v>0</v>
      </c>
      <c r="AW105" s="461">
        <f>K105*AV105</f>
        <v/>
      </c>
      <c r="AX105" s="461" t="n"/>
      <c r="AY105" s="461">
        <f>AW105-AX105</f>
        <v/>
      </c>
      <c r="AZ105" s="235" t="inlineStr">
        <is>
          <t>外卖营业额的4％</t>
        </is>
      </c>
      <c r="BA105" s="461">
        <f>BB105</f>
        <v/>
      </c>
      <c r="BB105" s="461" t="n"/>
      <c r="BC105" s="461">
        <f>BA105-BB105</f>
        <v/>
      </c>
      <c r="BD105" s="235" t="n">
        <v>0</v>
      </c>
      <c r="BE105" s="461">
        <f>K105*BD105</f>
        <v/>
      </c>
      <c r="BF105" s="235" t="n"/>
      <c r="BG105" s="461">
        <f>BE105-BF105</f>
        <v/>
      </c>
      <c r="BH105" s="235" t="n">
        <v>0</v>
      </c>
      <c r="BI105" s="461">
        <f>K105*BH105</f>
        <v/>
      </c>
      <c r="BJ105" s="235" t="n"/>
      <c r="BK105" s="461">
        <f>BI105-BJ105</f>
        <v/>
      </c>
      <c r="BL105" s="235" t="inlineStr">
        <is>
          <t>按实</t>
        </is>
      </c>
      <c r="BM105" s="220">
        <f>BN105</f>
        <v/>
      </c>
      <c r="BN105" s="220" t="n"/>
      <c r="BO105" s="220">
        <f>BM105-BN105</f>
        <v/>
      </c>
      <c r="BP105" s="220">
        <f>N105+Q105+U105+Y105+AC105+AG105+AK105+AO105+AS105+AW105+BA105+BE105+BI105+BM105</f>
        <v/>
      </c>
      <c r="BQ105" s="220">
        <f>N105+R105+V105+Z105+AD105+AH105+AL105+AP105+AT105+AX105+BB105+BF105+BJ105+BN105</f>
        <v/>
      </c>
      <c r="BR105" s="220">
        <f>BP105-BQ105</f>
        <v/>
      </c>
      <c r="BS105" s="247" t="inlineStr">
        <is>
          <t>/</t>
        </is>
      </c>
      <c r="BT105" s="461" t="inlineStr">
        <is>
          <t>/</t>
        </is>
      </c>
      <c r="BU105" s="230" t="inlineStr">
        <is>
          <t>1、其他：外卖人员服务费按照实际外卖营业额4%收取</t>
        </is>
      </c>
      <c r="BV105" s="230" t="inlineStr">
        <is>
          <t>1、签订期间：2026.3.1-2026.8.30；
2、指标按照全年换算；</t>
        </is>
      </c>
      <c r="BW105" s="534" t="n"/>
    </row>
    <row r="106" ht="24" customFormat="1" customHeight="1" s="209">
      <c r="A106" s="219" t="n">
        <v>133</v>
      </c>
      <c r="B106" s="220" t="inlineStr">
        <is>
          <t>KQCY0133</t>
        </is>
      </c>
      <c r="C106" s="221" t="inlineStr">
        <is>
          <t>餐饮三分部</t>
        </is>
      </c>
      <c r="D106" s="221" t="inlineStr">
        <is>
          <t>CF190</t>
        </is>
      </c>
      <c r="E106" s="242" t="inlineStr">
        <is>
          <t>苏旅财食堂</t>
        </is>
      </c>
      <c r="F106" s="221" t="inlineStr">
        <is>
          <t>人员服务外包</t>
        </is>
      </c>
      <c r="G106" s="243" t="inlineStr">
        <is>
          <t>郑虎</t>
        </is>
      </c>
      <c r="H106" s="222" t="inlineStr">
        <is>
          <t>第二班组</t>
        </is>
      </c>
      <c r="I106" s="232" t="inlineStr">
        <is>
          <t>铁板砂锅</t>
        </is>
      </c>
      <c r="J106" s="503" t="inlineStr">
        <is>
          <t>付鹏亮</t>
        </is>
      </c>
      <c r="K106" s="545">
        <f>LET(k,D106&amp;"|"&amp;E106&amp;"|"&amp;H106&amp;"|"&amp;I106&amp;"|"&amp;J106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06" s="546" t="n"/>
      <c r="M106" s="224" t="n"/>
      <c r="N106" s="567" t="n">
        <v>3520.89</v>
      </c>
      <c r="O106" s="548" t="n">
        <v>560000</v>
      </c>
      <c r="P106" s="247" t="n">
        <v>0.1</v>
      </c>
      <c r="Q106" s="461">
        <f>K106*P106</f>
        <v/>
      </c>
      <c r="R106" s="461">
        <f>Q106</f>
        <v/>
      </c>
      <c r="S106" s="461">
        <f>Q106-R106</f>
        <v/>
      </c>
      <c r="T106" s="235" t="n">
        <v>0</v>
      </c>
      <c r="U106" s="461">
        <f>K106*T106</f>
        <v/>
      </c>
      <c r="V106" s="461" t="n"/>
      <c r="W106" s="461">
        <f>U106-V106</f>
        <v/>
      </c>
      <c r="X106" s="235" t="n">
        <v>0</v>
      </c>
      <c r="Y106" s="461">
        <f>K106*X106</f>
        <v/>
      </c>
      <c r="Z106" s="227" t="n"/>
      <c r="AA106" s="461">
        <f>Y106-Z106</f>
        <v/>
      </c>
      <c r="AB106" s="227" t="inlineStr">
        <is>
          <t>308.9元/月，3、4、5、6月收取</t>
        </is>
      </c>
      <c r="AC106" s="461" t="n"/>
      <c r="AD106" s="227" t="n"/>
      <c r="AE106" s="461">
        <f>AC106-AD106</f>
        <v/>
      </c>
      <c r="AF106" s="276" t="n">
        <v>0.02</v>
      </c>
      <c r="AG106" s="461">
        <f>K106*AF106</f>
        <v/>
      </c>
      <c r="AH106" s="461">
        <f>AG106</f>
        <v/>
      </c>
      <c r="AI106" s="461">
        <f>AG106-AH106</f>
        <v/>
      </c>
      <c r="AJ106" s="247" t="n">
        <v>0</v>
      </c>
      <c r="AK106" s="461">
        <f>K106*AJ106</f>
        <v/>
      </c>
      <c r="AL106" s="461" t="n"/>
      <c r="AM106" s="461">
        <f>AK106-AL106</f>
        <v/>
      </c>
      <c r="AN106" s="235" t="n">
        <v>0</v>
      </c>
      <c r="AO106" s="461">
        <f>K106*AN106</f>
        <v/>
      </c>
      <c r="AP106" s="461" t="n"/>
      <c r="AQ106" s="461">
        <f>AO106-AP106</f>
        <v/>
      </c>
      <c r="AR106" s="247" t="inlineStr">
        <is>
          <t>按实</t>
        </is>
      </c>
      <c r="AS106" s="461">
        <f>AT106</f>
        <v/>
      </c>
      <c r="AT106" s="227" t="n"/>
      <c r="AU106" s="461">
        <f>AS106-AT106</f>
        <v/>
      </c>
      <c r="AV106" s="284" t="n">
        <v>0</v>
      </c>
      <c r="AW106" s="461">
        <f>K106*AV106</f>
        <v/>
      </c>
      <c r="AX106" s="461" t="n"/>
      <c r="AY106" s="461">
        <f>AW106-AX106</f>
        <v/>
      </c>
      <c r="AZ106" s="235" t="inlineStr">
        <is>
          <t>外卖营业额的4％</t>
        </is>
      </c>
      <c r="BA106" s="461">
        <f>BB106</f>
        <v/>
      </c>
      <c r="BB106" s="461" t="n"/>
      <c r="BC106" s="461">
        <f>BA106-BB106</f>
        <v/>
      </c>
      <c r="BD106" s="235" t="n">
        <v>0</v>
      </c>
      <c r="BE106" s="461">
        <f>K106*BD106</f>
        <v/>
      </c>
      <c r="BF106" s="235" t="n"/>
      <c r="BG106" s="461">
        <f>BE106-BF106</f>
        <v/>
      </c>
      <c r="BH106" s="235" t="n">
        <v>0</v>
      </c>
      <c r="BI106" s="461">
        <f>K106*BH106</f>
        <v/>
      </c>
      <c r="BJ106" s="235" t="n"/>
      <c r="BK106" s="461">
        <f>BI106-BJ106</f>
        <v/>
      </c>
      <c r="BL106" s="235" t="inlineStr">
        <is>
          <t>按实</t>
        </is>
      </c>
      <c r="BM106" s="220">
        <f>BN106</f>
        <v/>
      </c>
      <c r="BN106" s="220" t="n"/>
      <c r="BO106" s="220">
        <f>BM106-BN106</f>
        <v/>
      </c>
      <c r="BP106" s="220">
        <f>N106+Q106+U106+Y106+AC106+AG106+AK106+AO106+AS106+AW106+BA106+BE106+BI106+BM106</f>
        <v/>
      </c>
      <c r="BQ106" s="220">
        <f>N106+R106+V106+Z106+AD106+AH106+AL106+AP106+AT106+AX106+BB106+BF106+BJ106+BN106</f>
        <v/>
      </c>
      <c r="BR106" s="220">
        <f>BP106-BQ106</f>
        <v/>
      </c>
      <c r="BS106" s="247" t="inlineStr">
        <is>
          <t>/</t>
        </is>
      </c>
      <c r="BT106" s="461" t="inlineStr">
        <is>
          <t>/</t>
        </is>
      </c>
      <c r="BU106" s="230" t="inlineStr">
        <is>
          <t>1、其他：外卖人员服务费按照实际外卖营业额4%收取</t>
        </is>
      </c>
      <c r="BV106" s="230" t="inlineStr">
        <is>
          <t>1、签订期间：2026.3.1-2026.8.30；
2、指标按照全年换算；</t>
        </is>
      </c>
      <c r="BW106" s="534" t="n"/>
    </row>
    <row r="107" ht="24" customFormat="1" customHeight="1" s="209">
      <c r="A107" s="219" t="n">
        <v>134</v>
      </c>
      <c r="B107" s="220" t="inlineStr">
        <is>
          <t>KQCY0134</t>
        </is>
      </c>
      <c r="C107" s="221" t="inlineStr">
        <is>
          <t>餐饮三分部</t>
        </is>
      </c>
      <c r="D107" s="221" t="inlineStr">
        <is>
          <t>CF190</t>
        </is>
      </c>
      <c r="E107" s="242" t="inlineStr">
        <is>
          <t>苏旅财食堂</t>
        </is>
      </c>
      <c r="F107" s="221" t="inlineStr">
        <is>
          <t>人员服务外包</t>
        </is>
      </c>
      <c r="G107" s="243" t="inlineStr">
        <is>
          <t>郑虎</t>
        </is>
      </c>
      <c r="H107" s="222" t="inlineStr">
        <is>
          <t>第三班组</t>
        </is>
      </c>
      <c r="I107" s="232" t="inlineStr">
        <is>
          <t>石锅拌饭</t>
        </is>
      </c>
      <c r="J107" s="503" t="inlineStr">
        <is>
          <t>于红艳</t>
        </is>
      </c>
      <c r="K107" s="545">
        <f>LET(k,D107&amp;"|"&amp;E107&amp;"|"&amp;H107&amp;"|"&amp;I107&amp;"|"&amp;J107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07" s="546" t="n"/>
      <c r="M107" s="224" t="n"/>
      <c r="N107" s="567" t="n">
        <v>1246.63</v>
      </c>
      <c r="O107" s="548" t="n">
        <v>420000</v>
      </c>
      <c r="P107" s="247" t="n">
        <v>0.1</v>
      </c>
      <c r="Q107" s="461">
        <f>K107*P107</f>
        <v/>
      </c>
      <c r="R107" s="461">
        <f>Q107</f>
        <v/>
      </c>
      <c r="S107" s="461">
        <f>Q107-R107</f>
        <v/>
      </c>
      <c r="T107" s="235" t="n">
        <v>0</v>
      </c>
      <c r="U107" s="461">
        <f>K107*T107</f>
        <v/>
      </c>
      <c r="V107" s="461" t="n"/>
      <c r="W107" s="461">
        <f>U107-V107</f>
        <v/>
      </c>
      <c r="X107" s="235" t="n">
        <v>0</v>
      </c>
      <c r="Y107" s="461">
        <f>K107*X107</f>
        <v/>
      </c>
      <c r="Z107" s="227" t="n"/>
      <c r="AA107" s="461">
        <f>Y107-Z107</f>
        <v/>
      </c>
      <c r="AB107" s="227" t="inlineStr">
        <is>
          <t>217.9元/月，3、4、5、6月收取</t>
        </is>
      </c>
      <c r="AC107" s="461" t="n"/>
      <c r="AD107" s="227" t="n"/>
      <c r="AE107" s="461">
        <f>AC107-AD107</f>
        <v/>
      </c>
      <c r="AF107" s="276" t="n">
        <v>0.02</v>
      </c>
      <c r="AG107" s="461">
        <f>K107*AF107</f>
        <v/>
      </c>
      <c r="AH107" s="461">
        <f>AG107</f>
        <v/>
      </c>
      <c r="AI107" s="461">
        <f>AG107-AH107</f>
        <v/>
      </c>
      <c r="AJ107" s="247" t="n">
        <v>0</v>
      </c>
      <c r="AK107" s="461">
        <f>K107*AJ107</f>
        <v/>
      </c>
      <c r="AL107" s="461" t="n"/>
      <c r="AM107" s="461">
        <f>AK107-AL107</f>
        <v/>
      </c>
      <c r="AN107" s="235" t="n">
        <v>0</v>
      </c>
      <c r="AO107" s="461">
        <f>K107*AN107</f>
        <v/>
      </c>
      <c r="AP107" s="461" t="n"/>
      <c r="AQ107" s="461">
        <f>AO107-AP107</f>
        <v/>
      </c>
      <c r="AR107" s="247" t="inlineStr">
        <is>
          <t>按实</t>
        </is>
      </c>
      <c r="AS107" s="461">
        <f>AT107</f>
        <v/>
      </c>
      <c r="AT107" s="227" t="n"/>
      <c r="AU107" s="461">
        <f>AS107-AT107</f>
        <v/>
      </c>
      <c r="AV107" s="284" t="n">
        <v>0</v>
      </c>
      <c r="AW107" s="461">
        <f>K107*AV107</f>
        <v/>
      </c>
      <c r="AX107" s="461" t="n"/>
      <c r="AY107" s="461">
        <f>AW107-AX107</f>
        <v/>
      </c>
      <c r="AZ107" s="235" t="inlineStr">
        <is>
          <t>外卖营业额的4％</t>
        </is>
      </c>
      <c r="BA107" s="461">
        <f>BB107</f>
        <v/>
      </c>
      <c r="BB107" s="461" t="n"/>
      <c r="BC107" s="461">
        <f>BA107-BB107</f>
        <v/>
      </c>
      <c r="BD107" s="235" t="n">
        <v>0</v>
      </c>
      <c r="BE107" s="461">
        <f>K107*BD107</f>
        <v/>
      </c>
      <c r="BF107" s="235" t="n"/>
      <c r="BG107" s="461">
        <f>BE107-BF107</f>
        <v/>
      </c>
      <c r="BH107" s="235" t="n">
        <v>0</v>
      </c>
      <c r="BI107" s="461">
        <f>K107*BH107</f>
        <v/>
      </c>
      <c r="BJ107" s="235" t="n"/>
      <c r="BK107" s="461">
        <f>BI107-BJ107</f>
        <v/>
      </c>
      <c r="BL107" s="235" t="inlineStr">
        <is>
          <t>按实</t>
        </is>
      </c>
      <c r="BM107" s="220">
        <f>BN107</f>
        <v/>
      </c>
      <c r="BN107" s="220" t="n"/>
      <c r="BO107" s="220">
        <f>BM107-BN107</f>
        <v/>
      </c>
      <c r="BP107" s="220">
        <f>N107+Q107+U107+Y107+AC107+AG107+AK107+AO107+AS107+AW107+BA107+BE107+BI107+BM107</f>
        <v/>
      </c>
      <c r="BQ107" s="220">
        <f>N107+R107+V107+Z107+AD107+AH107+AL107+AP107+AT107+AX107+BB107+BF107+BJ107+BN107</f>
        <v/>
      </c>
      <c r="BR107" s="220">
        <f>BP107-BQ107</f>
        <v/>
      </c>
      <c r="BS107" s="247" t="inlineStr">
        <is>
          <t>/</t>
        </is>
      </c>
      <c r="BT107" s="461" t="inlineStr">
        <is>
          <t>/</t>
        </is>
      </c>
      <c r="BU107" s="230" t="inlineStr">
        <is>
          <t>1、其他：外卖人员服务费按照实际外卖营业额4%收取</t>
        </is>
      </c>
      <c r="BV107" s="230" t="inlineStr">
        <is>
          <t>1、签订期间：2026.3.1-2026.8.30；
2、指标按照全年换算；</t>
        </is>
      </c>
      <c r="BW107" s="534" t="n"/>
    </row>
    <row r="108" ht="24" customFormat="1" customHeight="1" s="209">
      <c r="A108" s="219" t="n">
        <v>135</v>
      </c>
      <c r="B108" s="220" t="inlineStr">
        <is>
          <t>KQCY0135</t>
        </is>
      </c>
      <c r="C108" s="221" t="inlineStr">
        <is>
          <t>餐饮三分部</t>
        </is>
      </c>
      <c r="D108" s="221" t="inlineStr">
        <is>
          <t>CF190</t>
        </is>
      </c>
      <c r="E108" s="242" t="inlineStr">
        <is>
          <t>苏旅财食堂</t>
        </is>
      </c>
      <c r="F108" s="221" t="inlineStr">
        <is>
          <t>人员服务外包</t>
        </is>
      </c>
      <c r="G108" s="243" t="inlineStr">
        <is>
          <t>郑虎</t>
        </is>
      </c>
      <c r="H108" s="222" t="inlineStr">
        <is>
          <t>第四班组</t>
        </is>
      </c>
      <c r="I108" s="232" t="inlineStr">
        <is>
          <t>杂粮煎饼</t>
        </is>
      </c>
      <c r="J108" s="503" t="inlineStr">
        <is>
          <t>李右华</t>
        </is>
      </c>
      <c r="K108" s="545">
        <f>LET(k,D108&amp;"|"&amp;E108&amp;"|"&amp;H108&amp;"|"&amp;I108&amp;"|"&amp;J108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08" s="546" t="n"/>
      <c r="M108" s="224" t="n"/>
      <c r="N108" s="567" t="n">
        <v>2448.26</v>
      </c>
      <c r="O108" s="548" t="n">
        <v>210000</v>
      </c>
      <c r="P108" s="247" t="n">
        <v>0.1</v>
      </c>
      <c r="Q108" s="461">
        <f>K108*P108</f>
        <v/>
      </c>
      <c r="R108" s="461">
        <f>Q108</f>
        <v/>
      </c>
      <c r="S108" s="461">
        <f>Q108-R108</f>
        <v/>
      </c>
      <c r="T108" s="235" t="n">
        <v>0</v>
      </c>
      <c r="U108" s="461">
        <f>K108*T108</f>
        <v/>
      </c>
      <c r="V108" s="461" t="n"/>
      <c r="W108" s="461">
        <f>U108-V108</f>
        <v/>
      </c>
      <c r="X108" s="235" t="n">
        <v>0</v>
      </c>
      <c r="Y108" s="461">
        <f>K108*X108</f>
        <v/>
      </c>
      <c r="Z108" s="227" t="n"/>
      <c r="AA108" s="461">
        <f>Y108-Z108</f>
        <v/>
      </c>
      <c r="AB108" s="227" t="inlineStr">
        <is>
          <t>175.4元/月，3、4、5、6月收取</t>
        </is>
      </c>
      <c r="AC108" s="461" t="n"/>
      <c r="AD108" s="227" t="n"/>
      <c r="AE108" s="461">
        <f>AC108-AD108</f>
        <v/>
      </c>
      <c r="AF108" s="276" t="n">
        <v>0.02</v>
      </c>
      <c r="AG108" s="461">
        <f>K108*AF108</f>
        <v/>
      </c>
      <c r="AH108" s="461">
        <f>AG108</f>
        <v/>
      </c>
      <c r="AI108" s="461">
        <f>AG108-AH108</f>
        <v/>
      </c>
      <c r="AJ108" s="247" t="n">
        <v>0</v>
      </c>
      <c r="AK108" s="461">
        <f>K108*AJ108</f>
        <v/>
      </c>
      <c r="AL108" s="461" t="n"/>
      <c r="AM108" s="461">
        <f>AK108-AL108</f>
        <v/>
      </c>
      <c r="AN108" s="235" t="n">
        <v>0</v>
      </c>
      <c r="AO108" s="461">
        <f>K108*AN108</f>
        <v/>
      </c>
      <c r="AP108" s="461" t="n"/>
      <c r="AQ108" s="461">
        <f>AO108-AP108</f>
        <v/>
      </c>
      <c r="AR108" s="247" t="inlineStr">
        <is>
          <t>按实</t>
        </is>
      </c>
      <c r="AS108" s="461">
        <f>AT108</f>
        <v/>
      </c>
      <c r="AT108" s="227" t="n"/>
      <c r="AU108" s="461">
        <f>AS108-AT108</f>
        <v/>
      </c>
      <c r="AV108" s="284" t="n">
        <v>0</v>
      </c>
      <c r="AW108" s="461">
        <f>K108*AV108</f>
        <v/>
      </c>
      <c r="AX108" s="461" t="n"/>
      <c r="AY108" s="461">
        <f>AW108-AX108</f>
        <v/>
      </c>
      <c r="AZ108" s="235" t="inlineStr">
        <is>
          <t>外卖营业额的4％</t>
        </is>
      </c>
      <c r="BA108" s="461">
        <f>BB108</f>
        <v/>
      </c>
      <c r="BB108" s="461" t="n"/>
      <c r="BC108" s="461">
        <f>BA108-BB108</f>
        <v/>
      </c>
      <c r="BD108" s="235" t="n">
        <v>0</v>
      </c>
      <c r="BE108" s="461">
        <f>K108*BD108</f>
        <v/>
      </c>
      <c r="BF108" s="235" t="n"/>
      <c r="BG108" s="461">
        <f>BE108-BF108</f>
        <v/>
      </c>
      <c r="BH108" s="235" t="n">
        <v>0</v>
      </c>
      <c r="BI108" s="461">
        <f>K108*BH108</f>
        <v/>
      </c>
      <c r="BJ108" s="235" t="n"/>
      <c r="BK108" s="461">
        <f>BI108-BJ108</f>
        <v/>
      </c>
      <c r="BL108" s="235" t="inlineStr">
        <is>
          <t>按实</t>
        </is>
      </c>
      <c r="BM108" s="220">
        <f>BN108</f>
        <v/>
      </c>
      <c r="BN108" s="220" t="n"/>
      <c r="BO108" s="220">
        <f>BM108-BN108</f>
        <v/>
      </c>
      <c r="BP108" s="220">
        <f>N108+Q108+U108+Y108+AC108+AG108+AK108+AO108+AS108+AW108+BA108+BE108+BI108+BM108</f>
        <v/>
      </c>
      <c r="BQ108" s="220">
        <f>N108+R108+V108+Z108+AD108+AH108+AL108+AP108+AT108+AX108+BB108+BF108+BJ108+BN108</f>
        <v/>
      </c>
      <c r="BR108" s="220">
        <f>BP108-BQ108</f>
        <v/>
      </c>
      <c r="BS108" s="247" t="inlineStr">
        <is>
          <t>/</t>
        </is>
      </c>
      <c r="BT108" s="461" t="inlineStr">
        <is>
          <t>/</t>
        </is>
      </c>
      <c r="BU108" s="230" t="inlineStr">
        <is>
          <t>1、其他：外卖人员服务费按照实际外卖营业额4%收取</t>
        </is>
      </c>
      <c r="BV108" s="230" t="inlineStr">
        <is>
          <t>1、签订期间：2026.3.1-2026.8.30；
2、指标按照全年换算；</t>
        </is>
      </c>
      <c r="BW108" s="534" t="n"/>
    </row>
    <row r="109" ht="24" customFormat="1" customHeight="1" s="209">
      <c r="A109" s="219" t="n">
        <v>136</v>
      </c>
      <c r="B109" s="220" t="inlineStr">
        <is>
          <t>KQCY0136</t>
        </is>
      </c>
      <c r="C109" s="221" t="inlineStr">
        <is>
          <t>餐饮三分部</t>
        </is>
      </c>
      <c r="D109" s="221" t="inlineStr">
        <is>
          <t>CF190</t>
        </is>
      </c>
      <c r="E109" s="242" t="inlineStr">
        <is>
          <t>苏旅财食堂</t>
        </is>
      </c>
      <c r="F109" s="221" t="inlineStr">
        <is>
          <t>人员服务外包</t>
        </is>
      </c>
      <c r="G109" s="243" t="inlineStr">
        <is>
          <t>郑虎</t>
        </is>
      </c>
      <c r="H109" s="222" t="inlineStr">
        <is>
          <t>第五班组</t>
        </is>
      </c>
      <c r="I109" s="232" t="inlineStr">
        <is>
          <t>水饺</t>
        </is>
      </c>
      <c r="J109" s="503" t="inlineStr">
        <is>
          <t>汪于超</t>
        </is>
      </c>
      <c r="K109" s="545">
        <f>LET(k,D109&amp;"|"&amp;E109&amp;"|"&amp;H109&amp;"|"&amp;I109&amp;"|"&amp;J109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09" s="546" t="n"/>
      <c r="M109" s="224" t="n"/>
      <c r="N109" s="567" t="n">
        <v>2347.26</v>
      </c>
      <c r="O109" s="548" t="n">
        <v>490000</v>
      </c>
      <c r="P109" s="247" t="n">
        <v>0.1</v>
      </c>
      <c r="Q109" s="461">
        <f>K109*P109</f>
        <v/>
      </c>
      <c r="R109" s="461">
        <f>Q109</f>
        <v/>
      </c>
      <c r="S109" s="461">
        <f>Q109-R109</f>
        <v/>
      </c>
      <c r="T109" s="235" t="n">
        <v>0</v>
      </c>
      <c r="U109" s="461">
        <f>K109*T109</f>
        <v/>
      </c>
      <c r="V109" s="461" t="n"/>
      <c r="W109" s="461">
        <f>U109-V109</f>
        <v/>
      </c>
      <c r="X109" s="235" t="n">
        <v>0</v>
      </c>
      <c r="Y109" s="461">
        <f>K109*X109</f>
        <v/>
      </c>
      <c r="Z109" s="227" t="n"/>
      <c r="AA109" s="461">
        <f>Y109-Z109</f>
        <v/>
      </c>
      <c r="AB109" s="227" t="inlineStr">
        <is>
          <t>268.7元/月，3、4、5、6月收取</t>
        </is>
      </c>
      <c r="AC109" s="461" t="n"/>
      <c r="AD109" s="227" t="n"/>
      <c r="AE109" s="461">
        <f>AC109-AD109</f>
        <v/>
      </c>
      <c r="AF109" s="276" t="n">
        <v>0.02</v>
      </c>
      <c r="AG109" s="461">
        <f>K109*AF109</f>
        <v/>
      </c>
      <c r="AH109" s="461">
        <f>AG109</f>
        <v/>
      </c>
      <c r="AI109" s="461">
        <f>AG109-AH109</f>
        <v/>
      </c>
      <c r="AJ109" s="247" t="n">
        <v>0</v>
      </c>
      <c r="AK109" s="461">
        <f>K109*AJ109</f>
        <v/>
      </c>
      <c r="AL109" s="461" t="n"/>
      <c r="AM109" s="461">
        <f>AK109-AL109</f>
        <v/>
      </c>
      <c r="AN109" s="235" t="n">
        <v>0</v>
      </c>
      <c r="AO109" s="461">
        <f>K109*AN109</f>
        <v/>
      </c>
      <c r="AP109" s="461" t="n"/>
      <c r="AQ109" s="461">
        <f>AO109-AP109</f>
        <v/>
      </c>
      <c r="AR109" s="247" t="inlineStr">
        <is>
          <t>按实</t>
        </is>
      </c>
      <c r="AS109" s="461">
        <f>AT109</f>
        <v/>
      </c>
      <c r="AT109" s="227" t="n"/>
      <c r="AU109" s="461">
        <f>AS109-AT109</f>
        <v/>
      </c>
      <c r="AV109" s="284" t="n">
        <v>0</v>
      </c>
      <c r="AW109" s="461">
        <f>K109*AV109</f>
        <v/>
      </c>
      <c r="AX109" s="461" t="n"/>
      <c r="AY109" s="461">
        <f>AW109-AX109</f>
        <v/>
      </c>
      <c r="AZ109" s="235" t="inlineStr">
        <is>
          <t>外卖营业额的4％</t>
        </is>
      </c>
      <c r="BA109" s="461">
        <f>BB109</f>
        <v/>
      </c>
      <c r="BB109" s="461" t="n"/>
      <c r="BC109" s="461">
        <f>BA109-BB109</f>
        <v/>
      </c>
      <c r="BD109" s="235" t="n">
        <v>0</v>
      </c>
      <c r="BE109" s="461">
        <f>K109*BD109</f>
        <v/>
      </c>
      <c r="BF109" s="235" t="n"/>
      <c r="BG109" s="461">
        <f>BE109-BF109</f>
        <v/>
      </c>
      <c r="BH109" s="235" t="n">
        <v>0</v>
      </c>
      <c r="BI109" s="461">
        <f>K109*BH109</f>
        <v/>
      </c>
      <c r="BJ109" s="235" t="n"/>
      <c r="BK109" s="461">
        <f>BI109-BJ109</f>
        <v/>
      </c>
      <c r="BL109" s="235" t="inlineStr">
        <is>
          <t>按实</t>
        </is>
      </c>
      <c r="BM109" s="220">
        <f>BN109</f>
        <v/>
      </c>
      <c r="BN109" s="220" t="n"/>
      <c r="BO109" s="220">
        <f>BM109-BN109</f>
        <v/>
      </c>
      <c r="BP109" s="220">
        <f>N109+Q109+U109+Y109+AC109+AG109+AK109+AO109+AS109+AW109+BA109+BE109+BI109+BM109</f>
        <v/>
      </c>
      <c r="BQ109" s="220">
        <f>N109+R109+V109+Z109+AD109+AH109+AL109+AP109+AT109+AX109+BB109+BF109+BJ109+BN109</f>
        <v/>
      </c>
      <c r="BR109" s="220">
        <f>BP109-BQ109</f>
        <v/>
      </c>
      <c r="BS109" s="247" t="inlineStr">
        <is>
          <t>/</t>
        </is>
      </c>
      <c r="BT109" s="461" t="inlineStr">
        <is>
          <t>/</t>
        </is>
      </c>
      <c r="BU109" s="230" t="inlineStr">
        <is>
          <t>1、其他：外卖人员服务费按照实际外卖营业额4%收取</t>
        </is>
      </c>
      <c r="BV109" s="230" t="inlineStr">
        <is>
          <t>1、签订期间：2026.3.1-2026.8.30；
2、指标按照全年换算；</t>
        </is>
      </c>
      <c r="BW109" s="534" t="n"/>
    </row>
    <row r="110" ht="24" customFormat="1" customHeight="1" s="209">
      <c r="A110" s="219" t="n">
        <v>137</v>
      </c>
      <c r="B110" s="220" t="inlineStr">
        <is>
          <t>KQCY0137</t>
        </is>
      </c>
      <c r="C110" s="221" t="inlineStr">
        <is>
          <t>餐饮三分部</t>
        </is>
      </c>
      <c r="D110" s="221" t="inlineStr">
        <is>
          <t>CF190</t>
        </is>
      </c>
      <c r="E110" s="242" t="inlineStr">
        <is>
          <t>苏旅财食堂</t>
        </is>
      </c>
      <c r="F110" s="221" t="inlineStr">
        <is>
          <t>人员服务外包</t>
        </is>
      </c>
      <c r="G110" s="243" t="inlineStr">
        <is>
          <t>郑虎</t>
        </is>
      </c>
      <c r="H110" s="222" t="inlineStr">
        <is>
          <t>第六班组</t>
        </is>
      </c>
      <c r="I110" s="232" t="inlineStr">
        <is>
          <t>奶茶汉堡</t>
        </is>
      </c>
      <c r="J110" s="503" t="inlineStr">
        <is>
          <t>吕鹏飞</t>
        </is>
      </c>
      <c r="K110" s="545">
        <f>LET(k,D110&amp;"|"&amp;E110&amp;"|"&amp;H110&amp;"|"&amp;I110&amp;"|"&amp;J110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10" s="546" t="n"/>
      <c r="M110" s="224" t="n"/>
      <c r="N110" s="567" t="n">
        <v>2347.26</v>
      </c>
      <c r="O110" s="548" t="n">
        <v>560000</v>
      </c>
      <c r="P110" s="247" t="n">
        <v>0.09</v>
      </c>
      <c r="Q110" s="461">
        <f>K110*P110</f>
        <v/>
      </c>
      <c r="R110" s="461">
        <f>Q110</f>
        <v/>
      </c>
      <c r="S110" s="461">
        <f>Q110-R110</f>
        <v/>
      </c>
      <c r="T110" s="235" t="n">
        <v>0</v>
      </c>
      <c r="U110" s="461">
        <f>K110*T110</f>
        <v/>
      </c>
      <c r="V110" s="461" t="n"/>
      <c r="W110" s="461">
        <f>U110-V110</f>
        <v/>
      </c>
      <c r="X110" s="235" t="n">
        <v>0</v>
      </c>
      <c r="Y110" s="461">
        <f>K110*X110</f>
        <v/>
      </c>
      <c r="Z110" s="227" t="n"/>
      <c r="AA110" s="461">
        <f>Y110-Z110</f>
        <v/>
      </c>
      <c r="AB110" s="227" t="inlineStr">
        <is>
          <t>139.2元/月，3、4、5、6月收取</t>
        </is>
      </c>
      <c r="AC110" s="461" t="n"/>
      <c r="AD110" s="227" t="n"/>
      <c r="AE110" s="461">
        <f>AC110-AD110</f>
        <v/>
      </c>
      <c r="AF110" s="276" t="n">
        <v>0.02</v>
      </c>
      <c r="AG110" s="461">
        <f>K110*AF110</f>
        <v/>
      </c>
      <c r="AH110" s="461">
        <f>AG110</f>
        <v/>
      </c>
      <c r="AI110" s="461">
        <f>AG110-AH110</f>
        <v/>
      </c>
      <c r="AJ110" s="247" t="n">
        <v>0</v>
      </c>
      <c r="AK110" s="461">
        <f>K110*AJ110</f>
        <v/>
      </c>
      <c r="AL110" s="461" t="n"/>
      <c r="AM110" s="461">
        <f>AK110-AL110</f>
        <v/>
      </c>
      <c r="AN110" s="235" t="n">
        <v>0</v>
      </c>
      <c r="AO110" s="461">
        <f>K110*AN110</f>
        <v/>
      </c>
      <c r="AP110" s="461" t="n"/>
      <c r="AQ110" s="461">
        <f>AO110-AP110</f>
        <v/>
      </c>
      <c r="AR110" s="247" t="inlineStr">
        <is>
          <t>按实</t>
        </is>
      </c>
      <c r="AS110" s="461">
        <f>AT110</f>
        <v/>
      </c>
      <c r="AT110" s="227" t="n"/>
      <c r="AU110" s="461">
        <f>AS110-AT110</f>
        <v/>
      </c>
      <c r="AV110" s="284" t="n">
        <v>0</v>
      </c>
      <c r="AW110" s="461">
        <f>K110*AV110</f>
        <v/>
      </c>
      <c r="AX110" s="461" t="n"/>
      <c r="AY110" s="461">
        <f>AW110-AX110</f>
        <v/>
      </c>
      <c r="AZ110" s="235" t="inlineStr">
        <is>
          <t>外卖营业额的4％</t>
        </is>
      </c>
      <c r="BA110" s="461">
        <f>BB110</f>
        <v/>
      </c>
      <c r="BB110" s="461" t="n"/>
      <c r="BC110" s="461">
        <f>BA110-BB110</f>
        <v/>
      </c>
      <c r="BD110" s="235" t="n">
        <v>0</v>
      </c>
      <c r="BE110" s="461">
        <f>K110*BD110</f>
        <v/>
      </c>
      <c r="BF110" s="235" t="n"/>
      <c r="BG110" s="461">
        <f>BE110-BF110</f>
        <v/>
      </c>
      <c r="BH110" s="235" t="n">
        <v>0</v>
      </c>
      <c r="BI110" s="461">
        <f>K110*BH110</f>
        <v/>
      </c>
      <c r="BJ110" s="235" t="n"/>
      <c r="BK110" s="461">
        <f>BI110-BJ110</f>
        <v/>
      </c>
      <c r="BL110" s="235" t="inlineStr">
        <is>
          <t>按实</t>
        </is>
      </c>
      <c r="BM110" s="220">
        <f>BN110</f>
        <v/>
      </c>
      <c r="BN110" s="220" t="n"/>
      <c r="BO110" s="220">
        <f>BM110-BN110</f>
        <v/>
      </c>
      <c r="BP110" s="220">
        <f>N110+Q110+U110+Y110+AC110+AG110+AK110+AO110+AS110+AW110+BA110+BE110+BI110+BM110</f>
        <v/>
      </c>
      <c r="BQ110" s="220">
        <f>N110+R110+V110+Z110+AD110+AH110+AL110+AP110+AT110+AX110+BB110+BF110+BJ110+BN110</f>
        <v/>
      </c>
      <c r="BR110" s="220">
        <f>BP110-BQ110</f>
        <v/>
      </c>
      <c r="BS110" s="247" t="inlineStr">
        <is>
          <t>/</t>
        </is>
      </c>
      <c r="BT110" s="461" t="inlineStr">
        <is>
          <t>/</t>
        </is>
      </c>
      <c r="BU110" s="230" t="inlineStr">
        <is>
          <t>1、其他：外卖人员服务费按照实际外卖营业额4%收取</t>
        </is>
      </c>
      <c r="BV110" s="230" t="inlineStr">
        <is>
          <t>1、签订期间：2026.3.1-2026.8.30；
2、指标按照全年换算；</t>
        </is>
      </c>
      <c r="BW110" s="534" t="n"/>
    </row>
    <row r="111" ht="24" customFormat="1" customHeight="1" s="209">
      <c r="A111" s="219" t="n">
        <v>138</v>
      </c>
      <c r="B111" s="220" t="inlineStr">
        <is>
          <t>KQCY0138</t>
        </is>
      </c>
      <c r="C111" s="221" t="inlineStr">
        <is>
          <t>餐饮三分部</t>
        </is>
      </c>
      <c r="D111" s="221" t="inlineStr">
        <is>
          <t>CF190</t>
        </is>
      </c>
      <c r="E111" s="242" t="inlineStr">
        <is>
          <t>苏旅财食堂</t>
        </is>
      </c>
      <c r="F111" s="221" t="inlineStr">
        <is>
          <t>人员服务外包</t>
        </is>
      </c>
      <c r="G111" s="243" t="inlineStr">
        <is>
          <t>郑虎</t>
        </is>
      </c>
      <c r="H111" s="222" t="inlineStr">
        <is>
          <t>第七班组</t>
        </is>
      </c>
      <c r="I111" s="232" t="inlineStr">
        <is>
          <t>麻辣烫</t>
        </is>
      </c>
      <c r="J111" s="503" t="inlineStr">
        <is>
          <t>袁吉</t>
        </is>
      </c>
      <c r="K111" s="545">
        <f>LET(k,D111&amp;"|"&amp;E111&amp;"|"&amp;H111&amp;"|"&amp;I111&amp;"|"&amp;J111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11" s="546" t="n"/>
      <c r="M111" s="224" t="n"/>
      <c r="N111" s="567" t="n">
        <v>1246.63</v>
      </c>
      <c r="O111" s="548" t="n">
        <v>210000</v>
      </c>
      <c r="P111" s="247" t="n">
        <v>0.09</v>
      </c>
      <c r="Q111" s="461">
        <f>K111*P111</f>
        <v/>
      </c>
      <c r="R111" s="461">
        <f>Q111</f>
        <v/>
      </c>
      <c r="S111" s="461">
        <f>Q111-R111</f>
        <v/>
      </c>
      <c r="T111" s="235" t="n">
        <v>0</v>
      </c>
      <c r="U111" s="461">
        <f>K111*T111</f>
        <v/>
      </c>
      <c r="V111" s="461" t="n"/>
      <c r="W111" s="461">
        <f>U111-V111</f>
        <v/>
      </c>
      <c r="X111" s="235" t="n">
        <v>0</v>
      </c>
      <c r="Y111" s="461">
        <f>K111*X111</f>
        <v/>
      </c>
      <c r="Z111" s="227" t="n"/>
      <c r="AA111" s="461">
        <f>Y111-Z111</f>
        <v/>
      </c>
      <c r="AB111" s="227" t="inlineStr">
        <is>
          <t>137.45元/月，3、4、5、6月收取</t>
        </is>
      </c>
      <c r="AC111" s="461" t="n"/>
      <c r="AD111" s="227" t="n"/>
      <c r="AE111" s="461">
        <f>AC111-AD111</f>
        <v/>
      </c>
      <c r="AF111" s="276" t="n">
        <v>0.02</v>
      </c>
      <c r="AG111" s="461">
        <f>K111*AF111</f>
        <v/>
      </c>
      <c r="AH111" s="461">
        <f>AG111</f>
        <v/>
      </c>
      <c r="AI111" s="461">
        <f>AG111-AH111</f>
        <v/>
      </c>
      <c r="AJ111" s="247" t="n">
        <v>0</v>
      </c>
      <c r="AK111" s="461">
        <f>K111*AJ111</f>
        <v/>
      </c>
      <c r="AL111" s="461" t="n"/>
      <c r="AM111" s="461">
        <f>AK111-AL111</f>
        <v/>
      </c>
      <c r="AN111" s="235" t="n">
        <v>0</v>
      </c>
      <c r="AO111" s="461">
        <f>K111*AN111</f>
        <v/>
      </c>
      <c r="AP111" s="461" t="n"/>
      <c r="AQ111" s="461">
        <f>AO111-AP111</f>
        <v/>
      </c>
      <c r="AR111" s="247" t="inlineStr">
        <is>
          <t>按实</t>
        </is>
      </c>
      <c r="AS111" s="461" t="n"/>
      <c r="AT111" s="227" t="n"/>
      <c r="AU111" s="461">
        <f>AS111-AT111</f>
        <v/>
      </c>
      <c r="AV111" s="284" t="n">
        <v>0</v>
      </c>
      <c r="AW111" s="461">
        <f>K111*AV111</f>
        <v/>
      </c>
      <c r="AX111" s="461" t="n"/>
      <c r="AY111" s="461">
        <f>AW111-AX111</f>
        <v/>
      </c>
      <c r="AZ111" s="235" t="inlineStr">
        <is>
          <t>外卖营业额的4％</t>
        </is>
      </c>
      <c r="BA111" s="461" t="n"/>
      <c r="BB111" s="461" t="n"/>
      <c r="BC111" s="461">
        <f>BA111-BB111</f>
        <v/>
      </c>
      <c r="BD111" s="235" t="n">
        <v>0</v>
      </c>
      <c r="BE111" s="461">
        <f>K111*BD111</f>
        <v/>
      </c>
      <c r="BF111" s="235" t="n"/>
      <c r="BG111" s="461">
        <f>BE111-BF111</f>
        <v/>
      </c>
      <c r="BH111" s="235" t="n">
        <v>0</v>
      </c>
      <c r="BI111" s="461">
        <f>K111*BH111</f>
        <v/>
      </c>
      <c r="BJ111" s="235" t="n"/>
      <c r="BK111" s="461">
        <f>BI111-BJ111</f>
        <v/>
      </c>
      <c r="BL111" s="235" t="inlineStr">
        <is>
          <t>按实</t>
        </is>
      </c>
      <c r="BM111" s="220">
        <f>BN111</f>
        <v/>
      </c>
      <c r="BN111" s="220" t="n"/>
      <c r="BO111" s="220">
        <f>BM111-BN111</f>
        <v/>
      </c>
      <c r="BP111" s="220">
        <f>N111+Q111+U111+Y111+AC111+AG111+AK111+AO111+AS111+AW111+BA111+BE111+BI111+BM111</f>
        <v/>
      </c>
      <c r="BQ111" s="220">
        <f>N111+R111+V111+Z111+AD111+AH111+AL111+AP111+AT111+AX111+BB111+BF111+BJ111+BN111</f>
        <v/>
      </c>
      <c r="BR111" s="220">
        <f>BP111-BQ111</f>
        <v/>
      </c>
      <c r="BS111" s="247" t="inlineStr">
        <is>
          <t>/</t>
        </is>
      </c>
      <c r="BT111" s="461" t="inlineStr">
        <is>
          <t>/</t>
        </is>
      </c>
      <c r="BU111" s="230" t="inlineStr">
        <is>
          <t>1、其他：外卖人员服务费按照实际外卖营业额4%收取</t>
        </is>
      </c>
      <c r="BV111" s="230" t="inlineStr">
        <is>
          <t>1、签订期间：2026.3.1-2026.8.30；
2、指标按照全年换算；</t>
        </is>
      </c>
      <c r="BW111" s="534" t="n"/>
    </row>
    <row r="112" ht="36" customFormat="1" customHeight="1" s="209">
      <c r="A112" s="219" t="n">
        <v>140</v>
      </c>
      <c r="B112" s="220" t="inlineStr">
        <is>
          <t>KQCY0140</t>
        </is>
      </c>
      <c r="C112" s="221" t="inlineStr">
        <is>
          <t>餐饮三分部</t>
        </is>
      </c>
      <c r="D112" s="221" t="inlineStr">
        <is>
          <t>CF276</t>
        </is>
      </c>
      <c r="E112" s="242" t="inlineStr">
        <is>
          <t>苏州经贸二食堂</t>
        </is>
      </c>
      <c r="F112" s="219" t="inlineStr">
        <is>
          <t>分组作业</t>
        </is>
      </c>
      <c r="G112" s="243" t="inlineStr">
        <is>
          <t>郑虎</t>
        </is>
      </c>
      <c r="H112" s="222" t="inlineStr">
        <is>
          <t>第一班组</t>
        </is>
      </c>
      <c r="I112" s="232" t="inlineStr">
        <is>
          <t>卤烤套餐饭</t>
        </is>
      </c>
      <c r="J112" s="503" t="inlineStr">
        <is>
          <t>康小伟</t>
        </is>
      </c>
      <c r="K112" s="545">
        <f>LET(k,D112&amp;"|"&amp;E112&amp;"|"&amp;H112&amp;"|"&amp;I112&amp;"|"&amp;J112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12" s="546" t="n"/>
      <c r="M112" s="224" t="n"/>
      <c r="N112" s="547" t="n"/>
      <c r="O112" s="548" t="n">
        <v>0</v>
      </c>
      <c r="P112" s="247" t="n">
        <v>0.035</v>
      </c>
      <c r="Q112" s="566">
        <f>K112*P112</f>
        <v/>
      </c>
      <c r="R112" s="554" t="n">
        <v>2983.8</v>
      </c>
      <c r="S112" s="461">
        <f>Q112-R112</f>
        <v/>
      </c>
      <c r="T112" s="235" t="n">
        <v>0</v>
      </c>
      <c r="U112" s="461">
        <f>K112*T112</f>
        <v/>
      </c>
      <c r="V112" s="461" t="n"/>
      <c r="W112" s="461">
        <f>U112-V112</f>
        <v/>
      </c>
      <c r="X112" s="235" t="n">
        <v>0</v>
      </c>
      <c r="Y112" s="461">
        <f>K112*X112</f>
        <v/>
      </c>
      <c r="Z112" s="461" t="n"/>
      <c r="AA112" s="461">
        <f>Y112-Z112</f>
        <v/>
      </c>
      <c r="AB112" s="247" t="n">
        <v>0</v>
      </c>
      <c r="AC112" s="461">
        <f>K112*AB112</f>
        <v/>
      </c>
      <c r="AD112" s="461" t="n"/>
      <c r="AE112" s="461">
        <f>AC112-AD112</f>
        <v/>
      </c>
      <c r="AF112" s="247" t="n">
        <v>0</v>
      </c>
      <c r="AG112" s="461">
        <f>K112*AF112</f>
        <v/>
      </c>
      <c r="AH112" s="461" t="n"/>
      <c r="AI112" s="461">
        <f>AG112-AH112</f>
        <v/>
      </c>
      <c r="AJ112" s="247" t="n">
        <v>0</v>
      </c>
      <c r="AK112" s="461">
        <f>K112*AJ112</f>
        <v/>
      </c>
      <c r="AL112" s="461" t="n"/>
      <c r="AM112" s="461">
        <f>AK112-AL112</f>
        <v/>
      </c>
      <c r="AN112" s="235" t="n">
        <v>0</v>
      </c>
      <c r="AO112" s="461">
        <f>K112*AN112</f>
        <v/>
      </c>
      <c r="AP112" s="461" t="n"/>
      <c r="AQ112" s="461">
        <f>AO112-AP112</f>
        <v/>
      </c>
      <c r="AR112" s="247" t="n">
        <v>0.035</v>
      </c>
      <c r="AS112" s="461">
        <f>K112*AR112</f>
        <v/>
      </c>
      <c r="AT112" s="568" t="n">
        <v>2983.8025</v>
      </c>
      <c r="AU112" s="461">
        <f>AS112-AT112</f>
        <v/>
      </c>
      <c r="AV112" s="247" t="n">
        <v>0.06</v>
      </c>
      <c r="AW112" s="461">
        <f>K112*AV112</f>
        <v/>
      </c>
      <c r="AX112" s="569" t="n">
        <v>5115.09</v>
      </c>
      <c r="AY112" s="461">
        <f>AW112-AX112</f>
        <v/>
      </c>
      <c r="AZ112" s="551" t="inlineStr">
        <is>
          <t>按实</t>
        </is>
      </c>
      <c r="BA112" s="461">
        <f>BB112</f>
        <v/>
      </c>
      <c r="BB112" s="461" t="n"/>
      <c r="BC112" s="461">
        <f>BA112-BB112</f>
        <v/>
      </c>
      <c r="BD112" s="235" t="inlineStr">
        <is>
          <t>固定租金2万元/学期，3月打款至公司</t>
        </is>
      </c>
      <c r="BE112" s="461">
        <f>BF112</f>
        <v/>
      </c>
      <c r="BF112" s="461" t="n"/>
      <c r="BG112" s="461">
        <f>BE112-BF112</f>
        <v/>
      </c>
      <c r="BH112" s="235" t="n">
        <v>0</v>
      </c>
      <c r="BI112" s="461">
        <f>K112*BH112</f>
        <v/>
      </c>
      <c r="BJ112" s="461" t="n"/>
      <c r="BK112" s="461">
        <f>BI112-BJ112</f>
        <v/>
      </c>
      <c r="BL112" s="235" t="inlineStr">
        <is>
          <t>按实</t>
        </is>
      </c>
      <c r="BM112" s="570" t="n">
        <v>4117</v>
      </c>
      <c r="BN112" s="570" t="n">
        <v>4117</v>
      </c>
      <c r="BO112" s="220">
        <f>BM112-BN112</f>
        <v/>
      </c>
      <c r="BP112" s="220">
        <f>N112+Q112+U112+Y112+AC112+AG112+AK112+AO112+AS112+AW112+BA112+BE112+BI112+BM112</f>
        <v/>
      </c>
      <c r="BQ112" s="220">
        <f>N112+R112+V112+Z112+AD112+AH112+AL112+AP112+AT112+AX112+BB112+BF112+BJ112+BN112</f>
        <v/>
      </c>
      <c r="BR112" s="220">
        <f>BP112-BQ112</f>
        <v/>
      </c>
      <c r="BS112" s="247" t="inlineStr">
        <is>
          <t>/</t>
        </is>
      </c>
      <c r="BT112" s="461" t="inlineStr">
        <is>
          <t>/</t>
        </is>
      </c>
      <c r="BU112" s="230" t="inlineStr">
        <is>
          <t>1、其他：固定资金2万元/学期，作为折旧费
2、采购费：采购额的5%，分组作业未分摊，服务费已包含；</t>
        </is>
      </c>
      <c r="BV112" s="230" t="inlineStr">
        <is>
          <t>1、签订期间：2026.3.1-2026.7.31；
2、指标按照全年换算；</t>
        </is>
      </c>
      <c r="BW112" s="534" t="n"/>
    </row>
    <row r="113" ht="48" customFormat="1" customHeight="1" s="209">
      <c r="A113" s="219" t="n">
        <v>141</v>
      </c>
      <c r="B113" s="220" t="inlineStr">
        <is>
          <t>KQCY0141</t>
        </is>
      </c>
      <c r="C113" s="221" t="inlineStr">
        <is>
          <t>餐饮三分部</t>
        </is>
      </c>
      <c r="D113" s="221" t="inlineStr">
        <is>
          <t>CF276</t>
        </is>
      </c>
      <c r="E113" s="242" t="inlineStr">
        <is>
          <t>苏州经贸二食堂</t>
        </is>
      </c>
      <c r="F113" s="219" t="inlineStr">
        <is>
          <t>分组作业</t>
        </is>
      </c>
      <c r="G113" s="243" t="inlineStr">
        <is>
          <t>郑虎</t>
        </is>
      </c>
      <c r="H113" s="222" t="inlineStr">
        <is>
          <t>第二班组</t>
        </is>
      </c>
      <c r="I113" s="232" t="inlineStr">
        <is>
          <t>阿满烤鸭</t>
        </is>
      </c>
      <c r="J113" s="503" t="inlineStr">
        <is>
          <t>李嘉康</t>
        </is>
      </c>
      <c r="K113" s="545">
        <f>LET(k,D113&amp;"|"&amp;E113&amp;"|"&amp;H113&amp;"|"&amp;I113&amp;"|"&amp;J113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13" s="546" t="n"/>
      <c r="M113" s="224" t="n"/>
      <c r="N113" s="547" t="n"/>
      <c r="O113" s="548" t="n">
        <v>0</v>
      </c>
      <c r="P113" s="247" t="n">
        <v>0.025</v>
      </c>
      <c r="Q113" s="566">
        <f>K113*P113</f>
        <v/>
      </c>
      <c r="R113" s="554" t="n">
        <v>278.58</v>
      </c>
      <c r="S113" s="461">
        <f>Q113-R113</f>
        <v/>
      </c>
      <c r="T113" s="235" t="n">
        <v>0</v>
      </c>
      <c r="U113" s="461">
        <f>K113*T113</f>
        <v/>
      </c>
      <c r="V113" s="461" t="n"/>
      <c r="W113" s="461">
        <f>U113-V113</f>
        <v/>
      </c>
      <c r="X113" s="235" t="n">
        <v>0</v>
      </c>
      <c r="Y113" s="461">
        <f>K113*X113</f>
        <v/>
      </c>
      <c r="Z113" s="461" t="n"/>
      <c r="AA113" s="461">
        <f>Y113-Z113</f>
        <v/>
      </c>
      <c r="AB113" s="247" t="n">
        <v>0</v>
      </c>
      <c r="AC113" s="461">
        <f>K113*AB113</f>
        <v/>
      </c>
      <c r="AD113" s="461" t="n"/>
      <c r="AE113" s="461">
        <f>AC113-AD113</f>
        <v/>
      </c>
      <c r="AF113" s="247" t="n">
        <v>0</v>
      </c>
      <c r="AG113" s="461">
        <f>K113*AF113</f>
        <v/>
      </c>
      <c r="AH113" s="461" t="n"/>
      <c r="AI113" s="461">
        <f>AG113-AH113</f>
        <v/>
      </c>
      <c r="AJ113" s="247" t="n">
        <v>0</v>
      </c>
      <c r="AK113" s="461">
        <f>K113*AJ113</f>
        <v/>
      </c>
      <c r="AL113" s="461" t="n"/>
      <c r="AM113" s="461">
        <f>AK113-AL113</f>
        <v/>
      </c>
      <c r="AN113" s="235" t="n">
        <v>0</v>
      </c>
      <c r="AO113" s="461">
        <f>K113*AN113</f>
        <v/>
      </c>
      <c r="AP113" s="461" t="n"/>
      <c r="AQ113" s="461">
        <f>AO113-AP113</f>
        <v/>
      </c>
      <c r="AR113" s="247" t="n">
        <v>0.035</v>
      </c>
      <c r="AS113" s="461">
        <f>K113*AR113</f>
        <v/>
      </c>
      <c r="AT113" s="568" t="n">
        <v>390.005</v>
      </c>
      <c r="AU113" s="461">
        <f>AS113-AT113</f>
        <v/>
      </c>
      <c r="AV113" s="247" t="n">
        <v>0.07000000000000001</v>
      </c>
      <c r="AW113" s="461">
        <f>K113*AV113</f>
        <v/>
      </c>
      <c r="AX113" s="569" t="n">
        <v>780.01</v>
      </c>
      <c r="AY113" s="461">
        <f>AW113-AX113</f>
        <v/>
      </c>
      <c r="AZ113" s="551" t="inlineStr">
        <is>
          <t>按实</t>
        </is>
      </c>
      <c r="BA113" s="461">
        <f>BB113</f>
        <v/>
      </c>
      <c r="BB113" s="461" t="n"/>
      <c r="BC113" s="461">
        <f>BA113-BB113</f>
        <v/>
      </c>
      <c r="BD113" s="235" t="inlineStr">
        <is>
          <t>固定租金2万元/学期，3、4、5、6每月扣5000元</t>
        </is>
      </c>
      <c r="BE113" s="461">
        <f>BF113</f>
        <v/>
      </c>
      <c r="BF113" s="461" t="n"/>
      <c r="BG113" s="461">
        <f>BE113-BF113</f>
        <v/>
      </c>
      <c r="BH113" s="235" t="n">
        <v>0</v>
      </c>
      <c r="BI113" s="461">
        <f>K113*BH113</f>
        <v/>
      </c>
      <c r="BJ113" s="461" t="n"/>
      <c r="BK113" s="461">
        <f>BI113-BJ113</f>
        <v/>
      </c>
      <c r="BL113" s="235" t="inlineStr">
        <is>
          <t>按实</t>
        </is>
      </c>
      <c r="BM113" s="570" t="n">
        <v>472</v>
      </c>
      <c r="BN113" s="570" t="n">
        <v>472</v>
      </c>
      <c r="BO113" s="220">
        <f>BM113-BN113</f>
        <v/>
      </c>
      <c r="BP113" s="220">
        <f>N113+Q113+U113+Y113+AC113+AG113+AK113+AO113+AS113+AW113+BA113+BE113+BI113+BM113</f>
        <v/>
      </c>
      <c r="BQ113" s="220">
        <f>N113+R113+V113+Z113+AD113+AH113+AL113+AP113+AT113+AX113+BB113+BF113+BJ113+BN113</f>
        <v/>
      </c>
      <c r="BR113" s="220">
        <f>BP113-BQ113</f>
        <v/>
      </c>
      <c r="BS113" s="247" t="inlineStr">
        <is>
          <t>/</t>
        </is>
      </c>
      <c r="BT113" s="461" t="inlineStr">
        <is>
          <t>/</t>
        </is>
      </c>
      <c r="BU113" s="230" t="inlineStr">
        <is>
          <t>1、其他：固定资金2万元/学期，作为折旧费
2、采购费：采购额的5%，分组作业未分摊，服务费已包含；</t>
        </is>
      </c>
      <c r="BV113" s="230" t="inlineStr">
        <is>
          <t>1、签订期间：2026.3.1-2026.7.31；
2、指标按照全年换算；</t>
        </is>
      </c>
      <c r="BW113" s="534" t="n"/>
    </row>
    <row r="114" ht="48" customFormat="1" customHeight="1" s="209">
      <c r="A114" s="219" t="n">
        <v>142</v>
      </c>
      <c r="B114" s="220" t="inlineStr">
        <is>
          <t>KQCY0142</t>
        </is>
      </c>
      <c r="C114" s="221" t="inlineStr">
        <is>
          <t>餐饮三分部</t>
        </is>
      </c>
      <c r="D114" s="221" t="inlineStr">
        <is>
          <t>CF276</t>
        </is>
      </c>
      <c r="E114" s="242" t="inlineStr">
        <is>
          <t>苏州经贸二食堂</t>
        </is>
      </c>
      <c r="F114" s="219" t="inlineStr">
        <is>
          <t>分组作业</t>
        </is>
      </c>
      <c r="G114" s="243" t="inlineStr">
        <is>
          <t>郑虎</t>
        </is>
      </c>
      <c r="H114" s="222" t="inlineStr">
        <is>
          <t>第三班组</t>
        </is>
      </c>
      <c r="I114" s="237" t="inlineStr">
        <is>
          <t>鸡公煲</t>
        </is>
      </c>
      <c r="J114" s="503" t="inlineStr">
        <is>
          <t>陈洋</t>
        </is>
      </c>
      <c r="K114" s="545">
        <f>LET(k,D114&amp;"|"&amp;E114&amp;"|"&amp;H114&amp;"|"&amp;I114&amp;"|"&amp;J114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14" s="546" t="n"/>
      <c r="M114" s="224" t="n"/>
      <c r="N114" s="547" t="n"/>
      <c r="O114" s="548" t="n">
        <v>0</v>
      </c>
      <c r="P114" s="247" t="n">
        <v>0.025</v>
      </c>
      <c r="Q114" s="566">
        <f>K114*P114</f>
        <v/>
      </c>
      <c r="R114" s="554" t="n">
        <v>190.37</v>
      </c>
      <c r="S114" s="461">
        <f>Q114-R114</f>
        <v/>
      </c>
      <c r="T114" s="235" t="n">
        <v>0</v>
      </c>
      <c r="U114" s="461">
        <f>K114*T114</f>
        <v/>
      </c>
      <c r="V114" s="461" t="n"/>
      <c r="W114" s="461">
        <f>U114-V114</f>
        <v/>
      </c>
      <c r="X114" s="235" t="n">
        <v>0</v>
      </c>
      <c r="Y114" s="461">
        <f>K114*X114</f>
        <v/>
      </c>
      <c r="Z114" s="461" t="n"/>
      <c r="AA114" s="461">
        <f>Y114-Z114</f>
        <v/>
      </c>
      <c r="AB114" s="247" t="n">
        <v>0</v>
      </c>
      <c r="AC114" s="461">
        <f>K114*AB114</f>
        <v/>
      </c>
      <c r="AD114" s="461" t="n"/>
      <c r="AE114" s="461">
        <f>AC114-AD114</f>
        <v/>
      </c>
      <c r="AF114" s="247" t="n">
        <v>0</v>
      </c>
      <c r="AG114" s="461">
        <f>K114*AF114</f>
        <v/>
      </c>
      <c r="AH114" s="461" t="n"/>
      <c r="AI114" s="461">
        <f>AG114-AH114</f>
        <v/>
      </c>
      <c r="AJ114" s="247" t="n">
        <v>0</v>
      </c>
      <c r="AK114" s="461">
        <f>K114*AJ114</f>
        <v/>
      </c>
      <c r="AL114" s="461" t="n"/>
      <c r="AM114" s="461">
        <f>AK114-AL114</f>
        <v/>
      </c>
      <c r="AN114" s="235" t="n">
        <v>0</v>
      </c>
      <c r="AO114" s="461">
        <f>K114*AN114</f>
        <v/>
      </c>
      <c r="AP114" s="461" t="n"/>
      <c r="AQ114" s="461">
        <f>AO114-AP114</f>
        <v/>
      </c>
      <c r="AR114" s="247" t="n">
        <v>0.035</v>
      </c>
      <c r="AS114" s="461">
        <f>K114*AR114</f>
        <v/>
      </c>
      <c r="AT114" s="568" t="n">
        <v>266.511</v>
      </c>
      <c r="AU114" s="461">
        <f>AS114-AT114</f>
        <v/>
      </c>
      <c r="AV114" s="247" t="n">
        <v>0.07000000000000001</v>
      </c>
      <c r="AW114" s="461">
        <f>K114*AV114</f>
        <v/>
      </c>
      <c r="AX114" s="569" t="n">
        <v>533.022</v>
      </c>
      <c r="AY114" s="461">
        <f>AW114-AX114</f>
        <v/>
      </c>
      <c r="AZ114" s="551" t="inlineStr">
        <is>
          <t>按实</t>
        </is>
      </c>
      <c r="BA114" s="461">
        <f>BB114</f>
        <v/>
      </c>
      <c r="BB114" s="461" t="n"/>
      <c r="BC114" s="461">
        <f>BA114-BB114</f>
        <v/>
      </c>
      <c r="BD114" s="235" t="inlineStr">
        <is>
          <t>固定租金1.5万元/学期，3、4、5、6每月扣3750元</t>
        </is>
      </c>
      <c r="BE114" s="461">
        <f>BF114</f>
        <v/>
      </c>
      <c r="BF114" s="461" t="n"/>
      <c r="BG114" s="461">
        <f>BE114-BF114</f>
        <v/>
      </c>
      <c r="BH114" s="235" t="n">
        <v>0</v>
      </c>
      <c r="BI114" s="461">
        <f>K114*BH114</f>
        <v/>
      </c>
      <c r="BJ114" s="461" t="n"/>
      <c r="BK114" s="461">
        <f>BI114-BJ114</f>
        <v/>
      </c>
      <c r="BL114" s="235" t="inlineStr">
        <is>
          <t>按实</t>
        </is>
      </c>
      <c r="BM114" s="570" t="n">
        <v>0</v>
      </c>
      <c r="BN114" s="570" t="n">
        <v>0</v>
      </c>
      <c r="BO114" s="220">
        <f>BM114-BN114</f>
        <v/>
      </c>
      <c r="BP114" s="220">
        <f>N114+Q114+U114+Y114+AC114+AG114+AK114+AO114+AS114+AW114+BA114+BE114+BI114+BM114</f>
        <v/>
      </c>
      <c r="BQ114" s="220">
        <f>N114+R114+V114+Z114+AD114+AH114+AL114+AP114+AT114+AX114+BB114+BF114+BJ114+BN114</f>
        <v/>
      </c>
      <c r="BR114" s="220">
        <f>BP114-BQ114</f>
        <v/>
      </c>
      <c r="BS114" s="247" t="inlineStr">
        <is>
          <t>/</t>
        </is>
      </c>
      <c r="BT114" s="461" t="inlineStr">
        <is>
          <t>/</t>
        </is>
      </c>
      <c r="BU114" s="230" t="inlineStr">
        <is>
          <t>1、其他：固定资金1、5万元/学期，作为折旧费
2、采购费：采购额的5%，分组作业未分摊，服务费已包含；</t>
        </is>
      </c>
      <c r="BV114" s="230" t="inlineStr">
        <is>
          <t>1、签订期间：2026.3.1-2026.7.31；
2、指标按照全年换算；</t>
        </is>
      </c>
      <c r="BW114" s="534" t="n"/>
    </row>
    <row r="115" ht="48" customFormat="1" customHeight="1" s="209">
      <c r="A115" s="219" t="n">
        <v>143</v>
      </c>
      <c r="B115" s="220" t="inlineStr">
        <is>
          <t>KQCY0143</t>
        </is>
      </c>
      <c r="C115" s="221" t="inlineStr">
        <is>
          <t>餐饮三分部</t>
        </is>
      </c>
      <c r="D115" s="221" t="inlineStr">
        <is>
          <t>CF276</t>
        </is>
      </c>
      <c r="E115" s="242" t="inlineStr">
        <is>
          <t>苏州经贸二食堂</t>
        </is>
      </c>
      <c r="F115" s="219" t="inlineStr">
        <is>
          <t>分组作业</t>
        </is>
      </c>
      <c r="G115" s="243" t="inlineStr">
        <is>
          <t>郑虎</t>
        </is>
      </c>
      <c r="H115" s="222" t="inlineStr">
        <is>
          <t>第四班组</t>
        </is>
      </c>
      <c r="I115" s="237" t="inlineStr">
        <is>
          <t>羊杂面</t>
        </is>
      </c>
      <c r="J115" s="503" t="inlineStr">
        <is>
          <t>赵连财</t>
        </is>
      </c>
      <c r="K115" s="545">
        <f>LET(k,D115&amp;"|"&amp;E115&amp;"|"&amp;H115&amp;"|"&amp;I115&amp;"|"&amp;J115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15" s="546" t="n"/>
      <c r="M115" s="224" t="n"/>
      <c r="N115" s="547" t="n"/>
      <c r="O115" s="548" t="n">
        <v>0</v>
      </c>
      <c r="P115" s="247" t="n">
        <v>0.025</v>
      </c>
      <c r="Q115" s="566">
        <f>K115*P115</f>
        <v/>
      </c>
      <c r="R115" s="554" t="n">
        <v>762.08</v>
      </c>
      <c r="S115" s="461">
        <f>Q115-R115</f>
        <v/>
      </c>
      <c r="T115" s="235" t="n">
        <v>0</v>
      </c>
      <c r="U115" s="461">
        <f>K115*T115</f>
        <v/>
      </c>
      <c r="V115" s="461" t="n"/>
      <c r="W115" s="461">
        <f>U115-V115</f>
        <v/>
      </c>
      <c r="X115" s="235" t="n">
        <v>0</v>
      </c>
      <c r="Y115" s="461">
        <f>K115*X115</f>
        <v/>
      </c>
      <c r="Z115" s="461" t="n"/>
      <c r="AA115" s="461">
        <f>Y115-Z115</f>
        <v/>
      </c>
      <c r="AB115" s="247" t="n">
        <v>0</v>
      </c>
      <c r="AC115" s="461">
        <f>K115*AB115</f>
        <v/>
      </c>
      <c r="AD115" s="461" t="n"/>
      <c r="AE115" s="461">
        <f>AC115-AD115</f>
        <v/>
      </c>
      <c r="AF115" s="247" t="n">
        <v>0</v>
      </c>
      <c r="AG115" s="461">
        <f>K115*AF115</f>
        <v/>
      </c>
      <c r="AH115" s="461" t="n"/>
      <c r="AI115" s="461">
        <f>AG115-AH115</f>
        <v/>
      </c>
      <c r="AJ115" s="247" t="n">
        <v>0</v>
      </c>
      <c r="AK115" s="461">
        <f>K115*AJ115</f>
        <v/>
      </c>
      <c r="AL115" s="461" t="n"/>
      <c r="AM115" s="461">
        <f>AK115-AL115</f>
        <v/>
      </c>
      <c r="AN115" s="235" t="n">
        <v>0</v>
      </c>
      <c r="AO115" s="461">
        <f>K115*AN115</f>
        <v/>
      </c>
      <c r="AP115" s="461" t="n"/>
      <c r="AQ115" s="461">
        <f>AO115-AP115</f>
        <v/>
      </c>
      <c r="AR115" s="247" t="n">
        <v>0.035</v>
      </c>
      <c r="AS115" s="461">
        <f>K115*AR115</f>
        <v/>
      </c>
      <c r="AT115" s="568" t="n">
        <v>1066.905</v>
      </c>
      <c r="AU115" s="461">
        <f>AS115-AT115</f>
        <v/>
      </c>
      <c r="AV115" s="247" t="n">
        <v>0.07000000000000001</v>
      </c>
      <c r="AW115" s="461">
        <f>K115*AV115</f>
        <v/>
      </c>
      <c r="AX115" s="569" t="n">
        <v>2133.81</v>
      </c>
      <c r="AY115" s="461">
        <f>AW115-AX115</f>
        <v/>
      </c>
      <c r="AZ115" s="551" t="inlineStr">
        <is>
          <t>按实</t>
        </is>
      </c>
      <c r="BA115" s="461">
        <f>BB115</f>
        <v/>
      </c>
      <c r="BB115" s="461" t="n"/>
      <c r="BC115" s="461">
        <f>BA115-BB115</f>
        <v/>
      </c>
      <c r="BD115" s="235" t="inlineStr">
        <is>
          <t>固定租金2万元/学期，3、4、5、6每月扣5000元</t>
        </is>
      </c>
      <c r="BE115" s="461">
        <f>BF115</f>
        <v/>
      </c>
      <c r="BF115" s="461" t="n"/>
      <c r="BG115" s="461">
        <f>BE115-BF115</f>
        <v/>
      </c>
      <c r="BH115" s="235" t="n">
        <v>0</v>
      </c>
      <c r="BI115" s="461">
        <f>K115*BH115</f>
        <v/>
      </c>
      <c r="BJ115" s="461" t="n"/>
      <c r="BK115" s="461">
        <f>BI115-BJ115</f>
        <v/>
      </c>
      <c r="BL115" s="235" t="inlineStr">
        <is>
          <t>按实</t>
        </is>
      </c>
      <c r="BM115" s="570" t="n">
        <v>147</v>
      </c>
      <c r="BN115" s="570" t="n">
        <v>147</v>
      </c>
      <c r="BO115" s="220">
        <f>BM115-BN115</f>
        <v/>
      </c>
      <c r="BP115" s="220">
        <f>N115+Q115+U115+Y115+AC115+AG115+AK115+AO115+AS115+AW115+BA115+BE115+BI115+BM115</f>
        <v/>
      </c>
      <c r="BQ115" s="220">
        <f>N115+R115+V115+Z115+AD115+AH115+AL115+AP115+AT115+AX115+BB115+BF115+BJ115+BN115</f>
        <v/>
      </c>
      <c r="BR115" s="220">
        <f>BP115-BQ115</f>
        <v/>
      </c>
      <c r="BS115" s="247" t="inlineStr">
        <is>
          <t>/</t>
        </is>
      </c>
      <c r="BT115" s="461" t="inlineStr">
        <is>
          <t>/</t>
        </is>
      </c>
      <c r="BU115" s="230" t="inlineStr">
        <is>
          <t>1、其他：固定资金2万元/学期，作为折旧费
2、采购费：采购额的5%，分组作业未分摊，服务费已包含；</t>
        </is>
      </c>
      <c r="BV115" s="230" t="inlineStr">
        <is>
          <t>1、签订期间：2026.3.1-2026.7.31；
2、指标按照全年换算；</t>
        </is>
      </c>
      <c r="BW115" s="534" t="n"/>
    </row>
    <row r="116" ht="48" customFormat="1" customHeight="1" s="209">
      <c r="A116" s="219" t="n">
        <v>144</v>
      </c>
      <c r="B116" s="220" t="inlineStr">
        <is>
          <t>KQCY0144</t>
        </is>
      </c>
      <c r="C116" s="221" t="inlineStr">
        <is>
          <t>餐饮三分部</t>
        </is>
      </c>
      <c r="D116" s="221" t="inlineStr">
        <is>
          <t>CF276</t>
        </is>
      </c>
      <c r="E116" s="242" t="inlineStr">
        <is>
          <t>苏州经贸二食堂</t>
        </is>
      </c>
      <c r="F116" s="219" t="inlineStr">
        <is>
          <t>分组作业</t>
        </is>
      </c>
      <c r="G116" s="243" t="inlineStr">
        <is>
          <t>郑虎</t>
        </is>
      </c>
      <c r="H116" s="222" t="inlineStr">
        <is>
          <t>第五班组</t>
        </is>
      </c>
      <c r="I116" s="237" t="inlineStr">
        <is>
          <t>汉堡</t>
        </is>
      </c>
      <c r="J116" s="503" t="inlineStr">
        <is>
          <t>邵宁</t>
        </is>
      </c>
      <c r="K116" s="545">
        <f>LET(k,D116&amp;"|"&amp;E116&amp;"|"&amp;H116&amp;"|"&amp;I116&amp;"|"&amp;J116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16" s="546" t="n"/>
      <c r="M116" s="224" t="n"/>
      <c r="N116" s="547" t="n"/>
      <c r="O116" s="548" t="n">
        <v>0</v>
      </c>
      <c r="P116" s="247" t="n">
        <v>0</v>
      </c>
      <c r="Q116" s="566">
        <f>K116*P116</f>
        <v/>
      </c>
      <c r="R116" s="461" t="n">
        <v>0</v>
      </c>
      <c r="S116" s="461" t="n">
        <v>0</v>
      </c>
      <c r="T116" s="247" t="n">
        <v>0</v>
      </c>
      <c r="U116" s="461">
        <f>K116*T116</f>
        <v/>
      </c>
      <c r="V116" s="461" t="n"/>
      <c r="W116" s="461">
        <f>U116-V116</f>
        <v/>
      </c>
      <c r="X116" s="235" t="n">
        <v>0</v>
      </c>
      <c r="Y116" s="461">
        <f>K116*X116</f>
        <v/>
      </c>
      <c r="Z116" s="461" t="n"/>
      <c r="AA116" s="461">
        <f>Y116-Z116</f>
        <v/>
      </c>
      <c r="AB116" s="247" t="n">
        <v>0</v>
      </c>
      <c r="AC116" s="461">
        <f>K116*AB116</f>
        <v/>
      </c>
      <c r="AD116" s="461" t="n"/>
      <c r="AE116" s="461">
        <f>AC116-AD116</f>
        <v/>
      </c>
      <c r="AF116" s="247" t="n">
        <v>0</v>
      </c>
      <c r="AG116" s="461">
        <f>K116*AF116</f>
        <v/>
      </c>
      <c r="AH116" s="461" t="n"/>
      <c r="AI116" s="461">
        <f>AG116-AH116</f>
        <v/>
      </c>
      <c r="AJ116" s="247" t="n">
        <v>0</v>
      </c>
      <c r="AK116" s="461">
        <f>K116*AJ116</f>
        <v/>
      </c>
      <c r="AL116" s="461" t="n"/>
      <c r="AM116" s="461">
        <f>AK116-AL116</f>
        <v/>
      </c>
      <c r="AN116" s="247" t="n">
        <v>0</v>
      </c>
      <c r="AO116" s="461">
        <f>K116*AN116</f>
        <v/>
      </c>
      <c r="AP116" s="461" t="n"/>
      <c r="AQ116" s="461">
        <f>AO116-AP116</f>
        <v/>
      </c>
      <c r="AR116" s="247" t="n">
        <v>0.035</v>
      </c>
      <c r="AS116" s="461">
        <f>K116*AR116</f>
        <v/>
      </c>
      <c r="AT116" s="568" t="n">
        <v>586.6105</v>
      </c>
      <c r="AU116" s="461">
        <f>AS116-AT116</f>
        <v/>
      </c>
      <c r="AV116" s="247" t="n">
        <v>0.065</v>
      </c>
      <c r="AW116" s="461">
        <f>K116*AV116</f>
        <v/>
      </c>
      <c r="AX116" s="569" t="n">
        <v>1089.4195</v>
      </c>
      <c r="AY116" s="461">
        <f>AW116-AX116</f>
        <v/>
      </c>
      <c r="AZ116" s="551" t="inlineStr">
        <is>
          <t>按实</t>
        </is>
      </c>
      <c r="BA116" s="461">
        <f>BB116</f>
        <v/>
      </c>
      <c r="BB116" s="461" t="n"/>
      <c r="BC116" s="461">
        <f>BA116-BB116</f>
        <v/>
      </c>
      <c r="BD116" s="235" t="inlineStr">
        <is>
          <t>固定租金2万元/学期，3、4、5、6每月扣5000元</t>
        </is>
      </c>
      <c r="BE116" s="461">
        <f>BF116</f>
        <v/>
      </c>
      <c r="BF116" s="461" t="n"/>
      <c r="BG116" s="461">
        <f>BE116-BF116</f>
        <v/>
      </c>
      <c r="BH116" s="235" t="n">
        <v>0</v>
      </c>
      <c r="BI116" s="461">
        <f>K116*BH116</f>
        <v/>
      </c>
      <c r="BJ116" s="461" t="n"/>
      <c r="BK116" s="461">
        <f>BI116-BJ116</f>
        <v/>
      </c>
      <c r="BL116" s="235" t="inlineStr">
        <is>
          <t>按实</t>
        </is>
      </c>
      <c r="BM116" s="570" t="n">
        <v>0</v>
      </c>
      <c r="BN116" s="570" t="n">
        <v>0</v>
      </c>
      <c r="BO116" s="220">
        <f>BM116-BN116</f>
        <v/>
      </c>
      <c r="BP116" s="220">
        <f>N116+Q116+U116+Y116+AC116+AG116+AK116+AO116+AS116+AW116+BA116+BE116+BI116+BM116</f>
        <v/>
      </c>
      <c r="BQ116" s="220">
        <f>N116+R116+V116+Z116+AD116+AH116+AL116+AP116+AT116+AX116+BB116+BF116+BJ116+BN116</f>
        <v/>
      </c>
      <c r="BR116" s="220">
        <f>BP116-BQ116</f>
        <v/>
      </c>
      <c r="BS116" s="247" t="inlineStr">
        <is>
          <t>/</t>
        </is>
      </c>
      <c r="BT116" s="461" t="inlineStr">
        <is>
          <t>/</t>
        </is>
      </c>
      <c r="BU116" s="230" t="inlineStr">
        <is>
          <t>1、其他：固定资金2万元/学期，作为折旧费
2、采购费：档口营业所用全部物品由加盟商指定供应商提供，无采购费。</t>
        </is>
      </c>
      <c r="BV116" s="230" t="inlineStr">
        <is>
          <t>1、签订期间：2026.3.1-2026.7.31；
2、指标按照全年换算；</t>
        </is>
      </c>
      <c r="BW116" s="534" t="n"/>
    </row>
    <row r="117" ht="48" customFormat="1" customHeight="1" s="209">
      <c r="A117" s="219" t="n">
        <v>145</v>
      </c>
      <c r="B117" s="220" t="inlineStr">
        <is>
          <t>KQCY0145</t>
        </is>
      </c>
      <c r="C117" s="221" t="inlineStr">
        <is>
          <t>餐饮三分部</t>
        </is>
      </c>
      <c r="D117" s="221" t="inlineStr">
        <is>
          <t>CF276</t>
        </is>
      </c>
      <c r="E117" s="242" t="inlineStr">
        <is>
          <t>苏州经贸二食堂</t>
        </is>
      </c>
      <c r="F117" s="219" t="inlineStr">
        <is>
          <t>分组作业</t>
        </is>
      </c>
      <c r="G117" s="243" t="inlineStr">
        <is>
          <t>郑虎</t>
        </is>
      </c>
      <c r="H117" s="222" t="inlineStr">
        <is>
          <t>第六班组</t>
        </is>
      </c>
      <c r="I117" s="237" t="inlineStr">
        <is>
          <t>精品菜</t>
        </is>
      </c>
      <c r="J117" s="503" t="inlineStr">
        <is>
          <t>查祈恩</t>
        </is>
      </c>
      <c r="K117" s="545">
        <f>LET(k,D117&amp;"|"&amp;E117&amp;"|"&amp;H117&amp;"|"&amp;I117&amp;"|"&amp;J117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17" s="546" t="n"/>
      <c r="M117" s="224" t="n"/>
      <c r="N117" s="547" t="n"/>
      <c r="O117" s="548" t="n">
        <v>0</v>
      </c>
      <c r="P117" s="247" t="n">
        <v>0.025</v>
      </c>
      <c r="Q117" s="566">
        <f>K117*P117</f>
        <v/>
      </c>
      <c r="R117" s="554" t="n">
        <v>224.22</v>
      </c>
      <c r="S117" s="461">
        <f>Q117-R117</f>
        <v/>
      </c>
      <c r="T117" s="235" t="n">
        <v>0</v>
      </c>
      <c r="U117" s="461">
        <f>K117*T117</f>
        <v/>
      </c>
      <c r="V117" s="461" t="n"/>
      <c r="W117" s="461">
        <f>U117-V117</f>
        <v/>
      </c>
      <c r="X117" s="235" t="n">
        <v>0</v>
      </c>
      <c r="Y117" s="461">
        <f>K117*X117</f>
        <v/>
      </c>
      <c r="Z117" s="461" t="n"/>
      <c r="AA117" s="461">
        <f>Y117-Z117</f>
        <v/>
      </c>
      <c r="AB117" s="247" t="n">
        <v>0</v>
      </c>
      <c r="AC117" s="461">
        <f>K117*AB117</f>
        <v/>
      </c>
      <c r="AD117" s="461" t="n"/>
      <c r="AE117" s="461">
        <f>AC117-AD117</f>
        <v/>
      </c>
      <c r="AF117" s="247" t="n">
        <v>0</v>
      </c>
      <c r="AG117" s="461">
        <f>K117*AF117</f>
        <v/>
      </c>
      <c r="AH117" s="461" t="n"/>
      <c r="AI117" s="461">
        <f>AG117-AH117</f>
        <v/>
      </c>
      <c r="AJ117" s="247" t="n">
        <v>0</v>
      </c>
      <c r="AK117" s="461">
        <f>K117*AJ117</f>
        <v/>
      </c>
      <c r="AL117" s="461" t="n"/>
      <c r="AM117" s="461">
        <f>AK117-AL117</f>
        <v/>
      </c>
      <c r="AN117" s="235" t="n">
        <v>0</v>
      </c>
      <c r="AO117" s="461">
        <f>K117*AN117</f>
        <v/>
      </c>
      <c r="AP117" s="461" t="n"/>
      <c r="AQ117" s="461">
        <f>AO117-AP117</f>
        <v/>
      </c>
      <c r="AR117" s="247" t="n">
        <v>0.035</v>
      </c>
      <c r="AS117" s="461">
        <f>K117*AR117</f>
        <v/>
      </c>
      <c r="AT117" s="568" t="n">
        <v>313.91045</v>
      </c>
      <c r="AU117" s="461">
        <f>AS117-AT117</f>
        <v/>
      </c>
      <c r="AV117" s="247" t="n">
        <v>0.07000000000000001</v>
      </c>
      <c r="AW117" s="461">
        <f>K117*AV117</f>
        <v/>
      </c>
      <c r="AX117" s="569" t="n">
        <v>627.8209000000001</v>
      </c>
      <c r="AY117" s="461">
        <f>AW117-AX117</f>
        <v/>
      </c>
      <c r="AZ117" s="551" t="inlineStr">
        <is>
          <t>按实</t>
        </is>
      </c>
      <c r="BA117" s="461">
        <f>BB117</f>
        <v/>
      </c>
      <c r="BB117" s="461" t="n"/>
      <c r="BC117" s="461">
        <f>BA117-BB117</f>
        <v/>
      </c>
      <c r="BD117" s="235" t="inlineStr">
        <is>
          <t>固定租金2.25万元/学期，3、4、5、6每月扣5625元</t>
        </is>
      </c>
      <c r="BE117" s="461">
        <f>BF117</f>
        <v/>
      </c>
      <c r="BF117" s="461" t="n"/>
      <c r="BG117" s="461">
        <f>BE117-BF117</f>
        <v/>
      </c>
      <c r="BH117" s="235" t="n">
        <v>0</v>
      </c>
      <c r="BI117" s="461">
        <f>K117*BH117</f>
        <v/>
      </c>
      <c r="BJ117" s="461" t="n"/>
      <c r="BK117" s="461">
        <f>BI117-BJ117</f>
        <v/>
      </c>
      <c r="BL117" s="235" t="inlineStr">
        <is>
          <t>按实</t>
        </is>
      </c>
      <c r="BM117" s="570" t="n">
        <v>1443.78</v>
      </c>
      <c r="BN117" s="570" t="n">
        <v>1443.78</v>
      </c>
      <c r="BO117" s="220">
        <f>BM117-BN117</f>
        <v/>
      </c>
      <c r="BP117" s="220">
        <f>N117+Q117+U117+Y117+AC117+AG117+AK117+AO117+AS117+AW117+BA117+BE117+BI117+BM117</f>
        <v/>
      </c>
      <c r="BQ117" s="220">
        <f>N117+R117+V117+Z117+AD117+AH117+AL117+AP117+AT117+AX117+BB117+BF117+BJ117+BN117</f>
        <v/>
      </c>
      <c r="BR117" s="220">
        <f>BP117-BQ117</f>
        <v/>
      </c>
      <c r="BS117" s="247" t="inlineStr">
        <is>
          <t>/</t>
        </is>
      </c>
      <c r="BT117" s="461" t="inlineStr">
        <is>
          <t>/</t>
        </is>
      </c>
      <c r="BU117" s="230" t="inlineStr">
        <is>
          <t>1、其他：固定资金2.25万元/学期，作为折旧费
2、采购费：采购额的5%，分组作业未分摊，服务费已包含；</t>
        </is>
      </c>
      <c r="BV117" s="230" t="inlineStr">
        <is>
          <t>1、签订期间：2026.3.1-2026.7.31；
2、指标按照全年换算；</t>
        </is>
      </c>
      <c r="BW117" s="534" t="n"/>
    </row>
    <row r="118" ht="24" customFormat="1" customHeight="1" s="209">
      <c r="A118" s="219" t="n">
        <v>146</v>
      </c>
      <c r="B118" s="220" t="inlineStr">
        <is>
          <t>KQCY0146</t>
        </is>
      </c>
      <c r="C118" s="221" t="inlineStr">
        <is>
          <t>餐饮三分部</t>
        </is>
      </c>
      <c r="D118" s="221" t="inlineStr">
        <is>
          <t>CF276</t>
        </is>
      </c>
      <c r="E118" s="242" t="inlineStr">
        <is>
          <t>苏州经贸二食堂</t>
        </is>
      </c>
      <c r="F118" s="219" t="inlineStr">
        <is>
          <t>分组作业</t>
        </is>
      </c>
      <c r="G118" s="243" t="inlineStr">
        <is>
          <t>郑虎</t>
        </is>
      </c>
      <c r="H118" s="222" t="inlineStr">
        <is>
          <t>第七班组</t>
        </is>
      </c>
      <c r="I118" s="237" t="inlineStr">
        <is>
          <t>快餐</t>
        </is>
      </c>
      <c r="J118" s="503" t="inlineStr">
        <is>
          <t>黄化里</t>
        </is>
      </c>
      <c r="K118" s="545">
        <f>LET(k,D118&amp;"|"&amp;E118&amp;"|"&amp;H118&amp;"|"&amp;I118&amp;"|"&amp;J118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18" s="546" t="n"/>
      <c r="M118" s="224" t="n"/>
      <c r="N118" s="547" t="n"/>
      <c r="O118" s="548" t="n">
        <v>0</v>
      </c>
      <c r="P118" s="247" t="n">
        <v>0</v>
      </c>
      <c r="Q118" s="461">
        <f>K118*P118</f>
        <v/>
      </c>
      <c r="R118" s="461" t="n"/>
      <c r="S118" s="461">
        <f>Q118-R118</f>
        <v/>
      </c>
      <c r="T118" s="235" t="n">
        <v>0</v>
      </c>
      <c r="U118" s="461">
        <f>K118*T118</f>
        <v/>
      </c>
      <c r="V118" s="461" t="n"/>
      <c r="W118" s="461">
        <f>U118-V118</f>
        <v/>
      </c>
      <c r="X118" s="235" t="n">
        <v>0</v>
      </c>
      <c r="Y118" s="461">
        <f>K118*X118</f>
        <v/>
      </c>
      <c r="Z118" s="461" t="n"/>
      <c r="AA118" s="461">
        <f>Y118-Z118</f>
        <v/>
      </c>
      <c r="AB118" s="247" t="n">
        <v>0</v>
      </c>
      <c r="AC118" s="461">
        <f>K118*AB118</f>
        <v/>
      </c>
      <c r="AD118" s="461" t="n"/>
      <c r="AE118" s="461">
        <f>AC118-AD118</f>
        <v/>
      </c>
      <c r="AF118" s="247" t="n">
        <v>0</v>
      </c>
      <c r="AG118" s="461">
        <f>K118*AF118</f>
        <v/>
      </c>
      <c r="AH118" s="461" t="n"/>
      <c r="AI118" s="461">
        <f>AG118-AH118</f>
        <v/>
      </c>
      <c r="AJ118" s="247" t="n">
        <v>0</v>
      </c>
      <c r="AK118" s="461">
        <f>K118*AJ118</f>
        <v/>
      </c>
      <c r="AL118" s="461" t="n"/>
      <c r="AM118" s="461">
        <f>AK118-AL118</f>
        <v/>
      </c>
      <c r="AN118" s="235" t="n">
        <v>0</v>
      </c>
      <c r="AO118" s="461">
        <f>K118*AN118</f>
        <v/>
      </c>
      <c r="AP118" s="461" t="n"/>
      <c r="AQ118" s="461">
        <f>AO118-AP118</f>
        <v/>
      </c>
      <c r="AR118" s="247" t="n">
        <v>0.035</v>
      </c>
      <c r="AS118" s="461">
        <f>K118*AR118</f>
        <v/>
      </c>
      <c r="AT118" s="568" t="n">
        <v>273.12075</v>
      </c>
      <c r="AU118" s="461">
        <f>AS118-AT118</f>
        <v/>
      </c>
      <c r="AV118" s="247" t="inlineStr">
        <is>
          <t>按表收取</t>
        </is>
      </c>
      <c r="AW118" s="569" t="n">
        <v>1800</v>
      </c>
      <c r="AX118" s="569" t="n">
        <v>1800</v>
      </c>
      <c r="AY118" s="461">
        <f>AW118-AX118</f>
        <v/>
      </c>
      <c r="AZ118" s="235" t="inlineStr">
        <is>
          <t>按实</t>
        </is>
      </c>
      <c r="BA118" s="461">
        <f>BB118</f>
        <v/>
      </c>
      <c r="BB118" s="461" t="n"/>
      <c r="BC118" s="461">
        <f>BA118-BB118</f>
        <v/>
      </c>
      <c r="BD118" s="235" t="n">
        <v>0</v>
      </c>
      <c r="BE118" s="461">
        <f>K118*BD118</f>
        <v/>
      </c>
      <c r="BF118" s="461" t="n"/>
      <c r="BG118" s="461">
        <f>BE118-BF118</f>
        <v/>
      </c>
      <c r="BH118" s="235" t="n">
        <v>0</v>
      </c>
      <c r="BI118" s="461">
        <f>K118*BH118</f>
        <v/>
      </c>
      <c r="BJ118" s="461" t="n"/>
      <c r="BK118" s="461">
        <f>BI118-BJ118</f>
        <v/>
      </c>
      <c r="BL118" s="235" t="inlineStr">
        <is>
          <t>按实</t>
        </is>
      </c>
      <c r="BM118" s="570" t="n">
        <v>2300</v>
      </c>
      <c r="BN118" s="570" t="n">
        <v>2300</v>
      </c>
      <c r="BO118" s="220">
        <f>BM118-BN118</f>
        <v/>
      </c>
      <c r="BP118" s="220">
        <f>N118+Q118+U118+Y118+AC118+AG118+AK118+AO118+AS118+AW118+BA118+BE118+BI118+BM118</f>
        <v/>
      </c>
      <c r="BQ118" s="220">
        <f>N118+R118+V118+Z118+AD118+AH118+AL118+AP118+AT118+AX118+BB118+BF118+BJ118+BN118</f>
        <v/>
      </c>
      <c r="BR118" s="220">
        <f>BP118-BQ118</f>
        <v/>
      </c>
      <c r="BS118" s="247" t="inlineStr">
        <is>
          <t>/</t>
        </is>
      </c>
      <c r="BT118" s="461" t="inlineStr">
        <is>
          <t>/</t>
        </is>
      </c>
      <c r="BU118" s="250" t="inlineStr">
        <is>
          <t>1、已撤场，窗口现为自营</t>
        </is>
      </c>
      <c r="BV118" s="230" t="inlineStr">
        <is>
          <t>1、签订期间：2026.3.1-2026.7.31；
2、指标按照全年换算；</t>
        </is>
      </c>
      <c r="BW118" s="534" t="n"/>
    </row>
    <row r="119" ht="48" customFormat="1" customHeight="1" s="209">
      <c r="A119" s="219" t="n">
        <v>147</v>
      </c>
      <c r="B119" s="220" t="inlineStr">
        <is>
          <t>KQCY0147</t>
        </is>
      </c>
      <c r="C119" s="221" t="inlineStr">
        <is>
          <t>餐饮三分部</t>
        </is>
      </c>
      <c r="D119" s="221" t="inlineStr">
        <is>
          <t>CF276</t>
        </is>
      </c>
      <c r="E119" s="242" t="inlineStr">
        <is>
          <t>苏州经贸二食堂</t>
        </is>
      </c>
      <c r="F119" s="219" t="inlineStr">
        <is>
          <t>分组作业</t>
        </is>
      </c>
      <c r="G119" s="243" t="inlineStr">
        <is>
          <t>郑虎</t>
        </is>
      </c>
      <c r="H119" s="222" t="inlineStr">
        <is>
          <t>第八班组</t>
        </is>
      </c>
      <c r="I119" s="237" t="inlineStr">
        <is>
          <t>教工餐厅</t>
        </is>
      </c>
      <c r="J119" s="503" t="inlineStr">
        <is>
          <t>黄化里</t>
        </is>
      </c>
      <c r="K119" s="545">
        <f>LET(k,D119&amp;"|"&amp;E119&amp;"|"&amp;H119&amp;"|"&amp;I119&amp;"|"&amp;J119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19" s="546" t="n"/>
      <c r="M119" s="224" t="n"/>
      <c r="N119" s="547" t="n">
        <v>0</v>
      </c>
      <c r="O119" s="548" t="n">
        <v>0</v>
      </c>
      <c r="P119" s="247" t="n">
        <v>0</v>
      </c>
      <c r="Q119" s="461">
        <f>K119*P119</f>
        <v/>
      </c>
      <c r="R119" s="571" t="n"/>
      <c r="S119" s="461">
        <f>Q119-R119</f>
        <v/>
      </c>
      <c r="T119" s="247" t="n">
        <v>0</v>
      </c>
      <c r="U119" s="461">
        <f>K119*T119</f>
        <v/>
      </c>
      <c r="V119" s="461" t="n"/>
      <c r="W119" s="461">
        <f>U119-V119</f>
        <v/>
      </c>
      <c r="X119" s="235" t="n">
        <v>0</v>
      </c>
      <c r="Y119" s="461">
        <f>K119*X119</f>
        <v/>
      </c>
      <c r="Z119" s="461" t="n"/>
      <c r="AA119" s="461">
        <f>Y119-Z119</f>
        <v/>
      </c>
      <c r="AB119" s="247" t="n">
        <v>0</v>
      </c>
      <c r="AC119" s="461">
        <f>K119*AB119</f>
        <v/>
      </c>
      <c r="AD119" s="461" t="n"/>
      <c r="AE119" s="461">
        <f>AC119-AD119</f>
        <v/>
      </c>
      <c r="AF119" s="247" t="n">
        <v>0</v>
      </c>
      <c r="AG119" s="461">
        <f>K119*AF119</f>
        <v/>
      </c>
      <c r="AH119" s="461" t="n"/>
      <c r="AI119" s="461">
        <f>AG119-AH119</f>
        <v/>
      </c>
      <c r="AJ119" s="247" t="n">
        <v>0</v>
      </c>
      <c r="AK119" s="461">
        <f>K119*AJ119</f>
        <v/>
      </c>
      <c r="AL119" s="461" t="n"/>
      <c r="AM119" s="461">
        <f>AK119-AL119</f>
        <v/>
      </c>
      <c r="AN119" s="247" t="n">
        <v>0</v>
      </c>
      <c r="AO119" s="461">
        <f>K119*AN119</f>
        <v/>
      </c>
      <c r="AP119" s="461" t="n"/>
      <c r="AQ119" s="461">
        <f>AO119-AP119</f>
        <v/>
      </c>
      <c r="AR119" s="247" t="n">
        <v>0.035</v>
      </c>
      <c r="AS119" s="461">
        <f>K119*AR119</f>
        <v/>
      </c>
      <c r="AT119" s="568" t="n">
        <v>1249.96375</v>
      </c>
      <c r="AU119" s="461">
        <f>AS119-AT119</f>
        <v/>
      </c>
      <c r="AV119" s="247" t="inlineStr">
        <is>
          <t>按表收取</t>
        </is>
      </c>
      <c r="AW119" s="569" t="n">
        <v>7022.51</v>
      </c>
      <c r="AX119" s="569" t="n">
        <v>7022.51</v>
      </c>
      <c r="AY119" s="461">
        <f>AW119-AX119</f>
        <v/>
      </c>
      <c r="AZ119" s="551" t="inlineStr">
        <is>
          <t>按实</t>
        </is>
      </c>
      <c r="BA119" s="461">
        <f>BB119</f>
        <v/>
      </c>
      <c r="BB119" s="461" t="n"/>
      <c r="BC119" s="461">
        <f>BA119-BB119</f>
        <v/>
      </c>
      <c r="BD119" s="235" t="inlineStr">
        <is>
          <t>固定租金0.5万元/学期，3、4、5、6、7每月扣1000元</t>
        </is>
      </c>
      <c r="BE119" s="461">
        <f>BF119</f>
        <v/>
      </c>
      <c r="BF119" s="461" t="n"/>
      <c r="BG119" s="461">
        <f>BE119-BF119</f>
        <v/>
      </c>
      <c r="BH119" s="235" t="n">
        <v>0</v>
      </c>
      <c r="BI119" s="461">
        <f>K119*BH119</f>
        <v/>
      </c>
      <c r="BJ119" s="461" t="n"/>
      <c r="BK119" s="461">
        <f>BI119-BJ119</f>
        <v/>
      </c>
      <c r="BL119" s="235" t="inlineStr">
        <is>
          <t>按实</t>
        </is>
      </c>
      <c r="BM119" s="570" t="n">
        <v>17714.14</v>
      </c>
      <c r="BN119" s="570" t="n">
        <v>17714.14</v>
      </c>
      <c r="BO119" s="220">
        <f>BM119-BN119</f>
        <v/>
      </c>
      <c r="BP119" s="220">
        <f>N119+Q119+U119+Y119+AC119+AG119+AK119+AO119+AS119+AW119+BA119+BE119+BI119+BM119</f>
        <v/>
      </c>
      <c r="BQ119" s="220">
        <f>N119+R119+V119+Z119+AD119+AH119+AL119+AP119+AT119+AX119+BB119+BF119+BJ119+BN119</f>
        <v/>
      </c>
      <c r="BR119" s="220">
        <f>BP119-BQ119</f>
        <v/>
      </c>
      <c r="BS119" s="247" t="inlineStr">
        <is>
          <t>/</t>
        </is>
      </c>
      <c r="BT119" s="461" t="inlineStr">
        <is>
          <t>/</t>
        </is>
      </c>
      <c r="BU119" s="250" t="inlineStr">
        <is>
          <t>1、已撤场，窗口现为自营</t>
        </is>
      </c>
      <c r="BV119" s="230" t="inlineStr">
        <is>
          <t>1、签订期间：2026.3.1-2026.7.31；
2、指标按照全年换算；</t>
        </is>
      </c>
      <c r="BW119" s="534" t="n"/>
    </row>
    <row r="120" ht="12" customFormat="1" customHeight="1" s="209">
      <c r="A120" s="219" t="n">
        <v>149</v>
      </c>
      <c r="B120" s="220" t="inlineStr">
        <is>
          <t>KQCY0149</t>
        </is>
      </c>
      <c r="C120" s="221" t="inlineStr">
        <is>
          <t>餐饮三分部</t>
        </is>
      </c>
      <c r="D120" s="221" t="inlineStr">
        <is>
          <t>CF782</t>
        </is>
      </c>
      <c r="E120" s="221" t="inlineStr">
        <is>
          <t>宿迁安园中央厨房</t>
        </is>
      </c>
      <c r="F120" s="219" t="inlineStr">
        <is>
          <t>人员服务外包</t>
        </is>
      </c>
      <c r="G120" s="222" t="inlineStr">
        <is>
          <t>徐敏捷</t>
        </is>
      </c>
      <c r="H120" s="222" t="inlineStr">
        <is>
          <t>/</t>
        </is>
      </c>
      <c r="I120" s="232" t="inlineStr">
        <is>
          <t>/</t>
        </is>
      </c>
      <c r="J120" s="503" t="inlineStr">
        <is>
          <t>/</t>
        </is>
      </c>
      <c r="K120" s="545">
        <f>LET(k,D120&amp;"|"&amp;E120&amp;"|"&amp;H120&amp;"|"&amp;I120&amp;"|"&amp;J120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20" s="546" t="n"/>
      <c r="M120" s="224" t="n"/>
      <c r="N120" s="547" t="n"/>
      <c r="O120" s="548" t="n">
        <v>522000</v>
      </c>
      <c r="P120" s="227" t="n">
        <v>0</v>
      </c>
      <c r="Q120" s="461">
        <f>K120*P120</f>
        <v/>
      </c>
      <c r="R120" s="227" t="n"/>
      <c r="S120" s="461">
        <f>Q120-R120</f>
        <v/>
      </c>
      <c r="T120" s="227" t="n">
        <v>0</v>
      </c>
      <c r="U120" s="461">
        <f>K120*T120</f>
        <v/>
      </c>
      <c r="V120" s="227" t="n"/>
      <c r="W120" s="461">
        <f>U120-V120</f>
        <v/>
      </c>
      <c r="X120" s="227" t="n">
        <v>0</v>
      </c>
      <c r="Y120" s="461">
        <f>K120*X120</f>
        <v/>
      </c>
      <c r="Z120" s="227" t="n"/>
      <c r="AA120" s="461">
        <f>Y120-Z120</f>
        <v/>
      </c>
      <c r="AB120" s="227" t="n">
        <v>0</v>
      </c>
      <c r="AC120" s="461">
        <f>K120*AB120</f>
        <v/>
      </c>
      <c r="AD120" s="227" t="n"/>
      <c r="AE120" s="461">
        <f>AC120-AD120</f>
        <v/>
      </c>
      <c r="AF120" s="227" t="n">
        <v>0</v>
      </c>
      <c r="AG120" s="461">
        <f>K120*AF120</f>
        <v/>
      </c>
      <c r="AH120" s="227" t="n"/>
      <c r="AI120" s="461">
        <f>AG120-AH120</f>
        <v/>
      </c>
      <c r="AJ120" s="227" t="n">
        <v>0</v>
      </c>
      <c r="AK120" s="461">
        <f>K120*AJ120</f>
        <v/>
      </c>
      <c r="AL120" s="227" t="n"/>
      <c r="AM120" s="461">
        <f>AK120-AL120</f>
        <v/>
      </c>
      <c r="AN120" s="227" t="n">
        <v>0</v>
      </c>
      <c r="AO120" s="461">
        <f>K120*AN120</f>
        <v/>
      </c>
      <c r="AP120" s="461" t="n"/>
      <c r="AQ120" s="461">
        <f>AO120-AP120</f>
        <v/>
      </c>
      <c r="AR120" s="461" t="n">
        <v>0</v>
      </c>
      <c r="AS120" s="461">
        <f>K120*AR120</f>
        <v/>
      </c>
      <c r="AT120" s="227" t="n"/>
      <c r="AU120" s="461">
        <f>AS120-AT120</f>
        <v/>
      </c>
      <c r="AV120" s="227" t="n">
        <v>0</v>
      </c>
      <c r="AW120" s="461">
        <f>K120*AV120</f>
        <v/>
      </c>
      <c r="AX120" s="227" t="n"/>
      <c r="AY120" s="461">
        <f>AW120-AX120</f>
        <v/>
      </c>
      <c r="AZ120" s="227" t="n">
        <v>0</v>
      </c>
      <c r="BA120" s="461">
        <f>K120*AZ120</f>
        <v/>
      </c>
      <c r="BB120" s="461" t="n"/>
      <c r="BC120" s="461">
        <f>BA120-BB120</f>
        <v/>
      </c>
      <c r="BD120" s="461" t="n"/>
      <c r="BE120" s="461">
        <f>K120*BD120</f>
        <v/>
      </c>
      <c r="BF120" s="461" t="n"/>
      <c r="BG120" s="461">
        <f>BE120-BF120</f>
        <v/>
      </c>
      <c r="BH120" s="461" t="n"/>
      <c r="BI120" s="461">
        <f>K120*BH120</f>
        <v/>
      </c>
      <c r="BJ120" s="461" t="n"/>
      <c r="BK120" s="461">
        <f>BI120-BJ120</f>
        <v/>
      </c>
      <c r="BL120" s="461" t="n">
        <v>0</v>
      </c>
      <c r="BM120" s="220">
        <f>K120*BL120</f>
        <v/>
      </c>
      <c r="BN120" s="220" t="n"/>
      <c r="BO120" s="220">
        <f>BM120-BN120</f>
        <v/>
      </c>
      <c r="BP120" s="220">
        <f>N120+Q120+U120+Y120+AC120+AG120+AK120+AO120+AS120+AW120+BA120+BE120+BI120+BM120</f>
        <v/>
      </c>
      <c r="BQ120" s="220">
        <f>N120+R120+V120+Z120+AD120+AH120+AL120+AP120+AT120+AX120+BB120+BF120+BJ120+BN120</f>
        <v/>
      </c>
      <c r="BR120" s="220">
        <f>BP120-BQ120</f>
        <v/>
      </c>
      <c r="BS120" s="220" t="n">
        <v>100000</v>
      </c>
      <c r="BT120" s="229" t="inlineStr">
        <is>
          <t>/</t>
        </is>
      </c>
      <c r="BU120" s="230" t="inlineStr">
        <is>
          <t>1、分部管理费：10万元</t>
        </is>
      </c>
      <c r="BV120" s="230" t="n"/>
      <c r="BW120" s="534" t="n"/>
    </row>
    <row r="121" ht="36" customFormat="1" customHeight="1" s="209">
      <c r="A121" s="219" t="n">
        <v>151</v>
      </c>
      <c r="B121" s="220" t="inlineStr">
        <is>
          <t>KQCY0151</t>
        </is>
      </c>
      <c r="C121" s="221" t="inlineStr">
        <is>
          <t>餐饮三分部</t>
        </is>
      </c>
      <c r="D121" s="221" t="inlineStr">
        <is>
          <t>CF699</t>
        </is>
      </c>
      <c r="E121" s="221" t="inlineStr">
        <is>
          <t>徐医大第一食堂</t>
        </is>
      </c>
      <c r="F121" s="219" t="inlineStr">
        <is>
          <t>分组作业</t>
        </is>
      </c>
      <c r="G121" s="222" t="inlineStr">
        <is>
          <t>徐敏捷</t>
        </is>
      </c>
      <c r="H121" s="503" t="inlineStr">
        <is>
          <t>/</t>
        </is>
      </c>
      <c r="I121" s="237" t="inlineStr">
        <is>
          <t>麻辣烫</t>
        </is>
      </c>
      <c r="J121" s="503" t="inlineStr">
        <is>
          <t>董浩</t>
        </is>
      </c>
      <c r="K121" s="572">
        <f>LET(k,D121&amp;"|"&amp;E121&amp;"|"&amp;H121&amp;"|"&amp;I121&amp;"|"&amp;J121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21" s="546" t="n"/>
      <c r="M121" s="224" t="n"/>
      <c r="N121" s="290" t="n">
        <v>4572.87</v>
      </c>
      <c r="O121" s="548" t="n">
        <v>564000</v>
      </c>
      <c r="P121" s="276" t="n">
        <v>0.18</v>
      </c>
      <c r="Q121" s="566">
        <f>K121*P121</f>
        <v/>
      </c>
      <c r="R121" s="291" t="n">
        <v>17727.5</v>
      </c>
      <c r="S121" s="566">
        <f>Q121-R121</f>
        <v/>
      </c>
      <c r="T121" s="227" t="n">
        <v>0</v>
      </c>
      <c r="U121" s="461">
        <f>K121*T121</f>
        <v/>
      </c>
      <c r="V121" s="461" t="n">
        <v>0</v>
      </c>
      <c r="W121" s="461">
        <f>U121-V121</f>
        <v/>
      </c>
      <c r="X121" s="551" t="n"/>
      <c r="Y121" s="461">
        <f>K121*X121</f>
        <v/>
      </c>
      <c r="Z121" s="227" t="n"/>
      <c r="AA121" s="461">
        <f>Y121-Z121</f>
        <v/>
      </c>
      <c r="AB121" s="227" t="n">
        <v>0</v>
      </c>
      <c r="AC121" s="461">
        <f>K121*AB121</f>
        <v/>
      </c>
      <c r="AD121" s="227" t="n">
        <v>0</v>
      </c>
      <c r="AE121" s="461">
        <f>AC121-AD121</f>
        <v/>
      </c>
      <c r="AF121" s="227" t="n">
        <v>0</v>
      </c>
      <c r="AG121" s="461">
        <f>K121*AF121</f>
        <v/>
      </c>
      <c r="AH121" s="227" t="n">
        <v>0</v>
      </c>
      <c r="AI121" s="461">
        <f>AG121-AH121</f>
        <v/>
      </c>
      <c r="AJ121" s="227" t="n">
        <v>0</v>
      </c>
      <c r="AK121" s="461">
        <f>K121*AJ121</f>
        <v/>
      </c>
      <c r="AL121" s="227" t="n">
        <v>0</v>
      </c>
      <c r="AM121" s="461">
        <f>AK121-AL121</f>
        <v/>
      </c>
      <c r="AN121" s="227" t="n">
        <v>0</v>
      </c>
      <c r="AO121" s="461">
        <f>K121*AN121</f>
        <v/>
      </c>
      <c r="AP121" s="461" t="n">
        <v>0</v>
      </c>
      <c r="AQ121" s="461">
        <f>AO121-AP121</f>
        <v/>
      </c>
      <c r="AR121" s="573" t="n"/>
      <c r="AS121" s="461">
        <f>AT121</f>
        <v/>
      </c>
      <c r="AT121" s="72" t="n">
        <v>7850</v>
      </c>
      <c r="AU121" s="461">
        <f>AS121-AT121</f>
        <v/>
      </c>
      <c r="AV121" s="293" t="n"/>
      <c r="AW121" s="461">
        <f>AX121</f>
        <v/>
      </c>
      <c r="AX121" s="291" t="n">
        <v>15288.7</v>
      </c>
      <c r="AY121" s="461">
        <f>AW121-AX121</f>
        <v/>
      </c>
      <c r="AZ121" s="227" t="n">
        <v>0</v>
      </c>
      <c r="BA121" s="461">
        <f>BB121</f>
        <v/>
      </c>
      <c r="BB121" s="291" t="n">
        <v>588.8200000000001</v>
      </c>
      <c r="BC121" s="461">
        <f>BA121-BB121</f>
        <v/>
      </c>
      <c r="BD121" s="247" t="n"/>
      <c r="BE121" s="461">
        <f>BF121</f>
        <v/>
      </c>
      <c r="BF121" s="574" t="n">
        <v>80000</v>
      </c>
      <c r="BG121" s="461">
        <f>BE121-BF121</f>
        <v/>
      </c>
      <c r="BH121" s="247" t="n"/>
      <c r="BI121" s="461">
        <f>K121*BH121</f>
        <v/>
      </c>
      <c r="BJ121" s="247" t="n">
        <v>0</v>
      </c>
      <c r="BK121" s="461">
        <f>BI121-BJ121</f>
        <v/>
      </c>
      <c r="BL121" s="279" t="inlineStr">
        <is>
          <t>按实</t>
        </is>
      </c>
      <c r="BM121" s="220">
        <f>BN121</f>
        <v/>
      </c>
      <c r="BN121" s="295" t="n">
        <v>58574.03</v>
      </c>
      <c r="BO121" s="220">
        <f>BM121-BN121</f>
        <v/>
      </c>
      <c r="BP121" s="575">
        <f>N121+Q121+U121+Y121+AC121+AG121+AK121+AO121+AS121+AW121+BA121+BE121+BI121+BM121</f>
        <v/>
      </c>
      <c r="BQ121" s="220">
        <f>N121+R121+V121+Z121+AD121+AH121+AL121+AP121+AT121+AX121+BB121+BF121+BJ121+BN121</f>
        <v/>
      </c>
      <c r="BR121" s="575">
        <f>BP121-BQ121</f>
        <v/>
      </c>
      <c r="BS121" s="254" t="inlineStr">
        <is>
          <t>/</t>
        </is>
      </c>
      <c r="BT121" s="229" t="inlineStr">
        <is>
          <t>/</t>
        </is>
      </c>
      <c r="BU121" s="297" t="inlineStr">
        <is>
          <t>1、卫生费：每月固定1500元，寒暑假根据实际运营天数结算</t>
        </is>
      </c>
      <c r="BV121" s="230" t="inlineStr">
        <is>
          <t xml:space="preserve">1、签订期间：2026.2.25-2026.7.31；
2、指标按照全年换算；
</t>
        </is>
      </c>
      <c r="BW121" s="534" t="n"/>
    </row>
    <row r="122" ht="24" customFormat="1" customHeight="1" s="209">
      <c r="A122" s="219" t="n">
        <v>152</v>
      </c>
      <c r="B122" s="220" t="inlineStr">
        <is>
          <t>KQCY0152</t>
        </is>
      </c>
      <c r="C122" s="221" t="inlineStr">
        <is>
          <t>餐饮三分部</t>
        </is>
      </c>
      <c r="D122" s="221" t="inlineStr">
        <is>
          <t>CF699</t>
        </is>
      </c>
      <c r="E122" s="221" t="inlineStr">
        <is>
          <t>徐医大第一食堂</t>
        </is>
      </c>
      <c r="F122" s="219" t="inlineStr">
        <is>
          <t>分组作业</t>
        </is>
      </c>
      <c r="G122" s="222" t="inlineStr">
        <is>
          <t>徐敏捷</t>
        </is>
      </c>
      <c r="H122" s="503" t="inlineStr">
        <is>
          <t>/</t>
        </is>
      </c>
      <c r="I122" s="237" t="inlineStr">
        <is>
          <t>脆香鸡</t>
        </is>
      </c>
      <c r="J122" s="503" t="inlineStr">
        <is>
          <t>闫玉净</t>
        </is>
      </c>
      <c r="K122" s="572">
        <f>LET(k,D122&amp;"|"&amp;E122&amp;"|"&amp;H122&amp;"|"&amp;I122&amp;"|"&amp;J122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22" s="546" t="n"/>
      <c r="M122" s="224" t="n"/>
      <c r="N122" s="290" t="n"/>
      <c r="O122" s="548" t="n">
        <v>924000</v>
      </c>
      <c r="P122" s="276" t="n">
        <v>0.19</v>
      </c>
      <c r="Q122" s="566">
        <f>K122*P122</f>
        <v/>
      </c>
      <c r="R122" s="293" t="n"/>
      <c r="S122" s="566">
        <f>Q122-R122</f>
        <v/>
      </c>
      <c r="T122" s="227" t="n">
        <v>0</v>
      </c>
      <c r="U122" s="461">
        <f>K122*T122</f>
        <v/>
      </c>
      <c r="V122" s="461" t="n"/>
      <c r="W122" s="461">
        <f>U122-V122</f>
        <v/>
      </c>
      <c r="X122" s="551" t="n"/>
      <c r="Y122" s="461">
        <f>K122*X122</f>
        <v/>
      </c>
      <c r="Z122" s="227" t="n"/>
      <c r="AA122" s="461">
        <f>Y122-Z122</f>
        <v/>
      </c>
      <c r="AB122" s="227" t="n">
        <v>0</v>
      </c>
      <c r="AC122" s="461">
        <f>K122*AB122</f>
        <v/>
      </c>
      <c r="AD122" s="227" t="n"/>
      <c r="AE122" s="461">
        <f>AC122-AD122</f>
        <v/>
      </c>
      <c r="AF122" s="227" t="n">
        <v>0</v>
      </c>
      <c r="AG122" s="461">
        <f>K122*AF122</f>
        <v/>
      </c>
      <c r="AH122" s="227" t="n"/>
      <c r="AI122" s="461">
        <f>AG122-AH122</f>
        <v/>
      </c>
      <c r="AJ122" s="227" t="n">
        <v>0</v>
      </c>
      <c r="AK122" s="461">
        <f>K122*AJ122</f>
        <v/>
      </c>
      <c r="AL122" s="227" t="n"/>
      <c r="AM122" s="461">
        <f>AK122-AL122</f>
        <v/>
      </c>
      <c r="AN122" s="227" t="n">
        <v>0</v>
      </c>
      <c r="AO122" s="461">
        <f>K122*AN122</f>
        <v/>
      </c>
      <c r="AP122" s="461" t="n"/>
      <c r="AQ122" s="461">
        <f>AO122-AP122</f>
        <v/>
      </c>
      <c r="AR122" s="573" t="n"/>
      <c r="AS122" s="461" t="n"/>
      <c r="AT122" s="461" t="n"/>
      <c r="AU122" s="461">
        <f>AS122-AT122</f>
        <v/>
      </c>
      <c r="AV122" s="551" t="n"/>
      <c r="AW122" s="461">
        <f>K122*AV122</f>
        <v/>
      </c>
      <c r="AX122" s="293" t="n"/>
      <c r="AY122" s="461">
        <f>AW122-AX122</f>
        <v/>
      </c>
      <c r="AZ122" s="227" t="n">
        <v>0</v>
      </c>
      <c r="BA122" s="461">
        <f>K122*AZ122</f>
        <v/>
      </c>
      <c r="BB122" s="293" t="n"/>
      <c r="BC122" s="461">
        <f>BA122-BB122</f>
        <v/>
      </c>
      <c r="BD122" s="247" t="n"/>
      <c r="BE122" s="461">
        <f>K122*BD122</f>
        <v/>
      </c>
      <c r="BF122" s="247" t="n"/>
      <c r="BG122" s="461">
        <f>BE122-BF122</f>
        <v/>
      </c>
      <c r="BH122" s="247" t="n"/>
      <c r="BI122" s="461">
        <f>K122*BH122</f>
        <v/>
      </c>
      <c r="BJ122" s="247" t="n"/>
      <c r="BK122" s="461">
        <f>BI122-BJ122</f>
        <v/>
      </c>
      <c r="BL122" s="279" t="inlineStr">
        <is>
          <t>按实</t>
        </is>
      </c>
      <c r="BM122" s="220">
        <f>BN122</f>
        <v/>
      </c>
      <c r="BN122" s="256" t="n"/>
      <c r="BO122" s="220">
        <f>BM122-BN122</f>
        <v/>
      </c>
      <c r="BP122" s="575">
        <f>N122+Q122+U122+Y122+AC122+AG122+AK122+AO122+AS122+AW122+BA122+BE122+BI122+BM122</f>
        <v/>
      </c>
      <c r="BQ122" s="220">
        <f>N122+R122+V122+Z122+AD122+AH122+AL122+AP122+AT122+AX122+BB122+BF122+BJ122+BN122</f>
        <v/>
      </c>
      <c r="BR122" s="575">
        <f>BP122-BQ122</f>
        <v/>
      </c>
      <c r="BS122" s="254" t="inlineStr">
        <is>
          <t>/</t>
        </is>
      </c>
      <c r="BT122" s="229" t="inlineStr">
        <is>
          <t>/</t>
        </is>
      </c>
      <c r="BU122" s="297" t="inlineStr">
        <is>
          <t>1、卫生费：每月固定1500元，寒暑假根据实际运营天数结算</t>
        </is>
      </c>
      <c r="BV122" s="230" t="inlineStr">
        <is>
          <t>1、签订期间：2026.2.25-2026.7.31；
2、指标按照全年换算；</t>
        </is>
      </c>
      <c r="BW122" s="534" t="n"/>
    </row>
    <row r="123" ht="24" customFormat="1" customHeight="1" s="209">
      <c r="A123" s="219" t="n">
        <v>153</v>
      </c>
      <c r="B123" s="220" t="inlineStr">
        <is>
          <t>KQCY0153</t>
        </is>
      </c>
      <c r="C123" s="221" t="inlineStr">
        <is>
          <t>餐饮三分部</t>
        </is>
      </c>
      <c r="D123" s="221" t="inlineStr">
        <is>
          <t>CF699</t>
        </is>
      </c>
      <c r="E123" s="221" t="inlineStr">
        <is>
          <t>徐医大第一食堂</t>
        </is>
      </c>
      <c r="F123" s="219" t="inlineStr">
        <is>
          <t>分组作业</t>
        </is>
      </c>
      <c r="G123" s="222" t="inlineStr">
        <is>
          <t>徐敏捷</t>
        </is>
      </c>
      <c r="H123" s="503" t="inlineStr">
        <is>
          <t>/</t>
        </is>
      </c>
      <c r="I123" s="237" t="inlineStr">
        <is>
          <t>鸡柳窜巷</t>
        </is>
      </c>
      <c r="J123" s="503" t="inlineStr">
        <is>
          <t>王晨</t>
        </is>
      </c>
      <c r="K123" s="572">
        <f>LET(k,D123&amp;"|"&amp;E123&amp;"|"&amp;H123&amp;"|"&amp;I123&amp;"|"&amp;J123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23" s="546" t="n"/>
      <c r="M123" s="224" t="n"/>
      <c r="N123" s="290" t="n"/>
      <c r="O123" s="548" t="n">
        <v>384000</v>
      </c>
      <c r="P123" s="276" t="n">
        <v>0.19</v>
      </c>
      <c r="Q123" s="566">
        <f>K123*P123</f>
        <v/>
      </c>
      <c r="R123" s="293" t="n"/>
      <c r="S123" s="566">
        <f>Q123-R123</f>
        <v/>
      </c>
      <c r="T123" s="227" t="n">
        <v>0</v>
      </c>
      <c r="U123" s="461">
        <f>K123*T123</f>
        <v/>
      </c>
      <c r="V123" s="461" t="n"/>
      <c r="W123" s="461">
        <f>U123-V123</f>
        <v/>
      </c>
      <c r="X123" s="551" t="n"/>
      <c r="Y123" s="461">
        <f>K123*X123</f>
        <v/>
      </c>
      <c r="Z123" s="227" t="n"/>
      <c r="AA123" s="461">
        <f>Y123-Z123</f>
        <v/>
      </c>
      <c r="AB123" s="227" t="n">
        <v>0</v>
      </c>
      <c r="AC123" s="461">
        <f>K123*AB123</f>
        <v/>
      </c>
      <c r="AD123" s="227" t="n"/>
      <c r="AE123" s="461">
        <f>AC123-AD123</f>
        <v/>
      </c>
      <c r="AF123" s="227" t="n">
        <v>0</v>
      </c>
      <c r="AG123" s="461">
        <f>K123*AF123</f>
        <v/>
      </c>
      <c r="AH123" s="227" t="n"/>
      <c r="AI123" s="461">
        <f>AG123-AH123</f>
        <v/>
      </c>
      <c r="AJ123" s="227" t="n">
        <v>0</v>
      </c>
      <c r="AK123" s="461">
        <f>K123*AJ123</f>
        <v/>
      </c>
      <c r="AL123" s="227" t="n"/>
      <c r="AM123" s="461">
        <f>AK123-AL123</f>
        <v/>
      </c>
      <c r="AN123" s="227" t="n">
        <v>0</v>
      </c>
      <c r="AO123" s="461">
        <f>K123*AN123</f>
        <v/>
      </c>
      <c r="AP123" s="461" t="n"/>
      <c r="AQ123" s="461">
        <f>AO123-AP123</f>
        <v/>
      </c>
      <c r="AR123" s="573" t="n"/>
      <c r="AS123" s="461" t="n"/>
      <c r="AT123" s="461" t="n"/>
      <c r="AU123" s="461">
        <f>AS123-AT123</f>
        <v/>
      </c>
      <c r="AV123" s="551" t="n"/>
      <c r="AW123" s="461">
        <f>K123*AV123</f>
        <v/>
      </c>
      <c r="AX123" s="293" t="n"/>
      <c r="AY123" s="461">
        <f>AW123-AX123</f>
        <v/>
      </c>
      <c r="AZ123" s="227" t="n">
        <v>0</v>
      </c>
      <c r="BA123" s="461">
        <f>K123*AZ123</f>
        <v/>
      </c>
      <c r="BB123" s="293" t="n"/>
      <c r="BC123" s="461">
        <f>BA123-BB123</f>
        <v/>
      </c>
      <c r="BD123" s="247" t="n"/>
      <c r="BE123" s="461">
        <f>K123*BD123</f>
        <v/>
      </c>
      <c r="BF123" s="247" t="n"/>
      <c r="BG123" s="461">
        <f>BE123-BF123</f>
        <v/>
      </c>
      <c r="BH123" s="247" t="n"/>
      <c r="BI123" s="461">
        <f>K123*BH123</f>
        <v/>
      </c>
      <c r="BJ123" s="247" t="n"/>
      <c r="BK123" s="461">
        <f>BI123-BJ123</f>
        <v/>
      </c>
      <c r="BL123" s="279" t="inlineStr">
        <is>
          <t>按实</t>
        </is>
      </c>
      <c r="BM123" s="220">
        <f>BN123</f>
        <v/>
      </c>
      <c r="BN123" s="256" t="n"/>
      <c r="BO123" s="220">
        <f>BM123-BN123</f>
        <v/>
      </c>
      <c r="BP123" s="575">
        <f>N123+Q123+U123+Y123+AC123+AG123+AK123+AO123+AS123+AW123+BA123+BE123+BI123+BM123</f>
        <v/>
      </c>
      <c r="BQ123" s="220">
        <f>N123+R123+V123+Z123+AD123+AH123+AL123+AP123+AT123+AX123+BB123+BF123+BJ123+BN123</f>
        <v/>
      </c>
      <c r="BR123" s="575">
        <f>BP123-BQ123</f>
        <v/>
      </c>
      <c r="BS123" s="254" t="inlineStr">
        <is>
          <t>/</t>
        </is>
      </c>
      <c r="BT123" s="229" t="inlineStr">
        <is>
          <t>/</t>
        </is>
      </c>
      <c r="BU123" s="297" t="inlineStr">
        <is>
          <t>1、卫生费：每月固定1000元，寒暑假根据实际运营天数结算</t>
        </is>
      </c>
      <c r="BV123" s="230" t="inlineStr">
        <is>
          <t>1、签订期间：2026.2.25-2026.7.31；
2、指标按照全年换算；</t>
        </is>
      </c>
      <c r="BW123" s="534" t="n"/>
    </row>
    <row r="124" ht="24" customFormat="1" customHeight="1" s="209">
      <c r="A124" s="219" t="n">
        <v>154</v>
      </c>
      <c r="B124" s="220" t="inlineStr">
        <is>
          <t>KQCY0154</t>
        </is>
      </c>
      <c r="C124" s="221" t="inlineStr">
        <is>
          <t>餐饮三分部</t>
        </is>
      </c>
      <c r="D124" s="221" t="inlineStr">
        <is>
          <t>CF699</t>
        </is>
      </c>
      <c r="E124" s="221" t="inlineStr">
        <is>
          <t>徐医大第一食堂</t>
        </is>
      </c>
      <c r="F124" s="219" t="inlineStr">
        <is>
          <t>分组作业</t>
        </is>
      </c>
      <c r="G124" s="222" t="inlineStr">
        <is>
          <t>徐敏捷</t>
        </is>
      </c>
      <c r="H124" s="503" t="inlineStr">
        <is>
          <t>/</t>
        </is>
      </c>
      <c r="I124" s="237" t="inlineStr">
        <is>
          <t>螺蛳粉</t>
        </is>
      </c>
      <c r="J124" s="503" t="inlineStr">
        <is>
          <t>王梅</t>
        </is>
      </c>
      <c r="K124" s="572">
        <f>LET(k,D124&amp;"|"&amp;E124&amp;"|"&amp;H124&amp;"|"&amp;I124&amp;"|"&amp;J124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24" s="546" t="n"/>
      <c r="M124" s="224" t="n"/>
      <c r="N124" s="290" t="n"/>
      <c r="O124" s="548" t="n">
        <v>588000</v>
      </c>
      <c r="P124" s="276" t="n">
        <v>0.19</v>
      </c>
      <c r="Q124" s="566">
        <f>K124*P124</f>
        <v/>
      </c>
      <c r="R124" s="293" t="n"/>
      <c r="S124" s="566">
        <f>Q124-R124</f>
        <v/>
      </c>
      <c r="T124" s="227" t="n">
        <v>0</v>
      </c>
      <c r="U124" s="461">
        <f>K124*T124</f>
        <v/>
      </c>
      <c r="V124" s="461" t="n"/>
      <c r="W124" s="461">
        <f>U124-V124</f>
        <v/>
      </c>
      <c r="X124" s="551" t="n"/>
      <c r="Y124" s="461">
        <f>K124*X124</f>
        <v/>
      </c>
      <c r="Z124" s="227" t="n"/>
      <c r="AA124" s="461">
        <f>Y124-Z124</f>
        <v/>
      </c>
      <c r="AB124" s="227" t="n">
        <v>0</v>
      </c>
      <c r="AC124" s="461">
        <f>K124*AB124</f>
        <v/>
      </c>
      <c r="AD124" s="227" t="n"/>
      <c r="AE124" s="461">
        <f>AC124-AD124</f>
        <v/>
      </c>
      <c r="AF124" s="227" t="n">
        <v>0</v>
      </c>
      <c r="AG124" s="461">
        <f>K124*AF124</f>
        <v/>
      </c>
      <c r="AH124" s="227" t="n"/>
      <c r="AI124" s="461">
        <f>AG124-AH124</f>
        <v/>
      </c>
      <c r="AJ124" s="227" t="n">
        <v>0</v>
      </c>
      <c r="AK124" s="461">
        <f>K124*AJ124</f>
        <v/>
      </c>
      <c r="AL124" s="227" t="n"/>
      <c r="AM124" s="461">
        <f>AK124-AL124</f>
        <v/>
      </c>
      <c r="AN124" s="227" t="n">
        <v>0</v>
      </c>
      <c r="AO124" s="461">
        <f>K124*AN124</f>
        <v/>
      </c>
      <c r="AP124" s="461" t="n"/>
      <c r="AQ124" s="461">
        <f>AO124-AP124</f>
        <v/>
      </c>
      <c r="AR124" s="573" t="n"/>
      <c r="AS124" s="461" t="n"/>
      <c r="AT124" s="461" t="n"/>
      <c r="AU124" s="461">
        <f>AS124-AT124</f>
        <v/>
      </c>
      <c r="AV124" s="551" t="n"/>
      <c r="AW124" s="461">
        <f>K124*AV124</f>
        <v/>
      </c>
      <c r="AX124" s="293" t="n"/>
      <c r="AY124" s="461">
        <f>AW124-AX124</f>
        <v/>
      </c>
      <c r="AZ124" s="227" t="n">
        <v>0</v>
      </c>
      <c r="BA124" s="461">
        <f>K124*AZ124</f>
        <v/>
      </c>
      <c r="BB124" s="293" t="n"/>
      <c r="BC124" s="461">
        <f>BA124-BB124</f>
        <v/>
      </c>
      <c r="BD124" s="247" t="n"/>
      <c r="BE124" s="461">
        <f>K124*BD124</f>
        <v/>
      </c>
      <c r="BF124" s="247" t="n"/>
      <c r="BG124" s="461">
        <f>BE124-BF124</f>
        <v/>
      </c>
      <c r="BH124" s="247" t="n"/>
      <c r="BI124" s="461">
        <f>K124*BH124</f>
        <v/>
      </c>
      <c r="BJ124" s="247" t="n"/>
      <c r="BK124" s="461">
        <f>BI124-BJ124</f>
        <v/>
      </c>
      <c r="BL124" s="279" t="inlineStr">
        <is>
          <t>按实</t>
        </is>
      </c>
      <c r="BM124" s="220">
        <f>BN124</f>
        <v/>
      </c>
      <c r="BN124" s="256" t="n"/>
      <c r="BO124" s="220">
        <f>BM124-BN124</f>
        <v/>
      </c>
      <c r="BP124" s="575">
        <f>N124+Q124+U124+Y124+AC124+AG124+AK124+AO124+AS124+AW124+BA124+BE124+BI124+BM124</f>
        <v/>
      </c>
      <c r="BQ124" s="220">
        <f>N124+R124+V124+Z124+AD124+AH124+AL124+AP124+AT124+AX124+BB124+BF124+BJ124+BN124</f>
        <v/>
      </c>
      <c r="BR124" s="575">
        <f>BP124-BQ124</f>
        <v/>
      </c>
      <c r="BS124" s="254" t="inlineStr">
        <is>
          <t>/</t>
        </is>
      </c>
      <c r="BT124" s="229" t="inlineStr">
        <is>
          <t>/</t>
        </is>
      </c>
      <c r="BU124" s="297" t="inlineStr">
        <is>
          <t>1、卫生费：每月固定1500元，寒暑假根据实际运营天数结算</t>
        </is>
      </c>
      <c r="BV124" s="230" t="inlineStr">
        <is>
          <t>1、签订期间：2026.2.25-2026.7.31；
2、指标按照全年换算；</t>
        </is>
      </c>
      <c r="BW124" s="534" t="n"/>
    </row>
    <row r="125" ht="36" customFormat="1" customHeight="1" s="209">
      <c r="A125" s="219" t="n">
        <v>155</v>
      </c>
      <c r="B125" s="220" t="inlineStr">
        <is>
          <t>KQCY0155</t>
        </is>
      </c>
      <c r="C125" s="221" t="inlineStr">
        <is>
          <t>餐饮三分部</t>
        </is>
      </c>
      <c r="D125" s="221" t="inlineStr">
        <is>
          <t>CF699</t>
        </is>
      </c>
      <c r="E125" s="221" t="inlineStr">
        <is>
          <t>徐医大第一食堂</t>
        </is>
      </c>
      <c r="F125" s="219" t="inlineStr">
        <is>
          <t>分组作业</t>
        </is>
      </c>
      <c r="G125" s="222" t="inlineStr">
        <is>
          <t>徐敏捷</t>
        </is>
      </c>
      <c r="H125" s="503" t="inlineStr">
        <is>
          <t>/</t>
        </is>
      </c>
      <c r="I125" s="237" t="inlineStr">
        <is>
          <t>苏式汤面</t>
        </is>
      </c>
      <c r="J125" s="503" t="inlineStr">
        <is>
          <t>刘行行</t>
        </is>
      </c>
      <c r="K125" s="572">
        <f>LET(k,D125&amp;"|"&amp;E125&amp;"|"&amp;H125&amp;"|"&amp;I125&amp;"|"&amp;J125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25" s="546" t="n"/>
      <c r="M125" s="224" t="n"/>
      <c r="N125" s="290" t="n"/>
      <c r="O125" s="548" t="n">
        <v>660000</v>
      </c>
      <c r="P125" s="276" t="n">
        <v>0.19</v>
      </c>
      <c r="Q125" s="566">
        <f>K125*P125</f>
        <v/>
      </c>
      <c r="R125" s="293" t="n"/>
      <c r="S125" s="566">
        <f>Q125-R125</f>
        <v/>
      </c>
      <c r="T125" s="227" t="n">
        <v>0</v>
      </c>
      <c r="U125" s="461">
        <f>K125*T125</f>
        <v/>
      </c>
      <c r="V125" s="461" t="n"/>
      <c r="W125" s="461">
        <f>U125-V125</f>
        <v/>
      </c>
      <c r="X125" s="551" t="n"/>
      <c r="Y125" s="461">
        <f>K125*X125</f>
        <v/>
      </c>
      <c r="Z125" s="227" t="n"/>
      <c r="AA125" s="461">
        <f>Y125-Z125</f>
        <v/>
      </c>
      <c r="AB125" s="227" t="n">
        <v>0</v>
      </c>
      <c r="AC125" s="461">
        <f>K125*AB125</f>
        <v/>
      </c>
      <c r="AD125" s="227" t="n"/>
      <c r="AE125" s="461">
        <f>AC125-AD125</f>
        <v/>
      </c>
      <c r="AF125" s="227" t="n">
        <v>0</v>
      </c>
      <c r="AG125" s="461">
        <f>K125*AF125</f>
        <v/>
      </c>
      <c r="AH125" s="227" t="n"/>
      <c r="AI125" s="461">
        <f>AG125-AH125</f>
        <v/>
      </c>
      <c r="AJ125" s="227" t="n">
        <v>0</v>
      </c>
      <c r="AK125" s="461">
        <f>K125*AJ125</f>
        <v/>
      </c>
      <c r="AL125" s="227" t="n"/>
      <c r="AM125" s="461">
        <f>AK125-AL125</f>
        <v/>
      </c>
      <c r="AN125" s="227" t="n">
        <v>0</v>
      </c>
      <c r="AO125" s="461">
        <f>K125*AN125</f>
        <v/>
      </c>
      <c r="AP125" s="461" t="n"/>
      <c r="AQ125" s="461">
        <f>AO125-AP125</f>
        <v/>
      </c>
      <c r="AR125" s="573" t="n"/>
      <c r="AS125" s="461" t="n"/>
      <c r="AT125" s="461" t="n"/>
      <c r="AU125" s="461">
        <f>AS125-AT125</f>
        <v/>
      </c>
      <c r="AV125" s="551" t="n"/>
      <c r="AW125" s="461">
        <f>K125*AV125</f>
        <v/>
      </c>
      <c r="AX125" s="293" t="n"/>
      <c r="AY125" s="461">
        <f>AW125-AX125</f>
        <v/>
      </c>
      <c r="AZ125" s="227" t="n">
        <v>0</v>
      </c>
      <c r="BA125" s="461">
        <f>K125*AZ125</f>
        <v/>
      </c>
      <c r="BB125" s="293" t="n"/>
      <c r="BC125" s="461">
        <f>BA125-BB125</f>
        <v/>
      </c>
      <c r="BD125" s="247" t="n"/>
      <c r="BE125" s="461">
        <f>K125*BD125</f>
        <v/>
      </c>
      <c r="BF125" s="247" t="n"/>
      <c r="BG125" s="461">
        <f>BE125-BF125</f>
        <v/>
      </c>
      <c r="BH125" s="247" t="n"/>
      <c r="BI125" s="461">
        <f>K125*BH125</f>
        <v/>
      </c>
      <c r="BJ125" s="247" t="n"/>
      <c r="BK125" s="461">
        <f>BI125-BJ125</f>
        <v/>
      </c>
      <c r="BL125" s="279" t="inlineStr">
        <is>
          <t>按实</t>
        </is>
      </c>
      <c r="BM125" s="220">
        <f>BN125</f>
        <v/>
      </c>
      <c r="BN125" s="256" t="n"/>
      <c r="BO125" s="220">
        <f>BM125-BN125</f>
        <v/>
      </c>
      <c r="BP125" s="575">
        <f>N125+Q125+U125+Y125+AC125+AG125+AK125+AO125+AS125+AW125+BA125+BE125+BI125+BM125</f>
        <v/>
      </c>
      <c r="BQ125" s="220">
        <f>N125+R125+V125+Z125+AD125+AH125+AL125+AP125+AT125+AX125+BB125+BF125+BJ125+BN125</f>
        <v/>
      </c>
      <c r="BR125" s="575">
        <f>BP125-BQ125</f>
        <v/>
      </c>
      <c r="BS125" s="254" t="inlineStr">
        <is>
          <t>/</t>
        </is>
      </c>
      <c r="BT125" s="229" t="inlineStr">
        <is>
          <t>/</t>
        </is>
      </c>
      <c r="BU125" s="297" t="inlineStr">
        <is>
          <t>1、卫生费：每月固定1500元，寒暑假根据实际运营天数结算</t>
        </is>
      </c>
      <c r="BV125" s="230" t="inlineStr">
        <is>
          <t xml:space="preserve">1、签订期间：2026.2.25-2026.7.31；
2、指标按照全年换算；
</t>
        </is>
      </c>
      <c r="BW125" s="534" t="n"/>
    </row>
    <row r="126" ht="36" customFormat="1" customHeight="1" s="209">
      <c r="A126" s="219" t="n">
        <v>156</v>
      </c>
      <c r="B126" s="220" t="inlineStr">
        <is>
          <t>KQCY0156</t>
        </is>
      </c>
      <c r="C126" s="221" t="inlineStr">
        <is>
          <t>餐饮三分部</t>
        </is>
      </c>
      <c r="D126" s="221" t="inlineStr">
        <is>
          <t>CF699</t>
        </is>
      </c>
      <c r="E126" s="221" t="inlineStr">
        <is>
          <t>徐医大第一食堂</t>
        </is>
      </c>
      <c r="F126" s="219" t="inlineStr">
        <is>
          <t>分组作业</t>
        </is>
      </c>
      <c r="G126" s="222" t="inlineStr">
        <is>
          <t>徐敏捷</t>
        </is>
      </c>
      <c r="H126" s="503" t="inlineStr">
        <is>
          <t>/</t>
        </is>
      </c>
      <c r="I126" s="237" t="inlineStr">
        <is>
          <t>营养粥</t>
        </is>
      </c>
      <c r="J126" s="503" t="inlineStr">
        <is>
          <t>周冰</t>
        </is>
      </c>
      <c r="K126" s="572">
        <f>LET(k,D126&amp;"|"&amp;E126&amp;"|"&amp;H126&amp;"|"&amp;I126&amp;"|"&amp;J126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26" s="546" t="n"/>
      <c r="M126" s="224" t="n"/>
      <c r="N126" s="290" t="n"/>
      <c r="O126" s="548" t="n">
        <v>660000</v>
      </c>
      <c r="P126" s="276" t="n">
        <v>0.19</v>
      </c>
      <c r="Q126" s="566">
        <f>K126*P126</f>
        <v/>
      </c>
      <c r="R126" s="293" t="n"/>
      <c r="S126" s="566">
        <f>Q126-R126</f>
        <v/>
      </c>
      <c r="T126" s="227" t="n">
        <v>0</v>
      </c>
      <c r="U126" s="461">
        <f>K126*T126</f>
        <v/>
      </c>
      <c r="V126" s="461" t="n"/>
      <c r="W126" s="461">
        <f>U126-V126</f>
        <v/>
      </c>
      <c r="X126" s="551" t="n"/>
      <c r="Y126" s="461">
        <f>K126*X126</f>
        <v/>
      </c>
      <c r="Z126" s="227" t="n"/>
      <c r="AA126" s="461">
        <f>Y126-Z126</f>
        <v/>
      </c>
      <c r="AB126" s="227" t="n">
        <v>0</v>
      </c>
      <c r="AC126" s="461">
        <f>K126*AB126</f>
        <v/>
      </c>
      <c r="AD126" s="227" t="n"/>
      <c r="AE126" s="461">
        <f>AC126-AD126</f>
        <v/>
      </c>
      <c r="AF126" s="227" t="n">
        <v>0</v>
      </c>
      <c r="AG126" s="461">
        <f>K126*AF126</f>
        <v/>
      </c>
      <c r="AH126" s="227" t="n"/>
      <c r="AI126" s="461">
        <f>AG126-AH126</f>
        <v/>
      </c>
      <c r="AJ126" s="227" t="n">
        <v>0</v>
      </c>
      <c r="AK126" s="461">
        <f>K126*AJ126</f>
        <v/>
      </c>
      <c r="AL126" s="227" t="n"/>
      <c r="AM126" s="461">
        <f>AK126-AL126</f>
        <v/>
      </c>
      <c r="AN126" s="227" t="n">
        <v>0</v>
      </c>
      <c r="AO126" s="461">
        <f>K126*AN126</f>
        <v/>
      </c>
      <c r="AP126" s="461" t="n"/>
      <c r="AQ126" s="461">
        <f>AO126-AP126</f>
        <v/>
      </c>
      <c r="AR126" s="573" t="n"/>
      <c r="AS126" s="461" t="n"/>
      <c r="AT126" s="461" t="n"/>
      <c r="AU126" s="461">
        <f>AS126-AT126</f>
        <v/>
      </c>
      <c r="AV126" s="551" t="n"/>
      <c r="AW126" s="461">
        <f>K126*AV126</f>
        <v/>
      </c>
      <c r="AX126" s="293" t="n"/>
      <c r="AY126" s="461">
        <f>AW126-AX126</f>
        <v/>
      </c>
      <c r="AZ126" s="227" t="n">
        <v>0</v>
      </c>
      <c r="BA126" s="461">
        <f>K126*AZ126</f>
        <v/>
      </c>
      <c r="BB126" s="293" t="n"/>
      <c r="BC126" s="461">
        <f>BA126-BB126</f>
        <v/>
      </c>
      <c r="BD126" s="247" t="n"/>
      <c r="BE126" s="461">
        <f>K126*BD126</f>
        <v/>
      </c>
      <c r="BF126" s="247" t="n"/>
      <c r="BG126" s="461">
        <f>BE126-BF126</f>
        <v/>
      </c>
      <c r="BH126" s="247" t="n"/>
      <c r="BI126" s="461">
        <f>K126*BH126</f>
        <v/>
      </c>
      <c r="BJ126" s="247" t="n"/>
      <c r="BK126" s="461">
        <f>BI126-BJ126</f>
        <v/>
      </c>
      <c r="BL126" s="279" t="inlineStr">
        <is>
          <t>按实</t>
        </is>
      </c>
      <c r="BM126" s="220">
        <f>BN126</f>
        <v/>
      </c>
      <c r="BN126" s="256" t="n"/>
      <c r="BO126" s="220">
        <f>BM126-BN126</f>
        <v/>
      </c>
      <c r="BP126" s="575">
        <f>N126+Q126+U126+Y126+AC126+AG126+AK126+AO126+AS126+AW126+BA126+BE126+BI126+BM126</f>
        <v/>
      </c>
      <c r="BQ126" s="220">
        <f>N126+R126+V126+Z126+AD126+AH126+AL126+AP126+AT126+AX126+BB126+BF126+BJ126+BN126</f>
        <v/>
      </c>
      <c r="BR126" s="575">
        <f>BP126-BQ126</f>
        <v/>
      </c>
      <c r="BS126" s="254" t="inlineStr">
        <is>
          <t>/</t>
        </is>
      </c>
      <c r="BT126" s="229" t="inlineStr">
        <is>
          <t>/</t>
        </is>
      </c>
      <c r="BU126" s="297" t="inlineStr">
        <is>
          <t>1、卫生费：每月固定1000元，寒暑假根据实际运营天数结算</t>
        </is>
      </c>
      <c r="BV126" s="230" t="inlineStr">
        <is>
          <t xml:space="preserve">1、签订期间：2026.2.25-2026.7.31；
2、指标按照全年换算；
</t>
        </is>
      </c>
      <c r="BW126" s="534" t="n"/>
    </row>
    <row r="127" ht="36" customFormat="1" customHeight="1" s="209">
      <c r="A127" s="219" t="n">
        <v>157</v>
      </c>
      <c r="B127" s="220" t="inlineStr">
        <is>
          <t>KQCY0157</t>
        </is>
      </c>
      <c r="C127" s="221" t="inlineStr">
        <is>
          <t>餐饮三分部</t>
        </is>
      </c>
      <c r="D127" s="221" t="inlineStr">
        <is>
          <t>CF699</t>
        </is>
      </c>
      <c r="E127" s="221" t="inlineStr">
        <is>
          <t>徐医大第一食堂</t>
        </is>
      </c>
      <c r="F127" s="219" t="inlineStr">
        <is>
          <t>分组作业</t>
        </is>
      </c>
      <c r="G127" s="222" t="inlineStr">
        <is>
          <t>徐敏捷</t>
        </is>
      </c>
      <c r="H127" s="503" t="inlineStr">
        <is>
          <t>/</t>
        </is>
      </c>
      <c r="I127" s="237" t="inlineStr">
        <is>
          <t>辣椒炒肉</t>
        </is>
      </c>
      <c r="J127" s="503" t="inlineStr">
        <is>
          <t>王桐</t>
        </is>
      </c>
      <c r="K127" s="572">
        <f>LET(k,D127&amp;"|"&amp;E127&amp;"|"&amp;H127&amp;"|"&amp;I127&amp;"|"&amp;J127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27" s="546" t="n"/>
      <c r="M127" s="224" t="n"/>
      <c r="N127" s="290" t="n"/>
      <c r="O127" s="548" t="n">
        <v>588000</v>
      </c>
      <c r="P127" s="276" t="n">
        <v>0.16</v>
      </c>
      <c r="Q127" s="566">
        <f>K127*P127</f>
        <v/>
      </c>
      <c r="R127" s="293" t="n"/>
      <c r="S127" s="566">
        <f>Q127-R127</f>
        <v/>
      </c>
      <c r="T127" s="227" t="n">
        <v>0</v>
      </c>
      <c r="U127" s="461">
        <f>K127*T127</f>
        <v/>
      </c>
      <c r="V127" s="461" t="n"/>
      <c r="W127" s="461">
        <f>U127-V127</f>
        <v/>
      </c>
      <c r="X127" s="551" t="n"/>
      <c r="Y127" s="461">
        <f>K127*X127</f>
        <v/>
      </c>
      <c r="Z127" s="227" t="n"/>
      <c r="AA127" s="461">
        <f>Y127-Z127</f>
        <v/>
      </c>
      <c r="AB127" s="227" t="n">
        <v>0</v>
      </c>
      <c r="AC127" s="461">
        <f>K127*AB127</f>
        <v/>
      </c>
      <c r="AD127" s="227" t="n"/>
      <c r="AE127" s="461">
        <f>AC127-AD127</f>
        <v/>
      </c>
      <c r="AF127" s="227" t="n">
        <v>0</v>
      </c>
      <c r="AG127" s="461">
        <f>K127*AF127</f>
        <v/>
      </c>
      <c r="AH127" s="227" t="n"/>
      <c r="AI127" s="461">
        <f>AG127-AH127</f>
        <v/>
      </c>
      <c r="AJ127" s="227" t="n">
        <v>0</v>
      </c>
      <c r="AK127" s="461">
        <f>K127*AJ127</f>
        <v/>
      </c>
      <c r="AL127" s="227" t="n"/>
      <c r="AM127" s="461">
        <f>AK127-AL127</f>
        <v/>
      </c>
      <c r="AN127" s="227" t="n">
        <v>0</v>
      </c>
      <c r="AO127" s="461">
        <f>K127*AN127</f>
        <v/>
      </c>
      <c r="AP127" s="461" t="n"/>
      <c r="AQ127" s="461">
        <f>AO127-AP127</f>
        <v/>
      </c>
      <c r="AR127" s="573" t="n"/>
      <c r="AS127" s="461" t="n"/>
      <c r="AT127" s="461" t="n"/>
      <c r="AU127" s="461">
        <f>AS127-AT127</f>
        <v/>
      </c>
      <c r="AV127" s="551" t="n"/>
      <c r="AW127" s="461">
        <f>K127*AV127</f>
        <v/>
      </c>
      <c r="AX127" s="293" t="n"/>
      <c r="AY127" s="461">
        <f>AW127-AX127</f>
        <v/>
      </c>
      <c r="AZ127" s="227" t="n">
        <v>0</v>
      </c>
      <c r="BA127" s="461">
        <f>K127*AZ127</f>
        <v/>
      </c>
      <c r="BB127" s="293" t="n"/>
      <c r="BC127" s="461">
        <f>BA127-BB127</f>
        <v/>
      </c>
      <c r="BD127" s="247" t="n"/>
      <c r="BE127" s="461">
        <f>K127*BD127</f>
        <v/>
      </c>
      <c r="BF127" s="247" t="n"/>
      <c r="BG127" s="461">
        <f>BE127-BF127</f>
        <v/>
      </c>
      <c r="BH127" s="247" t="n"/>
      <c r="BI127" s="461">
        <f>K127*BH127</f>
        <v/>
      </c>
      <c r="BJ127" s="247" t="n"/>
      <c r="BK127" s="461">
        <f>BI127-BJ127</f>
        <v/>
      </c>
      <c r="BL127" s="279" t="inlineStr">
        <is>
          <t>按实</t>
        </is>
      </c>
      <c r="BM127" s="220">
        <f>BN127</f>
        <v/>
      </c>
      <c r="BN127" s="256" t="n"/>
      <c r="BO127" s="220">
        <f>BM127-BN127</f>
        <v/>
      </c>
      <c r="BP127" s="575">
        <f>N127+Q127+U127+Y127+AC127+AG127+AK127+AO127+AS127+AW127+BA127+BE127+BI127+BM127</f>
        <v/>
      </c>
      <c r="BQ127" s="220">
        <f>N127+R127+V127+Z127+AD127+AH127+AL127+AP127+AT127+AX127+BB127+BF127+BJ127+BN127</f>
        <v/>
      </c>
      <c r="BR127" s="575">
        <f>BP127-BQ127</f>
        <v/>
      </c>
      <c r="BS127" s="254" t="inlineStr">
        <is>
          <t>/</t>
        </is>
      </c>
      <c r="BT127" s="229" t="inlineStr">
        <is>
          <t>/</t>
        </is>
      </c>
      <c r="BU127" s="297" t="inlineStr">
        <is>
          <t>1、卫生费：每月固定1500元，寒暑假根据实际运营天数结算</t>
        </is>
      </c>
      <c r="BV127" s="230" t="inlineStr">
        <is>
          <t xml:space="preserve">1、签订期间：2026.2.25-2026.7.31；
2、指标按照全年换算；
</t>
        </is>
      </c>
      <c r="BW127" s="534" t="n"/>
    </row>
    <row r="128" ht="36" customFormat="1" customHeight="1" s="209">
      <c r="A128" s="219" t="n">
        <v>158</v>
      </c>
      <c r="B128" s="220" t="inlineStr">
        <is>
          <t>KQCY0158</t>
        </is>
      </c>
      <c r="C128" s="221" t="inlineStr">
        <is>
          <t>餐饮三分部</t>
        </is>
      </c>
      <c r="D128" s="221" t="inlineStr">
        <is>
          <t>CF699</t>
        </is>
      </c>
      <c r="E128" s="221" t="inlineStr">
        <is>
          <t>徐医大第一食堂</t>
        </is>
      </c>
      <c r="F128" s="219" t="inlineStr">
        <is>
          <t>分组作业</t>
        </is>
      </c>
      <c r="G128" s="222" t="inlineStr">
        <is>
          <t>徐敏捷</t>
        </is>
      </c>
      <c r="H128" s="503" t="inlineStr">
        <is>
          <t>/</t>
        </is>
      </c>
      <c r="I128" s="237" t="inlineStr">
        <is>
          <t>板煮演义</t>
        </is>
      </c>
      <c r="J128" s="503" t="inlineStr">
        <is>
          <t>郑亚兰</t>
        </is>
      </c>
      <c r="K128" s="572">
        <f>LET(k,D128&amp;"|"&amp;E128&amp;"|"&amp;H128&amp;"|"&amp;I128&amp;"|"&amp;J128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28" s="546" t="n"/>
      <c r="M128" s="224" t="n"/>
      <c r="N128" s="290" t="n"/>
      <c r="O128" s="548" t="n">
        <v>564000</v>
      </c>
      <c r="P128" s="276" t="n">
        <v>0.19</v>
      </c>
      <c r="Q128" s="566">
        <f>K128*P128</f>
        <v/>
      </c>
      <c r="R128" s="293" t="n"/>
      <c r="S128" s="566">
        <f>Q128-R128</f>
        <v/>
      </c>
      <c r="T128" s="227" t="n">
        <v>0</v>
      </c>
      <c r="U128" s="461">
        <f>K128*T128</f>
        <v/>
      </c>
      <c r="V128" s="461" t="n"/>
      <c r="W128" s="461">
        <f>U128-V128</f>
        <v/>
      </c>
      <c r="X128" s="551" t="n"/>
      <c r="Y128" s="461">
        <f>K128*X128</f>
        <v/>
      </c>
      <c r="Z128" s="227" t="n"/>
      <c r="AA128" s="461">
        <f>Y128-Z128</f>
        <v/>
      </c>
      <c r="AB128" s="227" t="n">
        <v>0</v>
      </c>
      <c r="AC128" s="461">
        <f>K128*AB128</f>
        <v/>
      </c>
      <c r="AD128" s="227" t="n"/>
      <c r="AE128" s="461">
        <f>AC128-AD128</f>
        <v/>
      </c>
      <c r="AF128" s="227" t="n">
        <v>0</v>
      </c>
      <c r="AG128" s="461">
        <f>K128*AF128</f>
        <v/>
      </c>
      <c r="AH128" s="227" t="n"/>
      <c r="AI128" s="461">
        <f>AG128-AH128</f>
        <v/>
      </c>
      <c r="AJ128" s="227" t="n">
        <v>0</v>
      </c>
      <c r="AK128" s="461">
        <f>K128*AJ128</f>
        <v/>
      </c>
      <c r="AL128" s="227" t="n"/>
      <c r="AM128" s="461">
        <f>AK128-AL128</f>
        <v/>
      </c>
      <c r="AN128" s="227" t="n">
        <v>0</v>
      </c>
      <c r="AO128" s="461">
        <f>K128*AN128</f>
        <v/>
      </c>
      <c r="AP128" s="461" t="n"/>
      <c r="AQ128" s="461">
        <f>AO128-AP128</f>
        <v/>
      </c>
      <c r="AR128" s="573" t="n"/>
      <c r="AS128" s="461" t="n"/>
      <c r="AT128" s="461" t="n"/>
      <c r="AU128" s="461">
        <f>AS128-AT128</f>
        <v/>
      </c>
      <c r="AV128" s="551" t="n"/>
      <c r="AW128" s="461">
        <f>K128*AV128</f>
        <v/>
      </c>
      <c r="AX128" s="293" t="n"/>
      <c r="AY128" s="461">
        <f>AW128-AX128</f>
        <v/>
      </c>
      <c r="AZ128" s="227" t="n">
        <v>0</v>
      </c>
      <c r="BA128" s="461">
        <f>K128*AZ128</f>
        <v/>
      </c>
      <c r="BB128" s="293" t="n"/>
      <c r="BC128" s="461">
        <f>BA128-BB128</f>
        <v/>
      </c>
      <c r="BD128" s="247" t="n"/>
      <c r="BE128" s="461">
        <f>K128*BD128</f>
        <v/>
      </c>
      <c r="BF128" s="247" t="n"/>
      <c r="BG128" s="461">
        <f>BE128-BF128</f>
        <v/>
      </c>
      <c r="BH128" s="247" t="n"/>
      <c r="BI128" s="461">
        <f>K128*BH128</f>
        <v/>
      </c>
      <c r="BJ128" s="247" t="n"/>
      <c r="BK128" s="461">
        <f>BI128-BJ128</f>
        <v/>
      </c>
      <c r="BL128" s="279" t="inlineStr">
        <is>
          <t>按实</t>
        </is>
      </c>
      <c r="BM128" s="220">
        <f>BN128</f>
        <v/>
      </c>
      <c r="BN128" s="256" t="n"/>
      <c r="BO128" s="220">
        <f>BM128-BN128</f>
        <v/>
      </c>
      <c r="BP128" s="575">
        <f>N128+Q128+U128+Y128+AC128+AG128+AK128+AO128+AS128+AW128+BA128+BE128+BI128+BM128</f>
        <v/>
      </c>
      <c r="BQ128" s="220">
        <f>N128+R128+V128+Z128+AD128+AH128+AL128+AP128+AT128+AX128+BB128+BF128+BJ128+BN128</f>
        <v/>
      </c>
      <c r="BR128" s="575">
        <f>BP128-BQ128</f>
        <v/>
      </c>
      <c r="BS128" s="254" t="inlineStr">
        <is>
          <t>/</t>
        </is>
      </c>
      <c r="BT128" s="229" t="inlineStr">
        <is>
          <t>/</t>
        </is>
      </c>
      <c r="BU128" s="297" t="inlineStr">
        <is>
          <t>1、卫生费：每月固定1500元，寒暑假根据实际运营天数结算</t>
        </is>
      </c>
      <c r="BV128" s="230" t="inlineStr">
        <is>
          <t xml:space="preserve">1、签订期间：2026.2.25-2026.7.31；
2、指标按照全年换算；
</t>
        </is>
      </c>
      <c r="BW128" s="534" t="n"/>
    </row>
    <row r="129" ht="36" customFormat="1" customHeight="1" s="209">
      <c r="A129" s="219" t="n">
        <v>159</v>
      </c>
      <c r="B129" s="220" t="inlineStr">
        <is>
          <t>KQCY0159</t>
        </is>
      </c>
      <c r="C129" s="221" t="inlineStr">
        <is>
          <t>餐饮三分部</t>
        </is>
      </c>
      <c r="D129" s="221" t="inlineStr">
        <is>
          <t>CF699</t>
        </is>
      </c>
      <c r="E129" s="221" t="inlineStr">
        <is>
          <t>徐医大第一食堂</t>
        </is>
      </c>
      <c r="F129" s="219" t="inlineStr">
        <is>
          <t>分组作业</t>
        </is>
      </c>
      <c r="G129" s="222" t="inlineStr">
        <is>
          <t>徐敏捷</t>
        </is>
      </c>
      <c r="H129" s="503" t="inlineStr">
        <is>
          <t>/</t>
        </is>
      </c>
      <c r="I129" s="237" t="inlineStr">
        <is>
          <t>老翟板面</t>
        </is>
      </c>
      <c r="J129" s="503" t="inlineStr">
        <is>
          <t>经蕊蕊</t>
        </is>
      </c>
      <c r="K129" s="572">
        <f>LET(k,D129&amp;"|"&amp;E129&amp;"|"&amp;H129&amp;"|"&amp;I129&amp;"|"&amp;J129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29" s="546" t="n"/>
      <c r="M129" s="224" t="n"/>
      <c r="N129" s="290" t="n"/>
      <c r="O129" s="548" t="n">
        <v>672000</v>
      </c>
      <c r="P129" s="276" t="n">
        <v>0.16</v>
      </c>
      <c r="Q129" s="566">
        <f>K129*P129</f>
        <v/>
      </c>
      <c r="R129" s="293" t="n"/>
      <c r="S129" s="566">
        <f>Q129-R129</f>
        <v/>
      </c>
      <c r="T129" s="227" t="n">
        <v>0</v>
      </c>
      <c r="U129" s="461">
        <f>K129*T129</f>
        <v/>
      </c>
      <c r="V129" s="461" t="n"/>
      <c r="W129" s="461">
        <f>U129-V129</f>
        <v/>
      </c>
      <c r="X129" s="551" t="n"/>
      <c r="Y129" s="461">
        <f>K129*X129</f>
        <v/>
      </c>
      <c r="Z129" s="227" t="n"/>
      <c r="AA129" s="461">
        <f>Y129-Z129</f>
        <v/>
      </c>
      <c r="AB129" s="227" t="n">
        <v>0</v>
      </c>
      <c r="AC129" s="461">
        <f>K129*AB129</f>
        <v/>
      </c>
      <c r="AD129" s="227" t="n"/>
      <c r="AE129" s="461">
        <f>AC129-AD129</f>
        <v/>
      </c>
      <c r="AF129" s="227" t="n">
        <v>0</v>
      </c>
      <c r="AG129" s="461">
        <f>K129*AF129</f>
        <v/>
      </c>
      <c r="AH129" s="227" t="n"/>
      <c r="AI129" s="461">
        <f>AG129-AH129</f>
        <v/>
      </c>
      <c r="AJ129" s="227" t="n">
        <v>0</v>
      </c>
      <c r="AK129" s="461">
        <f>K129*AJ129</f>
        <v/>
      </c>
      <c r="AL129" s="227" t="n"/>
      <c r="AM129" s="461">
        <f>AK129-AL129</f>
        <v/>
      </c>
      <c r="AN129" s="227" t="n">
        <v>0</v>
      </c>
      <c r="AO129" s="461">
        <f>K129*AN129</f>
        <v/>
      </c>
      <c r="AP129" s="461" t="n"/>
      <c r="AQ129" s="461">
        <f>AO129-AP129</f>
        <v/>
      </c>
      <c r="AR129" s="573" t="n"/>
      <c r="AS129" s="461" t="n"/>
      <c r="AT129" s="461" t="n"/>
      <c r="AU129" s="461">
        <f>AS129-AT129</f>
        <v/>
      </c>
      <c r="AV129" s="551" t="n"/>
      <c r="AW129" s="461">
        <f>K129*AV129</f>
        <v/>
      </c>
      <c r="AX129" s="293" t="n"/>
      <c r="AY129" s="461">
        <f>AW129-AX129</f>
        <v/>
      </c>
      <c r="AZ129" s="227" t="n">
        <v>0</v>
      </c>
      <c r="BA129" s="461">
        <f>K129*AZ129</f>
        <v/>
      </c>
      <c r="BB129" s="293" t="n"/>
      <c r="BC129" s="461">
        <f>BA129-BB129</f>
        <v/>
      </c>
      <c r="BD129" s="247" t="n"/>
      <c r="BE129" s="461">
        <f>K129*BD129</f>
        <v/>
      </c>
      <c r="BF129" s="247" t="n"/>
      <c r="BG129" s="461">
        <f>BE129-BF129</f>
        <v/>
      </c>
      <c r="BH129" s="247" t="n"/>
      <c r="BI129" s="461">
        <f>K129*BH129</f>
        <v/>
      </c>
      <c r="BJ129" s="247" t="n"/>
      <c r="BK129" s="461">
        <f>BI129-BJ129</f>
        <v/>
      </c>
      <c r="BL129" s="279" t="inlineStr">
        <is>
          <t>按实</t>
        </is>
      </c>
      <c r="BM129" s="220">
        <f>BN129</f>
        <v/>
      </c>
      <c r="BN129" s="256" t="n"/>
      <c r="BO129" s="220">
        <f>BM129-BN129</f>
        <v/>
      </c>
      <c r="BP129" s="575">
        <f>N129+Q129+U129+Y129+AC129+AG129+AK129+AO129+AS129+AW129+BA129+BE129+BI129+BM129</f>
        <v/>
      </c>
      <c r="BQ129" s="220">
        <f>N129+R129+V129+Z129+AD129+AH129+AL129+AP129+AT129+AX129+BB129+BF129+BJ129+BN129</f>
        <v/>
      </c>
      <c r="BR129" s="575">
        <f>BP129-BQ129</f>
        <v/>
      </c>
      <c r="BS129" s="254" t="inlineStr">
        <is>
          <t>/</t>
        </is>
      </c>
      <c r="BT129" s="229" t="inlineStr">
        <is>
          <t>/</t>
        </is>
      </c>
      <c r="BU129" s="297" t="inlineStr">
        <is>
          <t>1、卫生费：每月固定1000元，寒暑假根据实际运
营天数结算</t>
        </is>
      </c>
      <c r="BV129" s="230" t="inlineStr">
        <is>
          <t xml:space="preserve">1、签订期间：2026.2.25-2026.7.31；
2、指标按照全年换算；
</t>
        </is>
      </c>
      <c r="BW129" s="534" t="n"/>
    </row>
    <row r="130" ht="36" customFormat="1" customHeight="1" s="209">
      <c r="A130" s="219" t="n">
        <v>160</v>
      </c>
      <c r="B130" s="220" t="inlineStr">
        <is>
          <t>KQCY0160</t>
        </is>
      </c>
      <c r="C130" s="221" t="inlineStr">
        <is>
          <t>餐饮三分部</t>
        </is>
      </c>
      <c r="D130" s="221" t="inlineStr">
        <is>
          <t>CF699</t>
        </is>
      </c>
      <c r="E130" s="221" t="inlineStr">
        <is>
          <t>徐医大第一食堂</t>
        </is>
      </c>
      <c r="F130" s="219" t="inlineStr">
        <is>
          <t>分组作业</t>
        </is>
      </c>
      <c r="G130" s="222" t="inlineStr">
        <is>
          <t>徐敏捷</t>
        </is>
      </c>
      <c r="H130" s="503" t="inlineStr">
        <is>
          <t>/</t>
        </is>
      </c>
      <c r="I130" s="237" t="inlineStr">
        <is>
          <t>杂粮煎饼</t>
        </is>
      </c>
      <c r="J130" s="503" t="inlineStr">
        <is>
          <t>陈希广</t>
        </is>
      </c>
      <c r="K130" s="572">
        <f>LET(k,D130&amp;"|"&amp;E130&amp;"|"&amp;H130&amp;"|"&amp;I130&amp;"|"&amp;J130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30" s="546" t="n"/>
      <c r="M130" s="224" t="n"/>
      <c r="N130" s="290" t="n"/>
      <c r="O130" s="548" t="n">
        <v>588000</v>
      </c>
      <c r="P130" s="276" t="n">
        <v>0.19</v>
      </c>
      <c r="Q130" s="566">
        <f>K130*P130</f>
        <v/>
      </c>
      <c r="R130" s="293" t="n"/>
      <c r="S130" s="566">
        <f>Q130-R130</f>
        <v/>
      </c>
      <c r="T130" s="227" t="n">
        <v>0</v>
      </c>
      <c r="U130" s="461">
        <f>K130*T130</f>
        <v/>
      </c>
      <c r="V130" s="461" t="n"/>
      <c r="W130" s="461">
        <f>U130-V130</f>
        <v/>
      </c>
      <c r="X130" s="551" t="n"/>
      <c r="Y130" s="461">
        <f>K130*X130</f>
        <v/>
      </c>
      <c r="Z130" s="227" t="n"/>
      <c r="AA130" s="461">
        <f>Y130-Z130</f>
        <v/>
      </c>
      <c r="AB130" s="227" t="n">
        <v>0</v>
      </c>
      <c r="AC130" s="461">
        <f>K130*AB130</f>
        <v/>
      </c>
      <c r="AD130" s="227" t="n"/>
      <c r="AE130" s="461">
        <f>AC130-AD130</f>
        <v/>
      </c>
      <c r="AF130" s="227" t="n">
        <v>0</v>
      </c>
      <c r="AG130" s="461">
        <f>K130*AF130</f>
        <v/>
      </c>
      <c r="AH130" s="227" t="n"/>
      <c r="AI130" s="461">
        <f>AG130-AH130</f>
        <v/>
      </c>
      <c r="AJ130" s="227" t="n">
        <v>0</v>
      </c>
      <c r="AK130" s="461">
        <f>K130*AJ130</f>
        <v/>
      </c>
      <c r="AL130" s="227" t="n"/>
      <c r="AM130" s="461">
        <f>AK130-AL130</f>
        <v/>
      </c>
      <c r="AN130" s="227" t="n">
        <v>0</v>
      </c>
      <c r="AO130" s="461">
        <f>K130*AN130</f>
        <v/>
      </c>
      <c r="AP130" s="461" t="n"/>
      <c r="AQ130" s="461">
        <f>AO130-AP130</f>
        <v/>
      </c>
      <c r="AR130" s="573" t="n"/>
      <c r="AS130" s="461" t="n"/>
      <c r="AT130" s="461" t="n"/>
      <c r="AU130" s="461">
        <f>AS130-AT130</f>
        <v/>
      </c>
      <c r="AV130" s="551" t="n"/>
      <c r="AW130" s="461">
        <f>K130*AV130</f>
        <v/>
      </c>
      <c r="AX130" s="293" t="n"/>
      <c r="AY130" s="461">
        <f>AW130-AX130</f>
        <v/>
      </c>
      <c r="AZ130" s="227" t="n">
        <v>0</v>
      </c>
      <c r="BA130" s="461">
        <f>K130*AZ130</f>
        <v/>
      </c>
      <c r="BB130" s="293" t="n"/>
      <c r="BC130" s="461">
        <f>BA130-BB130</f>
        <v/>
      </c>
      <c r="BD130" s="247" t="n"/>
      <c r="BE130" s="461">
        <f>K130*BD130</f>
        <v/>
      </c>
      <c r="BF130" s="247" t="n"/>
      <c r="BG130" s="461">
        <f>BE130-BF130</f>
        <v/>
      </c>
      <c r="BH130" s="247" t="n"/>
      <c r="BI130" s="461">
        <f>K130*BH130</f>
        <v/>
      </c>
      <c r="BJ130" s="247" t="n"/>
      <c r="BK130" s="461">
        <f>BI130-BJ130</f>
        <v/>
      </c>
      <c r="BL130" s="279" t="inlineStr">
        <is>
          <t>按实</t>
        </is>
      </c>
      <c r="BM130" s="220">
        <f>BN130</f>
        <v/>
      </c>
      <c r="BN130" s="256" t="n"/>
      <c r="BO130" s="220">
        <f>BM130-BN130</f>
        <v/>
      </c>
      <c r="BP130" s="575">
        <f>N130+Q130+U130+Y130+AC130+AG130+AK130+AO130+AS130+AW130+BA130+BE130+BI130+BM130</f>
        <v/>
      </c>
      <c r="BQ130" s="220">
        <f>N130+R130+V130+Z130+AD130+AH130+AL130+AP130+AT130+AX130+BB130+BF130+BJ130+BN130</f>
        <v/>
      </c>
      <c r="BR130" s="575">
        <f>BP130-BQ130</f>
        <v/>
      </c>
      <c r="BS130" s="254" t="inlineStr">
        <is>
          <t>/</t>
        </is>
      </c>
      <c r="BT130" s="229" t="inlineStr">
        <is>
          <t>/</t>
        </is>
      </c>
      <c r="BU130" s="297" t="inlineStr">
        <is>
          <t>1、卫生费：每月固定600元，
寒暑假根据实际运
营天数结算</t>
        </is>
      </c>
      <c r="BV130" s="230" t="inlineStr">
        <is>
          <t xml:space="preserve">1、签订期间：2026.2.25-2026.7.31；
2、指标按照全年换算；
</t>
        </is>
      </c>
      <c r="BW130" s="534" t="n"/>
    </row>
    <row r="131" ht="36" customFormat="1" customHeight="1" s="209">
      <c r="A131" s="219" t="n">
        <v>161</v>
      </c>
      <c r="B131" s="220" t="inlineStr">
        <is>
          <t>KQCY0161</t>
        </is>
      </c>
      <c r="C131" s="221" t="inlineStr">
        <is>
          <t>餐饮三分部</t>
        </is>
      </c>
      <c r="D131" s="221" t="inlineStr">
        <is>
          <t>CF699</t>
        </is>
      </c>
      <c r="E131" s="221" t="inlineStr">
        <is>
          <t>徐医大第一食堂</t>
        </is>
      </c>
      <c r="F131" s="219" t="inlineStr">
        <is>
          <t>分组作业</t>
        </is>
      </c>
      <c r="G131" s="222" t="inlineStr">
        <is>
          <t>徐敏捷</t>
        </is>
      </c>
      <c r="H131" s="503" t="inlineStr">
        <is>
          <t>/</t>
        </is>
      </c>
      <c r="I131" s="237" t="inlineStr">
        <is>
          <t>早餐</t>
        </is>
      </c>
      <c r="J131" s="503" t="inlineStr">
        <is>
          <t>张召兵</t>
        </is>
      </c>
      <c r="K131" s="572">
        <f>LET(k,D131&amp;"|"&amp;E131&amp;"|"&amp;H131&amp;"|"&amp;I131&amp;"|"&amp;J131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31" s="546" t="n"/>
      <c r="M131" s="224" t="n"/>
      <c r="N131" s="290" t="n"/>
      <c r="O131" s="548" t="n">
        <v>1056000</v>
      </c>
      <c r="P131" s="276" t="n">
        <v>0.16</v>
      </c>
      <c r="Q131" s="566">
        <f>K131*P131</f>
        <v/>
      </c>
      <c r="R131" s="293" t="n"/>
      <c r="S131" s="566">
        <f>Q131-R131</f>
        <v/>
      </c>
      <c r="T131" s="227" t="n">
        <v>0</v>
      </c>
      <c r="U131" s="461">
        <f>K131*T131</f>
        <v/>
      </c>
      <c r="V131" s="461" t="n"/>
      <c r="W131" s="461">
        <f>U131-V131</f>
        <v/>
      </c>
      <c r="X131" s="551" t="n"/>
      <c r="Y131" s="461">
        <f>K131*X131</f>
        <v/>
      </c>
      <c r="Z131" s="227" t="n"/>
      <c r="AA131" s="461">
        <f>Y131-Z131</f>
        <v/>
      </c>
      <c r="AB131" s="227" t="n">
        <v>0</v>
      </c>
      <c r="AC131" s="461">
        <f>K131*AB131</f>
        <v/>
      </c>
      <c r="AD131" s="227" t="n"/>
      <c r="AE131" s="461">
        <f>AC131-AD131</f>
        <v/>
      </c>
      <c r="AF131" s="227" t="n">
        <v>0</v>
      </c>
      <c r="AG131" s="461">
        <f>K131*AF131</f>
        <v/>
      </c>
      <c r="AH131" s="227" t="n"/>
      <c r="AI131" s="461">
        <f>AG131-AH131</f>
        <v/>
      </c>
      <c r="AJ131" s="227" t="n">
        <v>0</v>
      </c>
      <c r="AK131" s="461">
        <f>K131*AJ131</f>
        <v/>
      </c>
      <c r="AL131" s="227" t="n"/>
      <c r="AM131" s="461">
        <f>AK131-AL131</f>
        <v/>
      </c>
      <c r="AN131" s="227" t="n">
        <v>0</v>
      </c>
      <c r="AO131" s="461">
        <f>K131*AN131</f>
        <v/>
      </c>
      <c r="AP131" s="461" t="n"/>
      <c r="AQ131" s="461">
        <f>AO131-AP131</f>
        <v/>
      </c>
      <c r="AR131" s="573" t="n"/>
      <c r="AS131" s="461" t="n"/>
      <c r="AT131" s="461" t="n"/>
      <c r="AU131" s="461">
        <f>AS131-AT131</f>
        <v/>
      </c>
      <c r="AV131" s="551" t="n"/>
      <c r="AW131" s="461">
        <f>K131*AV131</f>
        <v/>
      </c>
      <c r="AX131" s="293" t="n"/>
      <c r="AY131" s="461">
        <f>AW131-AX131</f>
        <v/>
      </c>
      <c r="AZ131" s="227" t="n">
        <v>0</v>
      </c>
      <c r="BA131" s="461">
        <f>K131*AZ131</f>
        <v/>
      </c>
      <c r="BB131" s="293" t="n"/>
      <c r="BC131" s="461">
        <f>BA131-BB131</f>
        <v/>
      </c>
      <c r="BD131" s="247" t="n"/>
      <c r="BE131" s="461">
        <f>K131*BD131</f>
        <v/>
      </c>
      <c r="BF131" s="247" t="n"/>
      <c r="BG131" s="461">
        <f>BE131-BF131</f>
        <v/>
      </c>
      <c r="BH131" s="247" t="n"/>
      <c r="BI131" s="461">
        <f>K131*BH131</f>
        <v/>
      </c>
      <c r="BJ131" s="247" t="n"/>
      <c r="BK131" s="461">
        <f>BI131-BJ131</f>
        <v/>
      </c>
      <c r="BL131" s="279" t="inlineStr">
        <is>
          <t>按实</t>
        </is>
      </c>
      <c r="BM131" s="220">
        <f>BN131</f>
        <v/>
      </c>
      <c r="BN131" s="256" t="n"/>
      <c r="BO131" s="220">
        <f>BM131-BN131</f>
        <v/>
      </c>
      <c r="BP131" s="575">
        <f>N131+Q131+U131+Y131+AC131+AG131+AK131+AO131+AS131+AW131+BA131+BE131+BI131+BM131</f>
        <v/>
      </c>
      <c r="BQ131" s="220">
        <f>N131+R131+V131+Z131+AD131+AH131+AL131+AP131+AT131+AX131+BB131+BF131+BJ131+BN131</f>
        <v/>
      </c>
      <c r="BR131" s="575">
        <f>BP131-BQ131</f>
        <v/>
      </c>
      <c r="BS131" s="254" t="inlineStr">
        <is>
          <t>/</t>
        </is>
      </c>
      <c r="BT131" s="229" t="inlineStr">
        <is>
          <t>/</t>
        </is>
      </c>
      <c r="BU131" s="297" t="inlineStr">
        <is>
          <t>1、卫生费：每月固定1000元，寒暑假根据实际运
营天数结算</t>
        </is>
      </c>
      <c r="BV131" s="230" t="inlineStr">
        <is>
          <t xml:space="preserve">1、签订期间：2026.2.25-2026.7.31；
2、指标按照全年换算；
</t>
        </is>
      </c>
      <c r="BW131" s="534" t="n"/>
    </row>
    <row r="132" ht="36" customFormat="1" customHeight="1" s="209">
      <c r="A132" s="219" t="n">
        <v>162</v>
      </c>
      <c r="B132" s="220" t="inlineStr">
        <is>
          <t>KQCY0162</t>
        </is>
      </c>
      <c r="C132" s="221" t="inlineStr">
        <is>
          <t>餐饮三分部</t>
        </is>
      </c>
      <c r="D132" s="221" t="inlineStr">
        <is>
          <t>CF699</t>
        </is>
      </c>
      <c r="E132" s="221" t="inlineStr">
        <is>
          <t>徐医大第一食堂</t>
        </is>
      </c>
      <c r="F132" s="219" t="inlineStr">
        <is>
          <t>分组作业</t>
        </is>
      </c>
      <c r="G132" s="222" t="inlineStr">
        <is>
          <t>徐敏捷</t>
        </is>
      </c>
      <c r="H132" s="503" t="inlineStr">
        <is>
          <t>/</t>
        </is>
      </c>
      <c r="I132" s="237" t="inlineStr">
        <is>
          <t>快餐</t>
        </is>
      </c>
      <c r="J132" s="503" t="inlineStr">
        <is>
          <t>任现军</t>
        </is>
      </c>
      <c r="K132" s="572">
        <f>LET(k,D132&amp;"|"&amp;E132&amp;"|"&amp;H132&amp;"|"&amp;I132&amp;"|"&amp;J132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32" s="546" t="n"/>
      <c r="M132" s="224" t="n"/>
      <c r="N132" s="290" t="n"/>
      <c r="O132" s="548" t="n">
        <v>1548000</v>
      </c>
      <c r="P132" s="276" t="n">
        <v>0.16</v>
      </c>
      <c r="Q132" s="566">
        <f>K132*P132</f>
        <v/>
      </c>
      <c r="R132" s="293" t="n"/>
      <c r="S132" s="566">
        <f>Q132-R132</f>
        <v/>
      </c>
      <c r="T132" s="227" t="n">
        <v>0</v>
      </c>
      <c r="U132" s="461">
        <f>K132*T132</f>
        <v/>
      </c>
      <c r="V132" s="461" t="n"/>
      <c r="W132" s="461">
        <f>U132-V132</f>
        <v/>
      </c>
      <c r="X132" s="551" t="n"/>
      <c r="Y132" s="461">
        <f>K132*X132</f>
        <v/>
      </c>
      <c r="Z132" s="227" t="n"/>
      <c r="AA132" s="461">
        <f>Y132-Z132</f>
        <v/>
      </c>
      <c r="AB132" s="227" t="n">
        <v>0</v>
      </c>
      <c r="AC132" s="461">
        <f>K132*AB132</f>
        <v/>
      </c>
      <c r="AD132" s="227" t="n"/>
      <c r="AE132" s="461">
        <f>AC132-AD132</f>
        <v/>
      </c>
      <c r="AF132" s="227" t="n">
        <v>0</v>
      </c>
      <c r="AG132" s="461">
        <f>K132*AF132</f>
        <v/>
      </c>
      <c r="AH132" s="227" t="n"/>
      <c r="AI132" s="461">
        <f>AG132-AH132</f>
        <v/>
      </c>
      <c r="AJ132" s="227" t="n">
        <v>0</v>
      </c>
      <c r="AK132" s="461">
        <f>K132*AJ132</f>
        <v/>
      </c>
      <c r="AL132" s="227" t="n"/>
      <c r="AM132" s="461">
        <f>AK132-AL132</f>
        <v/>
      </c>
      <c r="AN132" s="227" t="n">
        <v>0</v>
      </c>
      <c r="AO132" s="461">
        <f>K132*AN132</f>
        <v/>
      </c>
      <c r="AP132" s="461" t="n"/>
      <c r="AQ132" s="461">
        <f>AO132-AP132</f>
        <v/>
      </c>
      <c r="AR132" s="573" t="n"/>
      <c r="AS132" s="461" t="n"/>
      <c r="AT132" s="461" t="n"/>
      <c r="AU132" s="461">
        <f>AS132-AT132</f>
        <v/>
      </c>
      <c r="AV132" s="551" t="n"/>
      <c r="AW132" s="461">
        <f>K132*AV132</f>
        <v/>
      </c>
      <c r="AX132" s="293" t="n"/>
      <c r="AY132" s="461">
        <f>AW132-AX132</f>
        <v/>
      </c>
      <c r="AZ132" s="227" t="n">
        <v>0</v>
      </c>
      <c r="BA132" s="461">
        <f>K132*AZ132</f>
        <v/>
      </c>
      <c r="BB132" s="293" t="n"/>
      <c r="BC132" s="461">
        <f>BA132-BB132</f>
        <v/>
      </c>
      <c r="BD132" s="247" t="n"/>
      <c r="BE132" s="461">
        <f>K132*BD132</f>
        <v/>
      </c>
      <c r="BF132" s="247" t="n"/>
      <c r="BG132" s="461">
        <f>BE132-BF132</f>
        <v/>
      </c>
      <c r="BH132" s="247" t="n"/>
      <c r="BI132" s="461">
        <f>K132*BH132</f>
        <v/>
      </c>
      <c r="BJ132" s="247" t="n"/>
      <c r="BK132" s="461">
        <f>BI132-BJ132</f>
        <v/>
      </c>
      <c r="BL132" s="279" t="inlineStr">
        <is>
          <t>按实</t>
        </is>
      </c>
      <c r="BM132" s="220">
        <f>BN132</f>
        <v/>
      </c>
      <c r="BN132" s="256" t="n"/>
      <c r="BO132" s="220">
        <f>BM132-BN132</f>
        <v/>
      </c>
      <c r="BP132" s="575">
        <f>N132+Q132+U132+Y132+AC132+AG132+AK132+AO132+AS132+AW132+BA132+BE132+BI132+BM132</f>
        <v/>
      </c>
      <c r="BQ132" s="220">
        <f>N132+R132+V132+Z132+AD132+AH132+AL132+AP132+AT132+AX132+BB132+BF132+BJ132+BN132</f>
        <v/>
      </c>
      <c r="BR132" s="575">
        <f>BP132-BQ132</f>
        <v/>
      </c>
      <c r="BS132" s="254" t="inlineStr">
        <is>
          <t>/</t>
        </is>
      </c>
      <c r="BT132" s="229" t="inlineStr">
        <is>
          <t>/</t>
        </is>
      </c>
      <c r="BU132" s="297" t="inlineStr">
        <is>
          <t>1、卫生费：每月固定2500元，寒暑假根据实际运
营天数结算</t>
        </is>
      </c>
      <c r="BV132" s="230" t="inlineStr">
        <is>
          <t xml:space="preserve">1、签订期间：2026.2.25-2026.7.31；
2、指标按照全年换算；
</t>
        </is>
      </c>
      <c r="BW132" s="534" t="n"/>
    </row>
    <row r="133" ht="36" customFormat="1" customHeight="1" s="209">
      <c r="A133" s="219" t="n">
        <v>163</v>
      </c>
      <c r="B133" s="220" t="inlineStr">
        <is>
          <t>KQCY0163</t>
        </is>
      </c>
      <c r="C133" s="221" t="inlineStr">
        <is>
          <t>餐饮三分部</t>
        </is>
      </c>
      <c r="D133" s="221" t="inlineStr">
        <is>
          <t>CF699</t>
        </is>
      </c>
      <c r="E133" s="221" t="inlineStr">
        <is>
          <t>徐医大第一食堂</t>
        </is>
      </c>
      <c r="F133" s="219" t="inlineStr">
        <is>
          <t>分组作业</t>
        </is>
      </c>
      <c r="G133" s="222" t="inlineStr">
        <is>
          <t>徐敏捷</t>
        </is>
      </c>
      <c r="H133" s="503" t="inlineStr">
        <is>
          <t>/</t>
        </is>
      </c>
      <c r="I133" s="237" t="inlineStr">
        <is>
          <t>精品套餐</t>
        </is>
      </c>
      <c r="J133" s="503" t="inlineStr">
        <is>
          <t>任现军</t>
        </is>
      </c>
      <c r="K133" s="572">
        <f>LET(k,D133&amp;"|"&amp;E133&amp;"|"&amp;H133&amp;"|"&amp;I133&amp;"|"&amp;J133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33" s="546" t="n"/>
      <c r="M133" s="224" t="n"/>
      <c r="N133" s="290" t="n"/>
      <c r="O133" s="548" t="n">
        <v>564000</v>
      </c>
      <c r="P133" s="276" t="n">
        <v>0.15</v>
      </c>
      <c r="Q133" s="566">
        <f>K133*P133</f>
        <v/>
      </c>
      <c r="R133" s="293" t="n"/>
      <c r="S133" s="566">
        <f>Q133-R133</f>
        <v/>
      </c>
      <c r="T133" s="227" t="n">
        <v>0</v>
      </c>
      <c r="U133" s="461">
        <f>K133*T133</f>
        <v/>
      </c>
      <c r="V133" s="461" t="n"/>
      <c r="W133" s="461">
        <f>U133-V133</f>
        <v/>
      </c>
      <c r="X133" s="551" t="n"/>
      <c r="Y133" s="461">
        <f>K133*X133</f>
        <v/>
      </c>
      <c r="Z133" s="227" t="n"/>
      <c r="AA133" s="461">
        <f>Y133-Z133</f>
        <v/>
      </c>
      <c r="AB133" s="227" t="n">
        <v>0</v>
      </c>
      <c r="AC133" s="461">
        <f>K133*AB133</f>
        <v/>
      </c>
      <c r="AD133" s="227" t="n"/>
      <c r="AE133" s="461">
        <f>AC133-AD133</f>
        <v/>
      </c>
      <c r="AF133" s="227" t="n">
        <v>0</v>
      </c>
      <c r="AG133" s="461">
        <f>K133*AF133</f>
        <v/>
      </c>
      <c r="AH133" s="227" t="n"/>
      <c r="AI133" s="461">
        <f>AG133-AH133</f>
        <v/>
      </c>
      <c r="AJ133" s="227" t="n">
        <v>0</v>
      </c>
      <c r="AK133" s="461">
        <f>K133*AJ133</f>
        <v/>
      </c>
      <c r="AL133" s="227" t="n"/>
      <c r="AM133" s="461">
        <f>AK133-AL133</f>
        <v/>
      </c>
      <c r="AN133" s="227" t="n">
        <v>0</v>
      </c>
      <c r="AO133" s="461">
        <f>K133*AN133</f>
        <v/>
      </c>
      <c r="AP133" s="461" t="n"/>
      <c r="AQ133" s="461">
        <f>AO133-AP133</f>
        <v/>
      </c>
      <c r="AR133" s="573" t="n"/>
      <c r="AS133" s="461" t="n"/>
      <c r="AT133" s="461" t="n"/>
      <c r="AU133" s="461">
        <f>AS133-AT133</f>
        <v/>
      </c>
      <c r="AV133" s="551" t="n"/>
      <c r="AW133" s="461">
        <f>K133*AV133</f>
        <v/>
      </c>
      <c r="AX133" s="293" t="n"/>
      <c r="AY133" s="461">
        <f>AW133-AX133</f>
        <v/>
      </c>
      <c r="AZ133" s="227" t="n">
        <v>0</v>
      </c>
      <c r="BA133" s="461">
        <f>K133*AZ133</f>
        <v/>
      </c>
      <c r="BB133" s="293" t="n"/>
      <c r="BC133" s="461">
        <f>BA133-BB133</f>
        <v/>
      </c>
      <c r="BD133" s="247" t="n"/>
      <c r="BE133" s="461">
        <f>K133*BD133</f>
        <v/>
      </c>
      <c r="BF133" s="247" t="n"/>
      <c r="BG133" s="461">
        <f>BE133-BF133</f>
        <v/>
      </c>
      <c r="BH133" s="247" t="n"/>
      <c r="BI133" s="461">
        <f>K133*BH133</f>
        <v/>
      </c>
      <c r="BJ133" s="247" t="n"/>
      <c r="BK133" s="461">
        <f>BI133-BJ133</f>
        <v/>
      </c>
      <c r="BL133" s="279" t="inlineStr">
        <is>
          <t>按实</t>
        </is>
      </c>
      <c r="BM133" s="220">
        <f>BN133</f>
        <v/>
      </c>
      <c r="BN133" s="256" t="n"/>
      <c r="BO133" s="220">
        <f>BM133-BN133</f>
        <v/>
      </c>
      <c r="BP133" s="575">
        <f>N133+Q133+U133+Y133+AC133+AG133+AK133+AO133+AS133+AW133+BA133+BE133+BI133+BM133</f>
        <v/>
      </c>
      <c r="BQ133" s="220">
        <f>N133+R133+V133+Z133+AD133+AH133+AL133+AP133+AT133+AX133+BB133+BF133+BJ133+BN133</f>
        <v/>
      </c>
      <c r="BR133" s="575">
        <f>BP133-BQ133</f>
        <v/>
      </c>
      <c r="BS133" s="254" t="inlineStr">
        <is>
          <t>/</t>
        </is>
      </c>
      <c r="BT133" s="229" t="inlineStr">
        <is>
          <t>/</t>
        </is>
      </c>
      <c r="BU133" s="297" t="inlineStr">
        <is>
          <t>1、卫生费：每月固定1500元，寒暑假根据实际运
营天数结算</t>
        </is>
      </c>
      <c r="BV133" s="230" t="inlineStr">
        <is>
          <t xml:space="preserve">1、签订期间：2026.2.25-2026.7.31；
2、指标按照全年换算；
</t>
        </is>
      </c>
      <c r="BW133" s="534" t="n"/>
    </row>
    <row r="134" ht="36" customFormat="1" customHeight="1" s="209">
      <c r="A134" s="219" t="n">
        <v>164</v>
      </c>
      <c r="B134" s="220" t="inlineStr">
        <is>
          <t>KQCY0164</t>
        </is>
      </c>
      <c r="C134" s="221" t="inlineStr">
        <is>
          <t>餐饮三分部</t>
        </is>
      </c>
      <c r="D134" s="221" t="inlineStr">
        <is>
          <t>CF699</t>
        </is>
      </c>
      <c r="E134" s="221" t="inlineStr">
        <is>
          <t>徐医大第一食堂</t>
        </is>
      </c>
      <c r="F134" s="219" t="inlineStr">
        <is>
          <t>分组作业</t>
        </is>
      </c>
      <c r="G134" s="222" t="inlineStr">
        <is>
          <t>徐敏捷</t>
        </is>
      </c>
      <c r="H134" s="503" t="inlineStr">
        <is>
          <t>/</t>
        </is>
      </c>
      <c r="I134" s="237" t="inlineStr">
        <is>
          <t>家家乐烘焙</t>
        </is>
      </c>
      <c r="J134" s="503" t="inlineStr">
        <is>
          <t>朱江平</t>
        </is>
      </c>
      <c r="K134" s="572">
        <f>LET(k,D134&amp;"|"&amp;E134&amp;"|"&amp;H134&amp;"|"&amp;I134&amp;"|"&amp;J134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34" s="546" t="n"/>
      <c r="M134" s="224" t="n"/>
      <c r="N134" s="290" t="n"/>
      <c r="O134" s="548" t="n">
        <v>672000</v>
      </c>
      <c r="P134" s="276" t="n">
        <v>0.19</v>
      </c>
      <c r="Q134" s="566">
        <f>K134*P134</f>
        <v/>
      </c>
      <c r="R134" s="293" t="n"/>
      <c r="S134" s="566">
        <f>Q134-R134</f>
        <v/>
      </c>
      <c r="T134" s="227" t="n">
        <v>0</v>
      </c>
      <c r="U134" s="461">
        <f>K134*T134</f>
        <v/>
      </c>
      <c r="V134" s="461" t="n"/>
      <c r="W134" s="461">
        <f>U134-V134</f>
        <v/>
      </c>
      <c r="X134" s="551" t="n"/>
      <c r="Y134" s="461">
        <f>K134*X134</f>
        <v/>
      </c>
      <c r="Z134" s="227" t="n"/>
      <c r="AA134" s="461">
        <f>Y134-Z134</f>
        <v/>
      </c>
      <c r="AB134" s="227" t="n">
        <v>0</v>
      </c>
      <c r="AC134" s="461">
        <f>K134*AB134</f>
        <v/>
      </c>
      <c r="AD134" s="227" t="n"/>
      <c r="AE134" s="461">
        <f>AC134-AD134</f>
        <v/>
      </c>
      <c r="AF134" s="227" t="n">
        <v>0</v>
      </c>
      <c r="AG134" s="461">
        <f>K134*AF134</f>
        <v/>
      </c>
      <c r="AH134" s="227" t="n"/>
      <c r="AI134" s="461">
        <f>AG134-AH134</f>
        <v/>
      </c>
      <c r="AJ134" s="227" t="n">
        <v>0</v>
      </c>
      <c r="AK134" s="461">
        <f>K134*AJ134</f>
        <v/>
      </c>
      <c r="AL134" s="227" t="n"/>
      <c r="AM134" s="461">
        <f>AK134-AL134</f>
        <v/>
      </c>
      <c r="AN134" s="227" t="n">
        <v>0</v>
      </c>
      <c r="AO134" s="461">
        <f>K134*AN134</f>
        <v/>
      </c>
      <c r="AP134" s="461" t="n"/>
      <c r="AQ134" s="461">
        <f>AO134-AP134</f>
        <v/>
      </c>
      <c r="AR134" s="573" t="n"/>
      <c r="AS134" s="461" t="n"/>
      <c r="AT134" s="461" t="n"/>
      <c r="AU134" s="461">
        <f>AS134-AT134</f>
        <v/>
      </c>
      <c r="AV134" s="551" t="n"/>
      <c r="AW134" s="461">
        <f>K134*AV134</f>
        <v/>
      </c>
      <c r="AX134" s="293" t="n"/>
      <c r="AY134" s="461">
        <f>AW134-AX134</f>
        <v/>
      </c>
      <c r="AZ134" s="227" t="n">
        <v>0</v>
      </c>
      <c r="BA134" s="461">
        <f>K134*AZ134</f>
        <v/>
      </c>
      <c r="BB134" s="293" t="n"/>
      <c r="BC134" s="461">
        <f>BA134-BB134</f>
        <v/>
      </c>
      <c r="BD134" s="247" t="n"/>
      <c r="BE134" s="461">
        <f>K134*BD134</f>
        <v/>
      </c>
      <c r="BF134" s="247" t="n"/>
      <c r="BG134" s="461">
        <f>BE134-BF134</f>
        <v/>
      </c>
      <c r="BH134" s="247" t="n"/>
      <c r="BI134" s="461">
        <f>K134*BH134</f>
        <v/>
      </c>
      <c r="BJ134" s="247" t="n"/>
      <c r="BK134" s="461">
        <f>BI134-BJ134</f>
        <v/>
      </c>
      <c r="BL134" s="279" t="inlineStr">
        <is>
          <t>按实</t>
        </is>
      </c>
      <c r="BM134" s="220">
        <f>BN134</f>
        <v/>
      </c>
      <c r="BN134" s="256" t="n"/>
      <c r="BO134" s="220">
        <f>BM134-BN134</f>
        <v/>
      </c>
      <c r="BP134" s="575">
        <f>N134+Q134+U134+Y134+AC134+AG134+AK134+AO134+AS134+AW134+BA134+BE134+BI134+BM134</f>
        <v/>
      </c>
      <c r="BQ134" s="220">
        <f>N134+R134+V134+Z134+AD134+AH134+AL134+AP134+AT134+AX134+BB134+BF134+BJ134+BN134</f>
        <v/>
      </c>
      <c r="BR134" s="575">
        <f>BP134-BQ134</f>
        <v/>
      </c>
      <c r="BS134" s="254" t="inlineStr">
        <is>
          <t>/</t>
        </is>
      </c>
      <c r="BT134" s="229" t="inlineStr">
        <is>
          <t>/</t>
        </is>
      </c>
      <c r="BU134" s="297" t="inlineStr">
        <is>
          <t>1、卫生费：每月固定600元，寒暑假根据实际运营天数结算</t>
        </is>
      </c>
      <c r="BV134" s="230" t="inlineStr">
        <is>
          <t xml:space="preserve">1、签订期间：2026.2.25-2026.7.31；
2、指标按照全年换算；
</t>
        </is>
      </c>
      <c r="BW134" s="534" t="n"/>
    </row>
    <row r="135" ht="35.25" customFormat="1" customHeight="1" s="209">
      <c r="A135" s="219" t="n">
        <v>165</v>
      </c>
      <c r="B135" s="220" t="inlineStr">
        <is>
          <t>KQCY0165</t>
        </is>
      </c>
      <c r="C135" s="221" t="inlineStr">
        <is>
          <t>餐饮三分部</t>
        </is>
      </c>
      <c r="D135" s="221" t="inlineStr">
        <is>
          <t>CF699</t>
        </is>
      </c>
      <c r="E135" s="221" t="inlineStr">
        <is>
          <t>徐医大第一食堂</t>
        </is>
      </c>
      <c r="F135" s="219" t="inlineStr">
        <is>
          <t>分组作业</t>
        </is>
      </c>
      <c r="G135" s="222" t="inlineStr">
        <is>
          <t>徐敏捷</t>
        </is>
      </c>
      <c r="H135" s="503" t="inlineStr">
        <is>
          <t>/</t>
        </is>
      </c>
      <c r="I135" s="237" t="inlineStr">
        <is>
          <t>马老头江南小吃（炒饭）</t>
        </is>
      </c>
      <c r="J135" s="503" t="inlineStr">
        <is>
          <t>曾莉</t>
        </is>
      </c>
      <c r="K135" s="572">
        <f>LET(k,D135&amp;"|"&amp;E135&amp;"|"&amp;H135&amp;"|"&amp;I135&amp;"|"&amp;J135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35" s="546" t="n"/>
      <c r="M135" s="224" t="n"/>
      <c r="N135" s="290" t="n"/>
      <c r="O135" s="548" t="n">
        <v>660000</v>
      </c>
      <c r="P135" s="276" t="n">
        <v>0.19</v>
      </c>
      <c r="Q135" s="566">
        <f>K135*P135</f>
        <v/>
      </c>
      <c r="R135" s="293" t="n"/>
      <c r="S135" s="566">
        <f>Q135-R135</f>
        <v/>
      </c>
      <c r="T135" s="227" t="n">
        <v>0</v>
      </c>
      <c r="U135" s="461">
        <f>K135*T135</f>
        <v/>
      </c>
      <c r="V135" s="461" t="n"/>
      <c r="W135" s="461">
        <f>U135-V135</f>
        <v/>
      </c>
      <c r="X135" s="551" t="n"/>
      <c r="Y135" s="461">
        <f>K135*X135</f>
        <v/>
      </c>
      <c r="Z135" s="227" t="n"/>
      <c r="AA135" s="461">
        <f>Y135-Z135</f>
        <v/>
      </c>
      <c r="AB135" s="227" t="n">
        <v>0</v>
      </c>
      <c r="AC135" s="461">
        <f>K135*AB135</f>
        <v/>
      </c>
      <c r="AD135" s="227" t="n"/>
      <c r="AE135" s="461">
        <f>AC135-AD135</f>
        <v/>
      </c>
      <c r="AF135" s="227" t="n">
        <v>0</v>
      </c>
      <c r="AG135" s="461">
        <f>K135*AF135</f>
        <v/>
      </c>
      <c r="AH135" s="227" t="n"/>
      <c r="AI135" s="461">
        <f>AG135-AH135</f>
        <v/>
      </c>
      <c r="AJ135" s="227" t="n">
        <v>0</v>
      </c>
      <c r="AK135" s="461">
        <f>K135*AJ135</f>
        <v/>
      </c>
      <c r="AL135" s="227" t="n"/>
      <c r="AM135" s="461">
        <f>AK135-AL135</f>
        <v/>
      </c>
      <c r="AN135" s="227" t="n">
        <v>0</v>
      </c>
      <c r="AO135" s="461">
        <f>K135*AN135</f>
        <v/>
      </c>
      <c r="AP135" s="461" t="n"/>
      <c r="AQ135" s="461">
        <f>AO135-AP135</f>
        <v/>
      </c>
      <c r="AR135" s="573" t="n"/>
      <c r="AS135" s="461" t="n"/>
      <c r="AT135" s="461" t="n"/>
      <c r="AU135" s="461">
        <f>AS135-AT135</f>
        <v/>
      </c>
      <c r="AV135" s="551" t="n"/>
      <c r="AW135" s="461">
        <f>K135*AV135</f>
        <v/>
      </c>
      <c r="AX135" s="293" t="n"/>
      <c r="AY135" s="461">
        <f>AW135-AX135</f>
        <v/>
      </c>
      <c r="AZ135" s="227" t="n">
        <v>0</v>
      </c>
      <c r="BA135" s="461">
        <f>K135*AZ135</f>
        <v/>
      </c>
      <c r="BB135" s="293" t="n"/>
      <c r="BC135" s="461">
        <f>BA135-BB135</f>
        <v/>
      </c>
      <c r="BD135" s="247" t="n"/>
      <c r="BE135" s="461">
        <f>K135*BD135</f>
        <v/>
      </c>
      <c r="BF135" s="247" t="n"/>
      <c r="BG135" s="461">
        <f>BE135-BF135</f>
        <v/>
      </c>
      <c r="BH135" s="247" t="n"/>
      <c r="BI135" s="461">
        <f>K135*BH135</f>
        <v/>
      </c>
      <c r="BJ135" s="247" t="n"/>
      <c r="BK135" s="461">
        <f>BI135-BJ135</f>
        <v/>
      </c>
      <c r="BL135" s="279" t="inlineStr">
        <is>
          <t>按实</t>
        </is>
      </c>
      <c r="BM135" s="220">
        <f>BN135</f>
        <v/>
      </c>
      <c r="BN135" s="256" t="n"/>
      <c r="BO135" s="220">
        <f>BM135-BN135</f>
        <v/>
      </c>
      <c r="BP135" s="575">
        <f>N135+Q135+U135+Y135+AC135+AG135+AK135+AO135+AS135+AW135+BA135+BE135+BI135+BM135</f>
        <v/>
      </c>
      <c r="BQ135" s="220">
        <f>N135+R135+V135+Z135+AD135+AH135+AL135+AP135+AT135+AX135+BB135+BF135+BJ135+BN135</f>
        <v/>
      </c>
      <c r="BR135" s="575">
        <f>BP135-BQ135</f>
        <v/>
      </c>
      <c r="BS135" s="254" t="inlineStr">
        <is>
          <t>/</t>
        </is>
      </c>
      <c r="BT135" s="229" t="inlineStr">
        <is>
          <t>/</t>
        </is>
      </c>
      <c r="BU135" s="297" t="inlineStr">
        <is>
          <t>1、卫生费：每月固定800元，寒暑假根据实际运营天数结算</t>
        </is>
      </c>
      <c r="BV135" s="230" t="inlineStr">
        <is>
          <t xml:space="preserve">1、签订期间：2026.2.25-2026.7.31；
2、指标按照全年换算；
</t>
        </is>
      </c>
      <c r="BW135" s="534" t="n"/>
    </row>
    <row r="136" ht="28.5" customFormat="1" customHeight="1" s="209">
      <c r="A136" s="219" t="n">
        <v>166</v>
      </c>
      <c r="B136" s="220" t="inlineStr">
        <is>
          <t>KQCY0166</t>
        </is>
      </c>
      <c r="C136" s="221" t="inlineStr">
        <is>
          <t>餐饮三分部</t>
        </is>
      </c>
      <c r="D136" s="221" t="inlineStr">
        <is>
          <t>CF699</t>
        </is>
      </c>
      <c r="E136" s="221" t="inlineStr">
        <is>
          <t>徐医大第一食堂</t>
        </is>
      </c>
      <c r="F136" s="219" t="inlineStr">
        <is>
          <t>分组作业</t>
        </is>
      </c>
      <c r="G136" s="243" t="inlineStr">
        <is>
          <t>徐敏捷</t>
        </is>
      </c>
      <c r="H136" s="503" t="inlineStr">
        <is>
          <t>/</t>
        </is>
      </c>
      <c r="I136" s="237" t="inlineStr">
        <is>
          <t>鸡架拌面</t>
        </is>
      </c>
      <c r="J136" s="503" t="inlineStr">
        <is>
          <t>冀振杰</t>
        </is>
      </c>
      <c r="K136" s="572">
        <f>LET(k,D136&amp;"|"&amp;E136&amp;"|"&amp;H136&amp;"|"&amp;I136&amp;"|"&amp;J136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36" s="546" t="n"/>
      <c r="M136" s="224" t="n"/>
      <c r="N136" s="290" t="n"/>
      <c r="O136" s="548" t="n">
        <v>660000</v>
      </c>
      <c r="P136" s="276" t="n">
        <v>0.17</v>
      </c>
      <c r="Q136" s="566">
        <f>K136*P136</f>
        <v/>
      </c>
      <c r="R136" s="576" t="n"/>
      <c r="S136" s="566">
        <f>Q136-R136</f>
        <v/>
      </c>
      <c r="T136" s="227" t="n">
        <v>0</v>
      </c>
      <c r="U136" s="461" t="n">
        <v>0</v>
      </c>
      <c r="V136" s="461" t="n"/>
      <c r="W136" s="461" t="n">
        <v>0</v>
      </c>
      <c r="X136" s="551" t="n"/>
      <c r="Y136" s="461" t="n">
        <v>0</v>
      </c>
      <c r="Z136" s="227" t="n"/>
      <c r="AA136" s="461" t="n">
        <v>0</v>
      </c>
      <c r="AB136" s="227" t="n">
        <v>0</v>
      </c>
      <c r="AC136" s="461" t="n">
        <v>0</v>
      </c>
      <c r="AD136" s="227" t="n"/>
      <c r="AE136" s="461" t="n">
        <v>0</v>
      </c>
      <c r="AF136" s="227" t="n">
        <v>0</v>
      </c>
      <c r="AG136" s="461" t="n">
        <v>0</v>
      </c>
      <c r="AH136" s="227" t="n"/>
      <c r="AI136" s="461" t="n">
        <v>0</v>
      </c>
      <c r="AJ136" s="227" t="n">
        <v>0</v>
      </c>
      <c r="AK136" s="461" t="n">
        <v>0</v>
      </c>
      <c r="AL136" s="227" t="n"/>
      <c r="AM136" s="461" t="n">
        <v>0</v>
      </c>
      <c r="AN136" s="227" t="n">
        <v>0</v>
      </c>
      <c r="AO136" s="461" t="n">
        <v>0</v>
      </c>
      <c r="AP136" s="461" t="n"/>
      <c r="AQ136" s="461" t="n">
        <v>0</v>
      </c>
      <c r="AR136" s="573" t="n"/>
      <c r="AS136" s="461" t="n"/>
      <c r="AT136" s="461" t="n"/>
      <c r="AU136" s="461">
        <f>AS136-AT136</f>
        <v/>
      </c>
      <c r="AV136" s="551" t="n"/>
      <c r="AW136" s="461" t="n">
        <v>0</v>
      </c>
      <c r="AX136" s="293" t="n"/>
      <c r="AY136" s="461" t="n">
        <v>0</v>
      </c>
      <c r="AZ136" s="227" t="n">
        <v>0</v>
      </c>
      <c r="BA136" s="461" t="n">
        <v>0</v>
      </c>
      <c r="BB136" s="293" t="n"/>
      <c r="BC136" s="461" t="n">
        <v>0</v>
      </c>
      <c r="BD136" s="247" t="n"/>
      <c r="BE136" s="461" t="n">
        <v>0</v>
      </c>
      <c r="BF136" s="247" t="n"/>
      <c r="BG136" s="461" t="n">
        <v>0</v>
      </c>
      <c r="BH136" s="247" t="n"/>
      <c r="BI136" s="461" t="n">
        <v>0</v>
      </c>
      <c r="BJ136" s="247" t="n"/>
      <c r="BK136" s="461" t="n">
        <v>0</v>
      </c>
      <c r="BL136" s="279" t="inlineStr">
        <is>
          <t>按实</t>
        </is>
      </c>
      <c r="BM136" s="220" t="n">
        <v>0</v>
      </c>
      <c r="BN136" s="256" t="n"/>
      <c r="BO136" s="220" t="n">
        <v>0</v>
      </c>
      <c r="BP136" s="575">
        <f>N136+Q136+U136+Y136+AC136+AG136+AK136+AO136+AS136+AW136+BA136+BE136+BI136+BM136</f>
        <v/>
      </c>
      <c r="BQ136" s="220">
        <f>N136+R136+V136+Z136+AD136+AH136+AL136+AP136+AT136+AX136+BB136+BF136+BJ136+BN136</f>
        <v/>
      </c>
      <c r="BR136" s="575">
        <f>BP136-BQ136</f>
        <v/>
      </c>
      <c r="BS136" s="254" t="inlineStr">
        <is>
          <t>/</t>
        </is>
      </c>
      <c r="BT136" s="229" t="inlineStr">
        <is>
          <t>/</t>
        </is>
      </c>
      <c r="BU136" s="297" t="inlineStr">
        <is>
          <t>1、卫生费：每月固定1500元，寒暑假根据实际运营天数结算</t>
        </is>
      </c>
      <c r="BV136" s="230" t="inlineStr">
        <is>
          <t xml:space="preserve">1、签订期间：2026.2.25-2026.7.31；
2、指标按照全年换算；
</t>
        </is>
      </c>
      <c r="BW136" s="534" t="n"/>
    </row>
    <row r="137" ht="27.75" customFormat="1" customHeight="1" s="209">
      <c r="A137" s="219" t="n">
        <v>167</v>
      </c>
      <c r="B137" s="220" t="inlineStr">
        <is>
          <t>KQCY0167</t>
        </is>
      </c>
      <c r="C137" s="221" t="inlineStr">
        <is>
          <t>餐饮三分部</t>
        </is>
      </c>
      <c r="D137" s="221" t="inlineStr">
        <is>
          <t>CF699</t>
        </is>
      </c>
      <c r="E137" s="221" t="inlineStr">
        <is>
          <t>徐医大第一食堂</t>
        </is>
      </c>
      <c r="F137" s="219" t="inlineStr">
        <is>
          <t>分组作业</t>
        </is>
      </c>
      <c r="G137" s="243" t="inlineStr">
        <is>
          <t>徐敏捷</t>
        </is>
      </c>
      <c r="H137" s="503" t="inlineStr">
        <is>
          <t>/</t>
        </is>
      </c>
      <c r="I137" s="237" t="inlineStr">
        <is>
          <t>自选称菜</t>
        </is>
      </c>
      <c r="J137" s="503" t="inlineStr">
        <is>
          <t>韦志得</t>
        </is>
      </c>
      <c r="K137" s="572">
        <f>LET(k,D137&amp;"|"&amp;E137&amp;"|"&amp;H137&amp;"|"&amp;I137&amp;"|"&amp;J137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37" s="546" t="n"/>
      <c r="M137" s="224" t="n"/>
      <c r="N137" s="290" t="n"/>
      <c r="O137" s="548" t="n">
        <v>2004000</v>
      </c>
      <c r="P137" s="276" t="n">
        <v>0.15</v>
      </c>
      <c r="Q137" s="566">
        <f>K137*P137</f>
        <v/>
      </c>
      <c r="R137" s="576" t="n"/>
      <c r="S137" s="566">
        <f>Q137-R137</f>
        <v/>
      </c>
      <c r="T137" s="227" t="n">
        <v>0</v>
      </c>
      <c r="U137" s="461" t="n">
        <v>0</v>
      </c>
      <c r="V137" s="461" t="n"/>
      <c r="W137" s="461" t="n">
        <v>0</v>
      </c>
      <c r="X137" s="551" t="n"/>
      <c r="Y137" s="461" t="n">
        <v>0</v>
      </c>
      <c r="Z137" s="227" t="n"/>
      <c r="AA137" s="461" t="n">
        <v>0</v>
      </c>
      <c r="AB137" s="227" t="n">
        <v>0</v>
      </c>
      <c r="AC137" s="461" t="n">
        <v>0</v>
      </c>
      <c r="AD137" s="227" t="n"/>
      <c r="AE137" s="461" t="n">
        <v>0</v>
      </c>
      <c r="AF137" s="227" t="n">
        <v>0</v>
      </c>
      <c r="AG137" s="461" t="n">
        <v>0</v>
      </c>
      <c r="AH137" s="227" t="n"/>
      <c r="AI137" s="461" t="n">
        <v>0</v>
      </c>
      <c r="AJ137" s="227" t="n">
        <v>0</v>
      </c>
      <c r="AK137" s="461" t="n">
        <v>0</v>
      </c>
      <c r="AL137" s="227" t="n"/>
      <c r="AM137" s="461" t="n">
        <v>0</v>
      </c>
      <c r="AN137" s="227" t="n">
        <v>0</v>
      </c>
      <c r="AO137" s="461" t="n">
        <v>0</v>
      </c>
      <c r="AP137" s="461" t="n"/>
      <c r="AQ137" s="461" t="n">
        <v>0</v>
      </c>
      <c r="AR137" s="573" t="n"/>
      <c r="AS137" s="461" t="n"/>
      <c r="AT137" s="461" t="n"/>
      <c r="AU137" s="461">
        <f>AS137-AT137</f>
        <v/>
      </c>
      <c r="AV137" s="551" t="n"/>
      <c r="AW137" s="461" t="n">
        <v>0</v>
      </c>
      <c r="AX137" s="293" t="n"/>
      <c r="AY137" s="461" t="n">
        <v>0</v>
      </c>
      <c r="AZ137" s="227" t="n">
        <v>0</v>
      </c>
      <c r="BA137" s="461" t="n">
        <v>0</v>
      </c>
      <c r="BB137" s="293" t="n"/>
      <c r="BC137" s="461" t="n">
        <v>0</v>
      </c>
      <c r="BD137" s="247" t="n"/>
      <c r="BE137" s="461" t="n">
        <v>0</v>
      </c>
      <c r="BF137" s="247" t="n"/>
      <c r="BG137" s="461" t="n">
        <v>0</v>
      </c>
      <c r="BH137" s="247" t="n"/>
      <c r="BI137" s="461" t="n">
        <v>0</v>
      </c>
      <c r="BJ137" s="247" t="n"/>
      <c r="BK137" s="461" t="n">
        <v>0</v>
      </c>
      <c r="BL137" s="279" t="inlineStr">
        <is>
          <t>按实</t>
        </is>
      </c>
      <c r="BM137" s="220" t="n">
        <v>0</v>
      </c>
      <c r="BN137" s="256" t="n"/>
      <c r="BO137" s="220" t="n">
        <v>0</v>
      </c>
      <c r="BP137" s="575">
        <f>N137+Q137+U137+Y137+AC137+AG137+AK137+AO137+AS137+AW137+BA137+BE137+BI137+BM137</f>
        <v/>
      </c>
      <c r="BQ137" s="220">
        <f>N137+R137+V137+Z137+AD137+AH137+AL137+AP137+AT137+AX137+BB137+BF137+BJ137+BN137</f>
        <v/>
      </c>
      <c r="BR137" s="575">
        <f>BP137-BQ137</f>
        <v/>
      </c>
      <c r="BS137" s="254" t="inlineStr">
        <is>
          <t>/</t>
        </is>
      </c>
      <c r="BT137" s="229" t="inlineStr">
        <is>
          <t>/</t>
        </is>
      </c>
      <c r="BU137" s="297" t="inlineStr">
        <is>
          <t>1、卫生费：每月固定2000元，寒暑假根据实际运营天数结算</t>
        </is>
      </c>
      <c r="BV137" s="230" t="inlineStr">
        <is>
          <t xml:space="preserve">1、签订期间：2026.2.25-2026.7.31；
2、指标按照全年换算；
</t>
        </is>
      </c>
      <c r="BW137" s="534" t="n"/>
    </row>
    <row r="138" ht="36" customFormat="1" customHeight="1" s="209">
      <c r="A138" s="219" t="n">
        <v>168</v>
      </c>
      <c r="B138" s="220" t="inlineStr">
        <is>
          <t>KQCY0168</t>
        </is>
      </c>
      <c r="C138" s="221" t="inlineStr">
        <is>
          <t>餐饮三分部</t>
        </is>
      </c>
      <c r="D138" s="221" t="inlineStr">
        <is>
          <t>CF699</t>
        </is>
      </c>
      <c r="E138" s="221" t="inlineStr">
        <is>
          <t>徐医大第一食堂</t>
        </is>
      </c>
      <c r="F138" s="222" t="inlineStr">
        <is>
          <t>分组作业</t>
        </is>
      </c>
      <c r="G138" s="326" t="inlineStr">
        <is>
          <t>徐敏捷</t>
        </is>
      </c>
      <c r="H138" s="503" t="inlineStr">
        <is>
          <t>/</t>
        </is>
      </c>
      <c r="I138" s="237" t="inlineStr">
        <is>
          <t>药膳卤肉套餐饭</t>
        </is>
      </c>
      <c r="J138" s="219" t="inlineStr">
        <is>
          <t>崔小平</t>
        </is>
      </c>
      <c r="K138" s="577">
        <f>LET(k,D138&amp;"|"&amp;E138&amp;"|"&amp;H138&amp;"|"&amp;I138&amp;"|"&amp;J138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38" s="301" t="n"/>
      <c r="M138" s="301" t="n"/>
      <c r="N138" s="301" t="n"/>
      <c r="O138" s="548" t="n">
        <v>708000</v>
      </c>
      <c r="P138" s="276" t="n">
        <v>0.18</v>
      </c>
      <c r="Q138" s="566" t="n">
        <v>179.55</v>
      </c>
      <c r="R138" s="293" t="n"/>
      <c r="S138" s="566" t="n">
        <v>179.55</v>
      </c>
      <c r="T138" s="227" t="n">
        <v>0</v>
      </c>
      <c r="U138" s="461" t="n">
        <v>0</v>
      </c>
      <c r="V138" s="461" t="n"/>
      <c r="W138" s="461" t="n">
        <v>0</v>
      </c>
      <c r="X138" s="551" t="n"/>
      <c r="Y138" s="461" t="n">
        <v>0</v>
      </c>
      <c r="Z138" s="227" t="n"/>
      <c r="AA138" s="461" t="n">
        <v>0</v>
      </c>
      <c r="AB138" s="227" t="n">
        <v>0</v>
      </c>
      <c r="AC138" s="461" t="n">
        <v>0</v>
      </c>
      <c r="AD138" s="227" t="n"/>
      <c r="AE138" s="461" t="n">
        <v>0</v>
      </c>
      <c r="AF138" s="227" t="n">
        <v>0</v>
      </c>
      <c r="AG138" s="461" t="n">
        <v>0</v>
      </c>
      <c r="AH138" s="227" t="n"/>
      <c r="AI138" s="461" t="n">
        <v>0</v>
      </c>
      <c r="AJ138" s="227" t="n">
        <v>0</v>
      </c>
      <c r="AK138" s="461" t="n">
        <v>0</v>
      </c>
      <c r="AL138" s="227" t="n"/>
      <c r="AM138" s="461" t="n">
        <v>0</v>
      </c>
      <c r="AN138" s="227" t="n">
        <v>0</v>
      </c>
      <c r="AO138" s="461" t="n">
        <v>0</v>
      </c>
      <c r="AP138" s="461" t="n"/>
      <c r="AQ138" s="461" t="n">
        <v>0</v>
      </c>
      <c r="AR138" s="573" t="n"/>
      <c r="AS138" s="461" t="n"/>
      <c r="AT138" s="461" t="n"/>
      <c r="AU138" s="461" t="n">
        <v>0</v>
      </c>
      <c r="AV138" s="551" t="n"/>
      <c r="AW138" s="461" t="n">
        <v>0</v>
      </c>
      <c r="AX138" s="293" t="n"/>
      <c r="AY138" s="461" t="n">
        <v>0</v>
      </c>
      <c r="AZ138" s="227" t="n">
        <v>0</v>
      </c>
      <c r="BA138" s="461" t="n">
        <v>0</v>
      </c>
      <c r="BB138" s="263" t="n"/>
      <c r="BC138" s="461" t="n">
        <v>0</v>
      </c>
      <c r="BD138" s="548" t="n"/>
      <c r="BE138" s="227" t="n">
        <v>0</v>
      </c>
      <c r="BF138" s="566" t="n"/>
      <c r="BG138" s="301" t="n">
        <v>0</v>
      </c>
      <c r="BH138" s="301" t="n"/>
      <c r="BI138" s="301" t="n">
        <v>0</v>
      </c>
      <c r="BJ138" s="301" t="n"/>
      <c r="BK138" s="301" t="n">
        <v>0</v>
      </c>
      <c r="BL138" s="301" t="inlineStr">
        <is>
          <t>按实</t>
        </is>
      </c>
      <c r="BM138" s="220" t="n">
        <v>0</v>
      </c>
      <c r="BN138" s="302" t="n"/>
      <c r="BO138" s="220" t="n">
        <v>0</v>
      </c>
      <c r="BP138" s="575" t="n">
        <v>179.55</v>
      </c>
      <c r="BQ138" s="220" t="n">
        <v>0</v>
      </c>
      <c r="BR138" s="575" t="n">
        <v>179.55</v>
      </c>
      <c r="BS138" s="575" t="inlineStr">
        <is>
          <t>/</t>
        </is>
      </c>
      <c r="BT138" s="303" t="inlineStr">
        <is>
          <t>/</t>
        </is>
      </c>
      <c r="BU138" s="304" t="n"/>
      <c r="BV138" s="305" t="n"/>
      <c r="BW138" s="303" t="inlineStr">
        <is>
          <t>本月新增</t>
        </is>
      </c>
      <c r="BX138" s="210" t="n"/>
      <c r="BY138" s="210" t="n"/>
      <c r="BZ138" s="210" t="n"/>
      <c r="CA138" s="210" t="n"/>
      <c r="CB138" s="210" t="n"/>
      <c r="CC138" s="210" t="n"/>
      <c r="CD138" s="210" t="n"/>
    </row>
    <row r="139" ht="36" customFormat="1" customHeight="1" s="209">
      <c r="A139" s="219" t="n">
        <v>169</v>
      </c>
      <c r="B139" s="220" t="inlineStr">
        <is>
          <t>KQCY0169</t>
        </is>
      </c>
      <c r="C139" s="221" t="inlineStr">
        <is>
          <t>餐饮三分部</t>
        </is>
      </c>
      <c r="D139" s="221" t="inlineStr">
        <is>
          <t>CF699</t>
        </is>
      </c>
      <c r="E139" s="221" t="inlineStr">
        <is>
          <t>徐医大第一食堂</t>
        </is>
      </c>
      <c r="F139" s="219" t="inlineStr">
        <is>
          <t>分组作业</t>
        </is>
      </c>
      <c r="G139" s="222" t="inlineStr">
        <is>
          <t>徐敏捷</t>
        </is>
      </c>
      <c r="H139" s="503" t="inlineStr">
        <is>
          <t>/</t>
        </is>
      </c>
      <c r="I139" s="237" t="inlineStr">
        <is>
          <t>千里香馄饨</t>
        </is>
      </c>
      <c r="J139" s="503" t="inlineStr">
        <is>
          <t>王才早</t>
        </is>
      </c>
      <c r="K139" s="572">
        <f>LET(k,D139&amp;"|"&amp;E139&amp;"|"&amp;H139&amp;"|"&amp;I139&amp;"|"&amp;J139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39" s="546" t="n"/>
      <c r="M139" s="224" t="n"/>
      <c r="N139" s="290" t="n"/>
      <c r="O139" s="548" t="n">
        <v>1032000</v>
      </c>
      <c r="P139" s="276" t="n">
        <v>0.19</v>
      </c>
      <c r="Q139" s="566">
        <f>K139*P139</f>
        <v/>
      </c>
      <c r="R139" s="293" t="n"/>
      <c r="S139" s="566">
        <f>Q139-R139</f>
        <v/>
      </c>
      <c r="T139" s="227" t="n">
        <v>0</v>
      </c>
      <c r="U139" s="461">
        <f>K139*T139</f>
        <v/>
      </c>
      <c r="V139" s="461" t="n"/>
      <c r="W139" s="461">
        <f>U139-V139</f>
        <v/>
      </c>
      <c r="X139" s="551" t="n"/>
      <c r="Y139" s="461">
        <f>K139*X139</f>
        <v/>
      </c>
      <c r="Z139" s="227" t="n"/>
      <c r="AA139" s="461">
        <f>Y139-Z139</f>
        <v/>
      </c>
      <c r="AB139" s="227" t="n">
        <v>0</v>
      </c>
      <c r="AC139" s="461">
        <f>K139*AB139</f>
        <v/>
      </c>
      <c r="AD139" s="227" t="n"/>
      <c r="AE139" s="461">
        <f>AC139-AD139</f>
        <v/>
      </c>
      <c r="AF139" s="227" t="n">
        <v>0</v>
      </c>
      <c r="AG139" s="461">
        <f>K139*AF139</f>
        <v/>
      </c>
      <c r="AH139" s="227" t="n"/>
      <c r="AI139" s="461">
        <f>AG139-AH139</f>
        <v/>
      </c>
      <c r="AJ139" s="227" t="n">
        <v>0</v>
      </c>
      <c r="AK139" s="461">
        <f>K139*AJ139</f>
        <v/>
      </c>
      <c r="AL139" s="227" t="n"/>
      <c r="AM139" s="461">
        <f>AK139-AL139</f>
        <v/>
      </c>
      <c r="AN139" s="227" t="n">
        <v>0</v>
      </c>
      <c r="AO139" s="461">
        <f>K139*AN139</f>
        <v/>
      </c>
      <c r="AP139" s="461" t="n"/>
      <c r="AQ139" s="461">
        <f>AO139-AP139</f>
        <v/>
      </c>
      <c r="AR139" s="573" t="n"/>
      <c r="AS139" s="461" t="n"/>
      <c r="AT139" s="461" t="n"/>
      <c r="AU139" s="461">
        <f>AS139-AT139</f>
        <v/>
      </c>
      <c r="AV139" s="551" t="n"/>
      <c r="AW139" s="461">
        <f>K139*AV139</f>
        <v/>
      </c>
      <c r="AX139" s="293" t="n"/>
      <c r="AY139" s="461">
        <f>AW139-AX139</f>
        <v/>
      </c>
      <c r="AZ139" s="227" t="n">
        <v>0</v>
      </c>
      <c r="BA139" s="461">
        <f>K139*AZ139</f>
        <v/>
      </c>
      <c r="BB139" s="293" t="n"/>
      <c r="BC139" s="461">
        <f>BA139-BB139</f>
        <v/>
      </c>
      <c r="BD139" s="247" t="n"/>
      <c r="BE139" s="461">
        <f>K139*BD139</f>
        <v/>
      </c>
      <c r="BF139" s="247" t="n"/>
      <c r="BG139" s="461">
        <f>BE139-BF139</f>
        <v/>
      </c>
      <c r="BH139" s="247" t="n"/>
      <c r="BI139" s="461">
        <f>K139*BH139</f>
        <v/>
      </c>
      <c r="BJ139" s="247" t="n"/>
      <c r="BK139" s="461">
        <f>BI139-BJ139</f>
        <v/>
      </c>
      <c r="BL139" s="279" t="inlineStr">
        <is>
          <t>按实</t>
        </is>
      </c>
      <c r="BM139" s="220">
        <f>BN139</f>
        <v/>
      </c>
      <c r="BN139" s="256" t="n"/>
      <c r="BO139" s="220">
        <f>BM139-BN139</f>
        <v/>
      </c>
      <c r="BP139" s="575">
        <f>N139+Q139+U139+Y139+AC139+AG139+AK139+AO139+AS139+AW139+BA139+BE139+BI139+BM139</f>
        <v/>
      </c>
      <c r="BQ139" s="220">
        <f>N139+R139+V139+Z139+AD139+AH139+AL139+AP139+AT139+AX139+BB139+BF139+BJ139+BN139</f>
        <v/>
      </c>
      <c r="BR139" s="575">
        <f>BP139-BQ139</f>
        <v/>
      </c>
      <c r="BS139" s="254" t="inlineStr">
        <is>
          <t>/</t>
        </is>
      </c>
      <c r="BT139" s="229" t="inlineStr">
        <is>
          <t>/</t>
        </is>
      </c>
      <c r="BU139" s="297" t="inlineStr">
        <is>
          <t>1、卫生费：每月固定1500元，寒暑假根据实际运营天数结算</t>
        </is>
      </c>
      <c r="BV139" s="230" t="inlineStr">
        <is>
          <t xml:space="preserve">1、签订期间：2026.2.25-2026.7.31；
2、指标按照全年换算；
</t>
        </is>
      </c>
      <c r="BW139" s="534" t="n"/>
    </row>
    <row r="140" ht="36" customFormat="1" customHeight="1" s="209">
      <c r="A140" s="219" t="n">
        <v>170</v>
      </c>
      <c r="B140" s="220" t="inlineStr">
        <is>
          <t>KQCY0170</t>
        </is>
      </c>
      <c r="C140" s="221" t="inlineStr">
        <is>
          <t>餐饮三分部</t>
        </is>
      </c>
      <c r="D140" s="221" t="inlineStr">
        <is>
          <t>CF699</t>
        </is>
      </c>
      <c r="E140" s="221" t="inlineStr">
        <is>
          <t>徐医大第一食堂</t>
        </is>
      </c>
      <c r="F140" s="219" t="inlineStr">
        <is>
          <t>分组作业</t>
        </is>
      </c>
      <c r="G140" s="222" t="inlineStr">
        <is>
          <t>徐敏捷</t>
        </is>
      </c>
      <c r="H140" s="503" t="inlineStr">
        <is>
          <t>/</t>
        </is>
      </c>
      <c r="I140" s="237" t="inlineStr">
        <is>
          <t>农家小炒盖浇饭</t>
        </is>
      </c>
      <c r="J140" s="503" t="inlineStr">
        <is>
          <t>崔小平</t>
        </is>
      </c>
      <c r="K140" s="572">
        <f>LET(k,D140&amp;"|"&amp;E140&amp;"|"&amp;H140&amp;"|"&amp;I140&amp;"|"&amp;J140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40" s="546" t="n"/>
      <c r="M140" s="224" t="n"/>
      <c r="N140" s="290" t="n"/>
      <c r="O140" s="548" t="n">
        <v>1128000</v>
      </c>
      <c r="P140" s="276" t="n">
        <v>0.18</v>
      </c>
      <c r="Q140" s="566">
        <f>K140*P140</f>
        <v/>
      </c>
      <c r="R140" s="293" t="n"/>
      <c r="S140" s="566">
        <f>Q140-R140</f>
        <v/>
      </c>
      <c r="T140" s="227" t="n">
        <v>0</v>
      </c>
      <c r="U140" s="461">
        <f>K140*T140</f>
        <v/>
      </c>
      <c r="V140" s="461" t="n"/>
      <c r="W140" s="461">
        <f>U140-V140</f>
        <v/>
      </c>
      <c r="X140" s="551" t="n"/>
      <c r="Y140" s="461">
        <f>K140*X140</f>
        <v/>
      </c>
      <c r="Z140" s="227" t="n"/>
      <c r="AA140" s="461">
        <f>Y140-Z140</f>
        <v/>
      </c>
      <c r="AB140" s="227" t="n">
        <v>0</v>
      </c>
      <c r="AC140" s="461">
        <f>K140*AB140</f>
        <v/>
      </c>
      <c r="AD140" s="227" t="n"/>
      <c r="AE140" s="461">
        <f>AC140-AD140</f>
        <v/>
      </c>
      <c r="AF140" s="227" t="n">
        <v>0</v>
      </c>
      <c r="AG140" s="461">
        <f>K140*AF140</f>
        <v/>
      </c>
      <c r="AH140" s="227" t="n"/>
      <c r="AI140" s="461">
        <f>AG140-AH140</f>
        <v/>
      </c>
      <c r="AJ140" s="227" t="n">
        <v>0</v>
      </c>
      <c r="AK140" s="461">
        <f>K140*AJ140</f>
        <v/>
      </c>
      <c r="AL140" s="227" t="n"/>
      <c r="AM140" s="461">
        <f>AK140-AL140</f>
        <v/>
      </c>
      <c r="AN140" s="227" t="n">
        <v>0</v>
      </c>
      <c r="AO140" s="461">
        <f>K140*AN140</f>
        <v/>
      </c>
      <c r="AP140" s="461" t="n"/>
      <c r="AQ140" s="461">
        <f>AO140-AP140</f>
        <v/>
      </c>
      <c r="AR140" s="573" t="n"/>
      <c r="AS140" s="461" t="n"/>
      <c r="AT140" s="461" t="n"/>
      <c r="AU140" s="461">
        <f>AS140-AT140</f>
        <v/>
      </c>
      <c r="AV140" s="551" t="n"/>
      <c r="AW140" s="461">
        <f>K140*AV140</f>
        <v/>
      </c>
      <c r="AX140" s="293" t="n"/>
      <c r="AY140" s="461">
        <f>AW140-AX140</f>
        <v/>
      </c>
      <c r="AZ140" s="227" t="n">
        <v>0</v>
      </c>
      <c r="BA140" s="461">
        <f>K140*AZ140</f>
        <v/>
      </c>
      <c r="BB140" s="293" t="n"/>
      <c r="BC140" s="461">
        <f>BA140-BB140</f>
        <v/>
      </c>
      <c r="BD140" s="247" t="n"/>
      <c r="BE140" s="461">
        <f>K140*BD140</f>
        <v/>
      </c>
      <c r="BF140" s="247" t="n"/>
      <c r="BG140" s="461">
        <f>BE140-BF140</f>
        <v/>
      </c>
      <c r="BH140" s="247" t="n"/>
      <c r="BI140" s="461">
        <f>K140*BH140</f>
        <v/>
      </c>
      <c r="BJ140" s="247" t="n"/>
      <c r="BK140" s="461">
        <f>BI140-BJ140</f>
        <v/>
      </c>
      <c r="BL140" s="279" t="inlineStr">
        <is>
          <t>按实</t>
        </is>
      </c>
      <c r="BM140" s="220">
        <f>BN140</f>
        <v/>
      </c>
      <c r="BN140" s="256" t="n"/>
      <c r="BO140" s="220">
        <f>BM140-BN140</f>
        <v/>
      </c>
      <c r="BP140" s="575">
        <f>N140+Q140+U140+Y140+AC140+AG140+AK140+AO140+AS140+AW140+BA140+BE140+BI140+BM140</f>
        <v/>
      </c>
      <c r="BQ140" s="220">
        <f>N140+R140+V140+Z140+AD140+AH140+AL140+AP140+AT140+AX140+BB140+BF140+BJ140+BN140</f>
        <v/>
      </c>
      <c r="BR140" s="575">
        <f>BP140-BQ140</f>
        <v/>
      </c>
      <c r="BS140" s="254" t="inlineStr">
        <is>
          <t>/</t>
        </is>
      </c>
      <c r="BT140" s="229" t="inlineStr">
        <is>
          <t>/</t>
        </is>
      </c>
      <c r="BU140" s="297" t="inlineStr">
        <is>
          <t>1、卫生费：每月固定1000元，寒暑假根据实际运营天数结算</t>
        </is>
      </c>
      <c r="BV140" s="230" t="inlineStr">
        <is>
          <t xml:space="preserve">1、签订期间：2026.2.25-2026.7.31；
2、指标按照全年换算；
</t>
        </is>
      </c>
      <c r="BW140" s="534" t="n"/>
    </row>
    <row r="141" ht="36" customFormat="1" customHeight="1" s="209">
      <c r="A141" s="219" t="n">
        <v>171</v>
      </c>
      <c r="B141" s="220" t="inlineStr">
        <is>
          <t>KQCY0171</t>
        </is>
      </c>
      <c r="C141" s="221" t="inlineStr">
        <is>
          <t>餐饮三分部</t>
        </is>
      </c>
      <c r="D141" s="221" t="inlineStr">
        <is>
          <t>CF699</t>
        </is>
      </c>
      <c r="E141" s="221" t="inlineStr">
        <is>
          <t>徐医大第一食堂</t>
        </is>
      </c>
      <c r="F141" s="219" t="inlineStr">
        <is>
          <t>分组作业</t>
        </is>
      </c>
      <c r="G141" s="222" t="inlineStr">
        <is>
          <t>徐敏捷</t>
        </is>
      </c>
      <c r="H141" s="503" t="inlineStr">
        <is>
          <t>/</t>
        </is>
      </c>
      <c r="I141" s="237" t="inlineStr">
        <is>
          <t>蜜雪冰城</t>
        </is>
      </c>
      <c r="J141" s="503" t="inlineStr">
        <is>
          <t>周雨</t>
        </is>
      </c>
      <c r="K141" s="572">
        <f>LET(k,D141&amp;"|"&amp;E141&amp;"|"&amp;H141&amp;"|"&amp;I141&amp;"|"&amp;J141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41" s="546" t="n"/>
      <c r="M141" s="224" t="n"/>
      <c r="N141" s="290" t="n"/>
      <c r="O141" s="548" t="n">
        <v>912000</v>
      </c>
      <c r="P141" s="276" t="n">
        <v>0.19</v>
      </c>
      <c r="Q141" s="566">
        <f>K141*P141</f>
        <v/>
      </c>
      <c r="R141" s="293" t="n"/>
      <c r="S141" s="566">
        <f>Q141-R141</f>
        <v/>
      </c>
      <c r="T141" s="227" t="n">
        <v>0</v>
      </c>
      <c r="U141" s="461">
        <f>K141*T141</f>
        <v/>
      </c>
      <c r="V141" s="461" t="n"/>
      <c r="W141" s="461">
        <f>U141-V141</f>
        <v/>
      </c>
      <c r="X141" s="551" t="n"/>
      <c r="Y141" s="461">
        <f>K141*X141</f>
        <v/>
      </c>
      <c r="Z141" s="227" t="n"/>
      <c r="AA141" s="461">
        <f>Y141-Z141</f>
        <v/>
      </c>
      <c r="AB141" s="227" t="n">
        <v>0</v>
      </c>
      <c r="AC141" s="461">
        <f>K141*AB141</f>
        <v/>
      </c>
      <c r="AD141" s="227" t="n"/>
      <c r="AE141" s="461">
        <f>AC141-AD141</f>
        <v/>
      </c>
      <c r="AF141" s="227" t="n">
        <v>0</v>
      </c>
      <c r="AG141" s="461">
        <f>K141*AF141</f>
        <v/>
      </c>
      <c r="AH141" s="227" t="n"/>
      <c r="AI141" s="461">
        <f>AG141-AH141</f>
        <v/>
      </c>
      <c r="AJ141" s="227" t="n">
        <v>0</v>
      </c>
      <c r="AK141" s="461">
        <f>K141*AJ141</f>
        <v/>
      </c>
      <c r="AL141" s="227" t="n"/>
      <c r="AM141" s="461">
        <f>AK141-AL141</f>
        <v/>
      </c>
      <c r="AN141" s="227" t="n">
        <v>0</v>
      </c>
      <c r="AO141" s="461">
        <f>K141*AN141</f>
        <v/>
      </c>
      <c r="AP141" s="461" t="n"/>
      <c r="AQ141" s="461">
        <f>AO141-AP141</f>
        <v/>
      </c>
      <c r="AR141" s="573" t="n"/>
      <c r="AS141" s="461" t="n"/>
      <c r="AT141" s="461" t="n"/>
      <c r="AU141" s="461">
        <f>AS141-AT141</f>
        <v/>
      </c>
      <c r="AV141" s="551" t="n"/>
      <c r="AW141" s="461">
        <f>K141*AV141</f>
        <v/>
      </c>
      <c r="AX141" s="293" t="n"/>
      <c r="AY141" s="461">
        <f>AW141-AX141</f>
        <v/>
      </c>
      <c r="AZ141" s="227" t="n">
        <v>0</v>
      </c>
      <c r="BA141" s="461">
        <f>K141*AZ141</f>
        <v/>
      </c>
      <c r="BB141" s="263" t="n"/>
      <c r="BC141" s="461">
        <f>BA141-BB141</f>
        <v/>
      </c>
      <c r="BD141" s="247" t="n"/>
      <c r="BE141" s="461">
        <f>K141*BD141</f>
        <v/>
      </c>
      <c r="BF141" s="247" t="n"/>
      <c r="BG141" s="461">
        <f>BE141-BF141</f>
        <v/>
      </c>
      <c r="BH141" s="247" t="n"/>
      <c r="BI141" s="461">
        <f>K141*BH141</f>
        <v/>
      </c>
      <c r="BJ141" s="247" t="n"/>
      <c r="BK141" s="461">
        <f>BI141-BJ141</f>
        <v/>
      </c>
      <c r="BL141" s="279" t="inlineStr">
        <is>
          <t>按实</t>
        </is>
      </c>
      <c r="BM141" s="220">
        <f>BN141</f>
        <v/>
      </c>
      <c r="BN141" s="256" t="n"/>
      <c r="BO141" s="220">
        <f>BM141-BN141</f>
        <v/>
      </c>
      <c r="BP141" s="575">
        <f>N141+Q141+U141+Y141+AC141+AG141+AK141+AO141+AS141+AW141+BA141+BE141+BI141+BM141</f>
        <v/>
      </c>
      <c r="BQ141" s="220">
        <f>N141+R141+V141+Z141+AD141+AH141+AL141+AP141+AT141+AX141+BB141+BF141+BJ141+BN141</f>
        <v/>
      </c>
      <c r="BR141" s="575">
        <f>BP141-BQ141</f>
        <v/>
      </c>
      <c r="BS141" s="254" t="inlineStr">
        <is>
          <t>/</t>
        </is>
      </c>
      <c r="BT141" s="229" t="inlineStr">
        <is>
          <t>/</t>
        </is>
      </c>
      <c r="BU141" s="297" t="inlineStr">
        <is>
          <t>1、卫生费：每月固定600元，寒暑假根据实际运营天数结算</t>
        </is>
      </c>
      <c r="BV141" s="230" t="inlineStr">
        <is>
          <t xml:space="preserve">1、签订期间：2026.2.25-2026.7.31；
2、指标按照全年换算；
</t>
        </is>
      </c>
      <c r="BW141" s="534" t="n"/>
    </row>
    <row r="142" ht="48" customFormat="1" customHeight="1" s="177">
      <c r="A142" s="306" t="n">
        <v>173</v>
      </c>
      <c r="B142" s="307" t="inlineStr">
        <is>
          <t>KQCY0173</t>
        </is>
      </c>
      <c r="C142" s="242" t="inlineStr">
        <is>
          <t>餐饮三分部</t>
        </is>
      </c>
      <c r="D142" s="242" t="inlineStr">
        <is>
          <t>CF251</t>
        </is>
      </c>
      <c r="E142" s="242" t="inlineStr">
        <is>
          <t>苏州职大二食堂</t>
        </is>
      </c>
      <c r="F142" s="306" t="inlineStr">
        <is>
          <t>分组作业</t>
        </is>
      </c>
      <c r="G142" s="308" t="inlineStr">
        <is>
          <t>张镁镁</t>
        </is>
      </c>
      <c r="H142" s="308" t="inlineStr">
        <is>
          <t>第一班组</t>
        </is>
      </c>
      <c r="I142" s="309" t="inlineStr">
        <is>
          <t>烘焙</t>
        </is>
      </c>
      <c r="J142" s="310" t="inlineStr">
        <is>
          <t>邵晓丽</t>
        </is>
      </c>
      <c r="K142" s="545">
        <f>LET(k,D142&amp;"|"&amp;E142&amp;"|"&amp;H142&amp;"|"&amp;I142&amp;"|"&amp;J142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42" s="578" t="n"/>
      <c r="M142" s="312" t="n"/>
      <c r="N142" s="579" t="n">
        <v>43</v>
      </c>
      <c r="O142" s="580" t="n">
        <v>0</v>
      </c>
      <c r="P142" s="315" t="n">
        <v>0.05</v>
      </c>
      <c r="Q142" s="310">
        <f>K142*P142</f>
        <v/>
      </c>
      <c r="R142" s="581" t="n"/>
      <c r="S142" s="310">
        <f>Q142-R142</f>
        <v/>
      </c>
      <c r="T142" s="317" t="n">
        <v>0</v>
      </c>
      <c r="U142" s="310">
        <f>K142*T142</f>
        <v/>
      </c>
      <c r="V142" s="464" t="n">
        <v>0</v>
      </c>
      <c r="W142" s="310">
        <f>U142-V142</f>
        <v/>
      </c>
      <c r="X142" s="319" t="n">
        <v>0</v>
      </c>
      <c r="Y142" s="310">
        <f>K142*X142</f>
        <v/>
      </c>
      <c r="Z142" s="464" t="n">
        <v>0</v>
      </c>
      <c r="AA142" s="310">
        <f>Y142-Z142</f>
        <v/>
      </c>
      <c r="AB142" s="319" t="n">
        <v>0</v>
      </c>
      <c r="AC142" s="310">
        <f>K142*AB142</f>
        <v/>
      </c>
      <c r="AD142" s="464" t="n">
        <v>0</v>
      </c>
      <c r="AE142" s="310">
        <f>AC142-AD142</f>
        <v/>
      </c>
      <c r="AF142" s="319" t="n">
        <v>0</v>
      </c>
      <c r="AG142" s="310">
        <f>K142*AF142</f>
        <v/>
      </c>
      <c r="AH142" s="464" t="n">
        <v>0</v>
      </c>
      <c r="AI142" s="310">
        <f>AG142-AH142</f>
        <v/>
      </c>
      <c r="AJ142" s="319" t="n">
        <v>0</v>
      </c>
      <c r="AK142" s="310">
        <f>K142*AJ142</f>
        <v/>
      </c>
      <c r="AL142" s="464" t="n">
        <v>0</v>
      </c>
      <c r="AM142" s="310">
        <f>AK142-AL142</f>
        <v/>
      </c>
      <c r="AN142" s="319" t="n">
        <v>0</v>
      </c>
      <c r="AO142" s="310">
        <f>K142*AN142</f>
        <v/>
      </c>
      <c r="AP142" s="464" t="n">
        <v>0</v>
      </c>
      <c r="AQ142" s="310">
        <f>AO142-AP142</f>
        <v/>
      </c>
      <c r="AR142" s="310" t="n">
        <v>0</v>
      </c>
      <c r="AS142" s="310">
        <f>K142*AR142</f>
        <v/>
      </c>
      <c r="AT142" s="581" t="n"/>
      <c r="AU142" s="310">
        <f>AS142-AT142</f>
        <v/>
      </c>
      <c r="AV142" s="315" t="n">
        <v>0.06</v>
      </c>
      <c r="AW142" s="310">
        <f>K142*AV142</f>
        <v/>
      </c>
      <c r="AX142" s="581" t="n"/>
      <c r="AY142" s="310">
        <f>AW142-AX142</f>
        <v/>
      </c>
      <c r="AZ142" s="582" t="inlineStr">
        <is>
          <t>按实</t>
        </is>
      </c>
      <c r="BA142" s="310">
        <f>BB142</f>
        <v/>
      </c>
      <c r="BB142" s="466" t="n">
        <v>0</v>
      </c>
      <c r="BC142" s="310">
        <f>BA142-BB142</f>
        <v/>
      </c>
      <c r="BD142" s="310" t="n">
        <v>30000</v>
      </c>
      <c r="BE142" s="310" t="n"/>
      <c r="BF142" s="466" t="n"/>
      <c r="BG142" s="310">
        <f>BE142-BF142</f>
        <v/>
      </c>
      <c r="BH142" s="310" t="n">
        <v>0</v>
      </c>
      <c r="BI142" s="310" t="n"/>
      <c r="BJ142" s="466" t="n"/>
      <c r="BK142" s="310">
        <f>BI142-BJ142</f>
        <v/>
      </c>
      <c r="BL142" s="310" t="inlineStr">
        <is>
          <t>按实</t>
        </is>
      </c>
      <c r="BM142" s="307" t="n"/>
      <c r="BN142" s="583" t="n"/>
      <c r="BO142" s="307">
        <f>BM142-BN142</f>
        <v/>
      </c>
      <c r="BP142" s="307">
        <f>N142+Q142+U142+Y142+AC142+AG142+AK142+AO142+AS142+AW142+BA142+BE142+BI142+BM142</f>
        <v/>
      </c>
      <c r="BQ142" s="307">
        <f>N142+R142+V142+Z142+AD142+AH142+AL142+AP142+AT142+AX142+BB142+BF142+BJ142+BN142</f>
        <v/>
      </c>
      <c r="BR142" s="307">
        <f>BP142-BQ142</f>
        <v/>
      </c>
      <c r="BS142" s="323" t="n">
        <v>0.05</v>
      </c>
      <c r="BT142" s="323" t="n">
        <v>0.005</v>
      </c>
      <c r="BU142" s="324" t="inlineStr">
        <is>
          <t xml:space="preserve">1、其他：3万不收取学期作为装修折旧摊销；
2、卫生费不收取；
3、采购费不收取；
</t>
        </is>
      </c>
      <c r="BV142" s="324" t="inlineStr">
        <is>
          <t>1、签订期间：2026.3.1-2026.7.31；
2、指标按照全年换算；</t>
        </is>
      </c>
      <c r="BW142" s="325" t="n"/>
    </row>
    <row r="143" ht="60" customFormat="1" customHeight="1" s="177">
      <c r="A143" s="306" t="n">
        <v>174</v>
      </c>
      <c r="B143" s="307" t="inlineStr">
        <is>
          <t>KQCY0174</t>
        </is>
      </c>
      <c r="C143" s="242" t="inlineStr">
        <is>
          <t>餐饮三分部</t>
        </is>
      </c>
      <c r="D143" s="242" t="inlineStr">
        <is>
          <t>CF251</t>
        </is>
      </c>
      <c r="E143" s="242" t="inlineStr">
        <is>
          <t>苏州职大二食堂</t>
        </is>
      </c>
      <c r="F143" s="306" t="inlineStr">
        <is>
          <t>分组作业</t>
        </is>
      </c>
      <c r="G143" s="308" t="inlineStr">
        <is>
          <t>张镁镁</t>
        </is>
      </c>
      <c r="H143" s="308" t="inlineStr">
        <is>
          <t>第二班组</t>
        </is>
      </c>
      <c r="I143" s="309" t="inlineStr">
        <is>
          <t>奶茶饮品</t>
        </is>
      </c>
      <c r="J143" s="326" t="inlineStr">
        <is>
          <t>严振宇</t>
        </is>
      </c>
      <c r="K143" s="545">
        <f>LET(k,D143&amp;"|"&amp;E143&amp;"|"&amp;H143&amp;"|"&amp;I143&amp;"|"&amp;J143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43" s="578" t="n"/>
      <c r="M143" s="312" t="n"/>
      <c r="N143" s="579" t="n"/>
      <c r="O143" s="580" t="n">
        <v>0</v>
      </c>
      <c r="P143" s="315" t="n">
        <v>0.19</v>
      </c>
      <c r="Q143" s="310">
        <f>K143*P143</f>
        <v/>
      </c>
      <c r="R143" s="581" t="n"/>
      <c r="S143" s="310">
        <f>Q143-R143</f>
        <v/>
      </c>
      <c r="T143" s="317" t="n">
        <v>0</v>
      </c>
      <c r="U143" s="310">
        <f>K143*T143</f>
        <v/>
      </c>
      <c r="V143" s="464" t="n">
        <v>0</v>
      </c>
      <c r="W143" s="310">
        <f>U143-V143</f>
        <v/>
      </c>
      <c r="X143" s="319" t="n">
        <v>0</v>
      </c>
      <c r="Y143" s="310">
        <f>K143*X143</f>
        <v/>
      </c>
      <c r="Z143" s="464" t="n">
        <v>0</v>
      </c>
      <c r="AA143" s="310">
        <f>Y143-Z143</f>
        <v/>
      </c>
      <c r="AB143" s="327" t="n">
        <v>0</v>
      </c>
      <c r="AC143" s="310">
        <f>K143*AB143</f>
        <v/>
      </c>
      <c r="AD143" s="464" t="n">
        <v>0</v>
      </c>
      <c r="AE143" s="310">
        <f>AC143-AD143</f>
        <v/>
      </c>
      <c r="AF143" s="319" t="n">
        <v>0</v>
      </c>
      <c r="AG143" s="310">
        <f>K143*AF143</f>
        <v/>
      </c>
      <c r="AH143" s="464" t="n">
        <v>0</v>
      </c>
      <c r="AI143" s="310">
        <f>AG143-AH143</f>
        <v/>
      </c>
      <c r="AJ143" s="319" t="n">
        <v>0</v>
      </c>
      <c r="AK143" s="310">
        <f>K143*AJ143</f>
        <v/>
      </c>
      <c r="AL143" s="464" t="n">
        <v>0</v>
      </c>
      <c r="AM143" s="310">
        <f>AK143-AL143</f>
        <v/>
      </c>
      <c r="AN143" s="319" t="n">
        <v>0</v>
      </c>
      <c r="AO143" s="310">
        <f>K143*AN143</f>
        <v/>
      </c>
      <c r="AP143" s="464" t="n">
        <v>0</v>
      </c>
      <c r="AQ143" s="310">
        <f>AO143-AP143</f>
        <v/>
      </c>
      <c r="AR143" s="310" t="n">
        <v>0</v>
      </c>
      <c r="AS143" s="310">
        <f>K143*AR143</f>
        <v/>
      </c>
      <c r="AT143" s="581" t="n"/>
      <c r="AU143" s="310">
        <f>AS143-AT143</f>
        <v/>
      </c>
      <c r="AV143" s="315" t="n">
        <v>0.06</v>
      </c>
      <c r="AW143" s="310">
        <f>K143*AV143</f>
        <v/>
      </c>
      <c r="AX143" s="581" t="n"/>
      <c r="AY143" s="310">
        <f>AW143-AX143</f>
        <v/>
      </c>
      <c r="AZ143" s="319" t="inlineStr">
        <is>
          <t>按实</t>
        </is>
      </c>
      <c r="BA143" s="310">
        <f>BB143</f>
        <v/>
      </c>
      <c r="BB143" s="466" t="n">
        <v>0</v>
      </c>
      <c r="BC143" s="310">
        <f>BA143-BB143</f>
        <v/>
      </c>
      <c r="BD143" s="310" t="n">
        <v>0</v>
      </c>
      <c r="BE143" s="310">
        <f>BF143</f>
        <v/>
      </c>
      <c r="BF143" s="466" t="n">
        <v>0</v>
      </c>
      <c r="BG143" s="310">
        <f>BE143-BF143</f>
        <v/>
      </c>
      <c r="BH143" s="310" t="n">
        <v>0</v>
      </c>
      <c r="BI143" s="310">
        <f>BJ143</f>
        <v/>
      </c>
      <c r="BJ143" s="466" t="n">
        <v>0</v>
      </c>
      <c r="BK143" s="310">
        <f>BI143-BJ143</f>
        <v/>
      </c>
      <c r="BL143" s="310" t="inlineStr">
        <is>
          <t>按实</t>
        </is>
      </c>
      <c r="BM143" s="307" t="n"/>
      <c r="BN143" s="583" t="n"/>
      <c r="BO143" s="307">
        <f>BM143-BN143</f>
        <v/>
      </c>
      <c r="BP143" s="307">
        <f>N143+Q143+U143+Y143+AC143+AG143+AK143+AO143+AS143+AW143+BA143+BE143+BI143+BM143</f>
        <v/>
      </c>
      <c r="BQ143" s="307">
        <f>N143+R143+V143+Z143+AD143+AH143+AL143+AP143+AT143+AX143+BB143+BF143+BJ143+BN143</f>
        <v/>
      </c>
      <c r="BR143" s="307">
        <f>BP143-BQ143</f>
        <v/>
      </c>
      <c r="BS143" s="323" t="n">
        <v>0.05</v>
      </c>
      <c r="BT143" s="323" t="n">
        <v>0.005</v>
      </c>
      <c r="BU143" s="324" t="inlineStr">
        <is>
          <t xml:space="preserve">1、装修折旧费：营业额的5%，分组作业未分摊，服务费已包含；
2、卫生费不收取；
3、采购费不收取；
</t>
        </is>
      </c>
      <c r="BV143" s="324" t="inlineStr">
        <is>
          <t>1、签订期间：2026.3.1-2026.7.31；
2、指标按照全年换算；</t>
        </is>
      </c>
      <c r="BW143" s="325" t="n"/>
    </row>
    <row r="144" ht="36" customFormat="1" customHeight="1" s="177">
      <c r="A144" s="306" t="n">
        <v>175</v>
      </c>
      <c r="B144" s="307" t="inlineStr">
        <is>
          <t>KQCY0175</t>
        </is>
      </c>
      <c r="C144" s="242" t="inlineStr">
        <is>
          <t>餐饮三分部</t>
        </is>
      </c>
      <c r="D144" s="242" t="inlineStr">
        <is>
          <t>CF251</t>
        </is>
      </c>
      <c r="E144" s="242" t="inlineStr">
        <is>
          <t>苏州职大二食堂</t>
        </is>
      </c>
      <c r="F144" s="306" t="inlineStr">
        <is>
          <t>分组作业</t>
        </is>
      </c>
      <c r="G144" s="308" t="inlineStr">
        <is>
          <t>张镁镁</t>
        </is>
      </c>
      <c r="H144" s="308" t="inlineStr">
        <is>
          <t>第三班组</t>
        </is>
      </c>
      <c r="I144" s="309" t="inlineStr">
        <is>
          <t>早点</t>
        </is>
      </c>
      <c r="J144" s="326" t="inlineStr">
        <is>
          <t>缪文</t>
        </is>
      </c>
      <c r="K144" s="545">
        <f>LET(k,D144&amp;"|"&amp;E144&amp;"|"&amp;H144&amp;"|"&amp;I144&amp;"|"&amp;J144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44" s="578" t="n"/>
      <c r="M144" s="312" t="n"/>
      <c r="N144" s="579" t="n">
        <v>43</v>
      </c>
      <c r="O144" s="580" t="n">
        <v>0</v>
      </c>
      <c r="P144" s="315" t="n">
        <v>0.165</v>
      </c>
      <c r="Q144" s="310">
        <f>K144*P144</f>
        <v/>
      </c>
      <c r="R144" s="581" t="n"/>
      <c r="S144" s="310">
        <f>Q144-R144</f>
        <v/>
      </c>
      <c r="T144" s="317" t="n">
        <v>0</v>
      </c>
      <c r="U144" s="310">
        <f>K144*T144</f>
        <v/>
      </c>
      <c r="V144" s="464" t="n">
        <v>0</v>
      </c>
      <c r="W144" s="310">
        <f>U144-V144</f>
        <v/>
      </c>
      <c r="X144" s="319" t="n">
        <v>0</v>
      </c>
      <c r="Y144" s="310">
        <f>K144*X144</f>
        <v/>
      </c>
      <c r="Z144" s="464" t="n">
        <v>0</v>
      </c>
      <c r="AA144" s="310">
        <f>Y144-Z144</f>
        <v/>
      </c>
      <c r="AB144" s="327" t="n">
        <v>0</v>
      </c>
      <c r="AC144" s="310">
        <f>K144*AB144</f>
        <v/>
      </c>
      <c r="AD144" s="464" t="n">
        <v>0</v>
      </c>
      <c r="AE144" s="310">
        <f>AC144-AD144</f>
        <v/>
      </c>
      <c r="AF144" s="319" t="n">
        <v>0</v>
      </c>
      <c r="AG144" s="310">
        <f>K144*AF144</f>
        <v/>
      </c>
      <c r="AH144" s="464" t="n">
        <v>0</v>
      </c>
      <c r="AI144" s="310">
        <f>AG144-AH144</f>
        <v/>
      </c>
      <c r="AJ144" s="319" t="n">
        <v>0</v>
      </c>
      <c r="AK144" s="310">
        <f>K144*AJ144</f>
        <v/>
      </c>
      <c r="AL144" s="464" t="n">
        <v>0</v>
      </c>
      <c r="AM144" s="310">
        <f>AK144-AL144</f>
        <v/>
      </c>
      <c r="AN144" s="319" t="n">
        <v>0</v>
      </c>
      <c r="AO144" s="310">
        <f>K144*AN144</f>
        <v/>
      </c>
      <c r="AP144" s="464" t="n">
        <v>0</v>
      </c>
      <c r="AQ144" s="310">
        <f>AO144-AP144</f>
        <v/>
      </c>
      <c r="AR144" s="310" t="n">
        <v>0.035</v>
      </c>
      <c r="AS144" s="310">
        <f>K144*AR144</f>
        <v/>
      </c>
      <c r="AT144" s="581" t="n"/>
      <c r="AU144" s="310">
        <f>AS144-AT144</f>
        <v/>
      </c>
      <c r="AV144" s="315" t="n">
        <v>0.06</v>
      </c>
      <c r="AW144" s="310">
        <f>K144*AV144</f>
        <v/>
      </c>
      <c r="AX144" s="581" t="n"/>
      <c r="AY144" s="310">
        <f>AW144-AX144</f>
        <v/>
      </c>
      <c r="AZ144" s="319" t="inlineStr">
        <is>
          <t>按实</t>
        </is>
      </c>
      <c r="BA144" s="310">
        <f>BB144</f>
        <v/>
      </c>
      <c r="BB144" s="466" t="n">
        <v>0</v>
      </c>
      <c r="BC144" s="310">
        <f>BA144-BB144</f>
        <v/>
      </c>
      <c r="BD144" s="310" t="n">
        <v>0</v>
      </c>
      <c r="BE144" s="310">
        <f>BF144</f>
        <v/>
      </c>
      <c r="BF144" s="466" t="n">
        <v>0</v>
      </c>
      <c r="BG144" s="310">
        <f>BE144-BF144</f>
        <v/>
      </c>
      <c r="BH144" s="310" t="n">
        <v>0</v>
      </c>
      <c r="BI144" s="310" t="n"/>
      <c r="BJ144" s="466" t="n"/>
      <c r="BK144" s="310">
        <f>BI144-BJ144</f>
        <v/>
      </c>
      <c r="BL144" s="310" t="inlineStr">
        <is>
          <t>按实</t>
        </is>
      </c>
      <c r="BM144" s="307" t="n"/>
      <c r="BN144" s="583" t="n"/>
      <c r="BO144" s="307">
        <f>BM144-BN144</f>
        <v/>
      </c>
      <c r="BP144" s="307">
        <f>N144+Q144+U144+Y144+AC144+AG144+AK144+AO144+AS144+AW144+BA144+BE144+BI144+BM144</f>
        <v/>
      </c>
      <c r="BQ144" s="307">
        <f>N144+R144+V144+Z144+AD144+AH144+AL144+AP144+AT144+AX144+BB144+BF144+BJ144+BN144</f>
        <v/>
      </c>
      <c r="BR144" s="307">
        <f>BP144-BQ144</f>
        <v/>
      </c>
      <c r="BS144" s="323" t="n">
        <v>0.05</v>
      </c>
      <c r="BT144" s="323" t="n">
        <v>0.005</v>
      </c>
      <c r="BU144" s="324" t="inlineStr">
        <is>
          <t>1、装修折旧费：营业额的5%，分组作业未分摊，服务费已包含；
2、采购费不收取；</t>
        </is>
      </c>
      <c r="BV144" s="324" t="inlineStr">
        <is>
          <t>1、签订期间：2026.3.1-2026.7.31；
2、指标按照全年换算；</t>
        </is>
      </c>
      <c r="BW144" s="325" t="n"/>
    </row>
    <row r="145" ht="48" customFormat="1" customHeight="1" s="177">
      <c r="A145" s="306" t="n">
        <v>176</v>
      </c>
      <c r="B145" s="307" t="inlineStr">
        <is>
          <t>KQCY0176</t>
        </is>
      </c>
      <c r="C145" s="242" t="inlineStr">
        <is>
          <t>餐饮三分部</t>
        </is>
      </c>
      <c r="D145" s="242" t="inlineStr">
        <is>
          <t>CF251</t>
        </is>
      </c>
      <c r="E145" s="242" t="inlineStr">
        <is>
          <t>苏州职大二食堂</t>
        </is>
      </c>
      <c r="F145" s="306" t="inlineStr">
        <is>
          <t>分组作业</t>
        </is>
      </c>
      <c r="G145" s="308" t="inlineStr">
        <is>
          <t>张镁镁</t>
        </is>
      </c>
      <c r="H145" s="308" t="inlineStr">
        <is>
          <t>第四班组</t>
        </is>
      </c>
      <c r="I145" s="309" t="inlineStr">
        <is>
          <t>快餐</t>
        </is>
      </c>
      <c r="J145" s="326" t="inlineStr">
        <is>
          <t>耿传垒</t>
        </is>
      </c>
      <c r="K145" s="545">
        <f>LET(k,D145&amp;"|"&amp;E145&amp;"|"&amp;H145&amp;"|"&amp;I145&amp;"|"&amp;J145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45" s="578" t="n"/>
      <c r="M145" s="312" t="n"/>
      <c r="N145" s="579" t="n"/>
      <c r="O145" s="580" t="n">
        <v>0</v>
      </c>
      <c r="P145" s="315" t="n">
        <v>0.135</v>
      </c>
      <c r="Q145" s="310">
        <f>K145*P145</f>
        <v/>
      </c>
      <c r="R145" s="581" t="n"/>
      <c r="S145" s="310">
        <f>Q145-R145</f>
        <v/>
      </c>
      <c r="T145" s="317" t="n">
        <v>0</v>
      </c>
      <c r="U145" s="310">
        <f>K145*T145</f>
        <v/>
      </c>
      <c r="V145" s="464" t="n">
        <v>0</v>
      </c>
      <c r="W145" s="310">
        <f>U145-V145</f>
        <v/>
      </c>
      <c r="X145" s="319" t="n">
        <v>0</v>
      </c>
      <c r="Y145" s="310">
        <f>K145*X145</f>
        <v/>
      </c>
      <c r="Z145" s="464" t="n">
        <v>0</v>
      </c>
      <c r="AA145" s="310">
        <f>Y145-Z145</f>
        <v/>
      </c>
      <c r="AB145" s="327" t="n">
        <v>0</v>
      </c>
      <c r="AC145" s="310">
        <f>K145*AB145</f>
        <v/>
      </c>
      <c r="AD145" s="464" t="n">
        <v>0</v>
      </c>
      <c r="AE145" s="310">
        <f>AC145-AD145</f>
        <v/>
      </c>
      <c r="AF145" s="319" t="n">
        <v>0</v>
      </c>
      <c r="AG145" s="310">
        <f>K145*AF145</f>
        <v/>
      </c>
      <c r="AH145" s="464" t="n">
        <v>0</v>
      </c>
      <c r="AI145" s="310">
        <f>AG145-AH145</f>
        <v/>
      </c>
      <c r="AJ145" s="319" t="n">
        <v>0</v>
      </c>
      <c r="AK145" s="310">
        <f>K145*AJ145</f>
        <v/>
      </c>
      <c r="AL145" s="464" t="n">
        <v>0</v>
      </c>
      <c r="AM145" s="310">
        <f>AK145-AL145</f>
        <v/>
      </c>
      <c r="AN145" s="319" t="n">
        <v>0</v>
      </c>
      <c r="AO145" s="310">
        <f>K145*AN145</f>
        <v/>
      </c>
      <c r="AP145" s="464" t="n">
        <v>0</v>
      </c>
      <c r="AQ145" s="310">
        <f>AO145-AP145</f>
        <v/>
      </c>
      <c r="AR145" s="310" t="n">
        <v>0.035</v>
      </c>
      <c r="AS145" s="310">
        <f>K145*AR145</f>
        <v/>
      </c>
      <c r="AT145" s="581" t="n"/>
      <c r="AU145" s="310">
        <f>AS145-AT145</f>
        <v/>
      </c>
      <c r="AV145" s="315" t="n">
        <v>0.06</v>
      </c>
      <c r="AW145" s="310">
        <f>K145*AV145</f>
        <v/>
      </c>
      <c r="AX145" s="581" t="n"/>
      <c r="AY145" s="310">
        <f>AW145-AX145</f>
        <v/>
      </c>
      <c r="AZ145" s="319" t="inlineStr">
        <is>
          <t>按实</t>
        </is>
      </c>
      <c r="BA145" s="310" t="n">
        <v>57.05</v>
      </c>
      <c r="BB145" s="466" t="n">
        <v>57.05</v>
      </c>
      <c r="BC145" s="310">
        <f>BA145-BB145</f>
        <v/>
      </c>
      <c r="BD145" s="310" t="n">
        <v>0</v>
      </c>
      <c r="BE145" s="310" t="n">
        <v>0</v>
      </c>
      <c r="BF145" s="466" t="n">
        <v>0</v>
      </c>
      <c r="BG145" s="310">
        <f>BE145-BF145</f>
        <v/>
      </c>
      <c r="BH145" s="310" t="n">
        <v>0</v>
      </c>
      <c r="BI145" s="310" t="n"/>
      <c r="BJ145" s="466" t="n"/>
      <c r="BK145" s="310">
        <f>BI145-BJ145</f>
        <v/>
      </c>
      <c r="BL145" s="310" t="inlineStr">
        <is>
          <t>按实</t>
        </is>
      </c>
      <c r="BM145" s="307" t="n"/>
      <c r="BN145" s="583" t="n"/>
      <c r="BO145" s="307">
        <f>BM145-BN145</f>
        <v/>
      </c>
      <c r="BP145" s="307">
        <f>N145+Q145+U145+Y145+AC145+AG145+AK145+AO145+AS145+AW145+BA145+BE145+BI145+BM145</f>
        <v/>
      </c>
      <c r="BQ145" s="307">
        <f>N145+R145+V145+Z145+AD145+AH145+AL145+AP145+AT145+AX145+BB145+BF145+BJ145+BN145</f>
        <v/>
      </c>
      <c r="BR145" s="307">
        <f>BP145-BQ145</f>
        <v/>
      </c>
      <c r="BS145" s="323" t="n">
        <v>0.05</v>
      </c>
      <c r="BT145" s="323" t="n">
        <v>0.005</v>
      </c>
      <c r="BU145" s="324" t="inlineStr">
        <is>
          <t>1、装修折旧费：营业额的5%，分组作业未分摊，服务费已包含；
2、快餐房租4000/学期；
3、采购费不收取；</t>
        </is>
      </c>
      <c r="BV145" s="324" t="inlineStr">
        <is>
          <t>1、签订期间：2026.3.1-2026.7.31；
2、指标按照全年换算；</t>
        </is>
      </c>
      <c r="BW145" s="325" t="n"/>
    </row>
    <row r="146" ht="48" customFormat="1" customHeight="1" s="177">
      <c r="A146" s="306" t="n">
        <v>177</v>
      </c>
      <c r="B146" s="307" t="inlineStr">
        <is>
          <t>KQCY0177</t>
        </is>
      </c>
      <c r="C146" s="242" t="inlineStr">
        <is>
          <t>餐饮三分部</t>
        </is>
      </c>
      <c r="D146" s="242" t="inlineStr">
        <is>
          <t>CF251</t>
        </is>
      </c>
      <c r="E146" s="242" t="inlineStr">
        <is>
          <t>苏州职大二食堂</t>
        </is>
      </c>
      <c r="F146" s="306" t="inlineStr">
        <is>
          <t>分组作业</t>
        </is>
      </c>
      <c r="G146" s="308" t="inlineStr">
        <is>
          <t>张镁镁</t>
        </is>
      </c>
      <c r="H146" s="308" t="inlineStr">
        <is>
          <t>第五班组</t>
        </is>
      </c>
      <c r="I146" s="309" t="inlineStr">
        <is>
          <t>盖浇饭</t>
        </is>
      </c>
      <c r="J146" s="326" t="inlineStr">
        <is>
          <t>龙明涛</t>
        </is>
      </c>
      <c r="K146" s="545">
        <f>LET(k,D146&amp;"|"&amp;E146&amp;"|"&amp;H146&amp;"|"&amp;I146&amp;"|"&amp;J146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46" s="578" t="n"/>
      <c r="M146" s="312" t="n"/>
      <c r="N146" s="579" t="n">
        <v>3397.18</v>
      </c>
      <c r="O146" s="580" t="n">
        <v>0</v>
      </c>
      <c r="P146" s="315" t="n">
        <v>0.155</v>
      </c>
      <c r="Q146" s="310">
        <f>K146*P146</f>
        <v/>
      </c>
      <c r="R146" s="581" t="n"/>
      <c r="S146" s="310">
        <f>Q146-R146</f>
        <v/>
      </c>
      <c r="T146" s="317" t="n">
        <v>0</v>
      </c>
      <c r="U146" s="310">
        <f>K146*T146</f>
        <v/>
      </c>
      <c r="V146" s="464" t="n">
        <v>0</v>
      </c>
      <c r="W146" s="310">
        <f>U146-V146</f>
        <v/>
      </c>
      <c r="X146" s="319" t="n">
        <v>0</v>
      </c>
      <c r="Y146" s="310">
        <f>K146*X146</f>
        <v/>
      </c>
      <c r="Z146" s="464" t="n">
        <v>0</v>
      </c>
      <c r="AA146" s="310">
        <f>Y146-Z146</f>
        <v/>
      </c>
      <c r="AB146" s="327" t="n">
        <v>0</v>
      </c>
      <c r="AC146" s="310">
        <f>K146*AB146</f>
        <v/>
      </c>
      <c r="AD146" s="464" t="n">
        <v>0</v>
      </c>
      <c r="AE146" s="310">
        <f>AC146-AD146</f>
        <v/>
      </c>
      <c r="AF146" s="319" t="n">
        <v>0</v>
      </c>
      <c r="AG146" s="310">
        <f>K146*AF146</f>
        <v/>
      </c>
      <c r="AH146" s="464" t="n">
        <v>0</v>
      </c>
      <c r="AI146" s="310">
        <f>AG146-AH146</f>
        <v/>
      </c>
      <c r="AJ146" s="319" t="n">
        <v>0</v>
      </c>
      <c r="AK146" s="310">
        <f>K146*AJ146</f>
        <v/>
      </c>
      <c r="AL146" s="464" t="n">
        <v>0</v>
      </c>
      <c r="AM146" s="310">
        <f>AK146-AL146</f>
        <v/>
      </c>
      <c r="AN146" s="319" t="n">
        <v>0</v>
      </c>
      <c r="AO146" s="310">
        <f>K146*AN146</f>
        <v/>
      </c>
      <c r="AP146" s="464" t="n">
        <v>0</v>
      </c>
      <c r="AQ146" s="310">
        <f>AO146-AP146</f>
        <v/>
      </c>
      <c r="AR146" s="310" t="n">
        <v>0.035</v>
      </c>
      <c r="AS146" s="310">
        <f>K146*AR146</f>
        <v/>
      </c>
      <c r="AT146" s="581" t="n"/>
      <c r="AU146" s="310">
        <f>AS146-AT146</f>
        <v/>
      </c>
      <c r="AV146" s="315" t="n">
        <v>0.06</v>
      </c>
      <c r="AW146" s="310">
        <f>K146*AV146</f>
        <v/>
      </c>
      <c r="AX146" s="581" t="n"/>
      <c r="AY146" s="310">
        <f>AW146-AX146</f>
        <v/>
      </c>
      <c r="AZ146" s="319" t="inlineStr">
        <is>
          <t>按实</t>
        </is>
      </c>
      <c r="BA146" s="310" t="n"/>
      <c r="BB146" s="466" t="n"/>
      <c r="BC146" s="310">
        <f>BA146-BB146</f>
        <v/>
      </c>
      <c r="BD146" s="310" t="n">
        <v>0</v>
      </c>
      <c r="BE146" s="310">
        <f>BF146</f>
        <v/>
      </c>
      <c r="BF146" s="466" t="n">
        <v>0</v>
      </c>
      <c r="BG146" s="310">
        <f>BE146-BF146</f>
        <v/>
      </c>
      <c r="BH146" s="310" t="n">
        <v>0</v>
      </c>
      <c r="BI146" s="310">
        <f>BJ146</f>
        <v/>
      </c>
      <c r="BJ146" s="466" t="n">
        <v>0</v>
      </c>
      <c r="BK146" s="310">
        <f>BI146-BJ146</f>
        <v/>
      </c>
      <c r="BL146" s="310" t="inlineStr">
        <is>
          <t>按实</t>
        </is>
      </c>
      <c r="BM146" s="307" t="n"/>
      <c r="BN146" s="583" t="n"/>
      <c r="BO146" s="307">
        <f>BM146-BN146</f>
        <v/>
      </c>
      <c r="BP146" s="307">
        <f>N146+Q146+U146+Y146+AC146+AG146+AK146+AO146+AS146+AW146+BA146+BE146+BI146+BM146</f>
        <v/>
      </c>
      <c r="BQ146" s="307">
        <f>N146+R146+V146+Z146+AD146+AH146+AL146+AP146+AT146+AX146+BB146+BF146+BJ146+BN146</f>
        <v/>
      </c>
      <c r="BR146" s="307">
        <f>BP146-BQ146</f>
        <v/>
      </c>
      <c r="BS146" s="323" t="n">
        <v>0.05</v>
      </c>
      <c r="BT146" s="323" t="n">
        <v>0.005</v>
      </c>
      <c r="BU146" s="324" t="inlineStr">
        <is>
          <t>1、装修折旧费：营业额的5%，分组作业未分摊，服务费已包含；
2、盖浇饭房租4000/学期；
3、采购费不收取；</t>
        </is>
      </c>
      <c r="BV146" s="324" t="inlineStr">
        <is>
          <t>1、签订期间：2026.3.1-2026.7.31；
2、指标按照全年换算；</t>
        </is>
      </c>
      <c r="BW146" s="325" t="n"/>
    </row>
    <row r="147" ht="36" customFormat="1" customHeight="1" s="177">
      <c r="A147" s="306" t="n">
        <v>178</v>
      </c>
      <c r="B147" s="307" t="inlineStr">
        <is>
          <t>KQCY0178</t>
        </is>
      </c>
      <c r="C147" s="242" t="inlineStr">
        <is>
          <t>餐饮三分部</t>
        </is>
      </c>
      <c r="D147" s="242" t="inlineStr">
        <is>
          <t>CF251</t>
        </is>
      </c>
      <c r="E147" s="242" t="inlineStr">
        <is>
          <t>苏州职大二食堂</t>
        </is>
      </c>
      <c r="F147" s="306" t="inlineStr">
        <is>
          <t>分组作业</t>
        </is>
      </c>
      <c r="G147" s="308" t="inlineStr">
        <is>
          <t>张镁镁</t>
        </is>
      </c>
      <c r="H147" s="308" t="inlineStr">
        <is>
          <t>第六班组</t>
        </is>
      </c>
      <c r="I147" s="309" t="inlineStr">
        <is>
          <t>黄焖鸡</t>
        </is>
      </c>
      <c r="J147" s="310" t="inlineStr">
        <is>
          <t>余国凤</t>
        </is>
      </c>
      <c r="K147" s="545">
        <f>LET(k,D147&amp;"|"&amp;E147&amp;"|"&amp;H147&amp;"|"&amp;I147&amp;"|"&amp;J147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47" s="578" t="n"/>
      <c r="M147" s="312" t="n"/>
      <c r="N147" s="579" t="n">
        <v>28</v>
      </c>
      <c r="O147" s="580" t="n">
        <v>0</v>
      </c>
      <c r="P147" s="315" t="n">
        <v>0.155</v>
      </c>
      <c r="Q147" s="310">
        <f>K147*P147</f>
        <v/>
      </c>
      <c r="R147" s="581" t="n"/>
      <c r="S147" s="310">
        <f>Q147-R147</f>
        <v/>
      </c>
      <c r="T147" s="317" t="n">
        <v>0</v>
      </c>
      <c r="U147" s="310">
        <f>K147*T147</f>
        <v/>
      </c>
      <c r="V147" s="464" t="n">
        <v>0</v>
      </c>
      <c r="W147" s="310">
        <f>U147-V147</f>
        <v/>
      </c>
      <c r="X147" s="319" t="n">
        <v>0</v>
      </c>
      <c r="Y147" s="310">
        <f>K147*X147</f>
        <v/>
      </c>
      <c r="Z147" s="464" t="n">
        <v>0</v>
      </c>
      <c r="AA147" s="310">
        <f>Y147-Z147</f>
        <v/>
      </c>
      <c r="AB147" s="327" t="n">
        <v>0</v>
      </c>
      <c r="AC147" s="310">
        <f>K147*AB147</f>
        <v/>
      </c>
      <c r="AD147" s="464" t="n">
        <v>0</v>
      </c>
      <c r="AE147" s="310">
        <f>AC147-AD147</f>
        <v/>
      </c>
      <c r="AF147" s="319" t="n">
        <v>0</v>
      </c>
      <c r="AG147" s="310">
        <f>K147*AF147</f>
        <v/>
      </c>
      <c r="AH147" s="464" t="n">
        <v>0</v>
      </c>
      <c r="AI147" s="310">
        <f>AG147-AH147</f>
        <v/>
      </c>
      <c r="AJ147" s="319" t="n">
        <v>0</v>
      </c>
      <c r="AK147" s="310">
        <f>K147*AJ147</f>
        <v/>
      </c>
      <c r="AL147" s="464" t="n">
        <v>0</v>
      </c>
      <c r="AM147" s="310">
        <f>AK147-AL147</f>
        <v/>
      </c>
      <c r="AN147" s="319" t="n">
        <v>0</v>
      </c>
      <c r="AO147" s="310">
        <f>K147*AN147</f>
        <v/>
      </c>
      <c r="AP147" s="464" t="n">
        <v>0</v>
      </c>
      <c r="AQ147" s="310">
        <f>AO147-AP147</f>
        <v/>
      </c>
      <c r="AR147" s="310" t="n">
        <v>0.035</v>
      </c>
      <c r="AS147" s="310">
        <f>K147*AR147</f>
        <v/>
      </c>
      <c r="AT147" s="581" t="n"/>
      <c r="AU147" s="310">
        <f>AS147-AT147</f>
        <v/>
      </c>
      <c r="AV147" s="315" t="n">
        <v>0.06</v>
      </c>
      <c r="AW147" s="310">
        <f>K147*AV147</f>
        <v/>
      </c>
      <c r="AX147" s="581" t="n"/>
      <c r="AY147" s="310">
        <f>AW147-AX147</f>
        <v/>
      </c>
      <c r="AZ147" s="319" t="inlineStr">
        <is>
          <t>按实</t>
        </is>
      </c>
      <c r="BA147" s="310">
        <f>BB147</f>
        <v/>
      </c>
      <c r="BB147" s="466" t="n">
        <v>0</v>
      </c>
      <c r="BC147" s="310">
        <f>BA147-BB147</f>
        <v/>
      </c>
      <c r="BD147" s="310" t="n">
        <v>0</v>
      </c>
      <c r="BE147" s="310">
        <f>BF147</f>
        <v/>
      </c>
      <c r="BF147" s="466" t="n">
        <v>0</v>
      </c>
      <c r="BG147" s="310">
        <f>BE147-BF147</f>
        <v/>
      </c>
      <c r="BH147" s="310" t="n">
        <v>0</v>
      </c>
      <c r="BI147" s="310">
        <f>BJ147</f>
        <v/>
      </c>
      <c r="BJ147" s="466" t="n">
        <v>0</v>
      </c>
      <c r="BK147" s="310">
        <f>BI147-BJ147</f>
        <v/>
      </c>
      <c r="BL147" s="310" t="inlineStr">
        <is>
          <t>按实</t>
        </is>
      </c>
      <c r="BM147" s="307" t="n"/>
      <c r="BN147" s="583" t="n"/>
      <c r="BO147" s="307">
        <f>BM147-BN147</f>
        <v/>
      </c>
      <c r="BP147" s="307">
        <f>N147+Q147+U147+Y147+AC147+AG147+AK147+AO147+AS147+AW147+BA147+BE147+BI147+BM147</f>
        <v/>
      </c>
      <c r="BQ147" s="307">
        <f>N147+R147+V147+Z147+AD147+AH147+AL147+AP147+AT147+AX147+BB147+BF147+BJ147+BN147</f>
        <v/>
      </c>
      <c r="BR147" s="307">
        <f>BP147-BQ147</f>
        <v/>
      </c>
      <c r="BS147" s="323" t="n">
        <v>0.05</v>
      </c>
      <c r="BT147" s="323" t="n">
        <v>0.005</v>
      </c>
      <c r="BU147" s="324" t="inlineStr">
        <is>
          <t>1、装修折旧费：营业额的5%，分组作业未分摊，服务费已包含；
2、采购费不收取；</t>
        </is>
      </c>
      <c r="BV147" s="324" t="inlineStr">
        <is>
          <t>1、签订期间：2026.3.1-2026.7.31；
2、指标按照全年换算；</t>
        </is>
      </c>
      <c r="BW147" s="325" t="n"/>
    </row>
    <row r="148" ht="36" customFormat="1" customHeight="1" s="177">
      <c r="A148" s="306" t="n">
        <v>179</v>
      </c>
      <c r="B148" s="307" t="inlineStr">
        <is>
          <t>KQCY0179</t>
        </is>
      </c>
      <c r="C148" s="242" t="inlineStr">
        <is>
          <t>餐饮三分部</t>
        </is>
      </c>
      <c r="D148" s="242" t="inlineStr">
        <is>
          <t>CF251</t>
        </is>
      </c>
      <c r="E148" s="242" t="inlineStr">
        <is>
          <t>苏州职大二食堂</t>
        </is>
      </c>
      <c r="F148" s="306" t="inlineStr">
        <is>
          <t>分组作业</t>
        </is>
      </c>
      <c r="G148" s="308" t="inlineStr">
        <is>
          <t>张镁镁</t>
        </is>
      </c>
      <c r="H148" s="308" t="inlineStr">
        <is>
          <t>第七班组</t>
        </is>
      </c>
      <c r="I148" s="309" t="inlineStr">
        <is>
          <t>杂粮煎饼</t>
        </is>
      </c>
      <c r="J148" s="326" t="inlineStr">
        <is>
          <t>王朝风</t>
        </is>
      </c>
      <c r="K148" s="545">
        <f>LET(k,D148&amp;"|"&amp;E148&amp;"|"&amp;H148&amp;"|"&amp;I148&amp;"|"&amp;J148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48" s="578" t="n"/>
      <c r="M148" s="312" t="n"/>
      <c r="N148" s="579" t="n"/>
      <c r="O148" s="580" t="n">
        <v>0</v>
      </c>
      <c r="P148" s="315" t="n">
        <v>0.185</v>
      </c>
      <c r="Q148" s="310">
        <f>K148*P148</f>
        <v/>
      </c>
      <c r="R148" s="581" t="n"/>
      <c r="S148" s="310">
        <f>Q148-R148</f>
        <v/>
      </c>
      <c r="T148" s="317" t="n">
        <v>0</v>
      </c>
      <c r="U148" s="310">
        <f>K148*T148</f>
        <v/>
      </c>
      <c r="V148" s="464" t="n">
        <v>0</v>
      </c>
      <c r="W148" s="310">
        <f>U148-V148</f>
        <v/>
      </c>
      <c r="X148" s="319" t="n">
        <v>0</v>
      </c>
      <c r="Y148" s="310">
        <f>K148*X148</f>
        <v/>
      </c>
      <c r="Z148" s="464" t="n">
        <v>0</v>
      </c>
      <c r="AA148" s="310">
        <f>Y148-Z148</f>
        <v/>
      </c>
      <c r="AB148" s="327" t="n">
        <v>0</v>
      </c>
      <c r="AC148" s="310">
        <f>K148*AB148</f>
        <v/>
      </c>
      <c r="AD148" s="464" t="n">
        <v>0</v>
      </c>
      <c r="AE148" s="310">
        <f>AC148-AD148</f>
        <v/>
      </c>
      <c r="AF148" s="319" t="n">
        <v>0</v>
      </c>
      <c r="AG148" s="310">
        <f>K148*AF148</f>
        <v/>
      </c>
      <c r="AH148" s="464" t="n">
        <v>0</v>
      </c>
      <c r="AI148" s="310">
        <f>AG148-AH148</f>
        <v/>
      </c>
      <c r="AJ148" s="319" t="n">
        <v>0</v>
      </c>
      <c r="AK148" s="310">
        <f>K148*AJ148</f>
        <v/>
      </c>
      <c r="AL148" s="464" t="n">
        <v>0</v>
      </c>
      <c r="AM148" s="310">
        <f>AK148-AL148</f>
        <v/>
      </c>
      <c r="AN148" s="319" t="n">
        <v>0</v>
      </c>
      <c r="AO148" s="310">
        <f>K148*AN148</f>
        <v/>
      </c>
      <c r="AP148" s="464" t="n">
        <v>0</v>
      </c>
      <c r="AQ148" s="310">
        <f>AO148-AP148</f>
        <v/>
      </c>
      <c r="AR148" s="310" t="n">
        <v>0.035</v>
      </c>
      <c r="AS148" s="310">
        <f>K148*AR148</f>
        <v/>
      </c>
      <c r="AT148" s="581" t="n"/>
      <c r="AU148" s="310">
        <f>AS148-AT148</f>
        <v/>
      </c>
      <c r="AV148" s="315" t="n">
        <v>0.06</v>
      </c>
      <c r="AW148" s="310">
        <f>K148*AV148</f>
        <v/>
      </c>
      <c r="AX148" s="581" t="n"/>
      <c r="AY148" s="310">
        <f>AW148-AX148</f>
        <v/>
      </c>
      <c r="AZ148" s="319" t="inlineStr">
        <is>
          <t>按实</t>
        </is>
      </c>
      <c r="BA148" s="310">
        <f>BB148</f>
        <v/>
      </c>
      <c r="BB148" s="466" t="n">
        <v>0</v>
      </c>
      <c r="BC148" s="310">
        <f>BA148-BB148</f>
        <v/>
      </c>
      <c r="BD148" s="310" t="n">
        <v>0</v>
      </c>
      <c r="BE148" s="310">
        <f>BF148</f>
        <v/>
      </c>
      <c r="BF148" s="466" t="n">
        <v>0</v>
      </c>
      <c r="BG148" s="310">
        <f>BE148-BF148</f>
        <v/>
      </c>
      <c r="BH148" s="310" t="n">
        <v>0</v>
      </c>
      <c r="BI148" s="310">
        <f>BJ148</f>
        <v/>
      </c>
      <c r="BJ148" s="466" t="n">
        <v>0</v>
      </c>
      <c r="BK148" s="310">
        <f>BI148-BJ148</f>
        <v/>
      </c>
      <c r="BL148" s="310" t="inlineStr">
        <is>
          <t>按实</t>
        </is>
      </c>
      <c r="BM148" s="307" t="n"/>
      <c r="BN148" s="583" t="n"/>
      <c r="BO148" s="307">
        <f>BM148-BN148</f>
        <v/>
      </c>
      <c r="BP148" s="307">
        <f>N148+Q148+U148+Y148+AC148+AG148+AK148+AO148+AS148+AW148+BA148+BE148+BI148+BM148</f>
        <v/>
      </c>
      <c r="BQ148" s="307">
        <f>N148+R148+V148+Z148+AD148+AH148+AL148+AP148+AT148+AX148+BB148+BF148+BJ148+BN148</f>
        <v/>
      </c>
      <c r="BR148" s="307">
        <f>BP148-BQ148</f>
        <v/>
      </c>
      <c r="BS148" s="323" t="n">
        <v>0.05</v>
      </c>
      <c r="BT148" s="323" t="n">
        <v>0.005</v>
      </c>
      <c r="BU148" s="324" t="inlineStr">
        <is>
          <t>1、装修折旧费：营业额的5%，分组作业未分摊，服务费已包含；
2、采购费不收取；</t>
        </is>
      </c>
      <c r="BV148" s="324" t="inlineStr">
        <is>
          <t>1、签订期间：2026.3.1-2026.7.31；
2、指标按照全年换算；</t>
        </is>
      </c>
      <c r="BW148" s="325" t="n"/>
    </row>
    <row r="149" ht="36" customFormat="1" customHeight="1" s="177">
      <c r="A149" s="306" t="n">
        <v>180</v>
      </c>
      <c r="B149" s="307" t="inlineStr">
        <is>
          <t>KQCY0180</t>
        </is>
      </c>
      <c r="C149" s="242" t="inlineStr">
        <is>
          <t>餐饮三分部</t>
        </is>
      </c>
      <c r="D149" s="242" t="inlineStr">
        <is>
          <t>CF251</t>
        </is>
      </c>
      <c r="E149" s="242" t="inlineStr">
        <is>
          <t>苏州职大二食堂</t>
        </is>
      </c>
      <c r="F149" s="306" t="inlineStr">
        <is>
          <t>分组作业</t>
        </is>
      </c>
      <c r="G149" s="308" t="inlineStr">
        <is>
          <t>张镁镁</t>
        </is>
      </c>
      <c r="H149" s="308" t="inlineStr">
        <is>
          <t>第八班组</t>
        </is>
      </c>
      <c r="I149" s="309" t="inlineStr">
        <is>
          <t>苏式热干面</t>
        </is>
      </c>
      <c r="J149" s="310" t="inlineStr">
        <is>
          <t>田振</t>
        </is>
      </c>
      <c r="K149" s="545">
        <f>LET(k,D149&amp;"|"&amp;E149&amp;"|"&amp;H149&amp;"|"&amp;I149&amp;"|"&amp;J149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49" s="578" t="n"/>
      <c r="M149" s="312" t="n"/>
      <c r="N149" s="579" t="n"/>
      <c r="O149" s="580" t="n">
        <v>0</v>
      </c>
      <c r="P149" s="315" t="n">
        <v>0.185</v>
      </c>
      <c r="Q149" s="310">
        <f>K149*P149</f>
        <v/>
      </c>
      <c r="R149" s="581" t="n"/>
      <c r="S149" s="310">
        <f>Q149-R149</f>
        <v/>
      </c>
      <c r="T149" s="317" t="n">
        <v>0</v>
      </c>
      <c r="U149" s="310">
        <f>K149*T149</f>
        <v/>
      </c>
      <c r="V149" s="464" t="n">
        <v>0</v>
      </c>
      <c r="W149" s="310">
        <f>U149-V149</f>
        <v/>
      </c>
      <c r="X149" s="319" t="n">
        <v>0</v>
      </c>
      <c r="Y149" s="310">
        <f>K149*X149</f>
        <v/>
      </c>
      <c r="Z149" s="464" t="n">
        <v>0</v>
      </c>
      <c r="AA149" s="310">
        <f>Y149-Z149</f>
        <v/>
      </c>
      <c r="AB149" s="327" t="n">
        <v>0</v>
      </c>
      <c r="AC149" s="310">
        <f>K149*AB149</f>
        <v/>
      </c>
      <c r="AD149" s="464" t="n">
        <v>0</v>
      </c>
      <c r="AE149" s="310">
        <f>AC149-AD149</f>
        <v/>
      </c>
      <c r="AF149" s="319" t="n">
        <v>0</v>
      </c>
      <c r="AG149" s="310">
        <f>K149*AF149</f>
        <v/>
      </c>
      <c r="AH149" s="464" t="n">
        <v>0</v>
      </c>
      <c r="AI149" s="310">
        <f>AG149-AH149</f>
        <v/>
      </c>
      <c r="AJ149" s="319" t="n">
        <v>0</v>
      </c>
      <c r="AK149" s="310">
        <f>K149*AJ149</f>
        <v/>
      </c>
      <c r="AL149" s="464" t="n">
        <v>0</v>
      </c>
      <c r="AM149" s="310">
        <f>AK149-AL149</f>
        <v/>
      </c>
      <c r="AN149" s="319" t="n">
        <v>0</v>
      </c>
      <c r="AO149" s="310">
        <f>K149*AN149</f>
        <v/>
      </c>
      <c r="AP149" s="464" t="n">
        <v>0</v>
      </c>
      <c r="AQ149" s="310">
        <f>AO149-AP149</f>
        <v/>
      </c>
      <c r="AR149" s="310" t="n">
        <v>0.035</v>
      </c>
      <c r="AS149" s="310">
        <f>K149*AR149</f>
        <v/>
      </c>
      <c r="AT149" s="581" t="n"/>
      <c r="AU149" s="310">
        <f>AS149-AT149</f>
        <v/>
      </c>
      <c r="AV149" s="315" t="n">
        <v>0.06</v>
      </c>
      <c r="AW149" s="310">
        <f>K149*AV149</f>
        <v/>
      </c>
      <c r="AX149" s="581" t="n"/>
      <c r="AY149" s="310">
        <f>AW149-AX149</f>
        <v/>
      </c>
      <c r="AZ149" s="319" t="inlineStr">
        <is>
          <t>按实</t>
        </is>
      </c>
      <c r="BA149" s="310">
        <f>BB149</f>
        <v/>
      </c>
      <c r="BB149" s="466" t="n">
        <v>0</v>
      </c>
      <c r="BC149" s="310">
        <f>BA149-BB149</f>
        <v/>
      </c>
      <c r="BD149" s="310" t="n">
        <v>0</v>
      </c>
      <c r="BE149" s="310">
        <f>BF149</f>
        <v/>
      </c>
      <c r="BF149" s="466" t="n">
        <v>0</v>
      </c>
      <c r="BG149" s="310">
        <f>BE149-BF149</f>
        <v/>
      </c>
      <c r="BH149" s="310" t="n">
        <v>0</v>
      </c>
      <c r="BI149" s="310">
        <f>BJ149</f>
        <v/>
      </c>
      <c r="BJ149" s="466" t="n">
        <v>0</v>
      </c>
      <c r="BK149" s="310">
        <f>BI149-BJ149</f>
        <v/>
      </c>
      <c r="BL149" s="310" t="inlineStr">
        <is>
          <t>按实</t>
        </is>
      </c>
      <c r="BM149" s="307" t="n"/>
      <c r="BN149" s="583" t="n"/>
      <c r="BO149" s="307">
        <f>BM149-BN149</f>
        <v/>
      </c>
      <c r="BP149" s="307">
        <f>N149+Q149+U149+Y149+AC149+AG149+AK149+AO149+AS149+AW149+BA149+BE149+BI149+BM149</f>
        <v/>
      </c>
      <c r="BQ149" s="307">
        <f>N149+R149+V149+Z149+AD149+AH149+AL149+AP149+AT149+AX149+BB149+BF149+BJ149+BN149</f>
        <v/>
      </c>
      <c r="BR149" s="307">
        <f>BP149-BQ149</f>
        <v/>
      </c>
      <c r="BS149" s="323" t="n">
        <v>0.05</v>
      </c>
      <c r="BT149" s="323" t="n">
        <v>0.005</v>
      </c>
      <c r="BU149" s="324" t="inlineStr">
        <is>
          <t>1、装修折旧费：营业额的5%，分组作业未分摊，服务费已包含；
2、采购费不收取；</t>
        </is>
      </c>
      <c r="BV149" s="324" t="inlineStr">
        <is>
          <t>1、签订期间：2026.3.1-2026.7.31；
2、指标按照全年换算；</t>
        </is>
      </c>
      <c r="BW149" s="325" t="n"/>
    </row>
    <row r="150" ht="36" customFormat="1" customHeight="1" s="177">
      <c r="A150" s="306" t="n">
        <v>181</v>
      </c>
      <c r="B150" s="307" t="inlineStr">
        <is>
          <t>KQCY0181</t>
        </is>
      </c>
      <c r="C150" s="242" t="inlineStr">
        <is>
          <t>餐饮三分部</t>
        </is>
      </c>
      <c r="D150" s="242" t="inlineStr">
        <is>
          <t>CF251</t>
        </is>
      </c>
      <c r="E150" s="242" t="inlineStr">
        <is>
          <t>苏州职大二食堂</t>
        </is>
      </c>
      <c r="F150" s="306" t="inlineStr">
        <is>
          <t>分组作业</t>
        </is>
      </c>
      <c r="G150" s="308" t="inlineStr">
        <is>
          <t>张镁镁</t>
        </is>
      </c>
      <c r="H150" s="308" t="inlineStr">
        <is>
          <t>第九班组</t>
        </is>
      </c>
      <c r="I150" s="309" t="inlineStr">
        <is>
          <t>馄饨炒饭</t>
        </is>
      </c>
      <c r="J150" s="326" t="inlineStr">
        <is>
          <t>戴国强</t>
        </is>
      </c>
      <c r="K150" s="545">
        <f>LET(k,D150&amp;"|"&amp;E150&amp;"|"&amp;H150&amp;"|"&amp;I150&amp;"|"&amp;J150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50" s="578" t="n"/>
      <c r="M150" s="312" t="n"/>
      <c r="N150" s="579" t="n">
        <v>43</v>
      </c>
      <c r="O150" s="580" t="n">
        <v>0</v>
      </c>
      <c r="P150" s="315" t="n">
        <v>0.175</v>
      </c>
      <c r="Q150" s="310">
        <f>K150*P150</f>
        <v/>
      </c>
      <c r="R150" s="581" t="n"/>
      <c r="S150" s="310">
        <f>Q150-R150</f>
        <v/>
      </c>
      <c r="T150" s="317" t="n">
        <v>0</v>
      </c>
      <c r="U150" s="310">
        <f>K150*T150</f>
        <v/>
      </c>
      <c r="V150" s="464" t="n">
        <v>0</v>
      </c>
      <c r="W150" s="310">
        <f>U150-V150</f>
        <v/>
      </c>
      <c r="X150" s="319" t="n">
        <v>0</v>
      </c>
      <c r="Y150" s="310">
        <f>K150*X150</f>
        <v/>
      </c>
      <c r="Z150" s="464" t="n">
        <v>0</v>
      </c>
      <c r="AA150" s="310">
        <f>Y150-Z150</f>
        <v/>
      </c>
      <c r="AB150" s="327" t="n">
        <v>0</v>
      </c>
      <c r="AC150" s="310">
        <f>K150*AB150</f>
        <v/>
      </c>
      <c r="AD150" s="464" t="n">
        <v>0</v>
      </c>
      <c r="AE150" s="310">
        <f>AC150-AD150</f>
        <v/>
      </c>
      <c r="AF150" s="319" t="n">
        <v>0</v>
      </c>
      <c r="AG150" s="310">
        <f>K150*AF150</f>
        <v/>
      </c>
      <c r="AH150" s="464" t="n">
        <v>0</v>
      </c>
      <c r="AI150" s="310">
        <f>AG150-AH150</f>
        <v/>
      </c>
      <c r="AJ150" s="319" t="n">
        <v>0</v>
      </c>
      <c r="AK150" s="310">
        <f>K150*AJ150</f>
        <v/>
      </c>
      <c r="AL150" s="464" t="n">
        <v>0</v>
      </c>
      <c r="AM150" s="310">
        <f>AK150-AL150</f>
        <v/>
      </c>
      <c r="AN150" s="319" t="n">
        <v>0</v>
      </c>
      <c r="AO150" s="310">
        <f>K150*AN150</f>
        <v/>
      </c>
      <c r="AP150" s="464" t="n">
        <v>0</v>
      </c>
      <c r="AQ150" s="310">
        <f>AO150-AP150</f>
        <v/>
      </c>
      <c r="AR150" s="310" t="n">
        <v>0.035</v>
      </c>
      <c r="AS150" s="310">
        <f>K150*AR150</f>
        <v/>
      </c>
      <c r="AT150" s="581" t="n"/>
      <c r="AU150" s="310">
        <f>AS150-AT150</f>
        <v/>
      </c>
      <c r="AV150" s="315" t="n">
        <v>0.06</v>
      </c>
      <c r="AW150" s="310">
        <f>K150*AV150</f>
        <v/>
      </c>
      <c r="AX150" s="581" t="n"/>
      <c r="AY150" s="310">
        <f>AW150-AX150</f>
        <v/>
      </c>
      <c r="AZ150" s="319" t="inlineStr">
        <is>
          <t>按实</t>
        </is>
      </c>
      <c r="BA150" s="310">
        <f>BB150</f>
        <v/>
      </c>
      <c r="BB150" s="466" t="n">
        <v>0</v>
      </c>
      <c r="BC150" s="310">
        <f>BA150-BB150</f>
        <v/>
      </c>
      <c r="BD150" s="310" t="n">
        <v>0</v>
      </c>
      <c r="BE150" s="310">
        <f>BF150</f>
        <v/>
      </c>
      <c r="BF150" s="466" t="n">
        <v>0</v>
      </c>
      <c r="BG150" s="310">
        <f>BE150-BF150</f>
        <v/>
      </c>
      <c r="BH150" s="310" t="n">
        <v>0</v>
      </c>
      <c r="BI150" s="310">
        <f>BJ150</f>
        <v/>
      </c>
      <c r="BJ150" s="466" t="n">
        <v>0</v>
      </c>
      <c r="BK150" s="310">
        <f>BI150-BJ150</f>
        <v/>
      </c>
      <c r="BL150" s="310" t="inlineStr">
        <is>
          <t>按实</t>
        </is>
      </c>
      <c r="BM150" s="307" t="n"/>
      <c r="BN150" s="583" t="n"/>
      <c r="BO150" s="307">
        <f>BM150-BN150</f>
        <v/>
      </c>
      <c r="BP150" s="307">
        <f>N150+Q150+U150+Y150+AC150+AG150+AK150+AO150+AS150+AW150+BA150+BE150+BI150+BM150</f>
        <v/>
      </c>
      <c r="BQ150" s="307">
        <f>N150+R150+V150+Z150+AD150+AH150+AL150+AP150+AT150+AX150+BB150+BF150+BJ150+BN150</f>
        <v/>
      </c>
      <c r="BR150" s="307">
        <f>BP150-BQ150</f>
        <v/>
      </c>
      <c r="BS150" s="323" t="n">
        <v>0.05</v>
      </c>
      <c r="BT150" s="323" t="n">
        <v>0.005</v>
      </c>
      <c r="BU150" s="324" t="inlineStr">
        <is>
          <t>1、装修折旧费：营业额的5%，分组作业未分摊，服务费已包含；
2、采购费不收取；</t>
        </is>
      </c>
      <c r="BV150" s="324" t="inlineStr">
        <is>
          <t>1、签订期间：2026.3.1-2026.7.31；
2、指标按照全年换算；</t>
        </is>
      </c>
      <c r="BW150" s="325" t="n"/>
    </row>
    <row r="151" ht="48" customFormat="1" customHeight="1" s="177">
      <c r="A151" s="306" t="n">
        <v>182</v>
      </c>
      <c r="B151" s="307" t="inlineStr">
        <is>
          <t>KQCY0182</t>
        </is>
      </c>
      <c r="C151" s="242" t="inlineStr">
        <is>
          <t>餐饮三分部</t>
        </is>
      </c>
      <c r="D151" s="242" t="inlineStr">
        <is>
          <t>CF251</t>
        </is>
      </c>
      <c r="E151" s="242" t="inlineStr">
        <is>
          <t>苏州职大二食堂</t>
        </is>
      </c>
      <c r="F151" s="306" t="inlineStr">
        <is>
          <t>分组作业</t>
        </is>
      </c>
      <c r="G151" s="308" t="inlineStr">
        <is>
          <t>张镁镁</t>
        </is>
      </c>
      <c r="H151" s="308" t="inlineStr">
        <is>
          <t>第十班组</t>
        </is>
      </c>
      <c r="I151" s="309" t="inlineStr">
        <is>
          <t>汉堡</t>
        </is>
      </c>
      <c r="J151" s="310" t="inlineStr">
        <is>
          <t>朱燕</t>
        </is>
      </c>
      <c r="K151" s="545">
        <f>LET(k,D151&amp;"|"&amp;E151&amp;"|"&amp;H151&amp;"|"&amp;I151&amp;"|"&amp;J151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51" s="578" t="n"/>
      <c r="M151" s="312" t="n"/>
      <c r="N151" s="579" t="n">
        <v>28</v>
      </c>
      <c r="O151" s="580" t="n">
        <v>0</v>
      </c>
      <c r="P151" s="315" t="n">
        <v>0.19</v>
      </c>
      <c r="Q151" s="310">
        <f>K151*P151</f>
        <v/>
      </c>
      <c r="R151" s="581" t="n"/>
      <c r="S151" s="310">
        <f>Q151-R151</f>
        <v/>
      </c>
      <c r="T151" s="317" t="n">
        <v>0</v>
      </c>
      <c r="U151" s="310">
        <f>K151*T151</f>
        <v/>
      </c>
      <c r="V151" s="464" t="n">
        <v>0</v>
      </c>
      <c r="W151" s="310">
        <f>U151-V151</f>
        <v/>
      </c>
      <c r="X151" s="319" t="n">
        <v>0</v>
      </c>
      <c r="Y151" s="310">
        <f>K151*X151</f>
        <v/>
      </c>
      <c r="Z151" s="464" t="n">
        <v>0</v>
      </c>
      <c r="AA151" s="310">
        <f>Y151-Z151</f>
        <v/>
      </c>
      <c r="AB151" s="327" t="n">
        <v>0</v>
      </c>
      <c r="AC151" s="310">
        <f>K151*AB151</f>
        <v/>
      </c>
      <c r="AD151" s="464" t="n">
        <v>0</v>
      </c>
      <c r="AE151" s="310">
        <f>AC151-AD151</f>
        <v/>
      </c>
      <c r="AF151" s="319" t="n">
        <v>0</v>
      </c>
      <c r="AG151" s="310">
        <f>K151*AF151</f>
        <v/>
      </c>
      <c r="AH151" s="464" t="n">
        <v>0</v>
      </c>
      <c r="AI151" s="310">
        <f>AG151-AH151</f>
        <v/>
      </c>
      <c r="AJ151" s="319" t="n">
        <v>0</v>
      </c>
      <c r="AK151" s="310">
        <f>K151*AJ151</f>
        <v/>
      </c>
      <c r="AL151" s="464" t="n">
        <v>0</v>
      </c>
      <c r="AM151" s="310">
        <f>AK151-AL151</f>
        <v/>
      </c>
      <c r="AN151" s="319" t="n">
        <v>0</v>
      </c>
      <c r="AO151" s="310">
        <f>K151*AN151</f>
        <v/>
      </c>
      <c r="AP151" s="464" t="n">
        <v>0</v>
      </c>
      <c r="AQ151" s="310">
        <f>AO151-AP151</f>
        <v/>
      </c>
      <c r="AR151" s="310" t="n">
        <v>0</v>
      </c>
      <c r="AS151" s="310">
        <f>K151*AR151</f>
        <v/>
      </c>
      <c r="AT151" s="581" t="n"/>
      <c r="AU151" s="310">
        <f>AS151-AT151</f>
        <v/>
      </c>
      <c r="AV151" s="315" t="n">
        <v>0.06</v>
      </c>
      <c r="AW151" s="310">
        <f>K151*AV151</f>
        <v/>
      </c>
      <c r="AX151" s="581" t="n"/>
      <c r="AY151" s="310">
        <f>AW151-AX151</f>
        <v/>
      </c>
      <c r="AZ151" s="319" t="inlineStr">
        <is>
          <t>按实</t>
        </is>
      </c>
      <c r="BA151" s="310">
        <f>BB151</f>
        <v/>
      </c>
      <c r="BB151" s="466" t="n">
        <v>0</v>
      </c>
      <c r="BC151" s="310">
        <f>BA151-BB151</f>
        <v/>
      </c>
      <c r="BD151" s="310" t="n">
        <v>0</v>
      </c>
      <c r="BE151" s="310">
        <f>BF151</f>
        <v/>
      </c>
      <c r="BF151" s="466" t="n">
        <v>0</v>
      </c>
      <c r="BG151" s="310">
        <f>BE151-BF151</f>
        <v/>
      </c>
      <c r="BH151" s="310" t="n">
        <v>0</v>
      </c>
      <c r="BI151" s="310">
        <f>BJ151</f>
        <v/>
      </c>
      <c r="BJ151" s="466" t="n">
        <v>0</v>
      </c>
      <c r="BK151" s="310">
        <f>BI151-BJ151</f>
        <v/>
      </c>
      <c r="BL151" s="310" t="inlineStr">
        <is>
          <t>按实</t>
        </is>
      </c>
      <c r="BM151" s="307" t="n"/>
      <c r="BN151" s="583" t="n"/>
      <c r="BO151" s="307">
        <f>BM151-BN151</f>
        <v/>
      </c>
      <c r="BP151" s="307">
        <f>N151+Q151+U151+Y151+AC151+AG151+AK151+AO151+AS151+AW151+BA151+BE151+BI151+BM151</f>
        <v/>
      </c>
      <c r="BQ151" s="307">
        <f>N151+R151+V151+Z151+AD151+AH151+AL151+AP151+AT151+AX151+BB151+BF151+BJ151+BN151</f>
        <v/>
      </c>
      <c r="BR151" s="307">
        <f>BP151-BQ151</f>
        <v/>
      </c>
      <c r="BS151" s="323" t="n">
        <v>0.05</v>
      </c>
      <c r="BT151" s="323" t="n">
        <v>0.005</v>
      </c>
      <c r="BU151" s="324" t="inlineStr">
        <is>
          <t>1、装修折旧费：营业额的5%，分组作业未分摊，服务费已包含；
2、卫生费不收取；
3、采购费不收取；</t>
        </is>
      </c>
      <c r="BV151" s="324" t="inlineStr">
        <is>
          <t>1、签订期间：2026.3.1-2026.7.31；
2、指标按照全年换算；</t>
        </is>
      </c>
      <c r="BW151" s="325" t="n"/>
    </row>
    <row r="152" ht="36" customFormat="1" customHeight="1" s="177">
      <c r="A152" s="306" t="n">
        <v>183</v>
      </c>
      <c r="B152" s="307" t="inlineStr">
        <is>
          <t>KQCY0183</t>
        </is>
      </c>
      <c r="C152" s="242" t="inlineStr">
        <is>
          <t>餐饮三分部</t>
        </is>
      </c>
      <c r="D152" s="242" t="inlineStr">
        <is>
          <t>CF251</t>
        </is>
      </c>
      <c r="E152" s="242" t="inlineStr">
        <is>
          <t>苏州职大二食堂</t>
        </is>
      </c>
      <c r="F152" s="306" t="inlineStr">
        <is>
          <t>分组作业</t>
        </is>
      </c>
      <c r="G152" s="308" t="inlineStr">
        <is>
          <t>张镁镁</t>
        </is>
      </c>
      <c r="H152" s="308" t="inlineStr">
        <is>
          <t>第十一班组</t>
        </is>
      </c>
      <c r="I152" s="309" t="inlineStr">
        <is>
          <t>麻辣烫</t>
        </is>
      </c>
      <c r="J152" s="326" t="inlineStr">
        <is>
          <t>孙华玲</t>
        </is>
      </c>
      <c r="K152" s="545">
        <f>LET(k,D152&amp;"|"&amp;E152&amp;"|"&amp;H152&amp;"|"&amp;I152&amp;"|"&amp;J152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52" s="578" t="n"/>
      <c r="M152" s="312" t="n"/>
      <c r="N152" s="579" t="n">
        <v>43</v>
      </c>
      <c r="O152" s="580" t="n">
        <v>0</v>
      </c>
      <c r="P152" s="315" t="n">
        <v>0.145</v>
      </c>
      <c r="Q152" s="310">
        <f>K152*P152</f>
        <v/>
      </c>
      <c r="R152" s="581" t="n"/>
      <c r="S152" s="310">
        <f>Q152-R152</f>
        <v/>
      </c>
      <c r="T152" s="317" t="n">
        <v>0</v>
      </c>
      <c r="U152" s="310">
        <f>K152*T152</f>
        <v/>
      </c>
      <c r="V152" s="464" t="n">
        <v>0</v>
      </c>
      <c r="W152" s="310">
        <f>U152-V152</f>
        <v/>
      </c>
      <c r="X152" s="319" t="n">
        <v>0</v>
      </c>
      <c r="Y152" s="310">
        <f>K152*X152</f>
        <v/>
      </c>
      <c r="Z152" s="464" t="n">
        <v>0</v>
      </c>
      <c r="AA152" s="310">
        <f>Y152-Z152</f>
        <v/>
      </c>
      <c r="AB152" s="327" t="n">
        <v>0</v>
      </c>
      <c r="AC152" s="310">
        <f>K152*AB152</f>
        <v/>
      </c>
      <c r="AD152" s="464" t="n">
        <v>0</v>
      </c>
      <c r="AE152" s="310">
        <f>AC152-AD152</f>
        <v/>
      </c>
      <c r="AF152" s="319" t="n">
        <v>0</v>
      </c>
      <c r="AG152" s="310">
        <f>K152*AF152</f>
        <v/>
      </c>
      <c r="AH152" s="464" t="n">
        <v>0</v>
      </c>
      <c r="AI152" s="310">
        <f>AG152-AH152</f>
        <v/>
      </c>
      <c r="AJ152" s="319" t="n">
        <v>0</v>
      </c>
      <c r="AK152" s="310">
        <f>K152*AJ152</f>
        <v/>
      </c>
      <c r="AL152" s="464" t="n">
        <v>0</v>
      </c>
      <c r="AM152" s="310">
        <f>AK152-AL152</f>
        <v/>
      </c>
      <c r="AN152" s="319" t="n">
        <v>0</v>
      </c>
      <c r="AO152" s="310">
        <f>K152*AN152</f>
        <v/>
      </c>
      <c r="AP152" s="464" t="n">
        <v>0</v>
      </c>
      <c r="AQ152" s="310">
        <f>AO152-AP152</f>
        <v/>
      </c>
      <c r="AR152" s="310" t="n">
        <v>0.035</v>
      </c>
      <c r="AS152" s="310">
        <f>K152*AR152</f>
        <v/>
      </c>
      <c r="AT152" s="581" t="n"/>
      <c r="AU152" s="310">
        <f>AS152-AT152</f>
        <v/>
      </c>
      <c r="AV152" s="315" t="n">
        <v>0.06</v>
      </c>
      <c r="AW152" s="310">
        <f>K152*AV152</f>
        <v/>
      </c>
      <c r="AX152" s="581" t="n"/>
      <c r="AY152" s="310">
        <f>AW152-AX152</f>
        <v/>
      </c>
      <c r="AZ152" s="319" t="inlineStr">
        <is>
          <t>按实</t>
        </is>
      </c>
      <c r="BA152" s="310">
        <f>BB152</f>
        <v/>
      </c>
      <c r="BB152" s="466" t="n">
        <v>0</v>
      </c>
      <c r="BC152" s="310">
        <f>BA152-BB152</f>
        <v/>
      </c>
      <c r="BD152" s="310" t="n">
        <v>0</v>
      </c>
      <c r="BE152" s="310">
        <f>BF152</f>
        <v/>
      </c>
      <c r="BF152" s="466" t="n">
        <v>0</v>
      </c>
      <c r="BG152" s="310">
        <f>BE152-BF152</f>
        <v/>
      </c>
      <c r="BH152" s="310" t="n">
        <v>0</v>
      </c>
      <c r="BI152" s="310">
        <f>BJ152</f>
        <v/>
      </c>
      <c r="BJ152" s="466" t="n">
        <v>0</v>
      </c>
      <c r="BK152" s="310">
        <f>BI152-BJ152</f>
        <v/>
      </c>
      <c r="BL152" s="310" t="inlineStr">
        <is>
          <t>按实</t>
        </is>
      </c>
      <c r="BM152" s="307" t="n"/>
      <c r="BN152" s="583" t="n"/>
      <c r="BO152" s="307">
        <f>BM152-BN152</f>
        <v/>
      </c>
      <c r="BP152" s="307">
        <f>N152+Q152+U152+Y152+AC152+AG152+AK152+AO152+AS152+AW152+BA152+BE152+BI152+BM152</f>
        <v/>
      </c>
      <c r="BQ152" s="307">
        <f>N152+R152+V152+Z152+AD152+AH152+AL152+AP152+AT152+AX152+BB152+BF152+BJ152+BN152</f>
        <v/>
      </c>
      <c r="BR152" s="307">
        <f>BP152-BQ152</f>
        <v/>
      </c>
      <c r="BS152" s="323" t="n">
        <v>0.05</v>
      </c>
      <c r="BT152" s="323" t="n">
        <v>0.005</v>
      </c>
      <c r="BU152" s="324" t="inlineStr">
        <is>
          <t>1、装修折旧费：营业额的5%，分组作业未分摊，服务费已包含；
2、采购费不收取；</t>
        </is>
      </c>
      <c r="BV152" s="324" t="inlineStr">
        <is>
          <t>1、签订期间：2026.3.1-2026.7.31；
2、指标按照全年换算；</t>
        </is>
      </c>
      <c r="BW152" s="325" t="n"/>
    </row>
    <row r="153" ht="36" customFormat="1" customHeight="1" s="177">
      <c r="A153" s="306" t="n">
        <v>184</v>
      </c>
      <c r="B153" s="307" t="inlineStr">
        <is>
          <t>KQCY0184</t>
        </is>
      </c>
      <c r="C153" s="242" t="inlineStr">
        <is>
          <t>餐饮三分部</t>
        </is>
      </c>
      <c r="D153" s="242" t="inlineStr">
        <is>
          <t>CF251</t>
        </is>
      </c>
      <c r="E153" s="242" t="inlineStr">
        <is>
          <t>苏州职大二食堂</t>
        </is>
      </c>
      <c r="F153" s="306" t="inlineStr">
        <is>
          <t>分组作业</t>
        </is>
      </c>
      <c r="G153" s="308" t="inlineStr">
        <is>
          <t>张镁镁</t>
        </is>
      </c>
      <c r="H153" s="308" t="inlineStr">
        <is>
          <t>第十二班组</t>
        </is>
      </c>
      <c r="I153" s="309" t="inlineStr">
        <is>
          <t>香扒饭</t>
        </is>
      </c>
      <c r="J153" s="326" t="inlineStr">
        <is>
          <t>魏加健</t>
        </is>
      </c>
      <c r="K153" s="545">
        <f>LET(k,D153&amp;"|"&amp;E153&amp;"|"&amp;H153&amp;"|"&amp;I153&amp;"|"&amp;J153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53" s="578" t="n"/>
      <c r="M153" s="312" t="n"/>
      <c r="N153" s="579" t="n">
        <v>43</v>
      </c>
      <c r="O153" s="580" t="n">
        <v>0</v>
      </c>
      <c r="P153" s="315" t="n">
        <v>0.145</v>
      </c>
      <c r="Q153" s="310">
        <f>K153*P153</f>
        <v/>
      </c>
      <c r="R153" s="581" t="n"/>
      <c r="S153" s="310">
        <f>Q153-R153</f>
        <v/>
      </c>
      <c r="T153" s="317" t="n">
        <v>0</v>
      </c>
      <c r="U153" s="310">
        <f>K153*T153</f>
        <v/>
      </c>
      <c r="V153" s="464" t="n">
        <v>0</v>
      </c>
      <c r="W153" s="310">
        <f>U153-V153</f>
        <v/>
      </c>
      <c r="X153" s="319" t="n">
        <v>0</v>
      </c>
      <c r="Y153" s="310">
        <f>K153*X153</f>
        <v/>
      </c>
      <c r="Z153" s="464" t="n">
        <v>0</v>
      </c>
      <c r="AA153" s="310">
        <f>Y153-Z153</f>
        <v/>
      </c>
      <c r="AB153" s="327" t="n">
        <v>0</v>
      </c>
      <c r="AC153" s="310">
        <f>K153*AB153</f>
        <v/>
      </c>
      <c r="AD153" s="464" t="n">
        <v>0</v>
      </c>
      <c r="AE153" s="310">
        <f>AC153-AD153</f>
        <v/>
      </c>
      <c r="AF153" s="319" t="n">
        <v>0</v>
      </c>
      <c r="AG153" s="310">
        <f>K153*AF153</f>
        <v/>
      </c>
      <c r="AH153" s="464" t="n">
        <v>0</v>
      </c>
      <c r="AI153" s="310">
        <f>AG153-AH153</f>
        <v/>
      </c>
      <c r="AJ153" s="319" t="n">
        <v>0</v>
      </c>
      <c r="AK153" s="310">
        <f>K153*AJ153</f>
        <v/>
      </c>
      <c r="AL153" s="464" t="n">
        <v>0</v>
      </c>
      <c r="AM153" s="310">
        <f>AK153-AL153</f>
        <v/>
      </c>
      <c r="AN153" s="319" t="n">
        <v>0</v>
      </c>
      <c r="AO153" s="310">
        <f>K153*AN153</f>
        <v/>
      </c>
      <c r="AP153" s="464" t="n">
        <v>0</v>
      </c>
      <c r="AQ153" s="310">
        <f>AO153-AP153</f>
        <v/>
      </c>
      <c r="AR153" s="310" t="n">
        <v>0.035</v>
      </c>
      <c r="AS153" s="310">
        <f>K153*AR153</f>
        <v/>
      </c>
      <c r="AT153" s="581" t="n"/>
      <c r="AU153" s="310">
        <f>AS153-AT153</f>
        <v/>
      </c>
      <c r="AV153" s="315" t="n">
        <v>0.06</v>
      </c>
      <c r="AW153" s="310">
        <f>K153*AV153</f>
        <v/>
      </c>
      <c r="AX153" s="581" t="n"/>
      <c r="AY153" s="310">
        <f>AW153-AX153</f>
        <v/>
      </c>
      <c r="AZ153" s="319" t="inlineStr">
        <is>
          <t>按实</t>
        </is>
      </c>
      <c r="BA153" s="310">
        <f>BB153</f>
        <v/>
      </c>
      <c r="BB153" s="466" t="n">
        <v>0</v>
      </c>
      <c r="BC153" s="310">
        <f>BA153-BB153</f>
        <v/>
      </c>
      <c r="BD153" s="310" t="n">
        <v>0</v>
      </c>
      <c r="BE153" s="310">
        <f>BF153</f>
        <v/>
      </c>
      <c r="BF153" s="466" t="n">
        <v>0</v>
      </c>
      <c r="BG153" s="310">
        <f>BE153-BF153</f>
        <v/>
      </c>
      <c r="BH153" s="310" t="n">
        <v>0</v>
      </c>
      <c r="BI153" s="310">
        <f>BJ153</f>
        <v/>
      </c>
      <c r="BJ153" s="466" t="n">
        <v>0</v>
      </c>
      <c r="BK153" s="310">
        <f>BI153-BJ153</f>
        <v/>
      </c>
      <c r="BL153" s="310" t="inlineStr">
        <is>
          <t>按实</t>
        </is>
      </c>
      <c r="BM153" s="307" t="n"/>
      <c r="BN153" s="583" t="n"/>
      <c r="BO153" s="307">
        <f>BM153-BN153</f>
        <v/>
      </c>
      <c r="BP153" s="307">
        <f>N153+Q153+U153+Y153+AC153+AG153+AK153+AO153+AS153+AW153+BA153+BE153+BI153+BM153</f>
        <v/>
      </c>
      <c r="BQ153" s="307">
        <f>N153+R153+V153+Z153+AD153+AH153+AL153+AP153+AT153+AX153+BB153+BF153+BJ153+BN153</f>
        <v/>
      </c>
      <c r="BR153" s="307">
        <f>BP153-BQ153</f>
        <v/>
      </c>
      <c r="BS153" s="323" t="n">
        <v>0.05</v>
      </c>
      <c r="BT153" s="323" t="n">
        <v>0.005</v>
      </c>
      <c r="BU153" s="324" t="inlineStr">
        <is>
          <t>1、装修折旧费：营业额的5%，分组作业未分摊，服务费已包含；
2、采购费不收取；</t>
        </is>
      </c>
      <c r="BV153" s="324" t="inlineStr">
        <is>
          <t>1、签订期间：2026.3.1-2026.7.31；
2、指标按照全年换算；</t>
        </is>
      </c>
      <c r="BW153" s="325" t="n"/>
    </row>
    <row r="154" ht="36" customFormat="1" customHeight="1" s="177">
      <c r="A154" s="306" t="n">
        <v>185</v>
      </c>
      <c r="B154" s="307" t="inlineStr">
        <is>
          <t>KQCY0185</t>
        </is>
      </c>
      <c r="C154" s="242" t="inlineStr">
        <is>
          <t>餐饮三分部</t>
        </is>
      </c>
      <c r="D154" s="242" t="inlineStr">
        <is>
          <t>CF251</t>
        </is>
      </c>
      <c r="E154" s="242" t="inlineStr">
        <is>
          <t>苏州职大二食堂</t>
        </is>
      </c>
      <c r="F154" s="306" t="inlineStr">
        <is>
          <t>分组作业</t>
        </is>
      </c>
      <c r="G154" s="308" t="inlineStr">
        <is>
          <t>张镁镁</t>
        </is>
      </c>
      <c r="H154" s="308" t="inlineStr">
        <is>
          <t>第十三班组</t>
        </is>
      </c>
      <c r="I154" s="309" t="inlineStr">
        <is>
          <t>瓦香鸡</t>
        </is>
      </c>
      <c r="J154" s="326" t="inlineStr">
        <is>
          <t>张明明</t>
        </is>
      </c>
      <c r="K154" s="545">
        <f>LET(k,D154&amp;"|"&amp;E154&amp;"|"&amp;H154&amp;"|"&amp;I154&amp;"|"&amp;J154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54" s="578" t="n"/>
      <c r="M154" s="312" t="n"/>
      <c r="N154" s="579" t="n">
        <v>1698.59</v>
      </c>
      <c r="O154" s="580" t="n">
        <v>0</v>
      </c>
      <c r="P154" s="315" t="n">
        <v>0.145</v>
      </c>
      <c r="Q154" s="310">
        <f>K154*P154</f>
        <v/>
      </c>
      <c r="R154" s="581" t="n"/>
      <c r="S154" s="310">
        <f>Q154-R154</f>
        <v/>
      </c>
      <c r="T154" s="317" t="n">
        <v>0</v>
      </c>
      <c r="U154" s="310">
        <f>K154*T154</f>
        <v/>
      </c>
      <c r="V154" s="464" t="n">
        <v>0</v>
      </c>
      <c r="W154" s="310">
        <f>U154-V154</f>
        <v/>
      </c>
      <c r="X154" s="319" t="n">
        <v>0</v>
      </c>
      <c r="Y154" s="310">
        <f>K154*X154</f>
        <v/>
      </c>
      <c r="Z154" s="464" t="n">
        <v>0</v>
      </c>
      <c r="AA154" s="310">
        <f>Y154-Z154</f>
        <v/>
      </c>
      <c r="AB154" s="327" t="n">
        <v>0</v>
      </c>
      <c r="AC154" s="310">
        <f>K154*AB154</f>
        <v/>
      </c>
      <c r="AD154" s="464" t="n">
        <v>0</v>
      </c>
      <c r="AE154" s="310">
        <f>AC154-AD154</f>
        <v/>
      </c>
      <c r="AF154" s="319" t="n">
        <v>0</v>
      </c>
      <c r="AG154" s="310">
        <f>K154*AF154</f>
        <v/>
      </c>
      <c r="AH154" s="464" t="n">
        <v>0</v>
      </c>
      <c r="AI154" s="310">
        <f>AG154-AH154</f>
        <v/>
      </c>
      <c r="AJ154" s="319" t="n">
        <v>0</v>
      </c>
      <c r="AK154" s="310">
        <f>K154*AJ154</f>
        <v/>
      </c>
      <c r="AL154" s="464" t="n">
        <v>0</v>
      </c>
      <c r="AM154" s="310">
        <f>AK154-AL154</f>
        <v/>
      </c>
      <c r="AN154" s="319" t="n">
        <v>0</v>
      </c>
      <c r="AO154" s="310">
        <f>K154*AN154</f>
        <v/>
      </c>
      <c r="AP154" s="464" t="n">
        <v>0</v>
      </c>
      <c r="AQ154" s="310">
        <f>AO154-AP154</f>
        <v/>
      </c>
      <c r="AR154" s="310" t="n">
        <v>0.035</v>
      </c>
      <c r="AS154" s="310">
        <f>K154*AR154</f>
        <v/>
      </c>
      <c r="AT154" s="581" t="n"/>
      <c r="AU154" s="310">
        <f>AS154-AT154</f>
        <v/>
      </c>
      <c r="AV154" s="315" t="n">
        <v>0.06</v>
      </c>
      <c r="AW154" s="310">
        <f>K154*AV154</f>
        <v/>
      </c>
      <c r="AX154" s="581" t="n"/>
      <c r="AY154" s="310">
        <f>AW154-AX154</f>
        <v/>
      </c>
      <c r="AZ154" s="319" t="inlineStr">
        <is>
          <t>按实</t>
        </is>
      </c>
      <c r="BA154" s="310">
        <f>BB154</f>
        <v/>
      </c>
      <c r="BB154" s="466" t="n">
        <v>0</v>
      </c>
      <c r="BC154" s="310">
        <f>BA154-BB154</f>
        <v/>
      </c>
      <c r="BD154" s="310" t="n">
        <v>0</v>
      </c>
      <c r="BE154" s="310">
        <f>BF154</f>
        <v/>
      </c>
      <c r="BF154" s="466" t="n">
        <v>0</v>
      </c>
      <c r="BG154" s="310">
        <f>BE154-BF154</f>
        <v/>
      </c>
      <c r="BH154" s="310" t="n">
        <v>0</v>
      </c>
      <c r="BI154" s="310">
        <f>BJ154</f>
        <v/>
      </c>
      <c r="BJ154" s="466" t="n">
        <v>0</v>
      </c>
      <c r="BK154" s="310">
        <f>BI154-BJ154</f>
        <v/>
      </c>
      <c r="BL154" s="310" t="inlineStr">
        <is>
          <t>按实</t>
        </is>
      </c>
      <c r="BM154" s="307" t="n"/>
      <c r="BN154" s="583" t="n"/>
      <c r="BO154" s="307">
        <f>BM154-BN154</f>
        <v/>
      </c>
      <c r="BP154" s="307">
        <f>N154+Q154+U154+Y154+AC154+AG154+AK154+AO154+AS154+AW154+BA154+BE154+BI154+BM154</f>
        <v/>
      </c>
      <c r="BQ154" s="307">
        <f>N154+R154+V154+Z154+AD154+AH154+AL154+AP154+AT154+AX154+BB154+BF154+BJ154+BN154</f>
        <v/>
      </c>
      <c r="BR154" s="307">
        <f>BP154-BQ154</f>
        <v/>
      </c>
      <c r="BS154" s="323" t="n">
        <v>0.05</v>
      </c>
      <c r="BT154" s="323" t="n">
        <v>0.005</v>
      </c>
      <c r="BU154" s="324" t="inlineStr">
        <is>
          <t>1、装修折旧费：营业额的5%，分组作业未分摊，服务费已包含；
2、采购费不收取；</t>
        </is>
      </c>
      <c r="BV154" s="324" t="inlineStr">
        <is>
          <t>1、签订期间：2026.3.1-2026.7.31；
2、指标按照全年换算；</t>
        </is>
      </c>
      <c r="BW154" s="325" t="n"/>
    </row>
    <row r="155" ht="36" customFormat="1" customHeight="1" s="177">
      <c r="A155" s="306" t="n">
        <v>186</v>
      </c>
      <c r="B155" s="307" t="inlineStr">
        <is>
          <t>KQCY0186</t>
        </is>
      </c>
      <c r="C155" s="242" t="inlineStr">
        <is>
          <t>餐饮三分部</t>
        </is>
      </c>
      <c r="D155" s="242" t="inlineStr">
        <is>
          <t>CF251</t>
        </is>
      </c>
      <c r="E155" s="242" t="inlineStr">
        <is>
          <t>苏州职大二食堂</t>
        </is>
      </c>
      <c r="F155" s="306" t="inlineStr">
        <is>
          <t>分组作业</t>
        </is>
      </c>
      <c r="G155" s="308" t="inlineStr">
        <is>
          <t>张镁镁</t>
        </is>
      </c>
      <c r="H155" s="308" t="inlineStr">
        <is>
          <t>第十四班组</t>
        </is>
      </c>
      <c r="I155" s="309" t="inlineStr">
        <is>
          <t>羊杂面</t>
        </is>
      </c>
      <c r="J155" s="326" t="inlineStr">
        <is>
          <t>王俊鹏</t>
        </is>
      </c>
      <c r="K155" s="545">
        <f>LET(k,D155&amp;"|"&amp;E155&amp;"|"&amp;H155&amp;"|"&amp;I155&amp;"|"&amp;J155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55" s="578" t="n"/>
      <c r="M155" s="312" t="n"/>
      <c r="N155" s="579" t="n">
        <v>43</v>
      </c>
      <c r="O155" s="580" t="n">
        <v>0</v>
      </c>
      <c r="P155" s="315" t="n">
        <v>0.165</v>
      </c>
      <c r="Q155" s="310">
        <f>K155*P155</f>
        <v/>
      </c>
      <c r="R155" s="581" t="n"/>
      <c r="S155" s="310">
        <f>Q155-R155</f>
        <v/>
      </c>
      <c r="T155" s="317" t="n">
        <v>0</v>
      </c>
      <c r="U155" s="310">
        <f>K155*T155</f>
        <v/>
      </c>
      <c r="V155" s="464" t="n">
        <v>0</v>
      </c>
      <c r="W155" s="310">
        <f>U155-V155</f>
        <v/>
      </c>
      <c r="X155" s="319" t="n">
        <v>0</v>
      </c>
      <c r="Y155" s="310">
        <f>K155*X155</f>
        <v/>
      </c>
      <c r="Z155" s="464" t="n">
        <v>0</v>
      </c>
      <c r="AA155" s="310">
        <f>Y155-Z155</f>
        <v/>
      </c>
      <c r="AB155" s="327" t="n">
        <v>0</v>
      </c>
      <c r="AC155" s="310">
        <f>K155*AB155</f>
        <v/>
      </c>
      <c r="AD155" s="464" t="n">
        <v>0</v>
      </c>
      <c r="AE155" s="310">
        <f>AC155-AD155</f>
        <v/>
      </c>
      <c r="AF155" s="319" t="n">
        <v>0</v>
      </c>
      <c r="AG155" s="310">
        <f>K155*AF155</f>
        <v/>
      </c>
      <c r="AH155" s="464" t="n">
        <v>0</v>
      </c>
      <c r="AI155" s="310">
        <f>AG155-AH155</f>
        <v/>
      </c>
      <c r="AJ155" s="319" t="n">
        <v>0</v>
      </c>
      <c r="AK155" s="310">
        <f>K155*AJ155</f>
        <v/>
      </c>
      <c r="AL155" s="464" t="n">
        <v>0</v>
      </c>
      <c r="AM155" s="310">
        <f>AK155-AL155</f>
        <v/>
      </c>
      <c r="AN155" s="319" t="n">
        <v>0</v>
      </c>
      <c r="AO155" s="310">
        <f>K155*AN155</f>
        <v/>
      </c>
      <c r="AP155" s="464" t="n">
        <v>0</v>
      </c>
      <c r="AQ155" s="310">
        <f>AO155-AP155</f>
        <v/>
      </c>
      <c r="AR155" s="310" t="n">
        <v>0.035</v>
      </c>
      <c r="AS155" s="310">
        <f>K155*AR155</f>
        <v/>
      </c>
      <c r="AT155" s="581" t="n"/>
      <c r="AU155" s="310">
        <f>AS155-AT155</f>
        <v/>
      </c>
      <c r="AV155" s="315" t="n">
        <v>0.06</v>
      </c>
      <c r="AW155" s="310">
        <f>K155*AV155</f>
        <v/>
      </c>
      <c r="AX155" s="581" t="n"/>
      <c r="AY155" s="310">
        <f>AW155-AX155</f>
        <v/>
      </c>
      <c r="AZ155" s="319" t="inlineStr">
        <is>
          <t>按实</t>
        </is>
      </c>
      <c r="BA155" s="310">
        <f>BB155</f>
        <v/>
      </c>
      <c r="BB155" s="466" t="n">
        <v>0</v>
      </c>
      <c r="BC155" s="310">
        <f>BA155-BB155</f>
        <v/>
      </c>
      <c r="BD155" s="310" t="n">
        <v>0</v>
      </c>
      <c r="BE155" s="310">
        <f>BF155</f>
        <v/>
      </c>
      <c r="BF155" s="466" t="n">
        <v>0</v>
      </c>
      <c r="BG155" s="310">
        <f>BE155-BF155</f>
        <v/>
      </c>
      <c r="BH155" s="310" t="n">
        <v>0</v>
      </c>
      <c r="BI155" s="310" t="n"/>
      <c r="BJ155" s="466" t="n"/>
      <c r="BK155" s="310">
        <f>BI155-BJ155</f>
        <v/>
      </c>
      <c r="BL155" s="310" t="inlineStr">
        <is>
          <t>按实</t>
        </is>
      </c>
      <c r="BM155" s="307" t="n"/>
      <c r="BN155" s="583" t="n"/>
      <c r="BO155" s="307">
        <f>BM155-BN155</f>
        <v/>
      </c>
      <c r="BP155" s="307">
        <f>N155+Q155+U155+Y155+AC155+AG155+AK155+AO155+AS155+AW155+BA155+BE155+BI155+BM155</f>
        <v/>
      </c>
      <c r="BQ155" s="307">
        <f>N155+R155+V155+Z155+AD155+AH155+AL155+AP155+AT155+AX155+BB155+BF155+BJ155+BN155</f>
        <v/>
      </c>
      <c r="BR155" s="307">
        <f>BP155-BQ155</f>
        <v/>
      </c>
      <c r="BS155" s="323" t="n">
        <v>0.05</v>
      </c>
      <c r="BT155" s="323" t="n">
        <v>0.005</v>
      </c>
      <c r="BU155" s="324" t="inlineStr">
        <is>
          <t>1、装修折旧费：营业额的5%，分组作业未分摊，服务费已包含；
2、采购费不收取；</t>
        </is>
      </c>
      <c r="BV155" s="324" t="inlineStr">
        <is>
          <t>1、签订期间：2026.3.1-2026.7.31；
2、指标按照全年换算；</t>
        </is>
      </c>
      <c r="BW155" s="325" t="n"/>
    </row>
    <row r="156" ht="36" customFormat="1" customHeight="1" s="177">
      <c r="A156" s="306" t="n">
        <v>187</v>
      </c>
      <c r="B156" s="307" t="inlineStr">
        <is>
          <t>KQCY0187</t>
        </is>
      </c>
      <c r="C156" s="242" t="inlineStr">
        <is>
          <t>餐饮三分部</t>
        </is>
      </c>
      <c r="D156" s="242" t="inlineStr">
        <is>
          <t>CF251</t>
        </is>
      </c>
      <c r="E156" s="242" t="inlineStr">
        <is>
          <t>苏州职大二食堂</t>
        </is>
      </c>
      <c r="F156" s="306" t="inlineStr">
        <is>
          <t>分组作业</t>
        </is>
      </c>
      <c r="G156" s="308" t="inlineStr">
        <is>
          <t>张镁镁</t>
        </is>
      </c>
      <c r="H156" s="308" t="inlineStr">
        <is>
          <t>第十五班组</t>
        </is>
      </c>
      <c r="I156" s="309" t="inlineStr">
        <is>
          <t>苏式红汤面</t>
        </is>
      </c>
      <c r="J156" s="326" t="inlineStr">
        <is>
          <t>程周如</t>
        </is>
      </c>
      <c r="K156" s="545">
        <f>LET(k,D156&amp;"|"&amp;E156&amp;"|"&amp;H156&amp;"|"&amp;I156&amp;"|"&amp;J156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56" s="578" t="n"/>
      <c r="M156" s="312" t="n"/>
      <c r="N156" s="579" t="n"/>
      <c r="O156" s="580" t="n">
        <v>0</v>
      </c>
      <c r="P156" s="315" t="n">
        <v>0.165</v>
      </c>
      <c r="Q156" s="310">
        <f>K156*P156</f>
        <v/>
      </c>
      <c r="R156" s="581" t="n"/>
      <c r="S156" s="310">
        <f>Q156-R156</f>
        <v/>
      </c>
      <c r="T156" s="317" t="n">
        <v>0</v>
      </c>
      <c r="U156" s="310">
        <f>K156*T156</f>
        <v/>
      </c>
      <c r="V156" s="464" t="n">
        <v>0</v>
      </c>
      <c r="W156" s="310">
        <f>U156-V156</f>
        <v/>
      </c>
      <c r="X156" s="319" t="n">
        <v>0</v>
      </c>
      <c r="Y156" s="310">
        <f>K156*X156</f>
        <v/>
      </c>
      <c r="Z156" s="464" t="n">
        <v>0</v>
      </c>
      <c r="AA156" s="310">
        <f>Y156-Z156</f>
        <v/>
      </c>
      <c r="AB156" s="327" t="n">
        <v>0</v>
      </c>
      <c r="AC156" s="310">
        <f>K156*AB156</f>
        <v/>
      </c>
      <c r="AD156" s="464" t="n">
        <v>0</v>
      </c>
      <c r="AE156" s="310">
        <f>AC156-AD156</f>
        <v/>
      </c>
      <c r="AF156" s="319" t="n">
        <v>0</v>
      </c>
      <c r="AG156" s="310">
        <f>K156*AF156</f>
        <v/>
      </c>
      <c r="AH156" s="464" t="n">
        <v>0</v>
      </c>
      <c r="AI156" s="310">
        <f>AG156-AH156</f>
        <v/>
      </c>
      <c r="AJ156" s="319" t="n">
        <v>0</v>
      </c>
      <c r="AK156" s="310">
        <f>K156*AJ156</f>
        <v/>
      </c>
      <c r="AL156" s="464" t="n">
        <v>0</v>
      </c>
      <c r="AM156" s="310">
        <f>AK156-AL156</f>
        <v/>
      </c>
      <c r="AN156" s="319" t="n">
        <v>0</v>
      </c>
      <c r="AO156" s="310">
        <f>K156*AN156</f>
        <v/>
      </c>
      <c r="AP156" s="464" t="n">
        <v>0</v>
      </c>
      <c r="AQ156" s="310">
        <f>AO156-AP156</f>
        <v/>
      </c>
      <c r="AR156" s="310" t="n">
        <v>0.035</v>
      </c>
      <c r="AS156" s="310">
        <f>K156*AR156</f>
        <v/>
      </c>
      <c r="AT156" s="581" t="n"/>
      <c r="AU156" s="310">
        <f>AS156-AT156</f>
        <v/>
      </c>
      <c r="AV156" s="315" t="n">
        <v>0.06</v>
      </c>
      <c r="AW156" s="310">
        <f>K156*AV156</f>
        <v/>
      </c>
      <c r="AX156" s="581" t="n"/>
      <c r="AY156" s="310">
        <f>AW156-AX156</f>
        <v/>
      </c>
      <c r="AZ156" s="319" t="inlineStr">
        <is>
          <t>按实</t>
        </is>
      </c>
      <c r="BA156" s="310">
        <f>BB156</f>
        <v/>
      </c>
      <c r="BB156" s="466" t="n">
        <v>0</v>
      </c>
      <c r="BC156" s="310">
        <f>BA156-BB156</f>
        <v/>
      </c>
      <c r="BD156" s="310" t="n">
        <v>0</v>
      </c>
      <c r="BE156" s="310">
        <f>BF156</f>
        <v/>
      </c>
      <c r="BF156" s="466" t="n">
        <v>0</v>
      </c>
      <c r="BG156" s="310">
        <f>BE156-BF156</f>
        <v/>
      </c>
      <c r="BH156" s="310" t="n">
        <v>0</v>
      </c>
      <c r="BI156" s="310">
        <f>BJ156</f>
        <v/>
      </c>
      <c r="BJ156" s="466" t="n">
        <v>0</v>
      </c>
      <c r="BK156" s="310">
        <f>BI156-BJ156</f>
        <v/>
      </c>
      <c r="BL156" s="310" t="inlineStr">
        <is>
          <t>按实</t>
        </is>
      </c>
      <c r="BM156" s="307" t="n"/>
      <c r="BN156" s="583" t="n"/>
      <c r="BO156" s="307">
        <f>BM156-BN156</f>
        <v/>
      </c>
      <c r="BP156" s="307">
        <f>N156+Q156+U156+Y156+AC156+AG156+AK156+AO156+AS156+AW156+BA156+BE156+BI156+BM156</f>
        <v/>
      </c>
      <c r="BQ156" s="307">
        <f>N156+R156+V156+Z156+AD156+AH156+AL156+AP156+AT156+AX156+BB156+BF156+BJ156+BN156</f>
        <v/>
      </c>
      <c r="BR156" s="307">
        <f>BP156-BQ156</f>
        <v/>
      </c>
      <c r="BS156" s="323" t="n">
        <v>0.05</v>
      </c>
      <c r="BT156" s="323" t="n">
        <v>0.005</v>
      </c>
      <c r="BU156" s="324" t="inlineStr">
        <is>
          <t>1、装修折旧费：营业额的5%，分组作业未分摊，服务费已包含；
2、采购费不收取；</t>
        </is>
      </c>
      <c r="BV156" s="324" t="inlineStr">
        <is>
          <t>1、签订期间：2026.3.1-2026.7.31；
2、指标按照全年换算；</t>
        </is>
      </c>
      <c r="BW156" s="325" t="n"/>
    </row>
    <row r="157" ht="48" customFormat="1" customHeight="1" s="177">
      <c r="A157" s="306" t="n">
        <v>188</v>
      </c>
      <c r="B157" s="307" t="inlineStr">
        <is>
          <t>KQCY0188</t>
        </is>
      </c>
      <c r="C157" s="242" t="inlineStr">
        <is>
          <t>餐饮三分部</t>
        </is>
      </c>
      <c r="D157" s="242" t="inlineStr">
        <is>
          <t>CF251</t>
        </is>
      </c>
      <c r="E157" s="242" t="inlineStr">
        <is>
          <t>苏州职大二食堂</t>
        </is>
      </c>
      <c r="F157" s="306" t="inlineStr">
        <is>
          <t>分组作业</t>
        </is>
      </c>
      <c r="G157" s="308" t="inlineStr">
        <is>
          <t>张镁镁</t>
        </is>
      </c>
      <c r="H157" s="308" t="inlineStr">
        <is>
          <t>第十六班组</t>
        </is>
      </c>
      <c r="I157" s="309" t="inlineStr">
        <is>
          <t>烤鸭</t>
        </is>
      </c>
      <c r="J157" s="310" t="inlineStr">
        <is>
          <t>李嘉康</t>
        </is>
      </c>
      <c r="K157" s="545">
        <f>LET(k,D157&amp;"|"&amp;E157&amp;"|"&amp;H157&amp;"|"&amp;I157&amp;"|"&amp;J157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57" s="578" t="n"/>
      <c r="M157" s="312" t="n"/>
      <c r="N157" s="579" t="n"/>
      <c r="O157" s="580" t="n">
        <v>0</v>
      </c>
      <c r="P157" s="315" t="n">
        <v>0.155</v>
      </c>
      <c r="Q157" s="310">
        <f>K157*P157</f>
        <v/>
      </c>
      <c r="R157" s="581" t="n"/>
      <c r="S157" s="310">
        <f>Q157-R157</f>
        <v/>
      </c>
      <c r="T157" s="317" t="n">
        <v>0</v>
      </c>
      <c r="U157" s="310">
        <f>K157*T157</f>
        <v/>
      </c>
      <c r="V157" s="464" t="n">
        <v>0</v>
      </c>
      <c r="W157" s="310">
        <f>U157-V157</f>
        <v/>
      </c>
      <c r="X157" s="319" t="n">
        <v>0</v>
      </c>
      <c r="Y157" s="310">
        <f>K157*X157</f>
        <v/>
      </c>
      <c r="Z157" s="464" t="n">
        <v>0</v>
      </c>
      <c r="AA157" s="310">
        <f>Y157-Z157</f>
        <v/>
      </c>
      <c r="AB157" s="327" t="n">
        <v>0</v>
      </c>
      <c r="AC157" s="310">
        <f>K157*AB157</f>
        <v/>
      </c>
      <c r="AD157" s="464" t="n">
        <v>0</v>
      </c>
      <c r="AE157" s="310">
        <f>AC157-AD157</f>
        <v/>
      </c>
      <c r="AF157" s="319" t="n">
        <v>0</v>
      </c>
      <c r="AG157" s="310">
        <f>K157*AF157</f>
        <v/>
      </c>
      <c r="AH157" s="464" t="n">
        <v>0</v>
      </c>
      <c r="AI157" s="310">
        <f>AG157-AH157</f>
        <v/>
      </c>
      <c r="AJ157" s="319" t="n">
        <v>0</v>
      </c>
      <c r="AK157" s="310">
        <f>K157*AJ157</f>
        <v/>
      </c>
      <c r="AL157" s="464" t="n">
        <v>0</v>
      </c>
      <c r="AM157" s="310">
        <f>AK157-AL157</f>
        <v/>
      </c>
      <c r="AN157" s="319" t="n">
        <v>0</v>
      </c>
      <c r="AO157" s="310">
        <f>K157*AN157</f>
        <v/>
      </c>
      <c r="AP157" s="464" t="n">
        <v>0</v>
      </c>
      <c r="AQ157" s="310">
        <f>AO157-AP157</f>
        <v/>
      </c>
      <c r="AR157" s="310" t="n">
        <v>0.035</v>
      </c>
      <c r="AS157" s="310">
        <f>K157*AR157</f>
        <v/>
      </c>
      <c r="AT157" s="581" t="n"/>
      <c r="AU157" s="310">
        <f>AS157-AT157</f>
        <v/>
      </c>
      <c r="AV157" s="315" t="n">
        <v>0.06</v>
      </c>
      <c r="AW157" s="310">
        <f>K157*AV157</f>
        <v/>
      </c>
      <c r="AX157" s="581" t="n"/>
      <c r="AY157" s="310">
        <f>AW157-AX157</f>
        <v/>
      </c>
      <c r="AZ157" s="319" t="inlineStr">
        <is>
          <t>按实</t>
        </is>
      </c>
      <c r="BA157" s="310" t="n"/>
      <c r="BB157" s="466" t="n"/>
      <c r="BC157" s="310">
        <f>BA157-BB157</f>
        <v/>
      </c>
      <c r="BD157" s="310" t="n">
        <v>0</v>
      </c>
      <c r="BE157" s="310">
        <f>BF157</f>
        <v/>
      </c>
      <c r="BF157" s="466" t="n">
        <v>0</v>
      </c>
      <c r="BG157" s="310">
        <f>BE157-BF157</f>
        <v/>
      </c>
      <c r="BH157" s="310" t="n">
        <v>0</v>
      </c>
      <c r="BI157" s="310">
        <f>BJ157</f>
        <v/>
      </c>
      <c r="BJ157" s="466" t="n">
        <v>0</v>
      </c>
      <c r="BK157" s="310">
        <f>BI157-BJ157</f>
        <v/>
      </c>
      <c r="BL157" s="310" t="inlineStr">
        <is>
          <t>按实</t>
        </is>
      </c>
      <c r="BM157" s="307" t="n"/>
      <c r="BN157" s="583" t="n"/>
      <c r="BO157" s="307">
        <f>BM157-BN157</f>
        <v/>
      </c>
      <c r="BP157" s="307">
        <f>N157+Q157+U157+Y157+AC157+AG157+AK157+AO157+AS157+AW157+BA157+BE157+BI157+BM157</f>
        <v/>
      </c>
      <c r="BQ157" s="307">
        <f>N157+R157+V157+Z157+AD157+AH157+AL157+AP157+AT157+AX157+BB157+BF157+BJ157+BN157</f>
        <v/>
      </c>
      <c r="BR157" s="307">
        <f>BP157-BQ157</f>
        <v/>
      </c>
      <c r="BS157" s="323" t="n">
        <v>0.05</v>
      </c>
      <c r="BT157" s="323" t="n">
        <v>0.005</v>
      </c>
      <c r="BU157" s="324" t="inlineStr">
        <is>
          <t>1、装修折旧费：营业额的5%，分组作业未分摊，服务费已包含；
2、烤鸭房租2000/学期
3、采购费不收取；</t>
        </is>
      </c>
      <c r="BV157" s="324" t="inlineStr">
        <is>
          <t>1、签订期间：2026.3.1-2026.7.31；
2、指标按照全年换算；</t>
        </is>
      </c>
      <c r="BW157" s="325" t="n"/>
    </row>
    <row r="158" ht="36" customFormat="1" customHeight="1" s="177">
      <c r="A158" s="306" t="n">
        <v>189</v>
      </c>
      <c r="B158" s="307" t="inlineStr">
        <is>
          <t>KQCY0189</t>
        </is>
      </c>
      <c r="C158" s="242" t="inlineStr">
        <is>
          <t>餐饮三分部</t>
        </is>
      </c>
      <c r="D158" s="242" t="inlineStr">
        <is>
          <t>CF251</t>
        </is>
      </c>
      <c r="E158" s="242" t="inlineStr">
        <is>
          <t>苏州职大二食堂</t>
        </is>
      </c>
      <c r="F158" s="306" t="inlineStr">
        <is>
          <t>分组作业</t>
        </is>
      </c>
      <c r="G158" s="308" t="inlineStr">
        <is>
          <t>张镁镁</t>
        </is>
      </c>
      <c r="H158" s="308" t="inlineStr">
        <is>
          <t>第十七班组</t>
        </is>
      </c>
      <c r="I158" s="309" t="inlineStr">
        <is>
          <t>手工水饺</t>
        </is>
      </c>
      <c r="J158" s="310" t="inlineStr">
        <is>
          <t>汪玉凤</t>
        </is>
      </c>
      <c r="K158" s="545">
        <f>LET(k,D158&amp;"|"&amp;E158&amp;"|"&amp;H158&amp;"|"&amp;I158&amp;"|"&amp;J158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58" s="578" t="n"/>
      <c r="M158" s="312" t="n"/>
      <c r="N158" s="579" t="n"/>
      <c r="O158" s="580" t="n">
        <v>0</v>
      </c>
      <c r="P158" s="315" t="n">
        <v>0.155</v>
      </c>
      <c r="Q158" s="310">
        <f>K158*P158</f>
        <v/>
      </c>
      <c r="R158" s="581" t="n"/>
      <c r="S158" s="310">
        <f>Q158-R158</f>
        <v/>
      </c>
      <c r="T158" s="317" t="n">
        <v>0</v>
      </c>
      <c r="U158" s="310">
        <f>K158*T158</f>
        <v/>
      </c>
      <c r="V158" s="464" t="n">
        <v>0</v>
      </c>
      <c r="W158" s="310">
        <f>U158-V158</f>
        <v/>
      </c>
      <c r="X158" s="319" t="n">
        <v>0</v>
      </c>
      <c r="Y158" s="310">
        <f>K158*X158</f>
        <v/>
      </c>
      <c r="Z158" s="464" t="n">
        <v>0</v>
      </c>
      <c r="AA158" s="310">
        <f>Y158-Z158</f>
        <v/>
      </c>
      <c r="AB158" s="327" t="n">
        <v>0</v>
      </c>
      <c r="AC158" s="310">
        <f>K158*AB158</f>
        <v/>
      </c>
      <c r="AD158" s="464" t="n">
        <v>0</v>
      </c>
      <c r="AE158" s="310">
        <f>AC158-AD158</f>
        <v/>
      </c>
      <c r="AF158" s="319" t="n">
        <v>0</v>
      </c>
      <c r="AG158" s="310">
        <f>K158*AF158</f>
        <v/>
      </c>
      <c r="AH158" s="464" t="n">
        <v>0</v>
      </c>
      <c r="AI158" s="310">
        <f>AG158-AH158</f>
        <v/>
      </c>
      <c r="AJ158" s="319" t="n">
        <v>0</v>
      </c>
      <c r="AK158" s="310">
        <f>K158*AJ158</f>
        <v/>
      </c>
      <c r="AL158" s="464" t="n">
        <v>0</v>
      </c>
      <c r="AM158" s="310">
        <f>AK158-AL158</f>
        <v/>
      </c>
      <c r="AN158" s="319" t="n">
        <v>0</v>
      </c>
      <c r="AO158" s="310">
        <f>K158*AN158</f>
        <v/>
      </c>
      <c r="AP158" s="464" t="n">
        <v>0</v>
      </c>
      <c r="AQ158" s="310">
        <f>AO158-AP158</f>
        <v/>
      </c>
      <c r="AR158" s="310" t="n">
        <v>0.035</v>
      </c>
      <c r="AS158" s="310">
        <f>K158*AR158</f>
        <v/>
      </c>
      <c r="AT158" s="581" t="n"/>
      <c r="AU158" s="310">
        <f>AS158-AT158</f>
        <v/>
      </c>
      <c r="AV158" s="315" t="n">
        <v>0.06</v>
      </c>
      <c r="AW158" s="310">
        <f>K158*AV158</f>
        <v/>
      </c>
      <c r="AX158" s="581" t="n"/>
      <c r="AY158" s="310">
        <f>AW158-AX158</f>
        <v/>
      </c>
      <c r="AZ158" s="319" t="inlineStr">
        <is>
          <t>按实</t>
        </is>
      </c>
      <c r="BA158" s="310">
        <f>BB158</f>
        <v/>
      </c>
      <c r="BB158" s="466" t="n">
        <v>0</v>
      </c>
      <c r="BC158" s="310">
        <f>BA158-BB158</f>
        <v/>
      </c>
      <c r="BD158" s="310" t="n">
        <v>0</v>
      </c>
      <c r="BE158" s="310">
        <f>BF158</f>
        <v/>
      </c>
      <c r="BF158" s="466" t="n">
        <v>0</v>
      </c>
      <c r="BG158" s="310">
        <f>BE158-BF158</f>
        <v/>
      </c>
      <c r="BH158" s="310" t="n">
        <v>0</v>
      </c>
      <c r="BI158" s="310">
        <f>BJ158</f>
        <v/>
      </c>
      <c r="BJ158" s="466" t="n">
        <v>0</v>
      </c>
      <c r="BK158" s="310">
        <f>BI158-BJ158</f>
        <v/>
      </c>
      <c r="BL158" s="310" t="inlineStr">
        <is>
          <t>按实</t>
        </is>
      </c>
      <c r="BM158" s="307" t="n"/>
      <c r="BN158" s="583" t="n"/>
      <c r="BO158" s="307">
        <f>BM158-BN158</f>
        <v/>
      </c>
      <c r="BP158" s="307">
        <f>N158+Q158+U158+Y158+AC158+AG158+AK158+AO158+AS158+AW158+BA158+BE158+BI158+BM158</f>
        <v/>
      </c>
      <c r="BQ158" s="307">
        <f>N158+R158+V158+Z158+AD158+AH158+AL158+AP158+AT158+AX158+BB158+BF158+BJ158+BN158</f>
        <v/>
      </c>
      <c r="BR158" s="307">
        <f>BP158-BQ158</f>
        <v/>
      </c>
      <c r="BS158" s="323" t="n">
        <v>0.05</v>
      </c>
      <c r="BT158" s="323" t="n">
        <v>0.005</v>
      </c>
      <c r="BU158" s="324" t="inlineStr">
        <is>
          <t>1、装修折旧费：营业额的5%，分组作业未分摊，服务费已包含；
2、采购费不收取；</t>
        </is>
      </c>
      <c r="BV158" s="324" t="inlineStr">
        <is>
          <t>1、签订期间：2026.3.1-2026.7.31；
2、指标按照全年换算；</t>
        </is>
      </c>
      <c r="BW158" s="325" t="n"/>
    </row>
    <row r="159" ht="36" customFormat="1" customHeight="1" s="177">
      <c r="A159" s="306" t="n">
        <v>190</v>
      </c>
      <c r="B159" s="307" t="inlineStr">
        <is>
          <t>KQCY0190</t>
        </is>
      </c>
      <c r="C159" s="242" t="inlineStr">
        <is>
          <t>餐饮三分部</t>
        </is>
      </c>
      <c r="D159" s="242" t="inlineStr">
        <is>
          <t>CF251</t>
        </is>
      </c>
      <c r="E159" s="242" t="inlineStr">
        <is>
          <t>苏州职大二食堂</t>
        </is>
      </c>
      <c r="F159" s="306" t="inlineStr">
        <is>
          <t>分组作业</t>
        </is>
      </c>
      <c r="G159" s="308" t="inlineStr">
        <is>
          <t>张镁镁</t>
        </is>
      </c>
      <c r="H159" s="308" t="inlineStr">
        <is>
          <t>第十八班组</t>
        </is>
      </c>
      <c r="I159" s="309" t="inlineStr">
        <is>
          <t>把子肉</t>
        </is>
      </c>
      <c r="J159" s="310" t="inlineStr">
        <is>
          <t>杜故乡</t>
        </is>
      </c>
      <c r="K159" s="545">
        <f>LET(k,D159&amp;"|"&amp;E159&amp;"|"&amp;H159&amp;"|"&amp;I159&amp;"|"&amp;J159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59" s="578" t="n"/>
      <c r="M159" s="312" t="n"/>
      <c r="N159" s="579" t="n"/>
      <c r="O159" s="580" t="n">
        <v>0</v>
      </c>
      <c r="P159" s="315" t="n">
        <v>0.135</v>
      </c>
      <c r="Q159" s="310">
        <f>K159*P159</f>
        <v/>
      </c>
      <c r="R159" s="581" t="n"/>
      <c r="S159" s="310">
        <f>Q159-R159</f>
        <v/>
      </c>
      <c r="T159" s="317" t="n">
        <v>0</v>
      </c>
      <c r="U159" s="310">
        <f>K159*T159</f>
        <v/>
      </c>
      <c r="V159" s="464" t="n">
        <v>0</v>
      </c>
      <c r="W159" s="310">
        <f>U159-V159</f>
        <v/>
      </c>
      <c r="X159" s="319" t="n">
        <v>0</v>
      </c>
      <c r="Y159" s="310">
        <f>K159*X159</f>
        <v/>
      </c>
      <c r="Z159" s="464" t="n">
        <v>0</v>
      </c>
      <c r="AA159" s="310">
        <f>Y159-Z159</f>
        <v/>
      </c>
      <c r="AB159" s="327" t="n">
        <v>0</v>
      </c>
      <c r="AC159" s="310">
        <f>K159*AB159</f>
        <v/>
      </c>
      <c r="AD159" s="464" t="n">
        <v>0</v>
      </c>
      <c r="AE159" s="310">
        <f>AC159-AD159</f>
        <v/>
      </c>
      <c r="AF159" s="319" t="n">
        <v>0</v>
      </c>
      <c r="AG159" s="310">
        <f>K159*AF159</f>
        <v/>
      </c>
      <c r="AH159" s="464" t="n">
        <v>0</v>
      </c>
      <c r="AI159" s="310">
        <f>AG159-AH159</f>
        <v/>
      </c>
      <c r="AJ159" s="319" t="n">
        <v>0</v>
      </c>
      <c r="AK159" s="310">
        <f>K159*AJ159</f>
        <v/>
      </c>
      <c r="AL159" s="464" t="n">
        <v>0</v>
      </c>
      <c r="AM159" s="310">
        <f>AK159-AL159</f>
        <v/>
      </c>
      <c r="AN159" s="319" t="n">
        <v>0</v>
      </c>
      <c r="AO159" s="310">
        <f>K159*AN159</f>
        <v/>
      </c>
      <c r="AP159" s="464" t="n">
        <v>0</v>
      </c>
      <c r="AQ159" s="310">
        <f>AO159-AP159</f>
        <v/>
      </c>
      <c r="AR159" s="310" t="n">
        <v>0.035</v>
      </c>
      <c r="AS159" s="310">
        <f>K159*AR159</f>
        <v/>
      </c>
      <c r="AT159" s="581" t="n"/>
      <c r="AU159" s="310">
        <f>AS159-AT159</f>
        <v/>
      </c>
      <c r="AV159" s="315" t="n">
        <v>0.06</v>
      </c>
      <c r="AW159" s="310">
        <f>K159*AV159</f>
        <v/>
      </c>
      <c r="AX159" s="581" t="n"/>
      <c r="AY159" s="310">
        <f>AW159-AX159</f>
        <v/>
      </c>
      <c r="AZ159" s="319" t="inlineStr">
        <is>
          <t>按实</t>
        </is>
      </c>
      <c r="BA159" s="310">
        <f>BB159</f>
        <v/>
      </c>
      <c r="BB159" s="466" t="n">
        <v>0</v>
      </c>
      <c r="BC159" s="310">
        <f>BA159-BB159</f>
        <v/>
      </c>
      <c r="BD159" s="310" t="n">
        <v>0</v>
      </c>
      <c r="BE159" s="310">
        <f>BF159</f>
        <v/>
      </c>
      <c r="BF159" s="466" t="n">
        <v>0</v>
      </c>
      <c r="BG159" s="310">
        <f>BE159-BF159</f>
        <v/>
      </c>
      <c r="BH159" s="310" t="n">
        <v>0</v>
      </c>
      <c r="BI159" s="310">
        <f>BJ159</f>
        <v/>
      </c>
      <c r="BJ159" s="466" t="n">
        <v>0</v>
      </c>
      <c r="BK159" s="310">
        <f>BI159-BJ159</f>
        <v/>
      </c>
      <c r="BL159" s="310" t="inlineStr">
        <is>
          <t>按实</t>
        </is>
      </c>
      <c r="BM159" s="307" t="n"/>
      <c r="BN159" s="583" t="n"/>
      <c r="BO159" s="307">
        <f>BM159-BN159</f>
        <v/>
      </c>
      <c r="BP159" s="307">
        <f>N159+Q159+U159+Y159+AC159+AG159+AK159+AO159+AS159+AW159+BA159+BE159+BI159+BM159</f>
        <v/>
      </c>
      <c r="BQ159" s="307">
        <f>N159+R159+V159+Z159+AD159+AH159+AL159+AP159+AT159+AX159+BB159+BF159+BJ159+BN159</f>
        <v/>
      </c>
      <c r="BR159" s="307">
        <f>BP159-BQ159</f>
        <v/>
      </c>
      <c r="BS159" s="323" t="n">
        <v>0.05</v>
      </c>
      <c r="BT159" s="323" t="n">
        <v>0.005</v>
      </c>
      <c r="BU159" s="324" t="inlineStr">
        <is>
          <t>1、装修折旧费：营业额的5%，分组作业未分摊，服务费已包含；
2、采购费不收取；</t>
        </is>
      </c>
      <c r="BV159" s="324" t="inlineStr">
        <is>
          <t>1、签订期间：2026.3.1-2026.7.31；
2、指标按照全年换算；</t>
        </is>
      </c>
      <c r="BW159" s="325" t="n"/>
    </row>
    <row r="160" ht="24" customFormat="1" customHeight="1" s="209">
      <c r="A160" s="219" t="n">
        <v>192</v>
      </c>
      <c r="B160" s="220" t="inlineStr">
        <is>
          <t>KQCY0192</t>
        </is>
      </c>
      <c r="C160" s="221" t="inlineStr">
        <is>
          <t>餐饮三分部</t>
        </is>
      </c>
      <c r="D160" s="221" t="inlineStr">
        <is>
          <t>CF780</t>
        </is>
      </c>
      <c r="E160" s="221" t="inlineStr">
        <is>
          <t>吉建大二食堂</t>
        </is>
      </c>
      <c r="F160" s="219" t="inlineStr">
        <is>
          <t>分组作业</t>
        </is>
      </c>
      <c r="G160" s="222" t="inlineStr">
        <is>
          <t>徐敏娟</t>
        </is>
      </c>
      <c r="H160" s="503" t="inlineStr">
        <is>
          <t>/</t>
        </is>
      </c>
      <c r="I160" s="237" t="inlineStr">
        <is>
          <t>早点</t>
        </is>
      </c>
      <c r="J160" s="222" t="inlineStr">
        <is>
          <t>李帮</t>
        </is>
      </c>
      <c r="K160" s="545">
        <f>LET(k,D160&amp;"|"&amp;E160&amp;"|"&amp;H160&amp;"|"&amp;I160&amp;"|"&amp;J160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60" s="546" t="n"/>
      <c r="M160" s="224" t="n"/>
      <c r="N160" s="253" t="n">
        <v>7386.37</v>
      </c>
      <c r="O160" s="548" t="n">
        <v>2352000</v>
      </c>
      <c r="P160" s="552" t="n">
        <v>0.15</v>
      </c>
      <c r="Q160" s="461">
        <f>K160*P160</f>
        <v/>
      </c>
      <c r="R160" s="461" t="n"/>
      <c r="S160" s="461">
        <f>Q160-R160</f>
        <v/>
      </c>
      <c r="T160" s="235" t="n">
        <v>0.01</v>
      </c>
      <c r="U160" s="461">
        <f>K160*T160</f>
        <v/>
      </c>
      <c r="V160" s="461" t="n"/>
      <c r="W160" s="461">
        <f>U160-V160</f>
        <v/>
      </c>
      <c r="X160" s="235" t="n">
        <v>0</v>
      </c>
      <c r="Y160" s="461">
        <f>K160*X160</f>
        <v/>
      </c>
      <c r="Z160" s="461" t="n"/>
      <c r="AA160" s="461">
        <f>Y160-Z160</f>
        <v/>
      </c>
      <c r="AB160" s="235" t="n">
        <v>0.04</v>
      </c>
      <c r="AC160" s="461">
        <f>K160*AB160</f>
        <v/>
      </c>
      <c r="AD160" s="461" t="n"/>
      <c r="AE160" s="461">
        <f>AC160-AD160</f>
        <v/>
      </c>
      <c r="AF160" s="235" t="n">
        <v>0.03</v>
      </c>
      <c r="AG160" s="461">
        <f>K160*AF160</f>
        <v/>
      </c>
      <c r="AH160" s="461" t="n"/>
      <c r="AI160" s="461">
        <f>AG160-AH160</f>
        <v/>
      </c>
      <c r="AJ160" s="235" t="n">
        <v>0.01</v>
      </c>
      <c r="AK160" s="461">
        <f>K160*AJ160</f>
        <v/>
      </c>
      <c r="AL160" s="461" t="n"/>
      <c r="AM160" s="461">
        <f>AK160-AL160</f>
        <v/>
      </c>
      <c r="AN160" s="235" t="n">
        <v>0.01</v>
      </c>
      <c r="AO160" s="461">
        <f>K160*AN160</f>
        <v/>
      </c>
      <c r="AP160" s="461" t="n"/>
      <c r="AQ160" s="461">
        <f>AO160-AP160</f>
        <v/>
      </c>
      <c r="AR160" s="461" t="n">
        <v>0</v>
      </c>
      <c r="AS160" s="461">
        <f>K160*AR160</f>
        <v/>
      </c>
      <c r="AT160" s="461" t="n"/>
      <c r="AU160" s="461">
        <f>AS160-AT160</f>
        <v/>
      </c>
      <c r="AV160" s="461" t="n">
        <v>0</v>
      </c>
      <c r="AW160" s="461">
        <f>K160*AV160</f>
        <v/>
      </c>
      <c r="AX160" s="461" t="n"/>
      <c r="AY160" s="461">
        <f>AW160-AX160</f>
        <v/>
      </c>
      <c r="AZ160" s="461" t="inlineStr">
        <is>
          <t>按实</t>
        </is>
      </c>
      <c r="BA160" s="461">
        <f>BB160</f>
        <v/>
      </c>
      <c r="BB160" s="461" t="n"/>
      <c r="BC160" s="461">
        <f>BA160-BB160</f>
        <v/>
      </c>
      <c r="BD160" s="461" t="n">
        <v>0</v>
      </c>
      <c r="BE160" s="461">
        <f>K160*BD160</f>
        <v/>
      </c>
      <c r="BF160" s="461" t="n"/>
      <c r="BG160" s="461">
        <f>BE160-BF160</f>
        <v/>
      </c>
      <c r="BH160" s="461" t="n">
        <v>0</v>
      </c>
      <c r="BI160" s="461">
        <f>K160*BH160</f>
        <v/>
      </c>
      <c r="BJ160" s="461" t="n"/>
      <c r="BK160" s="461">
        <f>BI160-BJ160</f>
        <v/>
      </c>
      <c r="BL160" s="461" t="inlineStr">
        <is>
          <t>按实</t>
        </is>
      </c>
      <c r="BM160" s="220">
        <f>BN160</f>
        <v/>
      </c>
      <c r="BN160" s="220" t="n">
        <v>154937.53</v>
      </c>
      <c r="BO160" s="220">
        <f>BM160-BN160</f>
        <v/>
      </c>
      <c r="BP160" s="220">
        <f>N160+Q160+U160+Y160+AC160+AG160+AK160+AO160+AS160+AW160+BA160+BE160+BI160+BM160</f>
        <v/>
      </c>
      <c r="BQ160" s="220">
        <f>N160+R160+V160+Z160+AD160+AH160+AL160+AP160+AT160+AX160+BB160+BF160+BJ160+BN160</f>
        <v/>
      </c>
      <c r="BR160" s="220">
        <f>BP160-BQ160</f>
        <v/>
      </c>
      <c r="BS160" s="229" t="inlineStr">
        <is>
          <t>/</t>
        </is>
      </c>
      <c r="BT160" s="229" t="inlineStr">
        <is>
          <t>/</t>
        </is>
      </c>
      <c r="BU160" s="230" t="inlineStr">
        <is>
          <t>1、甲方捐赠：项目反馈不收取，包含在服务费中；</t>
        </is>
      </c>
      <c r="BV160" s="230" t="inlineStr">
        <is>
          <t>1、签订期间：2026.3-7月；
2、指标按照全年换算；</t>
        </is>
      </c>
      <c r="BW160" s="534" t="n"/>
    </row>
    <row r="161" ht="36" customFormat="1" customHeight="1" s="209">
      <c r="A161" s="219" t="n">
        <v>193</v>
      </c>
      <c r="B161" s="220" t="inlineStr">
        <is>
          <t>KQCY0193</t>
        </is>
      </c>
      <c r="C161" s="221" t="inlineStr">
        <is>
          <t>餐饮三分部</t>
        </is>
      </c>
      <c r="D161" s="221" t="inlineStr">
        <is>
          <t>CF780</t>
        </is>
      </c>
      <c r="E161" s="221" t="inlineStr">
        <is>
          <t>吉建大二食堂</t>
        </is>
      </c>
      <c r="F161" s="219" t="inlineStr">
        <is>
          <t>分组作业</t>
        </is>
      </c>
      <c r="G161" s="222" t="inlineStr">
        <is>
          <t>徐敏娟</t>
        </is>
      </c>
      <c r="H161" s="503" t="inlineStr">
        <is>
          <t>/</t>
        </is>
      </c>
      <c r="I161" s="237" t="inlineStr">
        <is>
          <t>0090汉堡</t>
        </is>
      </c>
      <c r="J161" s="222" t="inlineStr">
        <is>
          <t>戴杰</t>
        </is>
      </c>
      <c r="K161" s="545">
        <f>LET(k,D161&amp;"|"&amp;E161&amp;"|"&amp;H161&amp;"|"&amp;I161&amp;"|"&amp;J161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61" s="546" t="n"/>
      <c r="M161" s="224" t="n"/>
      <c r="N161" s="253" t="n"/>
      <c r="O161" s="548" t="n">
        <v>2280000</v>
      </c>
      <c r="P161" s="235" t="inlineStr">
        <is>
          <t>17%&amp;16%</t>
        </is>
      </c>
      <c r="Q161" s="461">
        <f>K161*17%</f>
        <v/>
      </c>
      <c r="R161" s="461" t="n"/>
      <c r="S161" s="461">
        <f>Q161-R161</f>
        <v/>
      </c>
      <c r="T161" s="235" t="n">
        <v>0.01</v>
      </c>
      <c r="U161" s="461">
        <f>K161*T161</f>
        <v/>
      </c>
      <c r="V161" s="461" t="n"/>
      <c r="W161" s="461">
        <f>U161-V161</f>
        <v/>
      </c>
      <c r="X161" s="235" t="n">
        <v>0</v>
      </c>
      <c r="Y161" s="461">
        <f>K161*X161</f>
        <v/>
      </c>
      <c r="Z161" s="461" t="n"/>
      <c r="AA161" s="461">
        <f>Y161-Z161</f>
        <v/>
      </c>
      <c r="AB161" s="235" t="n">
        <v>0.04</v>
      </c>
      <c r="AC161" s="461">
        <f>K161*AB161</f>
        <v/>
      </c>
      <c r="AD161" s="461" t="n"/>
      <c r="AE161" s="461">
        <f>AC161-AD161</f>
        <v/>
      </c>
      <c r="AF161" s="235" t="n">
        <v>0.03</v>
      </c>
      <c r="AG161" s="461">
        <f>K161*AF161</f>
        <v/>
      </c>
      <c r="AH161" s="461" t="n"/>
      <c r="AI161" s="461">
        <f>AG161-AH161</f>
        <v/>
      </c>
      <c r="AJ161" s="235" t="n">
        <v>0.01</v>
      </c>
      <c r="AK161" s="461">
        <f>K161*AJ161</f>
        <v/>
      </c>
      <c r="AL161" s="461" t="n"/>
      <c r="AM161" s="461">
        <f>AK161-AL161</f>
        <v/>
      </c>
      <c r="AN161" s="235" t="n">
        <v>0.01</v>
      </c>
      <c r="AO161" s="461">
        <f>K161*AN161</f>
        <v/>
      </c>
      <c r="AP161" s="461" t="n"/>
      <c r="AQ161" s="461">
        <f>AO161-AP161</f>
        <v/>
      </c>
      <c r="AR161" s="461" t="n">
        <v>0</v>
      </c>
      <c r="AS161" s="461">
        <f>K161*AR161</f>
        <v/>
      </c>
      <c r="AT161" s="461" t="n"/>
      <c r="AU161" s="461">
        <f>AS161-AT161</f>
        <v/>
      </c>
      <c r="AV161" s="461" t="n">
        <v>0</v>
      </c>
      <c r="AW161" s="461">
        <f>K161*AV161</f>
        <v/>
      </c>
      <c r="AX161" s="461" t="n"/>
      <c r="AY161" s="461">
        <f>AW161-AX161</f>
        <v/>
      </c>
      <c r="AZ161" s="461" t="inlineStr">
        <is>
          <t>按实</t>
        </is>
      </c>
      <c r="BA161" s="461">
        <f>BB161</f>
        <v/>
      </c>
      <c r="BB161" s="461" t="n"/>
      <c r="BC161" s="461">
        <f>BA161-BB161</f>
        <v/>
      </c>
      <c r="BD161" s="461" t="n">
        <v>0</v>
      </c>
      <c r="BE161" s="461">
        <f>K161*BD161</f>
        <v/>
      </c>
      <c r="BF161" s="461" t="n"/>
      <c r="BG161" s="461">
        <f>BE161-BF161</f>
        <v/>
      </c>
      <c r="BH161" s="461" t="n">
        <v>0</v>
      </c>
      <c r="BI161" s="461">
        <f>K161*BH161</f>
        <v/>
      </c>
      <c r="BJ161" s="461" t="n"/>
      <c r="BK161" s="461">
        <f>BI161-BJ161</f>
        <v/>
      </c>
      <c r="BL161" s="461" t="inlineStr">
        <is>
          <t>按实</t>
        </is>
      </c>
      <c r="BM161" s="220">
        <f>BN161</f>
        <v/>
      </c>
      <c r="BN161" s="220" t="n"/>
      <c r="BO161" s="220">
        <f>BM161-BN161</f>
        <v/>
      </c>
      <c r="BP161" s="220">
        <f>N161+Q161+U161+Y161+AC161+AG161+AK161+AO161+AS161+AW161+BA161+BE161+BI161+BM161</f>
        <v/>
      </c>
      <c r="BQ161" s="220">
        <f>N161+R161+V161+Z161+AD161+AH161+AL161+AP161+AT161+AX161+BB161+BF161+BJ161+BN161</f>
        <v/>
      </c>
      <c r="BR161" s="220">
        <f>BP161-BQ161</f>
        <v/>
      </c>
      <c r="BS161" s="229" t="inlineStr">
        <is>
          <t>/</t>
        </is>
      </c>
      <c r="BT161" s="229" t="inlineStr">
        <is>
          <t>/</t>
        </is>
      </c>
      <c r="BU161" s="230" t="inlineStr">
        <is>
          <t>1、服务费：超过20万按16%收取，未超过按17%收取管理费；
2、甲方捐赠：项目反馈不收取，包含在服务费中；</t>
        </is>
      </c>
      <c r="BV161" s="230" t="inlineStr">
        <is>
          <t>1、签订期间：2026.3-7月；
2、指标按照全年换算；
3、超过20万按16%收取，未超过按17%收取管理费；</t>
        </is>
      </c>
      <c r="BW161" s="534" t="n"/>
    </row>
    <row r="162" ht="36" customFormat="1" customHeight="1" s="209">
      <c r="A162" s="219" t="n">
        <v>194</v>
      </c>
      <c r="B162" s="220" t="inlineStr">
        <is>
          <t>KQCY0194</t>
        </is>
      </c>
      <c r="C162" s="221" t="inlineStr">
        <is>
          <t>餐饮三分部</t>
        </is>
      </c>
      <c r="D162" s="221" t="inlineStr">
        <is>
          <t>CF780</t>
        </is>
      </c>
      <c r="E162" s="221" t="inlineStr">
        <is>
          <t>吉建大二食堂</t>
        </is>
      </c>
      <c r="F162" s="219" t="inlineStr">
        <is>
          <t>分组作业</t>
        </is>
      </c>
      <c r="G162" s="222" t="inlineStr">
        <is>
          <t>徐敏娟</t>
        </is>
      </c>
      <c r="H162" s="503" t="inlineStr">
        <is>
          <t>/</t>
        </is>
      </c>
      <c r="I162" s="237" t="inlineStr">
        <is>
          <t>果檬鲜果</t>
        </is>
      </c>
      <c r="J162" s="222" t="inlineStr">
        <is>
          <t>曹雪</t>
        </is>
      </c>
      <c r="K162" s="545">
        <f>LET(k,D162&amp;"|"&amp;E162&amp;"|"&amp;H162&amp;"|"&amp;I162&amp;"|"&amp;J162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62" s="546" t="n"/>
      <c r="M162" s="224" t="n"/>
      <c r="N162" s="253" t="n"/>
      <c r="O162" s="548" t="n">
        <v>816000</v>
      </c>
      <c r="P162" s="235" t="inlineStr">
        <is>
          <t>17%&amp;16%</t>
        </is>
      </c>
      <c r="Q162" s="461">
        <f>K162*17%</f>
        <v/>
      </c>
      <c r="R162" s="461" t="n">
        <v>21554.7532</v>
      </c>
      <c r="S162" s="461">
        <f>Q162-R162</f>
        <v/>
      </c>
      <c r="T162" s="235" t="n">
        <v>0.01</v>
      </c>
      <c r="U162" s="461">
        <f>K162*T162</f>
        <v/>
      </c>
      <c r="V162" s="461" t="n">
        <v>1914.3334</v>
      </c>
      <c r="W162" s="461">
        <f>U162-V162</f>
        <v/>
      </c>
      <c r="X162" s="235" t="n">
        <v>0</v>
      </c>
      <c r="Y162" s="461">
        <f>K162*X162</f>
        <v/>
      </c>
      <c r="Z162" s="461" t="n"/>
      <c r="AA162" s="461">
        <f>Y162-Z162</f>
        <v/>
      </c>
      <c r="AB162" s="235" t="n">
        <v>0.04</v>
      </c>
      <c r="AC162" s="461">
        <f>K162*AB162</f>
        <v/>
      </c>
      <c r="AD162" s="461" t="n">
        <v>7657.3336</v>
      </c>
      <c r="AE162" s="461">
        <f>AC162-AD162</f>
        <v/>
      </c>
      <c r="AF162" s="235" t="n">
        <v>0.03</v>
      </c>
      <c r="AG162" s="461">
        <f>K162*AF162</f>
        <v/>
      </c>
      <c r="AH162" s="461" t="n">
        <v>5743.0002</v>
      </c>
      <c r="AI162" s="461">
        <f>AG162-AH162</f>
        <v/>
      </c>
      <c r="AJ162" s="235" t="n">
        <v>0.01</v>
      </c>
      <c r="AK162" s="461">
        <f>K162*AJ162</f>
        <v/>
      </c>
      <c r="AL162" s="461" t="n">
        <v>1914.3334</v>
      </c>
      <c r="AM162" s="461">
        <f>AK162-AL162</f>
        <v/>
      </c>
      <c r="AN162" s="235" t="n">
        <v>0.01</v>
      </c>
      <c r="AO162" s="461">
        <f>K162*AN162</f>
        <v/>
      </c>
      <c r="AP162" s="461" t="n">
        <v>1914.3334</v>
      </c>
      <c r="AQ162" s="461">
        <f>AO162-AP162</f>
        <v/>
      </c>
      <c r="AR162" s="461" t="n">
        <v>0</v>
      </c>
      <c r="AS162" s="461">
        <f>K162*AR162</f>
        <v/>
      </c>
      <c r="AT162" s="461" t="n"/>
      <c r="AU162" s="461">
        <f>AS162-AT162</f>
        <v/>
      </c>
      <c r="AV162" s="461" t="n">
        <v>0</v>
      </c>
      <c r="AW162" s="461">
        <f>K162*AV162</f>
        <v/>
      </c>
      <c r="AX162" s="461" t="n"/>
      <c r="AY162" s="461">
        <f>AW162-AX162</f>
        <v/>
      </c>
      <c r="AZ162" s="461" t="inlineStr">
        <is>
          <t>按实</t>
        </is>
      </c>
      <c r="BA162" s="461">
        <f>BB162</f>
        <v/>
      </c>
      <c r="BB162" s="461" t="n"/>
      <c r="BC162" s="461">
        <f>BA162-BB162</f>
        <v/>
      </c>
      <c r="BD162" s="461" t="n">
        <v>0</v>
      </c>
      <c r="BE162" s="461">
        <f>K162*BD162</f>
        <v/>
      </c>
      <c r="BF162" s="461" t="n"/>
      <c r="BG162" s="461">
        <f>BE162-BF162</f>
        <v/>
      </c>
      <c r="BH162" s="461" t="n">
        <v>0</v>
      </c>
      <c r="BI162" s="461">
        <f>K162*BH162</f>
        <v/>
      </c>
      <c r="BJ162" s="461" t="n"/>
      <c r="BK162" s="461">
        <f>BI162-BJ162</f>
        <v/>
      </c>
      <c r="BL162" s="461" t="inlineStr">
        <is>
          <t>按实</t>
        </is>
      </c>
      <c r="BM162" s="220">
        <f>BN162</f>
        <v/>
      </c>
      <c r="BN162" s="220" t="n"/>
      <c r="BO162" s="220">
        <f>BM162-BN162</f>
        <v/>
      </c>
      <c r="BP162" s="220">
        <f>N162+Q162+U162+Y162+AC162+AG162+AK162+AO162+AS162+AW162+BA162+BE162+BI162+BM162</f>
        <v/>
      </c>
      <c r="BQ162" s="220">
        <f>N162+R162+V162+Z162+AD162+AH162+AL162+AP162+AT162+AX162+BB162+BF162+BJ162+BN162</f>
        <v/>
      </c>
      <c r="BR162" s="220">
        <f>BP162-BQ162</f>
        <v/>
      </c>
      <c r="BS162" s="229" t="inlineStr">
        <is>
          <t>/</t>
        </is>
      </c>
      <c r="BT162" s="229" t="inlineStr">
        <is>
          <t>/</t>
        </is>
      </c>
      <c r="BU162" s="230" t="inlineStr">
        <is>
          <t>1、服务费：超过20万按16%收取，未超过按17%收取管理费；
2、甲方捐赠：项目反馈不收取，包含在服务费中；</t>
        </is>
      </c>
      <c r="BV162" s="230" t="inlineStr">
        <is>
          <t>1、签订期间：2026.3-7月；
2、指标按照全年换算；
3、超过20万按16%收取，未超过按17%收取管理费；</t>
        </is>
      </c>
      <c r="BW162" s="534" t="n"/>
    </row>
    <row r="163" ht="24" customFormat="1" customHeight="1" s="209">
      <c r="A163" s="219" t="n">
        <v>195</v>
      </c>
      <c r="B163" s="220" t="inlineStr">
        <is>
          <t>KQCY0195</t>
        </is>
      </c>
      <c r="C163" s="221" t="inlineStr">
        <is>
          <t>餐饮三分部</t>
        </is>
      </c>
      <c r="D163" s="221" t="inlineStr">
        <is>
          <t>CF780</t>
        </is>
      </c>
      <c r="E163" s="221" t="inlineStr">
        <is>
          <t>吉建大二食堂</t>
        </is>
      </c>
      <c r="F163" s="219" t="inlineStr">
        <is>
          <t>分组作业</t>
        </is>
      </c>
      <c r="G163" s="222" t="inlineStr">
        <is>
          <t>徐敏娟</t>
        </is>
      </c>
      <c r="H163" s="503" t="inlineStr">
        <is>
          <t>/</t>
        </is>
      </c>
      <c r="I163" s="237" t="inlineStr">
        <is>
          <t>自选水饺</t>
        </is>
      </c>
      <c r="J163" s="222" t="inlineStr">
        <is>
          <t>李英</t>
        </is>
      </c>
      <c r="K163" s="545">
        <f>LET(k,D163&amp;"|"&amp;E163&amp;"|"&amp;H163&amp;"|"&amp;I163&amp;"|"&amp;J163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63" s="546" t="n"/>
      <c r="M163" s="224" t="n"/>
      <c r="N163" s="253" t="n"/>
      <c r="O163" s="548" t="n">
        <v>700800</v>
      </c>
      <c r="P163" s="235" t="n">
        <v>0.1</v>
      </c>
      <c r="Q163" s="461">
        <f>K163*P163</f>
        <v/>
      </c>
      <c r="R163" s="461" t="n"/>
      <c r="S163" s="461">
        <f>Q163-R163</f>
        <v/>
      </c>
      <c r="T163" s="235" t="n">
        <v>0.01</v>
      </c>
      <c r="U163" s="461">
        <f>K163*T163</f>
        <v/>
      </c>
      <c r="V163" s="461" t="n"/>
      <c r="W163" s="461">
        <f>U163-V163</f>
        <v/>
      </c>
      <c r="X163" s="235" t="n">
        <v>0</v>
      </c>
      <c r="Y163" s="461">
        <f>K163*X163</f>
        <v/>
      </c>
      <c r="Z163" s="461" t="n"/>
      <c r="AA163" s="461">
        <f>Y163-Z163</f>
        <v/>
      </c>
      <c r="AB163" s="235" t="n">
        <v>0.04</v>
      </c>
      <c r="AC163" s="461">
        <f>K163*AB163</f>
        <v/>
      </c>
      <c r="AD163" s="461" t="n"/>
      <c r="AE163" s="461">
        <f>AC163-AD163</f>
        <v/>
      </c>
      <c r="AF163" s="235" t="n">
        <v>0.03</v>
      </c>
      <c r="AG163" s="461">
        <f>K163*AF163</f>
        <v/>
      </c>
      <c r="AH163" s="461" t="n"/>
      <c r="AI163" s="461">
        <f>AG163-AH163</f>
        <v/>
      </c>
      <c r="AJ163" s="235" t="n">
        <v>0.01</v>
      </c>
      <c r="AK163" s="461">
        <f>K163*AJ163</f>
        <v/>
      </c>
      <c r="AL163" s="461" t="n"/>
      <c r="AM163" s="461">
        <f>AK163-AL163</f>
        <v/>
      </c>
      <c r="AN163" s="235" t="n">
        <v>0.01</v>
      </c>
      <c r="AO163" s="461">
        <f>K163*AN163</f>
        <v/>
      </c>
      <c r="AP163" s="461" t="n"/>
      <c r="AQ163" s="461">
        <f>AO163-AP163</f>
        <v/>
      </c>
      <c r="AR163" s="461" t="inlineStr">
        <is>
          <t>按实</t>
        </is>
      </c>
      <c r="AS163" s="461">
        <f>AT163</f>
        <v/>
      </c>
      <c r="AT163" s="480" t="n">
        <v>0</v>
      </c>
      <c r="AU163" s="461">
        <f>AS163-AT163</f>
        <v/>
      </c>
      <c r="AV163" s="461" t="inlineStr">
        <is>
          <t>按实</t>
        </is>
      </c>
      <c r="AW163" s="461">
        <f>AX163</f>
        <v/>
      </c>
      <c r="AX163" s="480" t="n">
        <v>15499.95</v>
      </c>
      <c r="AY163" s="461">
        <f>AW163-AX163</f>
        <v/>
      </c>
      <c r="AZ163" s="461" t="inlineStr">
        <is>
          <t>按实</t>
        </is>
      </c>
      <c r="BA163" s="461">
        <f>BB163</f>
        <v/>
      </c>
      <c r="BB163" s="461" t="n">
        <v>4027.5</v>
      </c>
      <c r="BC163" s="461">
        <f>BA163-BB163</f>
        <v/>
      </c>
      <c r="BD163" s="461" t="n">
        <v>0</v>
      </c>
      <c r="BE163" s="461">
        <f>K163*BD163</f>
        <v/>
      </c>
      <c r="BF163" s="461" t="n"/>
      <c r="BG163" s="461">
        <f>BE163-BF163</f>
        <v/>
      </c>
      <c r="BH163" s="461" t="n">
        <v>0</v>
      </c>
      <c r="BI163" s="461">
        <f>K163*BH163</f>
        <v/>
      </c>
      <c r="BJ163" s="461" t="n"/>
      <c r="BK163" s="461">
        <f>BI163-BJ163</f>
        <v/>
      </c>
      <c r="BL163" s="461" t="inlineStr">
        <is>
          <t>按实</t>
        </is>
      </c>
      <c r="BM163" s="220">
        <f>BN163</f>
        <v/>
      </c>
      <c r="BN163" s="220" t="n"/>
      <c r="BO163" s="220">
        <f>BM163-BN163</f>
        <v/>
      </c>
      <c r="BP163" s="220">
        <f>N163+Q163+U163+Y163+AC163+AG163+AK163+AO163+AS163+AW163+BA163+BE163+BI163+BM163</f>
        <v/>
      </c>
      <c r="BQ163" s="220">
        <f>N163+R163+V163+Z163+AD163+AH163+AL163+AP163+AT163+AX163+BB163+BF163+BJ163+BN163</f>
        <v/>
      </c>
      <c r="BR163" s="220">
        <f>BP163-BQ163</f>
        <v/>
      </c>
      <c r="BS163" s="229" t="inlineStr">
        <is>
          <t>/</t>
        </is>
      </c>
      <c r="BT163" s="229" t="inlineStr">
        <is>
          <t>/</t>
        </is>
      </c>
      <c r="BU163" s="230" t="inlineStr">
        <is>
          <t>1、甲方捐赠：项目反馈不收取，包含在服务费中；</t>
        </is>
      </c>
      <c r="BV163" s="230" t="inlineStr">
        <is>
          <t>1、签订期间：2026.3-7月；
2、指标按照全年换算；</t>
        </is>
      </c>
      <c r="BW163" s="534" t="n"/>
    </row>
    <row r="164" ht="24" customFormat="1" customHeight="1" s="209">
      <c r="A164" s="219" t="n">
        <v>196</v>
      </c>
      <c r="B164" s="220" t="inlineStr">
        <is>
          <t>KQCY0196</t>
        </is>
      </c>
      <c r="C164" s="221" t="inlineStr">
        <is>
          <t>餐饮三分部</t>
        </is>
      </c>
      <c r="D164" s="221" t="inlineStr">
        <is>
          <t>CF780</t>
        </is>
      </c>
      <c r="E164" s="221" t="inlineStr">
        <is>
          <t>吉建大二食堂</t>
        </is>
      </c>
      <c r="F164" s="219" t="inlineStr">
        <is>
          <t>分组作业</t>
        </is>
      </c>
      <c r="G164" s="222" t="inlineStr">
        <is>
          <t>徐敏娟</t>
        </is>
      </c>
      <c r="H164" s="503" t="inlineStr">
        <is>
          <t>/</t>
        </is>
      </c>
      <c r="I164" s="237" t="inlineStr">
        <is>
          <t>渔之谷渔粉</t>
        </is>
      </c>
      <c r="J164" s="222" t="inlineStr">
        <is>
          <t>李荣</t>
        </is>
      </c>
      <c r="K164" s="545">
        <f>LET(k,D164&amp;"|"&amp;E164&amp;"|"&amp;H164&amp;"|"&amp;I164&amp;"|"&amp;J164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64" s="546" t="n"/>
      <c r="M164" s="224" t="n"/>
      <c r="N164" s="253" t="n"/>
      <c r="O164" s="548" t="n">
        <v>720000</v>
      </c>
      <c r="P164" s="552" t="n">
        <v>0.1</v>
      </c>
      <c r="Q164" s="461">
        <f>K164*P164</f>
        <v/>
      </c>
      <c r="R164" s="461" t="n"/>
      <c r="S164" s="461">
        <f>Q164-R164</f>
        <v/>
      </c>
      <c r="T164" s="235" t="n">
        <v>0.01</v>
      </c>
      <c r="U164" s="461">
        <f>K164*T164</f>
        <v/>
      </c>
      <c r="V164" s="461" t="n"/>
      <c r="W164" s="461">
        <f>U164-V164</f>
        <v/>
      </c>
      <c r="X164" s="235" t="n">
        <v>0</v>
      </c>
      <c r="Y164" s="461">
        <f>K164*X164</f>
        <v/>
      </c>
      <c r="Z164" s="461" t="n"/>
      <c r="AA164" s="461">
        <f>Y164-Z164</f>
        <v/>
      </c>
      <c r="AB164" s="235" t="n">
        <v>0.04</v>
      </c>
      <c r="AC164" s="461">
        <f>K164*AB164</f>
        <v/>
      </c>
      <c r="AD164" s="461" t="n"/>
      <c r="AE164" s="461">
        <f>AC164-AD164</f>
        <v/>
      </c>
      <c r="AF164" s="235" t="n">
        <v>0.03</v>
      </c>
      <c r="AG164" s="461">
        <f>K164*AF164</f>
        <v/>
      </c>
      <c r="AH164" s="461" t="n"/>
      <c r="AI164" s="461">
        <f>AG164-AH164</f>
        <v/>
      </c>
      <c r="AJ164" s="235" t="n">
        <v>0.01</v>
      </c>
      <c r="AK164" s="461">
        <f>K164*AJ164</f>
        <v/>
      </c>
      <c r="AL164" s="461" t="n"/>
      <c r="AM164" s="461">
        <f>AK164-AL164</f>
        <v/>
      </c>
      <c r="AN164" s="235" t="n">
        <v>0.01</v>
      </c>
      <c r="AO164" s="461">
        <f>K164*AN164</f>
        <v/>
      </c>
      <c r="AP164" s="461" t="n"/>
      <c r="AQ164" s="461">
        <f>AO164-AP164</f>
        <v/>
      </c>
      <c r="AR164" s="461" t="inlineStr">
        <is>
          <t>按实</t>
        </is>
      </c>
      <c r="AS164" s="461">
        <f>AT164</f>
        <v/>
      </c>
      <c r="AT164" s="461" t="n"/>
      <c r="AU164" s="461">
        <f>AS164-AT164</f>
        <v/>
      </c>
      <c r="AV164" s="461" t="inlineStr">
        <is>
          <t>按实</t>
        </is>
      </c>
      <c r="AW164" s="461">
        <f>AX164</f>
        <v/>
      </c>
      <c r="AX164" s="461" t="n"/>
      <c r="AY164" s="461">
        <f>AW164-AX164</f>
        <v/>
      </c>
      <c r="AZ164" s="461" t="inlineStr">
        <is>
          <t>按实</t>
        </is>
      </c>
      <c r="BA164" s="461">
        <f>BB164</f>
        <v/>
      </c>
      <c r="BB164" s="461" t="n"/>
      <c r="BC164" s="461">
        <f>BA164-BB164</f>
        <v/>
      </c>
      <c r="BD164" s="461" t="n">
        <v>0</v>
      </c>
      <c r="BE164" s="461">
        <f>K164*BD164</f>
        <v/>
      </c>
      <c r="BF164" s="461" t="n"/>
      <c r="BG164" s="461">
        <f>BE164-BF164</f>
        <v/>
      </c>
      <c r="BH164" s="461" t="n">
        <v>0</v>
      </c>
      <c r="BI164" s="461">
        <f>K164*BH164</f>
        <v/>
      </c>
      <c r="BJ164" s="461" t="n"/>
      <c r="BK164" s="461">
        <f>BI164-BJ164</f>
        <v/>
      </c>
      <c r="BL164" s="461" t="inlineStr">
        <is>
          <t>按实</t>
        </is>
      </c>
      <c r="BM164" s="220">
        <f>BN164</f>
        <v/>
      </c>
      <c r="BN164" s="220" t="n"/>
      <c r="BO164" s="220">
        <f>BM164-BN164</f>
        <v/>
      </c>
      <c r="BP164" s="220">
        <f>N164+Q164+U164+Y164+AC164+AG164+AK164+AO164+AS164+AW164+BA164+BE164+BI164+BM164</f>
        <v/>
      </c>
      <c r="BQ164" s="220">
        <f>N164+R164+V164+Z164+AD164+AH164+AL164+AP164+AT164+AX164+BB164+BF164+BJ164+BN164</f>
        <v/>
      </c>
      <c r="BR164" s="220">
        <f>BP164-BQ164</f>
        <v/>
      </c>
      <c r="BS164" s="229" t="inlineStr">
        <is>
          <t>/</t>
        </is>
      </c>
      <c r="BT164" s="229" t="inlineStr">
        <is>
          <t>/</t>
        </is>
      </c>
      <c r="BU164" s="230" t="inlineStr">
        <is>
          <t>1、甲方捐赠：项目反馈不收取，包含在服务费中；</t>
        </is>
      </c>
      <c r="BV164" s="230" t="inlineStr">
        <is>
          <t>1、签订期间：2026.3-7月；
2、指标按照全年换算；</t>
        </is>
      </c>
      <c r="BW164" s="534" t="n"/>
    </row>
    <row r="165" ht="24" customFormat="1" customHeight="1" s="209">
      <c r="A165" s="219" t="n">
        <v>197</v>
      </c>
      <c r="B165" s="220" t="inlineStr">
        <is>
          <t>KQCY0197</t>
        </is>
      </c>
      <c r="C165" s="221" t="inlineStr">
        <is>
          <t>餐饮三分部</t>
        </is>
      </c>
      <c r="D165" s="221" t="inlineStr">
        <is>
          <t>CF780</t>
        </is>
      </c>
      <c r="E165" s="221" t="inlineStr">
        <is>
          <t>吉建大二食堂</t>
        </is>
      </c>
      <c r="F165" s="219" t="inlineStr">
        <is>
          <t>分组作业</t>
        </is>
      </c>
      <c r="G165" s="222" t="inlineStr">
        <is>
          <t>徐敏娟</t>
        </is>
      </c>
      <c r="H165" s="503" t="inlineStr">
        <is>
          <t>/</t>
        </is>
      </c>
      <c r="I165" s="237" t="inlineStr">
        <is>
          <t>昆吉双拼饭</t>
        </is>
      </c>
      <c r="J165" s="222" t="inlineStr">
        <is>
          <t>郑金娟</t>
        </is>
      </c>
      <c r="K165" s="545">
        <f>LET(k,D165&amp;"|"&amp;E165&amp;"|"&amp;H165&amp;"|"&amp;I165&amp;"|"&amp;J165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65" s="546" t="n"/>
      <c r="M165" s="224" t="n"/>
      <c r="N165" s="253" t="n"/>
      <c r="O165" s="548" t="n">
        <v>960000</v>
      </c>
      <c r="P165" s="552" t="n">
        <v>0.1</v>
      </c>
      <c r="Q165" s="461">
        <f>K165*P165</f>
        <v/>
      </c>
      <c r="R165" s="461" t="n"/>
      <c r="S165" s="461">
        <f>Q165-R165</f>
        <v/>
      </c>
      <c r="T165" s="235" t="n">
        <v>0.01</v>
      </c>
      <c r="U165" s="461">
        <f>K165*T165</f>
        <v/>
      </c>
      <c r="V165" s="461" t="n"/>
      <c r="W165" s="461">
        <f>U165-V165</f>
        <v/>
      </c>
      <c r="X165" s="235" t="n">
        <v>0</v>
      </c>
      <c r="Y165" s="461">
        <f>K165*X165</f>
        <v/>
      </c>
      <c r="Z165" s="461" t="n"/>
      <c r="AA165" s="461">
        <f>Y165-Z165</f>
        <v/>
      </c>
      <c r="AB165" s="235" t="n">
        <v>0.04</v>
      </c>
      <c r="AC165" s="461">
        <f>K165*AB165</f>
        <v/>
      </c>
      <c r="AD165" s="461" t="n"/>
      <c r="AE165" s="461">
        <f>AC165-AD165</f>
        <v/>
      </c>
      <c r="AF165" s="235" t="n">
        <v>0.03</v>
      </c>
      <c r="AG165" s="461">
        <f>K165*AF165</f>
        <v/>
      </c>
      <c r="AH165" s="461" t="n"/>
      <c r="AI165" s="461">
        <f>AG165-AH165</f>
        <v/>
      </c>
      <c r="AJ165" s="235" t="n">
        <v>0.01</v>
      </c>
      <c r="AK165" s="461">
        <f>K165*AJ165</f>
        <v/>
      </c>
      <c r="AL165" s="461" t="n"/>
      <c r="AM165" s="461">
        <f>AK165-AL165</f>
        <v/>
      </c>
      <c r="AN165" s="235" t="n">
        <v>0.01</v>
      </c>
      <c r="AO165" s="461">
        <f>K165*AN165</f>
        <v/>
      </c>
      <c r="AP165" s="461" t="n"/>
      <c r="AQ165" s="461">
        <f>AO165-AP165</f>
        <v/>
      </c>
      <c r="AR165" s="461" t="inlineStr">
        <is>
          <t>按实</t>
        </is>
      </c>
      <c r="AS165" s="461">
        <f>AT165</f>
        <v/>
      </c>
      <c r="AT165" s="461" t="n"/>
      <c r="AU165" s="461">
        <f>AS165-AT165</f>
        <v/>
      </c>
      <c r="AV165" s="461" t="inlineStr">
        <is>
          <t>按实</t>
        </is>
      </c>
      <c r="AW165" s="461">
        <f>AX165</f>
        <v/>
      </c>
      <c r="AX165" s="461" t="n"/>
      <c r="AY165" s="461">
        <f>AW165-AX165</f>
        <v/>
      </c>
      <c r="AZ165" s="461" t="inlineStr">
        <is>
          <t>按实</t>
        </is>
      </c>
      <c r="BA165" s="461">
        <f>BB165</f>
        <v/>
      </c>
      <c r="BB165" s="461" t="n"/>
      <c r="BC165" s="461">
        <f>BA165-BB165</f>
        <v/>
      </c>
      <c r="BD165" s="461" t="n">
        <v>0</v>
      </c>
      <c r="BE165" s="461">
        <f>K165*BD165</f>
        <v/>
      </c>
      <c r="BF165" s="461" t="n"/>
      <c r="BG165" s="461">
        <f>BE165-BF165</f>
        <v/>
      </c>
      <c r="BH165" s="461" t="n">
        <v>0</v>
      </c>
      <c r="BI165" s="461">
        <f>K165*BH165</f>
        <v/>
      </c>
      <c r="BJ165" s="235" t="n"/>
      <c r="BK165" s="461">
        <f>BI165-BJ165</f>
        <v/>
      </c>
      <c r="BL165" s="235" t="inlineStr">
        <is>
          <t>按实</t>
        </is>
      </c>
      <c r="BM165" s="220">
        <f>BN165</f>
        <v/>
      </c>
      <c r="BN165" s="220" t="n"/>
      <c r="BO165" s="220">
        <f>BM165-BN165</f>
        <v/>
      </c>
      <c r="BP165" s="220">
        <f>N165+Q165+U165+Y165+AC165+AG165+AK165+AO165+AS165+AW165+BA165+BE165+BI165+BM165</f>
        <v/>
      </c>
      <c r="BQ165" s="220">
        <f>N165+R165+V165+Z165+AD165+AH165+AL165+AP165+AT165+AX165+BB165+BF165+BJ165+BN165</f>
        <v/>
      </c>
      <c r="BR165" s="220">
        <f>BP165-BQ165</f>
        <v/>
      </c>
      <c r="BS165" s="229" t="inlineStr">
        <is>
          <t>/</t>
        </is>
      </c>
      <c r="BT165" s="229" t="inlineStr">
        <is>
          <t>/</t>
        </is>
      </c>
      <c r="BU165" s="230" t="inlineStr">
        <is>
          <t>1、甲方捐赠：项目反馈不收取，包含在服务费中；</t>
        </is>
      </c>
      <c r="BV165" s="230" t="inlineStr">
        <is>
          <t>1、签订期间：2026.3-7月；
2、指标按照全年换算；</t>
        </is>
      </c>
      <c r="BW165" s="534" t="n"/>
    </row>
    <row r="166" ht="24" customFormat="1" customHeight="1" s="209">
      <c r="A166" s="219" t="n">
        <v>198</v>
      </c>
      <c r="B166" s="220" t="inlineStr">
        <is>
          <t>KQCY0198</t>
        </is>
      </c>
      <c r="C166" s="221" t="inlineStr">
        <is>
          <t>餐饮三分部</t>
        </is>
      </c>
      <c r="D166" s="221" t="inlineStr">
        <is>
          <t>CF780</t>
        </is>
      </c>
      <c r="E166" s="221" t="inlineStr">
        <is>
          <t>吉建大二食堂</t>
        </is>
      </c>
      <c r="F166" s="219" t="inlineStr">
        <is>
          <t>分组作业</t>
        </is>
      </c>
      <c r="G166" s="222" t="inlineStr">
        <is>
          <t>徐敏娟</t>
        </is>
      </c>
      <c r="H166" s="503" t="inlineStr">
        <is>
          <t>/</t>
        </is>
      </c>
      <c r="I166" s="237" t="inlineStr">
        <is>
          <t>杭州小笼包</t>
        </is>
      </c>
      <c r="J166" s="222" t="inlineStr">
        <is>
          <t>李红岷</t>
        </is>
      </c>
      <c r="K166" s="545">
        <f>LET(k,D166&amp;"|"&amp;E166&amp;"|"&amp;H166&amp;"|"&amp;I166&amp;"|"&amp;J166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66" s="546" t="n"/>
      <c r="M166" s="224" t="n"/>
      <c r="N166" s="253" t="n"/>
      <c r="O166" s="548" t="n">
        <v>1032000</v>
      </c>
      <c r="P166" s="247" t="n">
        <v>0.1</v>
      </c>
      <c r="Q166" s="461">
        <f>K166*P166</f>
        <v/>
      </c>
      <c r="R166" s="461" t="n"/>
      <c r="S166" s="461">
        <f>Q166-R166</f>
        <v/>
      </c>
      <c r="T166" s="235" t="n">
        <v>0.01</v>
      </c>
      <c r="U166" s="461">
        <f>K166*T166</f>
        <v/>
      </c>
      <c r="V166" s="461" t="n"/>
      <c r="W166" s="461">
        <f>U166-V166</f>
        <v/>
      </c>
      <c r="X166" s="461" t="n">
        <v>0</v>
      </c>
      <c r="Y166" s="461">
        <f>K166*X166</f>
        <v/>
      </c>
      <c r="Z166" s="461" t="n"/>
      <c r="AA166" s="461">
        <f>Y166-Z166</f>
        <v/>
      </c>
      <c r="AB166" s="235" t="n">
        <v>0.04</v>
      </c>
      <c r="AC166" s="461">
        <f>K166*AB166</f>
        <v/>
      </c>
      <c r="AD166" s="461" t="n"/>
      <c r="AE166" s="461">
        <f>AC166-AD166</f>
        <v/>
      </c>
      <c r="AF166" s="235" t="n">
        <v>0.03</v>
      </c>
      <c r="AG166" s="461">
        <f>K166*AF166</f>
        <v/>
      </c>
      <c r="AH166" s="461" t="n"/>
      <c r="AI166" s="461">
        <f>AG166-AH166</f>
        <v/>
      </c>
      <c r="AJ166" s="235" t="n">
        <v>0.01</v>
      </c>
      <c r="AK166" s="461">
        <f>K166*AJ166</f>
        <v/>
      </c>
      <c r="AL166" s="461" t="n"/>
      <c r="AM166" s="461">
        <f>AK166-AL166</f>
        <v/>
      </c>
      <c r="AN166" s="235" t="n">
        <v>0.01</v>
      </c>
      <c r="AO166" s="461">
        <f>K166*AN166</f>
        <v/>
      </c>
      <c r="AP166" s="461" t="n"/>
      <c r="AQ166" s="461">
        <f>AO166-AP166</f>
        <v/>
      </c>
      <c r="AR166" s="461" t="inlineStr">
        <is>
          <t>按实</t>
        </is>
      </c>
      <c r="AS166" s="461">
        <f>AT166</f>
        <v/>
      </c>
      <c r="AT166" s="461" t="n"/>
      <c r="AU166" s="461">
        <f>AS166-AT166</f>
        <v/>
      </c>
      <c r="AV166" s="461" t="inlineStr">
        <is>
          <t>按实</t>
        </is>
      </c>
      <c r="AW166" s="461">
        <f>AX166</f>
        <v/>
      </c>
      <c r="AX166" s="461" t="n"/>
      <c r="AY166" s="461">
        <f>AW166-AX166</f>
        <v/>
      </c>
      <c r="AZ166" s="461" t="inlineStr">
        <is>
          <t>按实</t>
        </is>
      </c>
      <c r="BA166" s="461">
        <f>BB166</f>
        <v/>
      </c>
      <c r="BB166" s="461" t="n"/>
      <c r="BC166" s="461">
        <f>BA166-BB166</f>
        <v/>
      </c>
      <c r="BD166" s="461" t="n">
        <v>0</v>
      </c>
      <c r="BE166" s="461">
        <f>K166*BD166</f>
        <v/>
      </c>
      <c r="BF166" s="461" t="n"/>
      <c r="BG166" s="461">
        <f>BE166-BF166</f>
        <v/>
      </c>
      <c r="BH166" s="461" t="n">
        <v>0</v>
      </c>
      <c r="BI166" s="461">
        <f>K166*BH166</f>
        <v/>
      </c>
      <c r="BJ166" s="461" t="n"/>
      <c r="BK166" s="461">
        <f>BI166-BJ166</f>
        <v/>
      </c>
      <c r="BL166" s="461" t="inlineStr">
        <is>
          <t>按实</t>
        </is>
      </c>
      <c r="BM166" s="220">
        <f>BN166</f>
        <v/>
      </c>
      <c r="BN166" s="220" t="n"/>
      <c r="BO166" s="220">
        <f>BM166-BN166</f>
        <v/>
      </c>
      <c r="BP166" s="220">
        <f>N166+Q166+U166+Y166+AC166+AG166+AK166+AO166+AS166+AW166+BA166+BE166+BI166+BM166</f>
        <v/>
      </c>
      <c r="BQ166" s="220">
        <f>N166+R166+V166+Z166+AD166+AH166+AL166+AP166+AT166+AX166+BB166+BF166+BJ166+BN166</f>
        <v/>
      </c>
      <c r="BR166" s="220">
        <f>BP166-BQ166</f>
        <v/>
      </c>
      <c r="BS166" s="229" t="inlineStr">
        <is>
          <t>/</t>
        </is>
      </c>
      <c r="BT166" s="229" t="inlineStr">
        <is>
          <t>/</t>
        </is>
      </c>
      <c r="BU166" s="230" t="inlineStr">
        <is>
          <t>1、甲方捐赠：项目反馈不收取，包含在服务费中；</t>
        </is>
      </c>
      <c r="BV166" s="230" t="inlineStr">
        <is>
          <t>1、签订期间：2026.3-7月；
2、指标按照全年换算；</t>
        </is>
      </c>
      <c r="BW166" s="534" t="n"/>
    </row>
    <row r="167" ht="24" customFormat="1" customHeight="1" s="209">
      <c r="A167" s="219" t="n">
        <v>199</v>
      </c>
      <c r="B167" s="220" t="inlineStr">
        <is>
          <t>KQCY0199</t>
        </is>
      </c>
      <c r="C167" s="221" t="inlineStr">
        <is>
          <t>餐饮三分部</t>
        </is>
      </c>
      <c r="D167" s="221" t="inlineStr">
        <is>
          <t>CF780</t>
        </is>
      </c>
      <c r="E167" s="221" t="inlineStr">
        <is>
          <t>吉建大二食堂</t>
        </is>
      </c>
      <c r="F167" s="219" t="inlineStr">
        <is>
          <t>分组作业</t>
        </is>
      </c>
      <c r="G167" s="222" t="inlineStr">
        <is>
          <t>徐敏娟</t>
        </is>
      </c>
      <c r="H167" s="503" t="inlineStr">
        <is>
          <t>/</t>
        </is>
      </c>
      <c r="I167" s="237" t="inlineStr">
        <is>
          <t>辣椒炒肉</t>
        </is>
      </c>
      <c r="J167" s="222" t="inlineStr">
        <is>
          <t>马永波</t>
        </is>
      </c>
      <c r="K167" s="545">
        <f>LET(k,D167&amp;"|"&amp;E167&amp;"|"&amp;H167&amp;"|"&amp;I167&amp;"|"&amp;J167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67" s="546" t="n"/>
      <c r="M167" s="224" t="n"/>
      <c r="N167" s="253" t="n"/>
      <c r="O167" s="548" t="n">
        <v>912000</v>
      </c>
      <c r="P167" s="247" t="n">
        <v>0.1</v>
      </c>
      <c r="Q167" s="461">
        <f>K167*P167</f>
        <v/>
      </c>
      <c r="R167" s="461" t="n"/>
      <c r="S167" s="461">
        <f>Q167-R167</f>
        <v/>
      </c>
      <c r="T167" s="235" t="n">
        <v>0.01</v>
      </c>
      <c r="U167" s="461">
        <f>K167*T167</f>
        <v/>
      </c>
      <c r="V167" s="461" t="n"/>
      <c r="W167" s="461">
        <f>U167-V167</f>
        <v/>
      </c>
      <c r="X167" s="461" t="n">
        <v>0</v>
      </c>
      <c r="Y167" s="461">
        <f>K167*X167</f>
        <v/>
      </c>
      <c r="Z167" s="461" t="n"/>
      <c r="AA167" s="461">
        <f>Y167-Z167</f>
        <v/>
      </c>
      <c r="AB167" s="235" t="n">
        <v>0.04</v>
      </c>
      <c r="AC167" s="461">
        <f>K167*AB167</f>
        <v/>
      </c>
      <c r="AD167" s="461" t="n"/>
      <c r="AE167" s="461">
        <f>AC167-AD167</f>
        <v/>
      </c>
      <c r="AF167" s="235" t="n">
        <v>0.03</v>
      </c>
      <c r="AG167" s="461">
        <f>K167*AF167</f>
        <v/>
      </c>
      <c r="AH167" s="461" t="n"/>
      <c r="AI167" s="461">
        <f>AG167-AH167</f>
        <v/>
      </c>
      <c r="AJ167" s="235" t="n">
        <v>0.01</v>
      </c>
      <c r="AK167" s="461">
        <f>K167*AJ167</f>
        <v/>
      </c>
      <c r="AL167" s="461" t="n"/>
      <c r="AM167" s="461">
        <f>AK167-AL167</f>
        <v/>
      </c>
      <c r="AN167" s="235" t="n">
        <v>0.01</v>
      </c>
      <c r="AO167" s="461">
        <f>K167*AN167</f>
        <v/>
      </c>
      <c r="AP167" s="461" t="n"/>
      <c r="AQ167" s="461">
        <f>AO167-AP167</f>
        <v/>
      </c>
      <c r="AR167" s="461" t="inlineStr">
        <is>
          <t>按实</t>
        </is>
      </c>
      <c r="AS167" s="461">
        <f>AT167</f>
        <v/>
      </c>
      <c r="AT167" s="461" t="n"/>
      <c r="AU167" s="461">
        <f>AS167-AT167</f>
        <v/>
      </c>
      <c r="AV167" s="461" t="inlineStr">
        <is>
          <t>按实</t>
        </is>
      </c>
      <c r="AW167" s="461">
        <f>AX167</f>
        <v/>
      </c>
      <c r="AX167" s="461" t="n"/>
      <c r="AY167" s="461">
        <f>AW167-AX167</f>
        <v/>
      </c>
      <c r="AZ167" s="461" t="inlineStr">
        <is>
          <t>按实</t>
        </is>
      </c>
      <c r="BA167" s="461">
        <f>BB167</f>
        <v/>
      </c>
      <c r="BB167" s="461" t="n"/>
      <c r="BC167" s="461">
        <f>BA167-BB167</f>
        <v/>
      </c>
      <c r="BD167" s="461" t="n">
        <v>0</v>
      </c>
      <c r="BE167" s="461">
        <f>K167*BD167</f>
        <v/>
      </c>
      <c r="BF167" s="461" t="n"/>
      <c r="BG167" s="461">
        <f>BE167-BF167</f>
        <v/>
      </c>
      <c r="BH167" s="461" t="n">
        <v>0</v>
      </c>
      <c r="BI167" s="461">
        <f>K167*BH167</f>
        <v/>
      </c>
      <c r="BJ167" s="461" t="n"/>
      <c r="BK167" s="461">
        <f>BI167-BJ167</f>
        <v/>
      </c>
      <c r="BL167" s="461" t="inlineStr">
        <is>
          <t>按实</t>
        </is>
      </c>
      <c r="BM167" s="220">
        <f>BN167</f>
        <v/>
      </c>
      <c r="BN167" s="220" t="n"/>
      <c r="BO167" s="220">
        <f>BM167-BN167</f>
        <v/>
      </c>
      <c r="BP167" s="220">
        <f>N167+Q167+U167+Y167+AC167+AG167+AK167+AO167+AS167+AW167+BA167+BE167+BI167+BM167</f>
        <v/>
      </c>
      <c r="BQ167" s="220">
        <f>N167+R167+V167+Z167+AD167+AH167+AL167+AP167+AT167+AX167+BB167+BF167+BJ167+BN167</f>
        <v/>
      </c>
      <c r="BR167" s="220">
        <f>BP167-BQ167</f>
        <v/>
      </c>
      <c r="BS167" s="229" t="inlineStr">
        <is>
          <t>/</t>
        </is>
      </c>
      <c r="BT167" s="229" t="inlineStr">
        <is>
          <t>/</t>
        </is>
      </c>
      <c r="BU167" s="230" t="inlineStr">
        <is>
          <t>1、甲方捐赠：项目反馈不收取，包含在服务费中；</t>
        </is>
      </c>
      <c r="BV167" s="230" t="inlineStr">
        <is>
          <t>1、签订期间：2026.3-7月；
2、指标按照全年换算；</t>
        </is>
      </c>
      <c r="BW167" s="534" t="n"/>
    </row>
    <row r="168" ht="24" customFormat="1" customHeight="1" s="209">
      <c r="A168" s="219" t="n">
        <v>200</v>
      </c>
      <c r="B168" s="220" t="inlineStr">
        <is>
          <t>KQCY0200</t>
        </is>
      </c>
      <c r="C168" s="221" t="inlineStr">
        <is>
          <t>餐饮三分部</t>
        </is>
      </c>
      <c r="D168" s="221" t="inlineStr">
        <is>
          <t>CF780</t>
        </is>
      </c>
      <c r="E168" s="221" t="inlineStr">
        <is>
          <t>吉建大二食堂</t>
        </is>
      </c>
      <c r="F168" s="219" t="inlineStr">
        <is>
          <t>分组作业</t>
        </is>
      </c>
      <c r="G168" s="222" t="inlineStr">
        <is>
          <t>徐敏娟</t>
        </is>
      </c>
      <c r="H168" s="503" t="inlineStr">
        <is>
          <t>/</t>
        </is>
      </c>
      <c r="I168" s="237" t="inlineStr">
        <is>
          <t>土豆粉</t>
        </is>
      </c>
      <c r="J168" s="222" t="inlineStr">
        <is>
          <t>郑丹丹</t>
        </is>
      </c>
      <c r="K168" s="545">
        <f>LET(k,D168&amp;"|"&amp;E168&amp;"|"&amp;H168&amp;"|"&amp;I168&amp;"|"&amp;J168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68" s="546" t="n"/>
      <c r="M168" s="224" t="n"/>
      <c r="N168" s="253" t="n"/>
      <c r="O168" s="548" t="n">
        <v>792000</v>
      </c>
      <c r="P168" s="247" t="n">
        <v>0.1</v>
      </c>
      <c r="Q168" s="461">
        <f>K168*P168</f>
        <v/>
      </c>
      <c r="R168" s="461" t="n"/>
      <c r="S168" s="461">
        <f>Q168-R168</f>
        <v/>
      </c>
      <c r="T168" s="235" t="n">
        <v>0.01</v>
      </c>
      <c r="U168" s="461">
        <f>K168*T168</f>
        <v/>
      </c>
      <c r="V168" s="461" t="n"/>
      <c r="W168" s="461">
        <f>U168-V168</f>
        <v/>
      </c>
      <c r="X168" s="461" t="n">
        <v>0</v>
      </c>
      <c r="Y168" s="461">
        <f>K168*X168</f>
        <v/>
      </c>
      <c r="Z168" s="461" t="n"/>
      <c r="AA168" s="461">
        <f>Y168-Z168</f>
        <v/>
      </c>
      <c r="AB168" s="235" t="n">
        <v>0.04</v>
      </c>
      <c r="AC168" s="461">
        <f>K168*AB168</f>
        <v/>
      </c>
      <c r="AD168" s="461" t="n"/>
      <c r="AE168" s="461">
        <f>AC168-AD168</f>
        <v/>
      </c>
      <c r="AF168" s="235" t="n">
        <v>0.03</v>
      </c>
      <c r="AG168" s="461">
        <f>K168*AF168</f>
        <v/>
      </c>
      <c r="AH168" s="461" t="n"/>
      <c r="AI168" s="461">
        <f>AG168-AH168</f>
        <v/>
      </c>
      <c r="AJ168" s="235" t="n">
        <v>0.01</v>
      </c>
      <c r="AK168" s="461">
        <f>K168*AJ168</f>
        <v/>
      </c>
      <c r="AL168" s="461" t="n"/>
      <c r="AM168" s="461">
        <f>AK168-AL168</f>
        <v/>
      </c>
      <c r="AN168" s="235" t="n">
        <v>0.01</v>
      </c>
      <c r="AO168" s="461">
        <f>K168*AN168</f>
        <v/>
      </c>
      <c r="AP168" s="461" t="n"/>
      <c r="AQ168" s="461">
        <f>AO168-AP168</f>
        <v/>
      </c>
      <c r="AR168" s="461" t="inlineStr">
        <is>
          <t>按实</t>
        </is>
      </c>
      <c r="AS168" s="461">
        <f>AT168</f>
        <v/>
      </c>
      <c r="AT168" s="461" t="n"/>
      <c r="AU168" s="461">
        <f>AS168-AT168</f>
        <v/>
      </c>
      <c r="AV168" s="461" t="inlineStr">
        <is>
          <t>按实</t>
        </is>
      </c>
      <c r="AW168" s="461">
        <f>AX168</f>
        <v/>
      </c>
      <c r="AX168" s="461" t="n"/>
      <c r="AY168" s="461">
        <f>AW168-AX168</f>
        <v/>
      </c>
      <c r="AZ168" s="461" t="inlineStr">
        <is>
          <t>按实</t>
        </is>
      </c>
      <c r="BA168" s="461">
        <f>BB168</f>
        <v/>
      </c>
      <c r="BB168" s="461" t="n"/>
      <c r="BC168" s="461">
        <f>BA168-BB168</f>
        <v/>
      </c>
      <c r="BD168" s="461" t="n">
        <v>0</v>
      </c>
      <c r="BE168" s="461">
        <f>K168*BD168</f>
        <v/>
      </c>
      <c r="BF168" s="461" t="n"/>
      <c r="BG168" s="461">
        <f>BE168-BF168</f>
        <v/>
      </c>
      <c r="BH168" s="461" t="n">
        <v>0</v>
      </c>
      <c r="BI168" s="461">
        <f>K168*BH168</f>
        <v/>
      </c>
      <c r="BJ168" s="461" t="n"/>
      <c r="BK168" s="461">
        <f>BI168-BJ168</f>
        <v/>
      </c>
      <c r="BL168" s="461" t="inlineStr">
        <is>
          <t>按实</t>
        </is>
      </c>
      <c r="BM168" s="220">
        <f>BN168</f>
        <v/>
      </c>
      <c r="BN168" s="220" t="n"/>
      <c r="BO168" s="220">
        <f>BM168-BN168</f>
        <v/>
      </c>
      <c r="BP168" s="220">
        <f>N168+Q168+U168+Y168+AC168+AG168+AK168+AO168+AS168+AW168+BA168+BE168+BI168+BM168</f>
        <v/>
      </c>
      <c r="BQ168" s="220">
        <f>N168+R168+V168+Z168+AD168+AH168+AL168+AP168+AT168+AX168+BB168+BF168+BJ168+BN168</f>
        <v/>
      </c>
      <c r="BR168" s="220">
        <f>BP168-BQ168</f>
        <v/>
      </c>
      <c r="BS168" s="229" t="inlineStr">
        <is>
          <t>/</t>
        </is>
      </c>
      <c r="BT168" s="229" t="inlineStr">
        <is>
          <t>/</t>
        </is>
      </c>
      <c r="BU168" s="230" t="inlineStr">
        <is>
          <t>1、甲方捐赠：项目反馈不收取，包含在服务费中；</t>
        </is>
      </c>
      <c r="BV168" s="230" t="inlineStr">
        <is>
          <t>1、签订期间：2026.3-7月；
2、指标按照全年换算；</t>
        </is>
      </c>
      <c r="BW168" s="534" t="n"/>
    </row>
    <row r="169" ht="24" customFormat="1" customHeight="1" s="209">
      <c r="A169" s="219" t="n">
        <v>201</v>
      </c>
      <c r="B169" s="220" t="inlineStr">
        <is>
          <t>KQCY0201</t>
        </is>
      </c>
      <c r="C169" s="221" t="inlineStr">
        <is>
          <t>餐饮三分部</t>
        </is>
      </c>
      <c r="D169" s="221" t="inlineStr">
        <is>
          <t>CF780</t>
        </is>
      </c>
      <c r="E169" s="221" t="inlineStr">
        <is>
          <t>吉建大二食堂</t>
        </is>
      </c>
      <c r="F169" s="219" t="inlineStr">
        <is>
          <t>分组作业</t>
        </is>
      </c>
      <c r="G169" s="222" t="inlineStr">
        <is>
          <t>徐敏娟</t>
        </is>
      </c>
      <c r="H169" s="503" t="inlineStr">
        <is>
          <t>/</t>
        </is>
      </c>
      <c r="I169" s="237" t="inlineStr">
        <is>
          <t>一纸鸡</t>
        </is>
      </c>
      <c r="J169" s="222" t="inlineStr">
        <is>
          <t>徐玉珍</t>
        </is>
      </c>
      <c r="K169" s="545">
        <f>LET(k,D169&amp;"|"&amp;E169&amp;"|"&amp;H169&amp;"|"&amp;I169&amp;"|"&amp;J169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69" s="546" t="n"/>
      <c r="M169" s="224" t="n"/>
      <c r="N169" s="253" t="n"/>
      <c r="O169" s="548" t="n">
        <v>840000</v>
      </c>
      <c r="P169" s="247" t="n">
        <v>0.1</v>
      </c>
      <c r="Q169" s="461">
        <f>K169*P169</f>
        <v/>
      </c>
      <c r="R169" s="461" t="n"/>
      <c r="S169" s="461">
        <f>Q169-R169</f>
        <v/>
      </c>
      <c r="T169" s="235" t="n">
        <v>0.01</v>
      </c>
      <c r="U169" s="461">
        <f>K169*T169</f>
        <v/>
      </c>
      <c r="V169" s="461" t="n"/>
      <c r="W169" s="461">
        <f>U169-V169</f>
        <v/>
      </c>
      <c r="X169" s="461" t="n">
        <v>0</v>
      </c>
      <c r="Y169" s="461">
        <f>K169*X169</f>
        <v/>
      </c>
      <c r="Z169" s="461" t="n"/>
      <c r="AA169" s="461">
        <f>Y169-Z169</f>
        <v/>
      </c>
      <c r="AB169" s="235" t="n">
        <v>0.04</v>
      </c>
      <c r="AC169" s="461">
        <f>K169*AB169</f>
        <v/>
      </c>
      <c r="AD169" s="461" t="n"/>
      <c r="AE169" s="461">
        <f>AC169-AD169</f>
        <v/>
      </c>
      <c r="AF169" s="235" t="n">
        <v>0.03</v>
      </c>
      <c r="AG169" s="461">
        <f>K169*AF169</f>
        <v/>
      </c>
      <c r="AH169" s="461" t="n"/>
      <c r="AI169" s="461">
        <f>AG169-AH169</f>
        <v/>
      </c>
      <c r="AJ169" s="235" t="n">
        <v>0.01</v>
      </c>
      <c r="AK169" s="461">
        <f>K169*AJ169</f>
        <v/>
      </c>
      <c r="AL169" s="461" t="n"/>
      <c r="AM169" s="461">
        <f>AK169-AL169</f>
        <v/>
      </c>
      <c r="AN169" s="235" t="n">
        <v>0.01</v>
      </c>
      <c r="AO169" s="461">
        <f>K169*AN169</f>
        <v/>
      </c>
      <c r="AP169" s="461" t="n"/>
      <c r="AQ169" s="461">
        <f>AO169-AP169</f>
        <v/>
      </c>
      <c r="AR169" s="461" t="inlineStr">
        <is>
          <t>按实</t>
        </is>
      </c>
      <c r="AS169" s="461">
        <f>AT169</f>
        <v/>
      </c>
      <c r="AT169" s="461" t="n"/>
      <c r="AU169" s="461">
        <f>AS169-AT169</f>
        <v/>
      </c>
      <c r="AV169" s="461" t="inlineStr">
        <is>
          <t>按实</t>
        </is>
      </c>
      <c r="AW169" s="461">
        <f>AX169</f>
        <v/>
      </c>
      <c r="AX169" s="461" t="n"/>
      <c r="AY169" s="461">
        <f>AW169-AX169</f>
        <v/>
      </c>
      <c r="AZ169" s="461" t="inlineStr">
        <is>
          <t>按实</t>
        </is>
      </c>
      <c r="BA169" s="461">
        <f>BB169</f>
        <v/>
      </c>
      <c r="BB169" s="461" t="n"/>
      <c r="BC169" s="461">
        <f>BA169-BB169</f>
        <v/>
      </c>
      <c r="BD169" s="461" t="n">
        <v>0</v>
      </c>
      <c r="BE169" s="461">
        <f>K169*BD169</f>
        <v/>
      </c>
      <c r="BF169" s="461" t="n"/>
      <c r="BG169" s="461">
        <f>BE169-BF169</f>
        <v/>
      </c>
      <c r="BH169" s="461" t="n">
        <v>0</v>
      </c>
      <c r="BI169" s="461">
        <f>K169*BH169</f>
        <v/>
      </c>
      <c r="BJ169" s="461" t="n"/>
      <c r="BK169" s="461">
        <f>BI169-BJ169</f>
        <v/>
      </c>
      <c r="BL169" s="461" t="inlineStr">
        <is>
          <t>按实</t>
        </is>
      </c>
      <c r="BM169" s="220">
        <f>BN169</f>
        <v/>
      </c>
      <c r="BN169" s="220" t="n"/>
      <c r="BO169" s="220">
        <f>BM169-BN169</f>
        <v/>
      </c>
      <c r="BP169" s="220">
        <f>N169+Q169+U169+Y169+AC169+AG169+AK169+AO169+AS169+AW169+BA169+BE169+BI169+BM169</f>
        <v/>
      </c>
      <c r="BQ169" s="220">
        <f>N169+R169+V169+Z169+AD169+AH169+AL169+AP169+AT169+AX169+BB169+BF169+BJ169+BN169</f>
        <v/>
      </c>
      <c r="BR169" s="220">
        <f>BP169-BQ169</f>
        <v/>
      </c>
      <c r="BS169" s="229" t="inlineStr">
        <is>
          <t>/</t>
        </is>
      </c>
      <c r="BT169" s="229" t="inlineStr">
        <is>
          <t>/</t>
        </is>
      </c>
      <c r="BU169" s="230" t="inlineStr">
        <is>
          <t>1、甲方捐赠：项目反馈不收取，包含在服务费中；</t>
        </is>
      </c>
      <c r="BV169" s="230" t="inlineStr">
        <is>
          <t>1、签订期间：2026.3-7月；
2、指标按照全年换算；</t>
        </is>
      </c>
      <c r="BW169" s="534" t="n"/>
    </row>
    <row r="170" ht="24" customFormat="1" customHeight="1" s="209">
      <c r="A170" s="219" t="n">
        <v>202</v>
      </c>
      <c r="B170" s="220" t="inlineStr">
        <is>
          <t>KQCY0202</t>
        </is>
      </c>
      <c r="C170" s="221" t="inlineStr">
        <is>
          <t>餐饮三分部</t>
        </is>
      </c>
      <c r="D170" s="221" t="inlineStr">
        <is>
          <t>CF780</t>
        </is>
      </c>
      <c r="E170" s="221" t="inlineStr">
        <is>
          <t>吉建大二食堂</t>
        </is>
      </c>
      <c r="F170" s="219" t="inlineStr">
        <is>
          <t>分组作业</t>
        </is>
      </c>
      <c r="G170" s="222" t="inlineStr">
        <is>
          <t>徐敏娟</t>
        </is>
      </c>
      <c r="H170" s="503" t="inlineStr">
        <is>
          <t>/</t>
        </is>
      </c>
      <c r="I170" s="237" t="inlineStr">
        <is>
          <t>现炒浇头面</t>
        </is>
      </c>
      <c r="J170" s="222" t="inlineStr">
        <is>
          <t>尹士元</t>
        </is>
      </c>
      <c r="K170" s="545">
        <f>LET(k,D170&amp;"|"&amp;E170&amp;"|"&amp;H170&amp;"|"&amp;I170&amp;"|"&amp;J170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70" s="546" t="n"/>
      <c r="M170" s="224" t="n"/>
      <c r="N170" s="253" t="n"/>
      <c r="O170" s="548" t="n">
        <v>912000</v>
      </c>
      <c r="P170" s="247" t="n">
        <v>0.1</v>
      </c>
      <c r="Q170" s="461">
        <f>K170*P170</f>
        <v/>
      </c>
      <c r="R170" s="461" t="n"/>
      <c r="S170" s="461">
        <f>Q170-R170</f>
        <v/>
      </c>
      <c r="T170" s="235" t="n">
        <v>0.01</v>
      </c>
      <c r="U170" s="461">
        <f>K170*T170</f>
        <v/>
      </c>
      <c r="V170" s="461" t="n"/>
      <c r="W170" s="461">
        <f>U170-V170</f>
        <v/>
      </c>
      <c r="X170" s="461" t="n">
        <v>0</v>
      </c>
      <c r="Y170" s="461">
        <f>K170*X170</f>
        <v/>
      </c>
      <c r="Z170" s="461" t="n"/>
      <c r="AA170" s="461">
        <f>Y170-Z170</f>
        <v/>
      </c>
      <c r="AB170" s="235" t="n">
        <v>0.04</v>
      </c>
      <c r="AC170" s="461">
        <f>K170*AB170</f>
        <v/>
      </c>
      <c r="AD170" s="461" t="n"/>
      <c r="AE170" s="461">
        <f>AC170-AD170</f>
        <v/>
      </c>
      <c r="AF170" s="235" t="n">
        <v>0.03</v>
      </c>
      <c r="AG170" s="461">
        <f>K170*AF170</f>
        <v/>
      </c>
      <c r="AH170" s="461" t="n"/>
      <c r="AI170" s="461">
        <f>AG170-AH170</f>
        <v/>
      </c>
      <c r="AJ170" s="235" t="n">
        <v>0.01</v>
      </c>
      <c r="AK170" s="461">
        <f>K170*AJ170</f>
        <v/>
      </c>
      <c r="AL170" s="461" t="n"/>
      <c r="AM170" s="461">
        <f>AK170-AL170</f>
        <v/>
      </c>
      <c r="AN170" s="235" t="n">
        <v>0.01</v>
      </c>
      <c r="AO170" s="461">
        <f>K170*AN170</f>
        <v/>
      </c>
      <c r="AP170" s="461" t="n"/>
      <c r="AQ170" s="461">
        <f>AO170-AP170</f>
        <v/>
      </c>
      <c r="AR170" s="461" t="inlineStr">
        <is>
          <t>按实</t>
        </is>
      </c>
      <c r="AS170" s="461">
        <f>AT170</f>
        <v/>
      </c>
      <c r="AT170" s="461" t="n"/>
      <c r="AU170" s="461">
        <f>AS170-AT170</f>
        <v/>
      </c>
      <c r="AV170" s="461" t="inlineStr">
        <is>
          <t>按实</t>
        </is>
      </c>
      <c r="AW170" s="461">
        <f>AX170</f>
        <v/>
      </c>
      <c r="AX170" s="461" t="n"/>
      <c r="AY170" s="461">
        <f>AW170-AX170</f>
        <v/>
      </c>
      <c r="AZ170" s="461" t="inlineStr">
        <is>
          <t>按实</t>
        </is>
      </c>
      <c r="BA170" s="461">
        <f>BB170</f>
        <v/>
      </c>
      <c r="BB170" s="461" t="n"/>
      <c r="BC170" s="461">
        <f>BA170-BB170</f>
        <v/>
      </c>
      <c r="BD170" s="461" t="n">
        <v>0</v>
      </c>
      <c r="BE170" s="461">
        <f>K170*BD170</f>
        <v/>
      </c>
      <c r="BF170" s="461" t="n"/>
      <c r="BG170" s="461">
        <f>BE170-BF170</f>
        <v/>
      </c>
      <c r="BH170" s="461" t="n">
        <v>0</v>
      </c>
      <c r="BI170" s="461">
        <f>K170*BH170</f>
        <v/>
      </c>
      <c r="BJ170" s="461" t="n"/>
      <c r="BK170" s="461">
        <f>BI170-BJ170</f>
        <v/>
      </c>
      <c r="BL170" s="461" t="inlineStr">
        <is>
          <t>按实</t>
        </is>
      </c>
      <c r="BM170" s="220">
        <f>BN170</f>
        <v/>
      </c>
      <c r="BN170" s="220" t="n"/>
      <c r="BO170" s="220">
        <f>BM170-BN170</f>
        <v/>
      </c>
      <c r="BP170" s="220">
        <f>N170+Q170+U170+Y170+AC170+AG170+AK170+AO170+AS170+AW170+BA170+BE170+BI170+BM170</f>
        <v/>
      </c>
      <c r="BQ170" s="220">
        <f>N170+R170+V170+Z170+AD170+AH170+AL170+AP170+AT170+AX170+BB170+BF170+BJ170+BN170</f>
        <v/>
      </c>
      <c r="BR170" s="220">
        <f>BP170-BQ170</f>
        <v/>
      </c>
      <c r="BS170" s="229" t="inlineStr">
        <is>
          <t>/</t>
        </is>
      </c>
      <c r="BT170" s="229" t="inlineStr">
        <is>
          <t>/</t>
        </is>
      </c>
      <c r="BU170" s="230" t="inlineStr">
        <is>
          <t>1、甲方捐赠：项目反馈不收取，包含在服务费中；</t>
        </is>
      </c>
      <c r="BV170" s="230" t="inlineStr">
        <is>
          <t>1、签订期间：2026.3-7月；
2、指标按照全年换算；</t>
        </is>
      </c>
      <c r="BW170" s="534" t="n"/>
    </row>
    <row r="171" ht="24" customFormat="1" customHeight="1" s="209">
      <c r="A171" s="219" t="n">
        <v>203</v>
      </c>
      <c r="B171" s="220" t="inlineStr">
        <is>
          <t>KQCY0203</t>
        </is>
      </c>
      <c r="C171" s="221" t="inlineStr">
        <is>
          <t>餐饮三分部</t>
        </is>
      </c>
      <c r="D171" s="221" t="inlineStr">
        <is>
          <t>CF780</t>
        </is>
      </c>
      <c r="E171" s="221" t="inlineStr">
        <is>
          <t>吉建大二食堂</t>
        </is>
      </c>
      <c r="F171" s="219" t="inlineStr">
        <is>
          <t>分组作业</t>
        </is>
      </c>
      <c r="G171" s="222" t="inlineStr">
        <is>
          <t>徐敏娟</t>
        </is>
      </c>
      <c r="H171" s="503" t="inlineStr">
        <is>
          <t>/</t>
        </is>
      </c>
      <c r="I171" s="237" t="inlineStr">
        <is>
          <t>炒饭专家</t>
        </is>
      </c>
      <c r="J171" s="222" t="inlineStr">
        <is>
          <t>贡海涛</t>
        </is>
      </c>
      <c r="K171" s="545">
        <f>LET(k,D171&amp;"|"&amp;E171&amp;"|"&amp;H171&amp;"|"&amp;I171&amp;"|"&amp;J171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71" s="546" t="n"/>
      <c r="M171" s="224" t="n"/>
      <c r="N171" s="253" t="n"/>
      <c r="O171" s="548" t="n">
        <v>1020000</v>
      </c>
      <c r="P171" s="247" t="n">
        <v>0.1</v>
      </c>
      <c r="Q171" s="461">
        <f>K171*P171</f>
        <v/>
      </c>
      <c r="R171" s="461" t="n"/>
      <c r="S171" s="461">
        <f>Q171-R171</f>
        <v/>
      </c>
      <c r="T171" s="235" t="n">
        <v>0.01</v>
      </c>
      <c r="U171" s="461">
        <f>K171*T171</f>
        <v/>
      </c>
      <c r="V171" s="461" t="n"/>
      <c r="W171" s="461">
        <f>U171-V171</f>
        <v/>
      </c>
      <c r="X171" s="461" t="n">
        <v>0</v>
      </c>
      <c r="Y171" s="461">
        <f>K171*X171</f>
        <v/>
      </c>
      <c r="Z171" s="461" t="n"/>
      <c r="AA171" s="461">
        <f>Y171-Z171</f>
        <v/>
      </c>
      <c r="AB171" s="235" t="n">
        <v>0.04</v>
      </c>
      <c r="AC171" s="461">
        <f>K171*AB171</f>
        <v/>
      </c>
      <c r="AD171" s="461" t="n"/>
      <c r="AE171" s="461">
        <f>AC171-AD171</f>
        <v/>
      </c>
      <c r="AF171" s="235" t="n">
        <v>0.03</v>
      </c>
      <c r="AG171" s="461">
        <f>K171*AF171</f>
        <v/>
      </c>
      <c r="AH171" s="461" t="n"/>
      <c r="AI171" s="461">
        <f>AG171-AH171</f>
        <v/>
      </c>
      <c r="AJ171" s="235" t="n">
        <v>0.01</v>
      </c>
      <c r="AK171" s="461">
        <f>K171*AJ171</f>
        <v/>
      </c>
      <c r="AL171" s="461" t="n"/>
      <c r="AM171" s="461">
        <f>AK171-AL171</f>
        <v/>
      </c>
      <c r="AN171" s="235" t="n">
        <v>0.01</v>
      </c>
      <c r="AO171" s="461">
        <f>K171*AN171</f>
        <v/>
      </c>
      <c r="AP171" s="461" t="n"/>
      <c r="AQ171" s="461">
        <f>AO171-AP171</f>
        <v/>
      </c>
      <c r="AR171" s="461" t="inlineStr">
        <is>
          <t>按实</t>
        </is>
      </c>
      <c r="AS171" s="461">
        <f>AT171</f>
        <v/>
      </c>
      <c r="AT171" s="461" t="n"/>
      <c r="AU171" s="461">
        <f>AS171-AT171</f>
        <v/>
      </c>
      <c r="AV171" s="461" t="inlineStr">
        <is>
          <t>按实</t>
        </is>
      </c>
      <c r="AW171" s="461">
        <f>AX171</f>
        <v/>
      </c>
      <c r="AX171" s="461" t="n"/>
      <c r="AY171" s="461">
        <f>AW171-AX171</f>
        <v/>
      </c>
      <c r="AZ171" s="461" t="inlineStr">
        <is>
          <t>按实</t>
        </is>
      </c>
      <c r="BA171" s="461">
        <f>BB171</f>
        <v/>
      </c>
      <c r="BB171" s="461" t="n"/>
      <c r="BC171" s="461">
        <f>BA171-BB171</f>
        <v/>
      </c>
      <c r="BD171" s="461" t="n">
        <v>0</v>
      </c>
      <c r="BE171" s="461">
        <f>K171*BD171</f>
        <v/>
      </c>
      <c r="BF171" s="461" t="n"/>
      <c r="BG171" s="461">
        <f>BE171-BF171</f>
        <v/>
      </c>
      <c r="BH171" s="461" t="n">
        <v>0</v>
      </c>
      <c r="BI171" s="461">
        <f>K171*BH171</f>
        <v/>
      </c>
      <c r="BJ171" s="461" t="n"/>
      <c r="BK171" s="461">
        <f>BI171-BJ171</f>
        <v/>
      </c>
      <c r="BL171" s="461" t="inlineStr">
        <is>
          <t>按实</t>
        </is>
      </c>
      <c r="BM171" s="220">
        <f>BN171</f>
        <v/>
      </c>
      <c r="BN171" s="220" t="n"/>
      <c r="BO171" s="220">
        <f>BM171-BN171</f>
        <v/>
      </c>
      <c r="BP171" s="220">
        <f>N171+Q171+U171+Y171+AC171+AG171+AK171+AO171+AS171+AW171+BA171+BE171+BI171+BM171</f>
        <v/>
      </c>
      <c r="BQ171" s="220">
        <f>N171+R171+V171+Z171+AD171+AH171+AL171+AP171+AT171+AX171+BB171+BF171+BJ171+BN171</f>
        <v/>
      </c>
      <c r="BR171" s="220">
        <f>BP171-BQ171</f>
        <v/>
      </c>
      <c r="BS171" s="229" t="inlineStr">
        <is>
          <t>/</t>
        </is>
      </c>
      <c r="BT171" s="229" t="inlineStr">
        <is>
          <t>/</t>
        </is>
      </c>
      <c r="BU171" s="230" t="inlineStr">
        <is>
          <t>1、甲方捐赠：项目反馈不收取，包含在服务费中；</t>
        </is>
      </c>
      <c r="BV171" s="230" t="inlineStr">
        <is>
          <t>1、签订期间：2026.3-7月；
2、指标按照全年换算；</t>
        </is>
      </c>
      <c r="BW171" s="534" t="n"/>
    </row>
    <row r="172" ht="24" customFormat="1" customHeight="1" s="209">
      <c r="A172" s="219" t="n">
        <v>204</v>
      </c>
      <c r="B172" s="220" t="inlineStr">
        <is>
          <t>KQCY0204</t>
        </is>
      </c>
      <c r="C172" s="221" t="inlineStr">
        <is>
          <t>餐饮三分部</t>
        </is>
      </c>
      <c r="D172" s="221" t="inlineStr">
        <is>
          <t>CF780</t>
        </is>
      </c>
      <c r="E172" s="221" t="inlineStr">
        <is>
          <t>吉建大二食堂</t>
        </is>
      </c>
      <c r="F172" s="219" t="inlineStr">
        <is>
          <t>分组作业</t>
        </is>
      </c>
      <c r="G172" s="222" t="inlineStr">
        <is>
          <t>徐敏娟</t>
        </is>
      </c>
      <c r="H172" s="503" t="inlineStr">
        <is>
          <t>/</t>
        </is>
      </c>
      <c r="I172" s="237" t="inlineStr">
        <is>
          <t>瓦香鸡</t>
        </is>
      </c>
      <c r="J172" s="222" t="inlineStr">
        <is>
          <t>马永波</t>
        </is>
      </c>
      <c r="K172" s="545">
        <f>LET(k,D172&amp;"|"&amp;E172&amp;"|"&amp;H172&amp;"|"&amp;I172&amp;"|"&amp;J172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72" s="546" t="n"/>
      <c r="M172" s="224" t="n"/>
      <c r="N172" s="253" t="n"/>
      <c r="O172" s="548" t="n">
        <v>736800</v>
      </c>
      <c r="P172" s="247" t="n">
        <v>0.1</v>
      </c>
      <c r="Q172" s="461">
        <f>K172*P172</f>
        <v/>
      </c>
      <c r="R172" s="461" t="n"/>
      <c r="S172" s="461">
        <f>Q172-R172</f>
        <v/>
      </c>
      <c r="T172" s="235" t="n">
        <v>0.01</v>
      </c>
      <c r="U172" s="461">
        <f>K172*T172</f>
        <v/>
      </c>
      <c r="V172" s="461" t="n"/>
      <c r="W172" s="461">
        <f>U172-V172</f>
        <v/>
      </c>
      <c r="X172" s="461" t="n">
        <v>0</v>
      </c>
      <c r="Y172" s="461">
        <f>K172*X172</f>
        <v/>
      </c>
      <c r="Z172" s="461" t="n"/>
      <c r="AA172" s="461">
        <f>Y172-Z172</f>
        <v/>
      </c>
      <c r="AB172" s="235" t="n">
        <v>0.04</v>
      </c>
      <c r="AC172" s="461">
        <f>K172*AB172</f>
        <v/>
      </c>
      <c r="AD172" s="461" t="n"/>
      <c r="AE172" s="461">
        <f>AC172-AD172</f>
        <v/>
      </c>
      <c r="AF172" s="235" t="n">
        <v>0.03</v>
      </c>
      <c r="AG172" s="461">
        <f>K172*AF172</f>
        <v/>
      </c>
      <c r="AH172" s="461" t="n"/>
      <c r="AI172" s="461">
        <f>AG172-AH172</f>
        <v/>
      </c>
      <c r="AJ172" s="235" t="n">
        <v>0.01</v>
      </c>
      <c r="AK172" s="461">
        <f>K172*AJ172</f>
        <v/>
      </c>
      <c r="AL172" s="461" t="n"/>
      <c r="AM172" s="461">
        <f>AK172-AL172</f>
        <v/>
      </c>
      <c r="AN172" s="235" t="n">
        <v>0.01</v>
      </c>
      <c r="AO172" s="461">
        <f>K172*AN172</f>
        <v/>
      </c>
      <c r="AP172" s="461" t="n"/>
      <c r="AQ172" s="461">
        <f>AO172-AP172</f>
        <v/>
      </c>
      <c r="AR172" s="461" t="inlineStr">
        <is>
          <t>按实</t>
        </is>
      </c>
      <c r="AS172" s="461">
        <f>AT172</f>
        <v/>
      </c>
      <c r="AT172" s="461" t="n"/>
      <c r="AU172" s="461">
        <f>AS172-AT172</f>
        <v/>
      </c>
      <c r="AV172" s="461" t="inlineStr">
        <is>
          <t>按实</t>
        </is>
      </c>
      <c r="AW172" s="461">
        <f>AX172</f>
        <v/>
      </c>
      <c r="AX172" s="461" t="n"/>
      <c r="AY172" s="461">
        <f>AW172-AX172</f>
        <v/>
      </c>
      <c r="AZ172" s="461" t="inlineStr">
        <is>
          <t>按实</t>
        </is>
      </c>
      <c r="BA172" s="461">
        <f>BB172</f>
        <v/>
      </c>
      <c r="BB172" s="461" t="n"/>
      <c r="BC172" s="461">
        <f>BA172-BB172</f>
        <v/>
      </c>
      <c r="BD172" s="461" t="n">
        <v>0</v>
      </c>
      <c r="BE172" s="461">
        <f>K172*BD172</f>
        <v/>
      </c>
      <c r="BF172" s="461" t="n"/>
      <c r="BG172" s="461">
        <f>BE172-BF172</f>
        <v/>
      </c>
      <c r="BH172" s="461" t="n">
        <v>0</v>
      </c>
      <c r="BI172" s="461">
        <f>K172*BH172</f>
        <v/>
      </c>
      <c r="BJ172" s="461" t="n"/>
      <c r="BK172" s="461">
        <f>BI172-BJ172</f>
        <v/>
      </c>
      <c r="BL172" s="461" t="inlineStr">
        <is>
          <t>按实</t>
        </is>
      </c>
      <c r="BM172" s="220">
        <f>BN172</f>
        <v/>
      </c>
      <c r="BN172" s="220" t="n"/>
      <c r="BO172" s="220">
        <f>BM172-BN172</f>
        <v/>
      </c>
      <c r="BP172" s="220">
        <f>N172+Q172+U172+Y172+AC172+AG172+AK172+AO172+AS172+AW172+BA172+BE172+BI172+BM172</f>
        <v/>
      </c>
      <c r="BQ172" s="220">
        <f>N172+R172+V172+Z172+AD172+AH172+AL172+AP172+AT172+AX172+BB172+BF172+BJ172+BN172</f>
        <v/>
      </c>
      <c r="BR172" s="220">
        <f>BP172-BQ172</f>
        <v/>
      </c>
      <c r="BS172" s="229" t="inlineStr">
        <is>
          <t>/</t>
        </is>
      </c>
      <c r="BT172" s="229" t="inlineStr">
        <is>
          <t>/</t>
        </is>
      </c>
      <c r="BU172" s="230" t="inlineStr">
        <is>
          <t>1、甲方捐赠：项目反馈不收取，包含在服务费中；</t>
        </is>
      </c>
      <c r="BV172" s="230" t="inlineStr">
        <is>
          <t>1、签订期间：2026.3-7月；
2、指标按照全年换算；</t>
        </is>
      </c>
      <c r="BW172" s="534" t="n"/>
    </row>
    <row r="173" ht="24" customFormat="1" customHeight="1" s="209">
      <c r="A173" s="219" t="n">
        <v>205</v>
      </c>
      <c r="B173" s="220" t="inlineStr">
        <is>
          <t>KQCY0205</t>
        </is>
      </c>
      <c r="C173" s="221" t="inlineStr">
        <is>
          <t>餐饮三分部</t>
        </is>
      </c>
      <c r="D173" s="221" t="inlineStr">
        <is>
          <t>CF780</t>
        </is>
      </c>
      <c r="E173" s="221" t="inlineStr">
        <is>
          <t>吉建大二食堂</t>
        </is>
      </c>
      <c r="F173" s="219" t="inlineStr">
        <is>
          <t>分组作业</t>
        </is>
      </c>
      <c r="G173" s="222" t="inlineStr">
        <is>
          <t>徐敏娟</t>
        </is>
      </c>
      <c r="H173" s="503" t="inlineStr">
        <is>
          <t>/</t>
        </is>
      </c>
      <c r="I173" s="237" t="inlineStr">
        <is>
          <t>热干面</t>
        </is>
      </c>
      <c r="J173" s="222" t="inlineStr">
        <is>
          <t>徐成龙</t>
        </is>
      </c>
      <c r="K173" s="545">
        <f>LET(k,D173&amp;"|"&amp;E173&amp;"|"&amp;H173&amp;"|"&amp;I173&amp;"|"&amp;J173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73" s="546" t="n"/>
      <c r="M173" s="224" t="n"/>
      <c r="N173" s="253" t="n"/>
      <c r="O173" s="548" t="n">
        <v>948000</v>
      </c>
      <c r="P173" s="247" t="n">
        <v>0.1</v>
      </c>
      <c r="Q173" s="461">
        <f>K173*P173</f>
        <v/>
      </c>
      <c r="R173" s="461" t="n"/>
      <c r="S173" s="461">
        <f>Q173-R173</f>
        <v/>
      </c>
      <c r="T173" s="235" t="n">
        <v>0.01</v>
      </c>
      <c r="U173" s="461">
        <f>K173*T173</f>
        <v/>
      </c>
      <c r="V173" s="461" t="n"/>
      <c r="W173" s="461">
        <f>U173-V173</f>
        <v/>
      </c>
      <c r="X173" s="461" t="n">
        <v>0</v>
      </c>
      <c r="Y173" s="461">
        <f>K173*X173</f>
        <v/>
      </c>
      <c r="Z173" s="461" t="n"/>
      <c r="AA173" s="461">
        <f>Y173-Z173</f>
        <v/>
      </c>
      <c r="AB173" s="235" t="n">
        <v>0.04</v>
      </c>
      <c r="AC173" s="461">
        <f>K173*AB173</f>
        <v/>
      </c>
      <c r="AD173" s="461" t="n"/>
      <c r="AE173" s="461">
        <f>AC173-AD173</f>
        <v/>
      </c>
      <c r="AF173" s="235" t="n">
        <v>0.03</v>
      </c>
      <c r="AG173" s="461">
        <f>K173*AF173</f>
        <v/>
      </c>
      <c r="AH173" s="461" t="n"/>
      <c r="AI173" s="461">
        <f>AG173-AH173</f>
        <v/>
      </c>
      <c r="AJ173" s="235" t="n">
        <v>0.01</v>
      </c>
      <c r="AK173" s="461">
        <f>K173*AJ173</f>
        <v/>
      </c>
      <c r="AL173" s="461" t="n"/>
      <c r="AM173" s="461">
        <f>AK173-AL173</f>
        <v/>
      </c>
      <c r="AN173" s="235" t="n">
        <v>0.01</v>
      </c>
      <c r="AO173" s="461">
        <f>K173*AN173</f>
        <v/>
      </c>
      <c r="AP173" s="461" t="n"/>
      <c r="AQ173" s="461">
        <f>AO173-AP173</f>
        <v/>
      </c>
      <c r="AR173" s="461" t="inlineStr">
        <is>
          <t>按实</t>
        </is>
      </c>
      <c r="AS173" s="461">
        <f>AT173</f>
        <v/>
      </c>
      <c r="AT173" s="461" t="n"/>
      <c r="AU173" s="461">
        <f>AS173-AT173</f>
        <v/>
      </c>
      <c r="AV173" s="461" t="inlineStr">
        <is>
          <t>按实</t>
        </is>
      </c>
      <c r="AW173" s="461">
        <f>AX173</f>
        <v/>
      </c>
      <c r="AX173" s="461" t="n"/>
      <c r="AY173" s="461">
        <f>AW173-AX173</f>
        <v/>
      </c>
      <c r="AZ173" s="461" t="inlineStr">
        <is>
          <t>按实</t>
        </is>
      </c>
      <c r="BA173" s="461">
        <f>BB173</f>
        <v/>
      </c>
      <c r="BB173" s="461" t="n"/>
      <c r="BC173" s="461">
        <f>BA173-BB173</f>
        <v/>
      </c>
      <c r="BD173" s="461" t="n">
        <v>0</v>
      </c>
      <c r="BE173" s="461">
        <f>K173*BD173</f>
        <v/>
      </c>
      <c r="BF173" s="461" t="n"/>
      <c r="BG173" s="461">
        <f>BE173-BF173</f>
        <v/>
      </c>
      <c r="BH173" s="461" t="n">
        <v>0</v>
      </c>
      <c r="BI173" s="461">
        <f>K173*BH173</f>
        <v/>
      </c>
      <c r="BJ173" s="461" t="n"/>
      <c r="BK173" s="461">
        <f>BI173-BJ173</f>
        <v/>
      </c>
      <c r="BL173" s="461" t="inlineStr">
        <is>
          <t>按实</t>
        </is>
      </c>
      <c r="BM173" s="220">
        <f>BN173</f>
        <v/>
      </c>
      <c r="BN173" s="220" t="n"/>
      <c r="BO173" s="220">
        <f>BM173-BN173</f>
        <v/>
      </c>
      <c r="BP173" s="220">
        <f>N173+Q173+U173+Y173+AC173+AG173+AK173+AO173+AS173+AW173+BA173+BE173+BI173+BM173</f>
        <v/>
      </c>
      <c r="BQ173" s="220">
        <f>N173+R173+V173+Z173+AD173+AH173+AL173+AP173+AT173+AX173+BB173+BF173+BJ173+BN173</f>
        <v/>
      </c>
      <c r="BR173" s="220">
        <f>BP173-BQ173</f>
        <v/>
      </c>
      <c r="BS173" s="229" t="inlineStr">
        <is>
          <t>/</t>
        </is>
      </c>
      <c r="BT173" s="229" t="inlineStr">
        <is>
          <t>/</t>
        </is>
      </c>
      <c r="BU173" s="230" t="inlineStr">
        <is>
          <t>1、甲方捐赠：项目反馈不收取，包含在服务费中；</t>
        </is>
      </c>
      <c r="BV173" s="230" t="inlineStr">
        <is>
          <t>1、签订期间：2026.3-7月；
2、指标按照全年换算；</t>
        </is>
      </c>
      <c r="BW173" s="534" t="n"/>
    </row>
    <row r="174" ht="24" customFormat="1" customHeight="1" s="209">
      <c r="A174" s="219" t="n">
        <v>206</v>
      </c>
      <c r="B174" s="220" t="inlineStr">
        <is>
          <t>KQCY0206</t>
        </is>
      </c>
      <c r="C174" s="221" t="inlineStr">
        <is>
          <t>餐饮三分部</t>
        </is>
      </c>
      <c r="D174" s="221" t="inlineStr">
        <is>
          <t>CF780</t>
        </is>
      </c>
      <c r="E174" s="221" t="inlineStr">
        <is>
          <t>吉建大二食堂</t>
        </is>
      </c>
      <c r="F174" s="219" t="inlineStr">
        <is>
          <t>分组作业</t>
        </is>
      </c>
      <c r="G174" s="222" t="inlineStr">
        <is>
          <t>徐敏娟</t>
        </is>
      </c>
      <c r="H174" s="503" t="inlineStr">
        <is>
          <t>/</t>
        </is>
      </c>
      <c r="I174" s="237" t="inlineStr">
        <is>
          <t>喜翻拌麻辣拌</t>
        </is>
      </c>
      <c r="J174" s="222" t="inlineStr">
        <is>
          <t>兰国强</t>
        </is>
      </c>
      <c r="K174" s="545">
        <f>LET(k,D174&amp;"|"&amp;E174&amp;"|"&amp;H174&amp;"|"&amp;I174&amp;"|"&amp;J174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74" s="546" t="n"/>
      <c r="M174" s="224" t="n"/>
      <c r="N174" s="253" t="n"/>
      <c r="O174" s="548" t="n">
        <v>1464000</v>
      </c>
      <c r="P174" s="247" t="n">
        <v>0.1</v>
      </c>
      <c r="Q174" s="461">
        <f>K174*P174</f>
        <v/>
      </c>
      <c r="R174" s="461" t="n"/>
      <c r="S174" s="461">
        <f>Q174-R174</f>
        <v/>
      </c>
      <c r="T174" s="235" t="n">
        <v>0.01</v>
      </c>
      <c r="U174" s="461">
        <f>K174*T174</f>
        <v/>
      </c>
      <c r="V174" s="461" t="n"/>
      <c r="W174" s="461">
        <f>U174-V174</f>
        <v/>
      </c>
      <c r="X174" s="461" t="n">
        <v>0</v>
      </c>
      <c r="Y174" s="461">
        <f>K174*X174</f>
        <v/>
      </c>
      <c r="Z174" s="461" t="n"/>
      <c r="AA174" s="461">
        <f>Y174-Z174</f>
        <v/>
      </c>
      <c r="AB174" s="235" t="n">
        <v>0.04</v>
      </c>
      <c r="AC174" s="461">
        <f>K174*AB174</f>
        <v/>
      </c>
      <c r="AD174" s="461" t="n"/>
      <c r="AE174" s="461">
        <f>AC174-AD174</f>
        <v/>
      </c>
      <c r="AF174" s="235" t="n">
        <v>0.03</v>
      </c>
      <c r="AG174" s="461">
        <f>K174*AF174</f>
        <v/>
      </c>
      <c r="AH174" s="461" t="n"/>
      <c r="AI174" s="461">
        <f>AG174-AH174</f>
        <v/>
      </c>
      <c r="AJ174" s="235" t="n">
        <v>0.01</v>
      </c>
      <c r="AK174" s="461">
        <f>K174*AJ174</f>
        <v/>
      </c>
      <c r="AL174" s="461" t="n"/>
      <c r="AM174" s="461">
        <f>AK174-AL174</f>
        <v/>
      </c>
      <c r="AN174" s="235" t="n">
        <v>0.01</v>
      </c>
      <c r="AO174" s="461">
        <f>K174*AN174</f>
        <v/>
      </c>
      <c r="AP174" s="461" t="n"/>
      <c r="AQ174" s="461">
        <f>AO174-AP174</f>
        <v/>
      </c>
      <c r="AR174" s="461" t="inlineStr">
        <is>
          <t>按实</t>
        </is>
      </c>
      <c r="AS174" s="461">
        <f>AT174</f>
        <v/>
      </c>
      <c r="AT174" s="461" t="n"/>
      <c r="AU174" s="461">
        <f>AS174-AT174</f>
        <v/>
      </c>
      <c r="AV174" s="461" t="inlineStr">
        <is>
          <t>按实</t>
        </is>
      </c>
      <c r="AW174" s="461">
        <f>AX174</f>
        <v/>
      </c>
      <c r="AX174" s="461" t="n"/>
      <c r="AY174" s="461">
        <f>AW174-AX174</f>
        <v/>
      </c>
      <c r="AZ174" s="461" t="inlineStr">
        <is>
          <t>按实</t>
        </is>
      </c>
      <c r="BA174" s="461">
        <f>BB174</f>
        <v/>
      </c>
      <c r="BB174" s="461" t="n"/>
      <c r="BC174" s="461">
        <f>BA174-BB174</f>
        <v/>
      </c>
      <c r="BD174" s="461" t="n">
        <v>0</v>
      </c>
      <c r="BE174" s="461">
        <f>K174*BD174</f>
        <v/>
      </c>
      <c r="BF174" s="461" t="n"/>
      <c r="BG174" s="461">
        <f>BE174-BF174</f>
        <v/>
      </c>
      <c r="BH174" s="461" t="n">
        <v>0</v>
      </c>
      <c r="BI174" s="461">
        <f>K174*BH174</f>
        <v/>
      </c>
      <c r="BJ174" s="461" t="n"/>
      <c r="BK174" s="461">
        <f>BI174-BJ174</f>
        <v/>
      </c>
      <c r="BL174" s="461" t="inlineStr">
        <is>
          <t>按实</t>
        </is>
      </c>
      <c r="BM174" s="220">
        <f>BN174</f>
        <v/>
      </c>
      <c r="BN174" s="220" t="n"/>
      <c r="BO174" s="220">
        <f>BM174-BN174</f>
        <v/>
      </c>
      <c r="BP174" s="220">
        <f>N174+Q174+U174+Y174+AC174+AG174+AK174+AO174+AS174+AW174+BA174+BE174+BI174+BM174</f>
        <v/>
      </c>
      <c r="BQ174" s="220">
        <f>N174+R174+V174+Z174+AD174+AH174+AL174+AP174+AT174+AX174+BB174+BF174+BJ174+BN174</f>
        <v/>
      </c>
      <c r="BR174" s="220">
        <f>BP174-BQ174</f>
        <v/>
      </c>
      <c r="BS174" s="229" t="inlineStr">
        <is>
          <t>/</t>
        </is>
      </c>
      <c r="BT174" s="229" t="inlineStr">
        <is>
          <t>/</t>
        </is>
      </c>
      <c r="BU174" s="230" t="inlineStr">
        <is>
          <t>1、甲方捐赠：项目反馈不收取，包含在服务费中；</t>
        </is>
      </c>
      <c r="BV174" s="230" t="inlineStr">
        <is>
          <t>1、签订期间：2026.3-7月；
2、指标按照全年换算；</t>
        </is>
      </c>
      <c r="BW174" s="534" t="n"/>
    </row>
    <row r="175" ht="24" customFormat="1" customHeight="1" s="209">
      <c r="A175" s="219" t="n">
        <v>207</v>
      </c>
      <c r="B175" s="220" t="inlineStr">
        <is>
          <t>KQCY0207</t>
        </is>
      </c>
      <c r="C175" s="221" t="inlineStr">
        <is>
          <t>餐饮三分部</t>
        </is>
      </c>
      <c r="D175" s="221" t="inlineStr">
        <is>
          <t>CF780</t>
        </is>
      </c>
      <c r="E175" s="221" t="inlineStr">
        <is>
          <t>吉建大二食堂</t>
        </is>
      </c>
      <c r="F175" s="219" t="inlineStr">
        <is>
          <t>分组作业</t>
        </is>
      </c>
      <c r="G175" s="222" t="inlineStr">
        <is>
          <t>徐敏娟</t>
        </is>
      </c>
      <c r="H175" s="503" t="inlineStr">
        <is>
          <t>/</t>
        </is>
      </c>
      <c r="I175" s="237" t="inlineStr">
        <is>
          <t>檬大咖</t>
        </is>
      </c>
      <c r="J175" s="222" t="inlineStr">
        <is>
          <t>于广东</t>
        </is>
      </c>
      <c r="K175" s="545">
        <f>LET(k,D175&amp;"|"&amp;E175&amp;"|"&amp;H175&amp;"|"&amp;I175&amp;"|"&amp;J175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75" s="546" t="n"/>
      <c r="M175" s="224" t="n"/>
      <c r="N175" s="253" t="n"/>
      <c r="O175" s="548" t="n">
        <v>465600</v>
      </c>
      <c r="P175" s="247" t="n">
        <v>0.1</v>
      </c>
      <c r="Q175" s="461">
        <f>K175*P175</f>
        <v/>
      </c>
      <c r="R175" s="461" t="n"/>
      <c r="S175" s="461">
        <f>Q175-R175</f>
        <v/>
      </c>
      <c r="T175" s="235" t="n">
        <v>0.01</v>
      </c>
      <c r="U175" s="461">
        <f>K175*T175</f>
        <v/>
      </c>
      <c r="V175" s="461" t="n"/>
      <c r="W175" s="461">
        <f>U175-V175</f>
        <v/>
      </c>
      <c r="X175" s="461" t="n">
        <v>0</v>
      </c>
      <c r="Y175" s="461">
        <f>K175*X175</f>
        <v/>
      </c>
      <c r="Z175" s="461" t="n"/>
      <c r="AA175" s="461">
        <f>Y175-Z175</f>
        <v/>
      </c>
      <c r="AB175" s="235" t="n">
        <v>0.04</v>
      </c>
      <c r="AC175" s="461">
        <f>K175*AB175</f>
        <v/>
      </c>
      <c r="AD175" s="461" t="n"/>
      <c r="AE175" s="461">
        <f>AC175-AD175</f>
        <v/>
      </c>
      <c r="AF175" s="235" t="n">
        <v>0.03</v>
      </c>
      <c r="AG175" s="461">
        <f>K175*AF175</f>
        <v/>
      </c>
      <c r="AH175" s="461" t="n"/>
      <c r="AI175" s="461">
        <f>AG175-AH175</f>
        <v/>
      </c>
      <c r="AJ175" s="235" t="n">
        <v>0.01</v>
      </c>
      <c r="AK175" s="461">
        <f>K175*AJ175</f>
        <v/>
      </c>
      <c r="AL175" s="461" t="n"/>
      <c r="AM175" s="461">
        <f>AK175-AL175</f>
        <v/>
      </c>
      <c r="AN175" s="235" t="n">
        <v>0.01</v>
      </c>
      <c r="AO175" s="461">
        <f>K175*AN175</f>
        <v/>
      </c>
      <c r="AP175" s="461" t="n"/>
      <c r="AQ175" s="461">
        <f>AO175-AP175</f>
        <v/>
      </c>
      <c r="AR175" s="461" t="inlineStr">
        <is>
          <t>按实</t>
        </is>
      </c>
      <c r="AS175" s="461">
        <f>AT175</f>
        <v/>
      </c>
      <c r="AT175" s="461" t="n"/>
      <c r="AU175" s="461">
        <f>AS175-AT175</f>
        <v/>
      </c>
      <c r="AV175" s="461" t="inlineStr">
        <is>
          <t>按实</t>
        </is>
      </c>
      <c r="AW175" s="461">
        <f>AX175</f>
        <v/>
      </c>
      <c r="AX175" s="461" t="n"/>
      <c r="AY175" s="461">
        <f>AW175-AX175</f>
        <v/>
      </c>
      <c r="AZ175" s="461" t="inlineStr">
        <is>
          <t>按实</t>
        </is>
      </c>
      <c r="BA175" s="461">
        <f>BB175</f>
        <v/>
      </c>
      <c r="BB175" s="461" t="n"/>
      <c r="BC175" s="461">
        <f>BA175-BB175</f>
        <v/>
      </c>
      <c r="BD175" s="461" t="n">
        <v>0</v>
      </c>
      <c r="BE175" s="461">
        <f>K175*BD175</f>
        <v/>
      </c>
      <c r="BF175" s="461" t="n"/>
      <c r="BG175" s="461">
        <f>BE175-BF175</f>
        <v/>
      </c>
      <c r="BH175" s="461" t="n">
        <v>0</v>
      </c>
      <c r="BI175" s="461">
        <f>K175*BH175</f>
        <v/>
      </c>
      <c r="BJ175" s="461" t="n"/>
      <c r="BK175" s="461">
        <f>BI175-BJ175</f>
        <v/>
      </c>
      <c r="BL175" s="461" t="inlineStr">
        <is>
          <t>按实</t>
        </is>
      </c>
      <c r="BM175" s="220">
        <f>BN175</f>
        <v/>
      </c>
      <c r="BN175" s="220" t="n"/>
      <c r="BO175" s="220">
        <f>BM175-BN175</f>
        <v/>
      </c>
      <c r="BP175" s="220">
        <f>N175+Q175+U175+Y175+AC175+AG175+AK175+AO175+AS175+AW175+BA175+BE175+BI175+BM175</f>
        <v/>
      </c>
      <c r="BQ175" s="220">
        <f>N175+R175+V175+Z175+AD175+AH175+AL175+AP175+AT175+AX175+BB175+BF175+BJ175+BN175</f>
        <v/>
      </c>
      <c r="BR175" s="220">
        <f>BP175-BQ175</f>
        <v/>
      </c>
      <c r="BS175" s="229" t="inlineStr">
        <is>
          <t>/</t>
        </is>
      </c>
      <c r="BT175" s="229" t="inlineStr">
        <is>
          <t>/</t>
        </is>
      </c>
      <c r="BU175" s="230" t="inlineStr">
        <is>
          <t>1、甲方捐赠：项目反馈不收取，包含在服务费中；</t>
        </is>
      </c>
      <c r="BV175" s="230" t="inlineStr">
        <is>
          <t>1、签订期间：2026.3-7月；
2、指标按照全年换算；</t>
        </is>
      </c>
      <c r="BW175" s="534" t="n"/>
    </row>
    <row r="176" customFormat="1" s="209">
      <c r="A176" s="219" t="n">
        <v>208</v>
      </c>
      <c r="B176" s="220" t="inlineStr">
        <is>
          <t>KQCY0208</t>
        </is>
      </c>
      <c r="C176" s="221" t="inlineStr">
        <is>
          <t>餐饮三分部</t>
        </is>
      </c>
      <c r="D176" s="221" t="inlineStr">
        <is>
          <t>CF780</t>
        </is>
      </c>
      <c r="E176" s="221" t="inlineStr">
        <is>
          <t>吉建大二食堂</t>
        </is>
      </c>
      <c r="F176" s="239" t="inlineStr">
        <is>
          <t>分组作业</t>
        </is>
      </c>
      <c r="G176" s="222" t="inlineStr">
        <is>
          <t>徐敏娟</t>
        </is>
      </c>
      <c r="H176" s="503" t="inlineStr">
        <is>
          <t>/</t>
        </is>
      </c>
      <c r="I176" s="328" t="inlineStr">
        <is>
          <t>烤盘饭</t>
        </is>
      </c>
      <c r="J176" s="222" t="inlineStr">
        <is>
          <t>曹晓东</t>
        </is>
      </c>
      <c r="K176" s="545">
        <f>LET(k,D176&amp;"|"&amp;E176&amp;"|"&amp;H176&amp;"|"&amp;I176&amp;"|"&amp;J176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76" s="546" t="n"/>
      <c r="M176" s="224" t="n"/>
      <c r="N176" s="253" t="n"/>
      <c r="O176" s="548" t="n"/>
      <c r="P176" s="247" t="n">
        <v>0.1</v>
      </c>
      <c r="Q176" s="461">
        <f>K176*P176</f>
        <v/>
      </c>
      <c r="R176" s="461" t="n"/>
      <c r="S176" s="461">
        <f>Q176-R176</f>
        <v/>
      </c>
      <c r="T176" s="235" t="n">
        <v>0.01</v>
      </c>
      <c r="U176" s="461">
        <f>K176*T176</f>
        <v/>
      </c>
      <c r="V176" s="461" t="n"/>
      <c r="W176" s="461">
        <f>U176-V176</f>
        <v/>
      </c>
      <c r="X176" s="461" t="n">
        <v>0</v>
      </c>
      <c r="Y176" s="461">
        <f>K176*X176</f>
        <v/>
      </c>
      <c r="Z176" s="461" t="n"/>
      <c r="AA176" s="461">
        <f>Y176-Z176</f>
        <v/>
      </c>
      <c r="AB176" s="235" t="n">
        <v>0.04</v>
      </c>
      <c r="AC176" s="461">
        <f>K176*AB176</f>
        <v/>
      </c>
      <c r="AD176" s="461" t="n"/>
      <c r="AE176" s="461">
        <f>AC176-AD176</f>
        <v/>
      </c>
      <c r="AF176" s="235" t="n">
        <v>0.03</v>
      </c>
      <c r="AG176" s="461">
        <f>K176*AF176</f>
        <v/>
      </c>
      <c r="AH176" s="461" t="n"/>
      <c r="AI176" s="461">
        <f>AG176-AH176</f>
        <v/>
      </c>
      <c r="AJ176" s="235" t="n">
        <v>0.01</v>
      </c>
      <c r="AK176" s="461">
        <f>K176*AJ176</f>
        <v/>
      </c>
      <c r="AL176" s="461" t="n"/>
      <c r="AM176" s="461">
        <f>AK176-AL176</f>
        <v/>
      </c>
      <c r="AN176" s="235" t="n">
        <v>0.01</v>
      </c>
      <c r="AO176" s="461">
        <f>K176*AN176</f>
        <v/>
      </c>
      <c r="AP176" s="461" t="n"/>
      <c r="AQ176" s="461">
        <f>AO176-AP176</f>
        <v/>
      </c>
      <c r="AR176" s="461" t="inlineStr">
        <is>
          <t>按实</t>
        </is>
      </c>
      <c r="AS176" s="461">
        <f>AT176</f>
        <v/>
      </c>
      <c r="AT176" s="461" t="n"/>
      <c r="AU176" s="461">
        <f>AS176-AT176</f>
        <v/>
      </c>
      <c r="AV176" s="461" t="inlineStr">
        <is>
          <t>按实</t>
        </is>
      </c>
      <c r="AW176" s="461">
        <f>AX176</f>
        <v/>
      </c>
      <c r="AX176" s="461" t="n"/>
      <c r="AY176" s="461">
        <f>AW176-AX176</f>
        <v/>
      </c>
      <c r="AZ176" s="461" t="inlineStr">
        <is>
          <t>按实</t>
        </is>
      </c>
      <c r="BA176" s="461">
        <f>BB176</f>
        <v/>
      </c>
      <c r="BB176" s="461" t="n"/>
      <c r="BC176" s="461">
        <f>BA176-BB176</f>
        <v/>
      </c>
      <c r="BD176" s="461" t="n">
        <v>0</v>
      </c>
      <c r="BE176" s="461">
        <f>K176*BD176</f>
        <v/>
      </c>
      <c r="BF176" s="461" t="n"/>
      <c r="BG176" s="461">
        <f>BE176-BF176</f>
        <v/>
      </c>
      <c r="BH176" s="461" t="n">
        <v>0</v>
      </c>
      <c r="BI176" s="461">
        <f>K176*BH176</f>
        <v/>
      </c>
      <c r="BJ176" s="461" t="n"/>
      <c r="BK176" s="461">
        <f>BI176-BJ176</f>
        <v/>
      </c>
      <c r="BL176" s="461" t="inlineStr">
        <is>
          <t>按实</t>
        </is>
      </c>
      <c r="BM176" s="220">
        <f>BN176</f>
        <v/>
      </c>
      <c r="BN176" s="220" t="n"/>
      <c r="BO176" s="220">
        <f>BM176-BN176</f>
        <v/>
      </c>
      <c r="BP176" s="220">
        <f>N176+Q176+U176+Y176+AC176+AG176+AK176+AO176+AS176+AW176+BA176+BE176+BI176+BM176</f>
        <v/>
      </c>
      <c r="BQ176" s="220">
        <f>N176+R176+V176+Z176+AD176+AH176+AL176+AP176+AT176+AX176+BB176+BF176+BJ176+BN176</f>
        <v/>
      </c>
      <c r="BR176" s="220">
        <f>BP176-BQ176</f>
        <v/>
      </c>
      <c r="BS176" s="229" t="n"/>
      <c r="BT176" s="229" t="n"/>
      <c r="BU176" s="230" t="n"/>
      <c r="BV176" s="230" t="n"/>
      <c r="BW176" s="534" t="n"/>
    </row>
    <row r="177" ht="24" customFormat="1" customHeight="1" s="209">
      <c r="A177" s="219" t="n">
        <v>209</v>
      </c>
      <c r="B177" s="220" t="inlineStr">
        <is>
          <t>KQCY0209</t>
        </is>
      </c>
      <c r="C177" s="221" t="inlineStr">
        <is>
          <t>餐饮三分部</t>
        </is>
      </c>
      <c r="D177" s="221" t="inlineStr">
        <is>
          <t>CF780</t>
        </is>
      </c>
      <c r="E177" s="221" t="inlineStr">
        <is>
          <t>吉建大二食堂</t>
        </is>
      </c>
      <c r="F177" s="219" t="inlineStr">
        <is>
          <t>分组作业</t>
        </is>
      </c>
      <c r="G177" s="222" t="inlineStr">
        <is>
          <t>徐敏娟</t>
        </is>
      </c>
      <c r="H177" s="503" t="inlineStr">
        <is>
          <t>/</t>
        </is>
      </c>
      <c r="I177" s="237" t="inlineStr">
        <is>
          <t>蜀道吉水煮肉</t>
        </is>
      </c>
      <c r="J177" s="222" t="inlineStr">
        <is>
          <t>刘旭东</t>
        </is>
      </c>
      <c r="K177" s="545">
        <f>LET(k,D177&amp;"|"&amp;E177&amp;"|"&amp;H177&amp;"|"&amp;I177&amp;"|"&amp;J177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77" s="546" t="n"/>
      <c r="M177" s="224" t="n"/>
      <c r="N177" s="253" t="n"/>
      <c r="O177" s="548" t="n">
        <v>686400</v>
      </c>
      <c r="P177" s="247" t="n">
        <v>0.1</v>
      </c>
      <c r="Q177" s="461">
        <f>K177*P177</f>
        <v/>
      </c>
      <c r="R177" s="461" t="n"/>
      <c r="S177" s="461">
        <f>Q177-R177</f>
        <v/>
      </c>
      <c r="T177" s="235" t="n">
        <v>0.01</v>
      </c>
      <c r="U177" s="461">
        <f>K177*T177</f>
        <v/>
      </c>
      <c r="V177" s="461" t="n"/>
      <c r="W177" s="461">
        <f>U177-V177</f>
        <v/>
      </c>
      <c r="X177" s="461" t="n">
        <v>0</v>
      </c>
      <c r="Y177" s="461">
        <f>K177*X177</f>
        <v/>
      </c>
      <c r="Z177" s="461" t="n"/>
      <c r="AA177" s="461">
        <f>Y177-Z177</f>
        <v/>
      </c>
      <c r="AB177" s="235" t="n">
        <v>0.04</v>
      </c>
      <c r="AC177" s="461">
        <f>K177*AB177</f>
        <v/>
      </c>
      <c r="AD177" s="461" t="n"/>
      <c r="AE177" s="461">
        <f>AC177-AD177</f>
        <v/>
      </c>
      <c r="AF177" s="235" t="n">
        <v>0.03</v>
      </c>
      <c r="AG177" s="461">
        <f>K177*AF177</f>
        <v/>
      </c>
      <c r="AH177" s="461" t="n"/>
      <c r="AI177" s="461">
        <f>AG177-AH177</f>
        <v/>
      </c>
      <c r="AJ177" s="235" t="n">
        <v>0.01</v>
      </c>
      <c r="AK177" s="461">
        <f>K177*AJ177</f>
        <v/>
      </c>
      <c r="AL177" s="461" t="n"/>
      <c r="AM177" s="461">
        <f>AK177-AL177</f>
        <v/>
      </c>
      <c r="AN177" s="235" t="n">
        <v>0.01</v>
      </c>
      <c r="AO177" s="461">
        <f>K177*AN177</f>
        <v/>
      </c>
      <c r="AP177" s="461" t="n"/>
      <c r="AQ177" s="461">
        <f>AO177-AP177</f>
        <v/>
      </c>
      <c r="AR177" s="461" t="inlineStr">
        <is>
          <t>按实</t>
        </is>
      </c>
      <c r="AS177" s="461">
        <f>AT177</f>
        <v/>
      </c>
      <c r="AT177" s="461" t="n"/>
      <c r="AU177" s="461">
        <f>AS177-AT177</f>
        <v/>
      </c>
      <c r="AV177" s="461" t="inlineStr">
        <is>
          <t>按实</t>
        </is>
      </c>
      <c r="AW177" s="461">
        <f>AX177</f>
        <v/>
      </c>
      <c r="AX177" s="461" t="n"/>
      <c r="AY177" s="461">
        <f>AW177-AX177</f>
        <v/>
      </c>
      <c r="AZ177" s="461" t="inlineStr">
        <is>
          <t>按实</t>
        </is>
      </c>
      <c r="BA177" s="461">
        <f>BB177</f>
        <v/>
      </c>
      <c r="BB177" s="461" t="n"/>
      <c r="BC177" s="461">
        <f>BA177-BB177</f>
        <v/>
      </c>
      <c r="BD177" s="461" t="n">
        <v>0</v>
      </c>
      <c r="BE177" s="461">
        <f>K177*BD177</f>
        <v/>
      </c>
      <c r="BF177" s="461" t="n"/>
      <c r="BG177" s="461">
        <f>BE177-BF177</f>
        <v/>
      </c>
      <c r="BH177" s="461" t="n">
        <v>0</v>
      </c>
      <c r="BI177" s="461">
        <f>K177*BH177</f>
        <v/>
      </c>
      <c r="BJ177" s="461" t="n"/>
      <c r="BK177" s="461">
        <f>BI177-BJ177</f>
        <v/>
      </c>
      <c r="BL177" s="461" t="inlineStr">
        <is>
          <t>按实</t>
        </is>
      </c>
      <c r="BM177" s="220">
        <f>BN177</f>
        <v/>
      </c>
      <c r="BN177" s="220" t="n"/>
      <c r="BO177" s="220">
        <f>BM177-BN177</f>
        <v/>
      </c>
      <c r="BP177" s="220">
        <f>N177+Q177+U177+Y177+AC177+AG177+AK177+AO177+AS177+AW177+BA177+BE177+BI177+BM177</f>
        <v/>
      </c>
      <c r="BQ177" s="220">
        <f>N177+R177+V177+Z177+AD177+AH177+AL177+AP177+AT177+AX177+BB177+BF177+BJ177+BN177</f>
        <v/>
      </c>
      <c r="BR177" s="220">
        <f>BP177-BQ177</f>
        <v/>
      </c>
      <c r="BS177" s="229" t="inlineStr">
        <is>
          <t>/</t>
        </is>
      </c>
      <c r="BT177" s="229" t="inlineStr">
        <is>
          <t>/</t>
        </is>
      </c>
      <c r="BU177" s="230" t="inlineStr">
        <is>
          <t>1、甲方捐赠：项目反馈不收取，包含在服务费中；</t>
        </is>
      </c>
      <c r="BV177" s="230" t="inlineStr">
        <is>
          <t>1、签订期间：2026.3-7月；
2、指标按照全年换算；</t>
        </is>
      </c>
      <c r="BW177" s="534" t="n"/>
    </row>
    <row r="178" ht="24" customFormat="1" customHeight="1" s="209">
      <c r="A178" s="219" t="n">
        <v>210</v>
      </c>
      <c r="B178" s="220" t="inlineStr">
        <is>
          <t>KQCY0210</t>
        </is>
      </c>
      <c r="C178" s="221" t="inlineStr">
        <is>
          <t>餐饮三分部</t>
        </is>
      </c>
      <c r="D178" s="221" t="inlineStr">
        <is>
          <t>CF780</t>
        </is>
      </c>
      <c r="E178" s="221" t="inlineStr">
        <is>
          <t>吉建大二食堂</t>
        </is>
      </c>
      <c r="F178" s="219" t="inlineStr">
        <is>
          <t>分组作业</t>
        </is>
      </c>
      <c r="G178" s="222" t="inlineStr">
        <is>
          <t>徐敏娟</t>
        </is>
      </c>
      <c r="H178" s="503" t="inlineStr">
        <is>
          <t>/</t>
        </is>
      </c>
      <c r="I178" s="237" t="inlineStr">
        <is>
          <t>拼好饭</t>
        </is>
      </c>
      <c r="J178" s="222" t="inlineStr">
        <is>
          <t>陈国利</t>
        </is>
      </c>
      <c r="K178" s="545">
        <f>LET(k,D178&amp;"|"&amp;E178&amp;"|"&amp;H178&amp;"|"&amp;I178&amp;"|"&amp;J178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78" s="546" t="n"/>
      <c r="M178" s="224" t="n"/>
      <c r="N178" s="253" t="n"/>
      <c r="O178" s="548" t="n">
        <v>720000</v>
      </c>
      <c r="P178" s="247" t="n">
        <v>0.1</v>
      </c>
      <c r="Q178" s="461">
        <f>K178*P178</f>
        <v/>
      </c>
      <c r="R178" s="461" t="n"/>
      <c r="S178" s="461">
        <f>Q178-R178</f>
        <v/>
      </c>
      <c r="T178" s="235" t="n">
        <v>0.01</v>
      </c>
      <c r="U178" s="461">
        <f>K178*T178</f>
        <v/>
      </c>
      <c r="V178" s="461" t="n"/>
      <c r="W178" s="461">
        <f>U178-V178</f>
        <v/>
      </c>
      <c r="X178" s="461" t="n">
        <v>0</v>
      </c>
      <c r="Y178" s="461">
        <f>K178*X178</f>
        <v/>
      </c>
      <c r="Z178" s="461" t="n"/>
      <c r="AA178" s="461">
        <f>Y178-Z178</f>
        <v/>
      </c>
      <c r="AB178" s="235" t="n">
        <v>0.04</v>
      </c>
      <c r="AC178" s="461">
        <f>K178*AB178</f>
        <v/>
      </c>
      <c r="AD178" s="461" t="n"/>
      <c r="AE178" s="461">
        <f>AC178-AD178</f>
        <v/>
      </c>
      <c r="AF178" s="235" t="n">
        <v>0.03</v>
      </c>
      <c r="AG178" s="461">
        <f>K178*AF178</f>
        <v/>
      </c>
      <c r="AH178" s="461" t="n"/>
      <c r="AI178" s="461">
        <f>AG178-AH178</f>
        <v/>
      </c>
      <c r="AJ178" s="235" t="n">
        <v>0.01</v>
      </c>
      <c r="AK178" s="461">
        <f>K178*AJ178</f>
        <v/>
      </c>
      <c r="AL178" s="461" t="n"/>
      <c r="AM178" s="461">
        <f>AK178-AL178</f>
        <v/>
      </c>
      <c r="AN178" s="235" t="n">
        <v>0.01</v>
      </c>
      <c r="AO178" s="461">
        <f>K178*AN178</f>
        <v/>
      </c>
      <c r="AP178" s="461" t="n"/>
      <c r="AQ178" s="461">
        <f>AO178-AP178</f>
        <v/>
      </c>
      <c r="AR178" s="461" t="inlineStr">
        <is>
          <t>按实</t>
        </is>
      </c>
      <c r="AS178" s="461">
        <f>AT178</f>
        <v/>
      </c>
      <c r="AT178" s="461" t="n"/>
      <c r="AU178" s="461">
        <f>AS178-AT178</f>
        <v/>
      </c>
      <c r="AV178" s="461" t="inlineStr">
        <is>
          <t>按实</t>
        </is>
      </c>
      <c r="AW178" s="461">
        <f>AX178</f>
        <v/>
      </c>
      <c r="AX178" s="461" t="n"/>
      <c r="AY178" s="461">
        <f>AW178-AX178</f>
        <v/>
      </c>
      <c r="AZ178" s="461" t="inlineStr">
        <is>
          <t>按实</t>
        </is>
      </c>
      <c r="BA178" s="461">
        <f>BB178</f>
        <v/>
      </c>
      <c r="BB178" s="461" t="n"/>
      <c r="BC178" s="461">
        <f>BA178-BB178</f>
        <v/>
      </c>
      <c r="BD178" s="461" t="n">
        <v>0</v>
      </c>
      <c r="BE178" s="461">
        <f>K178*BD178</f>
        <v/>
      </c>
      <c r="BF178" s="461" t="n"/>
      <c r="BG178" s="461">
        <f>BE178-BF178</f>
        <v/>
      </c>
      <c r="BH178" s="461" t="n">
        <v>0</v>
      </c>
      <c r="BI178" s="461">
        <f>K178*BH178</f>
        <v/>
      </c>
      <c r="BJ178" s="461" t="n"/>
      <c r="BK178" s="461">
        <f>BI178-BJ178</f>
        <v/>
      </c>
      <c r="BL178" s="461" t="inlineStr">
        <is>
          <t>按实</t>
        </is>
      </c>
      <c r="BM178" s="220">
        <f>BN178</f>
        <v/>
      </c>
      <c r="BN178" s="220" t="n"/>
      <c r="BO178" s="220">
        <f>BM178-BN178</f>
        <v/>
      </c>
      <c r="BP178" s="220">
        <f>N178+Q178+U178+Y178+AC178+AG178+AK178+AO178+AS178+AW178+BA178+BE178+BI178+BM178</f>
        <v/>
      </c>
      <c r="BQ178" s="220">
        <f>N178+R178+V178+Z178+AD178+AH178+AL178+AP178+AT178+AX178+BB178+BF178+BJ178+BN178</f>
        <v/>
      </c>
      <c r="BR178" s="220">
        <f>BP178-BQ178</f>
        <v/>
      </c>
      <c r="BS178" s="229" t="inlineStr">
        <is>
          <t>/</t>
        </is>
      </c>
      <c r="BT178" s="229" t="inlineStr">
        <is>
          <t>/</t>
        </is>
      </c>
      <c r="BU178" s="230" t="inlineStr">
        <is>
          <t>1、甲方捐赠：项目反馈不收取，包含在服务费中；</t>
        </is>
      </c>
      <c r="BV178" s="230" t="inlineStr">
        <is>
          <t>1、签订期间：2026.3-7月；
2、指标按照全年换算；</t>
        </is>
      </c>
      <c r="BW178" s="534" t="n"/>
    </row>
    <row r="179" ht="24" customFormat="1" customHeight="1" s="209">
      <c r="A179" s="219" t="n">
        <v>211</v>
      </c>
      <c r="B179" s="220" t="inlineStr">
        <is>
          <t>KQCY0211</t>
        </is>
      </c>
      <c r="C179" s="221" t="inlineStr">
        <is>
          <t>餐饮三分部</t>
        </is>
      </c>
      <c r="D179" s="221" t="inlineStr">
        <is>
          <t>CF780</t>
        </is>
      </c>
      <c r="E179" s="221" t="inlineStr">
        <is>
          <t>吉建大二食堂</t>
        </is>
      </c>
      <c r="F179" s="219" t="inlineStr">
        <is>
          <t>分组作业</t>
        </is>
      </c>
      <c r="G179" s="222" t="inlineStr">
        <is>
          <t>徐敏娟</t>
        </is>
      </c>
      <c r="H179" s="503" t="inlineStr">
        <is>
          <t>/</t>
        </is>
      </c>
      <c r="I179" s="237" t="inlineStr">
        <is>
          <t>烤鸭饭</t>
        </is>
      </c>
      <c r="J179" s="222" t="inlineStr">
        <is>
          <t>付冬玲</t>
        </is>
      </c>
      <c r="K179" s="545">
        <f>LET(k,D179&amp;"|"&amp;E179&amp;"|"&amp;H179&amp;"|"&amp;I179&amp;"|"&amp;J179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79" s="546" t="n"/>
      <c r="M179" s="224" t="n"/>
      <c r="N179" s="253" t="n"/>
      <c r="O179" s="548" t="n">
        <v>1128000</v>
      </c>
      <c r="P179" s="247" t="n">
        <v>0.1</v>
      </c>
      <c r="Q179" s="461">
        <f>K179*P179</f>
        <v/>
      </c>
      <c r="R179" s="461" t="n"/>
      <c r="S179" s="461">
        <f>Q179-R179</f>
        <v/>
      </c>
      <c r="T179" s="235" t="n">
        <v>0.01</v>
      </c>
      <c r="U179" s="461">
        <f>K179*T179</f>
        <v/>
      </c>
      <c r="V179" s="461" t="n"/>
      <c r="W179" s="461">
        <f>U179-V179</f>
        <v/>
      </c>
      <c r="X179" s="461" t="n">
        <v>0</v>
      </c>
      <c r="Y179" s="461">
        <f>K179*X179</f>
        <v/>
      </c>
      <c r="Z179" s="461" t="n"/>
      <c r="AA179" s="461">
        <f>Y179-Z179</f>
        <v/>
      </c>
      <c r="AB179" s="235" t="n">
        <v>0.04</v>
      </c>
      <c r="AC179" s="461">
        <f>K179*AB179</f>
        <v/>
      </c>
      <c r="AD179" s="461" t="n"/>
      <c r="AE179" s="461">
        <f>AC179-AD179</f>
        <v/>
      </c>
      <c r="AF179" s="235" t="n">
        <v>0.03</v>
      </c>
      <c r="AG179" s="461">
        <f>K179*AF179</f>
        <v/>
      </c>
      <c r="AH179" s="461" t="n"/>
      <c r="AI179" s="461">
        <f>AG179-AH179</f>
        <v/>
      </c>
      <c r="AJ179" s="235" t="n">
        <v>0.01</v>
      </c>
      <c r="AK179" s="461">
        <f>K179*AJ179</f>
        <v/>
      </c>
      <c r="AL179" s="461" t="n"/>
      <c r="AM179" s="461">
        <f>AK179-AL179</f>
        <v/>
      </c>
      <c r="AN179" s="235" t="n">
        <v>0.01</v>
      </c>
      <c r="AO179" s="461">
        <f>K179*AN179</f>
        <v/>
      </c>
      <c r="AP179" s="461" t="n"/>
      <c r="AQ179" s="461">
        <f>AO179-AP179</f>
        <v/>
      </c>
      <c r="AR179" s="461" t="inlineStr">
        <is>
          <t>按实</t>
        </is>
      </c>
      <c r="AS179" s="461">
        <f>AT179</f>
        <v/>
      </c>
      <c r="AT179" s="461" t="n"/>
      <c r="AU179" s="461">
        <f>AS179-AT179</f>
        <v/>
      </c>
      <c r="AV179" s="461" t="inlineStr">
        <is>
          <t>按实</t>
        </is>
      </c>
      <c r="AW179" s="461">
        <f>AX179</f>
        <v/>
      </c>
      <c r="AX179" s="461" t="n"/>
      <c r="AY179" s="461">
        <f>AW179-AX179</f>
        <v/>
      </c>
      <c r="AZ179" s="461" t="inlineStr">
        <is>
          <t>按实</t>
        </is>
      </c>
      <c r="BA179" s="461">
        <f>BB179</f>
        <v/>
      </c>
      <c r="BB179" s="461" t="n"/>
      <c r="BC179" s="461">
        <f>BA179-BB179</f>
        <v/>
      </c>
      <c r="BD179" s="461" t="n">
        <v>0</v>
      </c>
      <c r="BE179" s="461">
        <f>K179*BD179</f>
        <v/>
      </c>
      <c r="BF179" s="461" t="n"/>
      <c r="BG179" s="461">
        <f>BE179-BF179</f>
        <v/>
      </c>
      <c r="BH179" s="461" t="n">
        <v>0</v>
      </c>
      <c r="BI179" s="461">
        <f>K179*BH179</f>
        <v/>
      </c>
      <c r="BJ179" s="461" t="n"/>
      <c r="BK179" s="461">
        <f>BI179-BJ179</f>
        <v/>
      </c>
      <c r="BL179" s="461" t="inlineStr">
        <is>
          <t>按实</t>
        </is>
      </c>
      <c r="BM179" s="220">
        <f>BN179</f>
        <v/>
      </c>
      <c r="BN179" s="220" t="n"/>
      <c r="BO179" s="220">
        <f>BM179-BN179</f>
        <v/>
      </c>
      <c r="BP179" s="220">
        <f>N179+Q179+U179+Y179+AC179+AG179+AK179+AO179+AS179+AW179+BA179+BE179+BI179+BM179</f>
        <v/>
      </c>
      <c r="BQ179" s="220">
        <f>N179+R179+V179+Z179+AD179+AH179+AL179+AP179+AT179+AX179+BB179+BF179+BJ179+BN179</f>
        <v/>
      </c>
      <c r="BR179" s="220">
        <f>BP179-BQ179</f>
        <v/>
      </c>
      <c r="BS179" s="229" t="inlineStr">
        <is>
          <t>/</t>
        </is>
      </c>
      <c r="BT179" s="229" t="inlineStr">
        <is>
          <t>/</t>
        </is>
      </c>
      <c r="BU179" s="230" t="inlineStr">
        <is>
          <t>1、甲方捐赠：项目反馈不收取，包含在服务费中；</t>
        </is>
      </c>
      <c r="BV179" s="230" t="inlineStr">
        <is>
          <t>1、签订期间：2026.3-7月；
2、指标按照全年换算；</t>
        </is>
      </c>
      <c r="BW179" s="534" t="n"/>
    </row>
    <row r="180" ht="24" customFormat="1" customHeight="1" s="209">
      <c r="A180" s="219" t="n">
        <v>212</v>
      </c>
      <c r="B180" s="220" t="inlineStr">
        <is>
          <t>KQCY0212</t>
        </is>
      </c>
      <c r="C180" s="221" t="inlineStr">
        <is>
          <t>餐饮三分部</t>
        </is>
      </c>
      <c r="D180" s="221" t="inlineStr">
        <is>
          <t>CF780</t>
        </is>
      </c>
      <c r="E180" s="221" t="inlineStr">
        <is>
          <t>吉建大二食堂</t>
        </is>
      </c>
      <c r="F180" s="219" t="inlineStr">
        <is>
          <t>分组作业</t>
        </is>
      </c>
      <c r="G180" s="222" t="inlineStr">
        <is>
          <t>徐敏娟</t>
        </is>
      </c>
      <c r="H180" s="503" t="inlineStr">
        <is>
          <t>/</t>
        </is>
      </c>
      <c r="I180" s="237" t="inlineStr">
        <is>
          <t>海南鸡饭</t>
        </is>
      </c>
      <c r="J180" s="222" t="inlineStr">
        <is>
          <t>曲丽平</t>
        </is>
      </c>
      <c r="K180" s="545">
        <f>LET(k,D180&amp;"|"&amp;E180&amp;"|"&amp;H180&amp;"|"&amp;I180&amp;"|"&amp;J180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80" s="546" t="n"/>
      <c r="M180" s="224" t="n"/>
      <c r="N180" s="253" t="n"/>
      <c r="O180" s="548" t="n">
        <v>2244000</v>
      </c>
      <c r="P180" s="247" t="n">
        <v>0.1</v>
      </c>
      <c r="Q180" s="461">
        <f>K180*P180</f>
        <v/>
      </c>
      <c r="R180" s="461" t="n"/>
      <c r="S180" s="461">
        <f>Q180-R180</f>
        <v/>
      </c>
      <c r="T180" s="235" t="n">
        <v>0.01</v>
      </c>
      <c r="U180" s="461">
        <f>K180*T180</f>
        <v/>
      </c>
      <c r="V180" s="461" t="n"/>
      <c r="W180" s="461">
        <f>U180-V180</f>
        <v/>
      </c>
      <c r="X180" s="461" t="n">
        <v>0</v>
      </c>
      <c r="Y180" s="461">
        <f>K180*X180</f>
        <v/>
      </c>
      <c r="Z180" s="461" t="n"/>
      <c r="AA180" s="461">
        <f>Y180-Z180</f>
        <v/>
      </c>
      <c r="AB180" s="235" t="n">
        <v>0.04</v>
      </c>
      <c r="AC180" s="461">
        <f>K180*AB180</f>
        <v/>
      </c>
      <c r="AD180" s="461" t="n"/>
      <c r="AE180" s="461">
        <f>AC180-AD180</f>
        <v/>
      </c>
      <c r="AF180" s="235" t="n">
        <v>0.03</v>
      </c>
      <c r="AG180" s="461">
        <f>K180*AF180</f>
        <v/>
      </c>
      <c r="AH180" s="461" t="n"/>
      <c r="AI180" s="461">
        <f>AG180-AH180</f>
        <v/>
      </c>
      <c r="AJ180" s="235" t="n">
        <v>0.01</v>
      </c>
      <c r="AK180" s="461">
        <f>K180*AJ180</f>
        <v/>
      </c>
      <c r="AL180" s="461" t="n"/>
      <c r="AM180" s="461">
        <f>AK180-AL180</f>
        <v/>
      </c>
      <c r="AN180" s="235" t="n">
        <v>0.01</v>
      </c>
      <c r="AO180" s="461">
        <f>K180*AN180</f>
        <v/>
      </c>
      <c r="AP180" s="461" t="n"/>
      <c r="AQ180" s="461">
        <f>AO180-AP180</f>
        <v/>
      </c>
      <c r="AR180" s="461" t="inlineStr">
        <is>
          <t>按实</t>
        </is>
      </c>
      <c r="AS180" s="461">
        <f>AT180</f>
        <v/>
      </c>
      <c r="AT180" s="461" t="n"/>
      <c r="AU180" s="461">
        <f>AS180-AT180</f>
        <v/>
      </c>
      <c r="AV180" s="461" t="inlineStr">
        <is>
          <t>按实</t>
        </is>
      </c>
      <c r="AW180" s="461">
        <f>AX180</f>
        <v/>
      </c>
      <c r="AX180" s="461" t="n"/>
      <c r="AY180" s="461">
        <f>AW180-AX180</f>
        <v/>
      </c>
      <c r="AZ180" s="461" t="inlineStr">
        <is>
          <t>按实</t>
        </is>
      </c>
      <c r="BA180" s="461">
        <f>BB180</f>
        <v/>
      </c>
      <c r="BB180" s="461" t="n"/>
      <c r="BC180" s="461">
        <f>BA180-BB180</f>
        <v/>
      </c>
      <c r="BD180" s="461" t="n">
        <v>0</v>
      </c>
      <c r="BE180" s="461">
        <f>K180*BD180</f>
        <v/>
      </c>
      <c r="BF180" s="461" t="n"/>
      <c r="BG180" s="461">
        <f>BE180-BF180</f>
        <v/>
      </c>
      <c r="BH180" s="461" t="n">
        <v>0</v>
      </c>
      <c r="BI180" s="461">
        <f>K180*BH180</f>
        <v/>
      </c>
      <c r="BJ180" s="461" t="n"/>
      <c r="BK180" s="461">
        <f>BI180-BJ180</f>
        <v/>
      </c>
      <c r="BL180" s="461" t="inlineStr">
        <is>
          <t>按实</t>
        </is>
      </c>
      <c r="BM180" s="220">
        <f>BN180</f>
        <v/>
      </c>
      <c r="BN180" s="220" t="n"/>
      <c r="BO180" s="220">
        <f>BM180-BN180</f>
        <v/>
      </c>
      <c r="BP180" s="220">
        <f>N180+Q180+U180+Y180+AC180+AG180+AK180+AO180+AS180+AW180+BA180+BE180+BI180+BM180</f>
        <v/>
      </c>
      <c r="BQ180" s="220">
        <f>N180+R180+V180+Z180+AD180+AH180+AL180+AP180+AT180+AX180+BB180+BF180+BJ180+BN180</f>
        <v/>
      </c>
      <c r="BR180" s="220">
        <f>BP180-BQ180</f>
        <v/>
      </c>
      <c r="BS180" s="229" t="inlineStr">
        <is>
          <t>/</t>
        </is>
      </c>
      <c r="BT180" s="229" t="inlineStr">
        <is>
          <t>/</t>
        </is>
      </c>
      <c r="BU180" s="230" t="inlineStr">
        <is>
          <t>1、甲方捐赠：项目反馈不收取，包含在服务费中；</t>
        </is>
      </c>
      <c r="BV180" s="230" t="inlineStr">
        <is>
          <t>1、签订期间：2026.3-7月；
2、指标按照全年换算；</t>
        </is>
      </c>
      <c r="BW180" s="534" t="n"/>
    </row>
    <row r="181" ht="24" customFormat="1" customHeight="1" s="209">
      <c r="A181" s="219" t="n">
        <v>213</v>
      </c>
      <c r="B181" s="220" t="inlineStr">
        <is>
          <t>KQCY0213</t>
        </is>
      </c>
      <c r="C181" s="221" t="inlineStr">
        <is>
          <t>餐饮三分部</t>
        </is>
      </c>
      <c r="D181" s="221" t="inlineStr">
        <is>
          <t>CF780</t>
        </is>
      </c>
      <c r="E181" s="221" t="inlineStr">
        <is>
          <t>吉建大二食堂</t>
        </is>
      </c>
      <c r="F181" s="219" t="inlineStr">
        <is>
          <t>分组作业</t>
        </is>
      </c>
      <c r="G181" s="222" t="inlineStr">
        <is>
          <t>徐敏娟</t>
        </is>
      </c>
      <c r="H181" s="503" t="inlineStr">
        <is>
          <t>/</t>
        </is>
      </c>
      <c r="I181" s="237" t="inlineStr">
        <is>
          <t>小街牛杂面</t>
        </is>
      </c>
      <c r="J181" s="222" t="inlineStr">
        <is>
          <t>郭铁军</t>
        </is>
      </c>
      <c r="K181" s="545">
        <f>LET(k,D181&amp;"|"&amp;E181&amp;"|"&amp;H181&amp;"|"&amp;I181&amp;"|"&amp;J181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81" s="546" t="n"/>
      <c r="M181" s="224" t="n"/>
      <c r="N181" s="253" t="n"/>
      <c r="O181" s="548" t="n">
        <v>684000</v>
      </c>
      <c r="P181" s="247" t="n">
        <v>0.1</v>
      </c>
      <c r="Q181" s="461">
        <f>K181*P181</f>
        <v/>
      </c>
      <c r="R181" s="461" t="n"/>
      <c r="S181" s="461">
        <f>Q181-R181</f>
        <v/>
      </c>
      <c r="T181" s="235" t="n">
        <v>0.01</v>
      </c>
      <c r="U181" s="461">
        <f>K181*T181</f>
        <v/>
      </c>
      <c r="V181" s="461" t="n"/>
      <c r="W181" s="461">
        <f>U181-V181</f>
        <v/>
      </c>
      <c r="X181" s="461" t="n">
        <v>0</v>
      </c>
      <c r="Y181" s="461">
        <f>K181*X181</f>
        <v/>
      </c>
      <c r="Z181" s="461" t="n"/>
      <c r="AA181" s="461">
        <f>Y181-Z181</f>
        <v/>
      </c>
      <c r="AB181" s="235" t="n">
        <v>0.04</v>
      </c>
      <c r="AC181" s="461">
        <f>K181*AB181</f>
        <v/>
      </c>
      <c r="AD181" s="461" t="n"/>
      <c r="AE181" s="461">
        <f>AC181-AD181</f>
        <v/>
      </c>
      <c r="AF181" s="235" t="n">
        <v>0.03</v>
      </c>
      <c r="AG181" s="461">
        <f>K181*AF181</f>
        <v/>
      </c>
      <c r="AH181" s="461" t="n"/>
      <c r="AI181" s="461">
        <f>AG181-AH181</f>
        <v/>
      </c>
      <c r="AJ181" s="235" t="n">
        <v>0.01</v>
      </c>
      <c r="AK181" s="461">
        <f>K181*AJ181</f>
        <v/>
      </c>
      <c r="AL181" s="461" t="n"/>
      <c r="AM181" s="461">
        <f>AK181-AL181</f>
        <v/>
      </c>
      <c r="AN181" s="235" t="n">
        <v>0.01</v>
      </c>
      <c r="AO181" s="461">
        <f>K181*AN181</f>
        <v/>
      </c>
      <c r="AP181" s="461" t="n"/>
      <c r="AQ181" s="461">
        <f>AO181-AP181</f>
        <v/>
      </c>
      <c r="AR181" s="461" t="inlineStr">
        <is>
          <t>按实</t>
        </is>
      </c>
      <c r="AS181" s="461">
        <f>AT181</f>
        <v/>
      </c>
      <c r="AT181" s="461" t="n"/>
      <c r="AU181" s="461">
        <f>AS181-AT181</f>
        <v/>
      </c>
      <c r="AV181" s="461" t="inlineStr">
        <is>
          <t>按实</t>
        </is>
      </c>
      <c r="AW181" s="461">
        <f>AX181</f>
        <v/>
      </c>
      <c r="AX181" s="461" t="n"/>
      <c r="AY181" s="461">
        <f>AW181-AX181</f>
        <v/>
      </c>
      <c r="AZ181" s="461" t="inlineStr">
        <is>
          <t>按实</t>
        </is>
      </c>
      <c r="BA181" s="461">
        <f>BB181</f>
        <v/>
      </c>
      <c r="BB181" s="461" t="n"/>
      <c r="BC181" s="461">
        <f>BA181-BB181</f>
        <v/>
      </c>
      <c r="BD181" s="461" t="n">
        <v>0</v>
      </c>
      <c r="BE181" s="461">
        <f>K181*BD181</f>
        <v/>
      </c>
      <c r="BF181" s="461" t="n"/>
      <c r="BG181" s="461">
        <f>BE181-BF181</f>
        <v/>
      </c>
      <c r="BH181" s="461" t="n">
        <v>0</v>
      </c>
      <c r="BI181" s="461">
        <f>K181*BH181</f>
        <v/>
      </c>
      <c r="BJ181" s="461" t="n"/>
      <c r="BK181" s="461">
        <f>BI181-BJ181</f>
        <v/>
      </c>
      <c r="BL181" s="461" t="inlineStr">
        <is>
          <t>按实</t>
        </is>
      </c>
      <c r="BM181" s="220">
        <f>BN181</f>
        <v/>
      </c>
      <c r="BN181" s="220" t="n"/>
      <c r="BO181" s="220">
        <f>BM181-BN181</f>
        <v/>
      </c>
      <c r="BP181" s="220">
        <f>N181+Q181+U181+Y181+AC181+AG181+AK181+AO181+AS181+AW181+BA181+BE181+BI181+BM181</f>
        <v/>
      </c>
      <c r="BQ181" s="220">
        <f>N181+R181+V181+Z181+AD181+AH181+AL181+AP181+AT181+AX181+BB181+BF181+BJ181+BN181</f>
        <v/>
      </c>
      <c r="BR181" s="220">
        <f>BP181-BQ181</f>
        <v/>
      </c>
      <c r="BS181" s="229" t="inlineStr">
        <is>
          <t>/</t>
        </is>
      </c>
      <c r="BT181" s="229" t="inlineStr">
        <is>
          <t>/</t>
        </is>
      </c>
      <c r="BU181" s="230" t="inlineStr">
        <is>
          <t>1、甲方捐赠：项目反馈不收取，包含在服务费中；</t>
        </is>
      </c>
      <c r="BV181" s="230" t="inlineStr">
        <is>
          <t>1、签订期间：2026.3-7月；
2、指标按照全年换算；</t>
        </is>
      </c>
      <c r="BW181" s="534" t="n"/>
    </row>
    <row r="182" ht="24" customFormat="1" customHeight="1" s="209">
      <c r="A182" s="219" t="n">
        <v>214</v>
      </c>
      <c r="B182" s="220" t="inlineStr">
        <is>
          <t>KQCY0214</t>
        </is>
      </c>
      <c r="C182" s="221" t="inlineStr">
        <is>
          <t>餐饮三分部</t>
        </is>
      </c>
      <c r="D182" s="221" t="inlineStr">
        <is>
          <t>CF780</t>
        </is>
      </c>
      <c r="E182" s="221" t="inlineStr">
        <is>
          <t>吉建大二食堂</t>
        </is>
      </c>
      <c r="F182" s="219" t="inlineStr">
        <is>
          <t>分组作业</t>
        </is>
      </c>
      <c r="G182" s="222" t="inlineStr">
        <is>
          <t>徐敏娟</t>
        </is>
      </c>
      <c r="H182" s="503" t="inlineStr">
        <is>
          <t>/</t>
        </is>
      </c>
      <c r="I182" s="237" t="inlineStr">
        <is>
          <t>炙烤五花肉</t>
        </is>
      </c>
      <c r="J182" s="222" t="inlineStr">
        <is>
          <t>付炜</t>
        </is>
      </c>
      <c r="K182" s="545">
        <f>LET(k,D182&amp;"|"&amp;E182&amp;"|"&amp;H182&amp;"|"&amp;I182&amp;"|"&amp;J182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82" s="546" t="n"/>
      <c r="M182" s="224" t="n"/>
      <c r="N182" s="253" t="n"/>
      <c r="O182" s="548" t="n">
        <v>816000</v>
      </c>
      <c r="P182" s="247" t="n">
        <v>0.1</v>
      </c>
      <c r="Q182" s="461">
        <f>K182*P182</f>
        <v/>
      </c>
      <c r="R182" s="461" t="n"/>
      <c r="S182" s="461">
        <f>Q182-R182</f>
        <v/>
      </c>
      <c r="T182" s="235" t="n">
        <v>0.01</v>
      </c>
      <c r="U182" s="461">
        <f>K182*T182</f>
        <v/>
      </c>
      <c r="V182" s="461" t="n"/>
      <c r="W182" s="461">
        <f>U182-V182</f>
        <v/>
      </c>
      <c r="X182" s="461" t="n">
        <v>0</v>
      </c>
      <c r="Y182" s="461">
        <f>K182*X182</f>
        <v/>
      </c>
      <c r="Z182" s="461" t="n"/>
      <c r="AA182" s="461">
        <f>Y182-Z182</f>
        <v/>
      </c>
      <c r="AB182" s="235" t="n">
        <v>0.04</v>
      </c>
      <c r="AC182" s="461">
        <f>K182*AB182</f>
        <v/>
      </c>
      <c r="AD182" s="461" t="n"/>
      <c r="AE182" s="461">
        <f>AC182-AD182</f>
        <v/>
      </c>
      <c r="AF182" s="235" t="n">
        <v>0.03</v>
      </c>
      <c r="AG182" s="461">
        <f>K182*AF182</f>
        <v/>
      </c>
      <c r="AH182" s="461" t="n"/>
      <c r="AI182" s="461">
        <f>AG182-AH182</f>
        <v/>
      </c>
      <c r="AJ182" s="235" t="n">
        <v>0.01</v>
      </c>
      <c r="AK182" s="461">
        <f>K182*AJ182</f>
        <v/>
      </c>
      <c r="AL182" s="461" t="n"/>
      <c r="AM182" s="461">
        <f>AK182-AL182</f>
        <v/>
      </c>
      <c r="AN182" s="235" t="n">
        <v>0.01</v>
      </c>
      <c r="AO182" s="461">
        <f>K182*AN182</f>
        <v/>
      </c>
      <c r="AP182" s="461" t="n"/>
      <c r="AQ182" s="461">
        <f>AO182-AP182</f>
        <v/>
      </c>
      <c r="AR182" s="461" t="inlineStr">
        <is>
          <t>按实</t>
        </is>
      </c>
      <c r="AS182" s="461">
        <f>AT182</f>
        <v/>
      </c>
      <c r="AT182" s="461" t="n"/>
      <c r="AU182" s="461">
        <f>AS182-AT182</f>
        <v/>
      </c>
      <c r="AV182" s="461" t="inlineStr">
        <is>
          <t>按实</t>
        </is>
      </c>
      <c r="AW182" s="461">
        <f>AX182</f>
        <v/>
      </c>
      <c r="AX182" s="461" t="n"/>
      <c r="AY182" s="461">
        <f>AW182-AX182</f>
        <v/>
      </c>
      <c r="AZ182" s="461" t="inlineStr">
        <is>
          <t>按实</t>
        </is>
      </c>
      <c r="BA182" s="461">
        <f>BB182</f>
        <v/>
      </c>
      <c r="BB182" s="461" t="n"/>
      <c r="BC182" s="461">
        <f>BA182-BB182</f>
        <v/>
      </c>
      <c r="BD182" s="461" t="n">
        <v>0</v>
      </c>
      <c r="BE182" s="461">
        <f>K182*BD182</f>
        <v/>
      </c>
      <c r="BF182" s="461" t="n"/>
      <c r="BG182" s="461">
        <f>BE182-BF182</f>
        <v/>
      </c>
      <c r="BH182" s="461" t="n">
        <v>0</v>
      </c>
      <c r="BI182" s="461">
        <f>K182*BH182</f>
        <v/>
      </c>
      <c r="BJ182" s="461" t="n"/>
      <c r="BK182" s="461">
        <f>BI182-BJ182</f>
        <v/>
      </c>
      <c r="BL182" s="461" t="inlineStr">
        <is>
          <t>按实</t>
        </is>
      </c>
      <c r="BM182" s="220">
        <f>BN182</f>
        <v/>
      </c>
      <c r="BN182" s="220" t="n"/>
      <c r="BO182" s="220">
        <f>BM182-BN182</f>
        <v/>
      </c>
      <c r="BP182" s="220">
        <f>N182+Q182+U182+Y182+AC182+AG182+AK182+AO182+AS182+AW182+BA182+BE182+BI182+BM182</f>
        <v/>
      </c>
      <c r="BQ182" s="220">
        <f>N182+R182+V182+Z182+AD182+AH182+AL182+AP182+AT182+AX182+BB182+BF182+BJ182+BN182</f>
        <v/>
      </c>
      <c r="BR182" s="220">
        <f>BP182-BQ182</f>
        <v/>
      </c>
      <c r="BS182" s="229" t="inlineStr">
        <is>
          <t>/</t>
        </is>
      </c>
      <c r="BT182" s="229" t="inlineStr">
        <is>
          <t>/</t>
        </is>
      </c>
      <c r="BU182" s="230" t="inlineStr">
        <is>
          <t>1、甲方捐赠：项目反馈不收取，包含在服务费中；</t>
        </is>
      </c>
      <c r="BV182" s="230" t="inlineStr">
        <is>
          <t>1、签订期间：2026.3-7月；
2、指标按照全年换算；</t>
        </is>
      </c>
      <c r="BW182" s="534" t="n"/>
    </row>
    <row r="183" ht="12" customFormat="1" customHeight="1" s="209">
      <c r="A183" s="219" t="n">
        <v>215</v>
      </c>
      <c r="B183" s="220" t="inlineStr">
        <is>
          <t>KQCY0215</t>
        </is>
      </c>
      <c r="C183" s="221" t="inlineStr">
        <is>
          <t>餐饮三分部</t>
        </is>
      </c>
      <c r="D183" s="221" t="inlineStr">
        <is>
          <t>CF780</t>
        </is>
      </c>
      <c r="E183" s="221" t="inlineStr">
        <is>
          <t>吉建大二食堂</t>
        </is>
      </c>
      <c r="F183" s="239" t="inlineStr">
        <is>
          <t>分组作业</t>
        </is>
      </c>
      <c r="G183" s="222" t="inlineStr">
        <is>
          <t>徐敏娟</t>
        </is>
      </c>
      <c r="H183" s="461" t="inlineStr">
        <is>
          <t>/</t>
        </is>
      </c>
      <c r="I183" s="237" t="inlineStr">
        <is>
          <t>朴大叔拌饭</t>
        </is>
      </c>
      <c r="J183" s="222" t="inlineStr">
        <is>
          <t>沈延斌</t>
        </is>
      </c>
      <c r="K183" s="545">
        <f>LET(k,D183&amp;"|"&amp;E183&amp;"|"&amp;H183&amp;"|"&amp;I183&amp;"|"&amp;J183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83" s="546" t="n"/>
      <c r="M183" s="224" t="n"/>
      <c r="N183" s="253" t="n"/>
      <c r="O183" s="548" t="n"/>
      <c r="P183" s="247" t="n">
        <v>0.1</v>
      </c>
      <c r="Q183" s="461">
        <f>K183*P183</f>
        <v/>
      </c>
      <c r="R183" s="461" t="n"/>
      <c r="S183" s="461">
        <f>Q183-R183</f>
        <v/>
      </c>
      <c r="T183" s="235" t="n">
        <v>0.01</v>
      </c>
      <c r="U183" s="461">
        <f>K183*T183</f>
        <v/>
      </c>
      <c r="V183" s="461" t="n"/>
      <c r="W183" s="461">
        <f>U183-V183</f>
        <v/>
      </c>
      <c r="X183" s="461" t="n">
        <v>0</v>
      </c>
      <c r="Y183" s="461">
        <f>K183*X183</f>
        <v/>
      </c>
      <c r="Z183" s="461" t="n"/>
      <c r="AA183" s="461">
        <f>Y183-Z183</f>
        <v/>
      </c>
      <c r="AB183" s="235" t="n">
        <v>0.04</v>
      </c>
      <c r="AC183" s="461">
        <f>K183*AB183</f>
        <v/>
      </c>
      <c r="AD183" s="461" t="n"/>
      <c r="AE183" s="461">
        <f>AC183-AD183</f>
        <v/>
      </c>
      <c r="AF183" s="235" t="n">
        <v>0.03</v>
      </c>
      <c r="AG183" s="461">
        <f>K183*AF183</f>
        <v/>
      </c>
      <c r="AH183" s="461" t="n"/>
      <c r="AI183" s="461">
        <f>AG183-AH183</f>
        <v/>
      </c>
      <c r="AJ183" s="235" t="n">
        <v>0.01</v>
      </c>
      <c r="AK183" s="461">
        <f>K183*AJ183</f>
        <v/>
      </c>
      <c r="AL183" s="461" t="n"/>
      <c r="AM183" s="461">
        <f>AK183-AL183</f>
        <v/>
      </c>
      <c r="AN183" s="235" t="n">
        <v>0.01</v>
      </c>
      <c r="AO183" s="461">
        <f>K183*AN183</f>
        <v/>
      </c>
      <c r="AP183" s="461" t="n"/>
      <c r="AQ183" s="461">
        <f>AO183-AP183</f>
        <v/>
      </c>
      <c r="AR183" s="461" t="inlineStr">
        <is>
          <t>按实</t>
        </is>
      </c>
      <c r="AS183" s="461">
        <f>AT183</f>
        <v/>
      </c>
      <c r="AT183" s="461" t="n"/>
      <c r="AU183" s="461">
        <f>AS183-AT183</f>
        <v/>
      </c>
      <c r="AV183" s="461" t="inlineStr">
        <is>
          <t>按实</t>
        </is>
      </c>
      <c r="AW183" s="461">
        <f>AX183</f>
        <v/>
      </c>
      <c r="AX183" s="461" t="n"/>
      <c r="AY183" s="461">
        <f>AW183-AX183</f>
        <v/>
      </c>
      <c r="AZ183" s="461" t="inlineStr">
        <is>
          <t>按实</t>
        </is>
      </c>
      <c r="BA183" s="461">
        <f>BB183</f>
        <v/>
      </c>
      <c r="BB183" s="461" t="n"/>
      <c r="BC183" s="461">
        <f>BA183-BB183</f>
        <v/>
      </c>
      <c r="BD183" s="461" t="n">
        <v>0</v>
      </c>
      <c r="BE183" s="461">
        <f>K183*BD183</f>
        <v/>
      </c>
      <c r="BF183" s="461" t="n"/>
      <c r="BG183" s="461">
        <f>BE183-BF183</f>
        <v/>
      </c>
      <c r="BH183" s="461" t="n">
        <v>0</v>
      </c>
      <c r="BI183" s="461">
        <f>K183*BH183</f>
        <v/>
      </c>
      <c r="BJ183" s="461" t="n"/>
      <c r="BK183" s="461">
        <f>BI183-BJ183</f>
        <v/>
      </c>
      <c r="BL183" s="461" t="inlineStr">
        <is>
          <t>按实</t>
        </is>
      </c>
      <c r="BM183" s="220">
        <f>BN183</f>
        <v/>
      </c>
      <c r="BN183" s="220" t="n"/>
      <c r="BO183" s="220">
        <f>BM183-BN183</f>
        <v/>
      </c>
      <c r="BP183" s="220">
        <f>N183+Q183+U183+Y183+AC183+AG183+AK183+AO183+AS183+AW183+BA183+BE183+BI183+BM183</f>
        <v/>
      </c>
      <c r="BQ183" s="220">
        <f>N183+R183+V183+Z183+AD183+AH183+AL183+AP183+AT183+AX183+BB183+BF183+BJ183+BN183</f>
        <v/>
      </c>
      <c r="BR183" s="220">
        <f>BP183-BQ183</f>
        <v/>
      </c>
      <c r="BS183" s="229" t="n"/>
      <c r="BT183" s="229" t="n"/>
      <c r="BU183" s="230" t="n"/>
      <c r="BV183" s="230" t="n"/>
      <c r="BW183" s="534" t="n"/>
    </row>
    <row r="184" ht="24" customFormat="1" customHeight="1" s="209">
      <c r="A184" s="219" t="n">
        <v>216</v>
      </c>
      <c r="B184" s="220" t="inlineStr">
        <is>
          <t>KQCY0216</t>
        </is>
      </c>
      <c r="C184" s="221" t="inlineStr">
        <is>
          <t>餐饮三分部</t>
        </is>
      </c>
      <c r="D184" s="221" t="inlineStr">
        <is>
          <t>CF780</t>
        </is>
      </c>
      <c r="E184" s="221" t="inlineStr">
        <is>
          <t>吉建大二食堂</t>
        </is>
      </c>
      <c r="F184" s="219" t="inlineStr">
        <is>
          <t>分组作业</t>
        </is>
      </c>
      <c r="G184" s="222" t="inlineStr">
        <is>
          <t>徐敏娟</t>
        </is>
      </c>
      <c r="H184" s="503" t="inlineStr">
        <is>
          <t>/</t>
        </is>
      </c>
      <c r="I184" s="237" t="inlineStr">
        <is>
          <t>猪脚饭</t>
        </is>
      </c>
      <c r="J184" s="222" t="inlineStr">
        <is>
          <t>陈超</t>
        </is>
      </c>
      <c r="K184" s="545">
        <f>LET(k,D184&amp;"|"&amp;E184&amp;"|"&amp;H184&amp;"|"&amp;I184&amp;"|"&amp;J184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84" s="546" t="n"/>
      <c r="M184" s="224" t="n"/>
      <c r="N184" s="253" t="n"/>
      <c r="O184" s="548" t="n">
        <v>1015200</v>
      </c>
      <c r="P184" s="247" t="n">
        <v>0.1</v>
      </c>
      <c r="Q184" s="461">
        <f>K184*P184</f>
        <v/>
      </c>
      <c r="R184" s="461" t="n"/>
      <c r="S184" s="461">
        <f>Q184-R184</f>
        <v/>
      </c>
      <c r="T184" s="235" t="n">
        <v>0.01</v>
      </c>
      <c r="U184" s="461">
        <f>K184*T184</f>
        <v/>
      </c>
      <c r="V184" s="461" t="n"/>
      <c r="W184" s="461">
        <f>U184-V184</f>
        <v/>
      </c>
      <c r="X184" s="461" t="n">
        <v>0</v>
      </c>
      <c r="Y184" s="461">
        <f>K184*X184</f>
        <v/>
      </c>
      <c r="Z184" s="461" t="n"/>
      <c r="AA184" s="461">
        <f>Y184-Z184</f>
        <v/>
      </c>
      <c r="AB184" s="235" t="n">
        <v>0.04</v>
      </c>
      <c r="AC184" s="461">
        <f>K184*AB184</f>
        <v/>
      </c>
      <c r="AD184" s="461" t="n"/>
      <c r="AE184" s="461">
        <f>AC184-AD184</f>
        <v/>
      </c>
      <c r="AF184" s="235" t="n">
        <v>0.03</v>
      </c>
      <c r="AG184" s="461">
        <f>K184*AF184</f>
        <v/>
      </c>
      <c r="AH184" s="461" t="n"/>
      <c r="AI184" s="461">
        <f>AG184-AH184</f>
        <v/>
      </c>
      <c r="AJ184" s="235" t="n">
        <v>0.01</v>
      </c>
      <c r="AK184" s="461">
        <f>K184*AJ184</f>
        <v/>
      </c>
      <c r="AL184" s="461" t="n"/>
      <c r="AM184" s="461">
        <f>AK184-AL184</f>
        <v/>
      </c>
      <c r="AN184" s="235" t="n">
        <v>0.01</v>
      </c>
      <c r="AO184" s="461">
        <f>K184*AN184</f>
        <v/>
      </c>
      <c r="AP184" s="461" t="n"/>
      <c r="AQ184" s="461">
        <f>AO184-AP184</f>
        <v/>
      </c>
      <c r="AR184" s="461" t="inlineStr">
        <is>
          <t>按实</t>
        </is>
      </c>
      <c r="AS184" s="461">
        <f>AT184</f>
        <v/>
      </c>
      <c r="AT184" s="461" t="n"/>
      <c r="AU184" s="461">
        <f>AS184-AT184</f>
        <v/>
      </c>
      <c r="AV184" s="461" t="inlineStr">
        <is>
          <t>按实</t>
        </is>
      </c>
      <c r="AW184" s="461">
        <f>AX184</f>
        <v/>
      </c>
      <c r="AX184" s="461" t="n"/>
      <c r="AY184" s="461">
        <f>AW184-AX184</f>
        <v/>
      </c>
      <c r="AZ184" s="461" t="inlineStr">
        <is>
          <t>按实</t>
        </is>
      </c>
      <c r="BA184" s="461">
        <f>BB184</f>
        <v/>
      </c>
      <c r="BB184" s="461" t="n"/>
      <c r="BC184" s="461">
        <f>BA184-BB184</f>
        <v/>
      </c>
      <c r="BD184" s="461" t="n">
        <v>0</v>
      </c>
      <c r="BE184" s="461">
        <f>K184*BD184</f>
        <v/>
      </c>
      <c r="BF184" s="461" t="n"/>
      <c r="BG184" s="461">
        <f>BE184-BF184</f>
        <v/>
      </c>
      <c r="BH184" s="461" t="n">
        <v>0</v>
      </c>
      <c r="BI184" s="461">
        <f>K184*BH184</f>
        <v/>
      </c>
      <c r="BJ184" s="461" t="n"/>
      <c r="BK184" s="461">
        <f>BI184-BJ184</f>
        <v/>
      </c>
      <c r="BL184" s="461" t="inlineStr">
        <is>
          <t>按实</t>
        </is>
      </c>
      <c r="BM184" s="220">
        <f>BN184</f>
        <v/>
      </c>
      <c r="BN184" s="220" t="n"/>
      <c r="BO184" s="220">
        <f>BM184-BN184</f>
        <v/>
      </c>
      <c r="BP184" s="220">
        <f>N184+Q184+U184+Y184+AC184+AG184+AK184+AO184+AS184+AW184+BA184+BE184+BI184+BM184</f>
        <v/>
      </c>
      <c r="BQ184" s="220">
        <f>N184+R184+V184+Z184+AD184+AH184+AL184+AP184+AT184+AX184+BB184+BF184+BJ184+BN184</f>
        <v/>
      </c>
      <c r="BR184" s="220">
        <f>BP184-BQ184</f>
        <v/>
      </c>
      <c r="BS184" s="229" t="inlineStr">
        <is>
          <t>/</t>
        </is>
      </c>
      <c r="BT184" s="229" t="inlineStr">
        <is>
          <t>/</t>
        </is>
      </c>
      <c r="BU184" s="230" t="inlineStr">
        <is>
          <t>1、甲方捐赠：项目反馈不收取，包含在服务费中；</t>
        </is>
      </c>
      <c r="BV184" s="230" t="inlineStr">
        <is>
          <t>1、签订期间：2026.3-7月；
2、指标按照全年换算；</t>
        </is>
      </c>
      <c r="BW184" s="534" t="n"/>
    </row>
    <row r="185" ht="24" customFormat="1" customHeight="1" s="209">
      <c r="A185" s="219" t="n">
        <v>217</v>
      </c>
      <c r="B185" s="220" t="inlineStr">
        <is>
          <t>KQCY0217</t>
        </is>
      </c>
      <c r="C185" s="221" t="inlineStr">
        <is>
          <t>餐饮三分部</t>
        </is>
      </c>
      <c r="D185" s="221" t="inlineStr">
        <is>
          <t>CF780</t>
        </is>
      </c>
      <c r="E185" s="221" t="inlineStr">
        <is>
          <t>吉建大二食堂</t>
        </is>
      </c>
      <c r="F185" s="219" t="inlineStr">
        <is>
          <t>分组作业</t>
        </is>
      </c>
      <c r="G185" s="222" t="inlineStr">
        <is>
          <t>徐敏娟</t>
        </is>
      </c>
      <c r="H185" s="503" t="inlineStr">
        <is>
          <t>/</t>
        </is>
      </c>
      <c r="I185" s="237" t="inlineStr">
        <is>
          <t>羊杂面</t>
        </is>
      </c>
      <c r="J185" s="222" t="inlineStr">
        <is>
          <t>扬中理</t>
        </is>
      </c>
      <c r="K185" s="545">
        <f>LET(k,D185&amp;"|"&amp;E185&amp;"|"&amp;H185&amp;"|"&amp;I185&amp;"|"&amp;J185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85" s="546" t="n"/>
      <c r="M185" s="224" t="n"/>
      <c r="N185" s="253" t="n"/>
      <c r="O185" s="548" t="n">
        <v>1363200</v>
      </c>
      <c r="P185" s="247" t="n">
        <v>0.1</v>
      </c>
      <c r="Q185" s="461">
        <f>K185*P185</f>
        <v/>
      </c>
      <c r="R185" s="461" t="n"/>
      <c r="S185" s="461">
        <f>Q185-R185</f>
        <v/>
      </c>
      <c r="T185" s="235" t="n">
        <v>0.01</v>
      </c>
      <c r="U185" s="461">
        <f>K185*T185</f>
        <v/>
      </c>
      <c r="V185" s="461" t="n"/>
      <c r="W185" s="461">
        <f>U185-V185</f>
        <v/>
      </c>
      <c r="X185" s="461" t="n">
        <v>0</v>
      </c>
      <c r="Y185" s="461">
        <f>K185*X185</f>
        <v/>
      </c>
      <c r="Z185" s="461" t="n"/>
      <c r="AA185" s="461">
        <f>Y185-Z185</f>
        <v/>
      </c>
      <c r="AB185" s="235" t="n">
        <v>0.04</v>
      </c>
      <c r="AC185" s="461">
        <f>K185*AB185</f>
        <v/>
      </c>
      <c r="AD185" s="461" t="n"/>
      <c r="AE185" s="461">
        <f>AC185-AD185</f>
        <v/>
      </c>
      <c r="AF185" s="235" t="n">
        <v>0.03</v>
      </c>
      <c r="AG185" s="461">
        <f>K185*AF185</f>
        <v/>
      </c>
      <c r="AH185" s="461" t="n"/>
      <c r="AI185" s="461">
        <f>AG185-AH185</f>
        <v/>
      </c>
      <c r="AJ185" s="235" t="n">
        <v>0.01</v>
      </c>
      <c r="AK185" s="461">
        <f>K185*AJ185</f>
        <v/>
      </c>
      <c r="AL185" s="461" t="n"/>
      <c r="AM185" s="461">
        <f>AK185-AL185</f>
        <v/>
      </c>
      <c r="AN185" s="235" t="n">
        <v>0.01</v>
      </c>
      <c r="AO185" s="461">
        <f>K185*AN185</f>
        <v/>
      </c>
      <c r="AP185" s="461" t="n"/>
      <c r="AQ185" s="461">
        <f>AO185-AP185</f>
        <v/>
      </c>
      <c r="AR185" s="461" t="inlineStr">
        <is>
          <t>按实</t>
        </is>
      </c>
      <c r="AS185" s="461">
        <f>AT185</f>
        <v/>
      </c>
      <c r="AT185" s="461" t="n"/>
      <c r="AU185" s="461">
        <f>AS185-AT185</f>
        <v/>
      </c>
      <c r="AV185" s="461" t="inlineStr">
        <is>
          <t>按实</t>
        </is>
      </c>
      <c r="AW185" s="461">
        <f>AX185</f>
        <v/>
      </c>
      <c r="AX185" s="461" t="n"/>
      <c r="AY185" s="461">
        <f>AW185-AX185</f>
        <v/>
      </c>
      <c r="AZ185" s="461" t="inlineStr">
        <is>
          <t>按实</t>
        </is>
      </c>
      <c r="BA185" s="461">
        <f>BB185</f>
        <v/>
      </c>
      <c r="BB185" s="461" t="n"/>
      <c r="BC185" s="461">
        <f>BA185-BB185</f>
        <v/>
      </c>
      <c r="BD185" s="461" t="n">
        <v>0</v>
      </c>
      <c r="BE185" s="461">
        <f>K185*BD185</f>
        <v/>
      </c>
      <c r="BF185" s="461" t="n"/>
      <c r="BG185" s="461">
        <f>BE185-BF185</f>
        <v/>
      </c>
      <c r="BH185" s="461" t="n">
        <v>0</v>
      </c>
      <c r="BI185" s="461">
        <f>K185*BH185</f>
        <v/>
      </c>
      <c r="BJ185" s="461" t="n"/>
      <c r="BK185" s="461">
        <f>BI185-BJ185</f>
        <v/>
      </c>
      <c r="BL185" s="461" t="inlineStr">
        <is>
          <t>按实</t>
        </is>
      </c>
      <c r="BM185" s="220">
        <f>BN185</f>
        <v/>
      </c>
      <c r="BN185" s="220" t="n"/>
      <c r="BO185" s="220">
        <f>BM185-BN185</f>
        <v/>
      </c>
      <c r="BP185" s="220">
        <f>N185+Q185+U185+Y185+AC185+AG185+AK185+AO185+AS185+AW185+BA185+BE185+BI185+BM185</f>
        <v/>
      </c>
      <c r="BQ185" s="220">
        <f>N185+R185+V185+Z185+AD185+AH185+AL185+AP185+AT185+AX185+BB185+BF185+BJ185+BN185</f>
        <v/>
      </c>
      <c r="BR185" s="220">
        <f>BP185-BQ185</f>
        <v/>
      </c>
      <c r="BS185" s="229" t="inlineStr">
        <is>
          <t>/</t>
        </is>
      </c>
      <c r="BT185" s="229" t="inlineStr">
        <is>
          <t>/</t>
        </is>
      </c>
      <c r="BU185" s="230" t="inlineStr">
        <is>
          <t>1、甲方捐赠：项目反馈不收取，包含在服务费中；</t>
        </is>
      </c>
      <c r="BV185" s="230" t="inlineStr">
        <is>
          <t>1、签订期间：2026.3-7月；
2、指标按照全年换算；</t>
        </is>
      </c>
      <c r="BW185" s="534" t="n"/>
    </row>
    <row r="186" ht="24" customFormat="1" customHeight="1" s="209">
      <c r="A186" s="219" t="n">
        <v>218</v>
      </c>
      <c r="B186" s="220" t="inlineStr">
        <is>
          <t>KQCY0218</t>
        </is>
      </c>
      <c r="C186" s="221" t="inlineStr">
        <is>
          <t>餐饮三分部</t>
        </is>
      </c>
      <c r="D186" s="221" t="inlineStr">
        <is>
          <t>CF780</t>
        </is>
      </c>
      <c r="E186" s="221" t="inlineStr">
        <is>
          <t>吉建大二食堂</t>
        </is>
      </c>
      <c r="F186" s="219" t="inlineStr">
        <is>
          <t>分组作业</t>
        </is>
      </c>
      <c r="G186" s="222" t="inlineStr">
        <is>
          <t>徐敏娟</t>
        </is>
      </c>
      <c r="H186" s="503" t="inlineStr">
        <is>
          <t>/</t>
        </is>
      </c>
      <c r="I186" s="237" t="inlineStr">
        <is>
          <t>原粉公煮</t>
        </is>
      </c>
      <c r="J186" s="222" t="inlineStr">
        <is>
          <t>田卓</t>
        </is>
      </c>
      <c r="K186" s="545">
        <f>LET(k,D186&amp;"|"&amp;E186&amp;"|"&amp;H186&amp;"|"&amp;I186&amp;"|"&amp;J186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86" s="546" t="n"/>
      <c r="M186" s="224" t="n"/>
      <c r="N186" s="253" t="n"/>
      <c r="O186" s="548" t="n">
        <v>847200</v>
      </c>
      <c r="P186" s="247" t="n">
        <v>0.1</v>
      </c>
      <c r="Q186" s="461">
        <f>K186*P186</f>
        <v/>
      </c>
      <c r="R186" s="461" t="n"/>
      <c r="S186" s="461">
        <f>Q186-R186</f>
        <v/>
      </c>
      <c r="T186" s="235" t="n">
        <v>0.01</v>
      </c>
      <c r="U186" s="461">
        <f>K186*T186</f>
        <v/>
      </c>
      <c r="V186" s="461" t="n"/>
      <c r="W186" s="461">
        <f>U186-V186</f>
        <v/>
      </c>
      <c r="X186" s="461" t="n">
        <v>0</v>
      </c>
      <c r="Y186" s="461">
        <f>K186*X186</f>
        <v/>
      </c>
      <c r="Z186" s="461" t="n"/>
      <c r="AA186" s="461">
        <f>Y186-Z186</f>
        <v/>
      </c>
      <c r="AB186" s="235" t="n">
        <v>0.04</v>
      </c>
      <c r="AC186" s="461">
        <f>K186*AB186</f>
        <v/>
      </c>
      <c r="AD186" s="461" t="n"/>
      <c r="AE186" s="461">
        <f>AC186-AD186</f>
        <v/>
      </c>
      <c r="AF186" s="235" t="n">
        <v>0.03</v>
      </c>
      <c r="AG186" s="461">
        <f>K186*AF186</f>
        <v/>
      </c>
      <c r="AH186" s="461" t="n"/>
      <c r="AI186" s="461">
        <f>AG186-AH186</f>
        <v/>
      </c>
      <c r="AJ186" s="235" t="n">
        <v>0.01</v>
      </c>
      <c r="AK186" s="461">
        <f>K186*AJ186</f>
        <v/>
      </c>
      <c r="AL186" s="461" t="n"/>
      <c r="AM186" s="461">
        <f>AK186-AL186</f>
        <v/>
      </c>
      <c r="AN186" s="235" t="n">
        <v>0.01</v>
      </c>
      <c r="AO186" s="461">
        <f>K186*AN186</f>
        <v/>
      </c>
      <c r="AP186" s="461" t="n"/>
      <c r="AQ186" s="461">
        <f>AO186-AP186</f>
        <v/>
      </c>
      <c r="AR186" s="461" t="inlineStr">
        <is>
          <t>按实</t>
        </is>
      </c>
      <c r="AS186" s="461">
        <f>AT186</f>
        <v/>
      </c>
      <c r="AT186" s="461" t="n"/>
      <c r="AU186" s="461">
        <f>AS186-AT186</f>
        <v/>
      </c>
      <c r="AV186" s="461" t="inlineStr">
        <is>
          <t>按实</t>
        </is>
      </c>
      <c r="AW186" s="461">
        <f>AX186</f>
        <v/>
      </c>
      <c r="AX186" s="461" t="n"/>
      <c r="AY186" s="461">
        <f>AW186-AX186</f>
        <v/>
      </c>
      <c r="AZ186" s="461" t="inlineStr">
        <is>
          <t>按实</t>
        </is>
      </c>
      <c r="BA186" s="461">
        <f>BB186</f>
        <v/>
      </c>
      <c r="BB186" s="461" t="n"/>
      <c r="BC186" s="461">
        <f>BA186-BB186</f>
        <v/>
      </c>
      <c r="BD186" s="461" t="n">
        <v>0</v>
      </c>
      <c r="BE186" s="461">
        <f>K186*BD186</f>
        <v/>
      </c>
      <c r="BF186" s="461" t="n"/>
      <c r="BG186" s="461">
        <f>BE186-BF186</f>
        <v/>
      </c>
      <c r="BH186" s="461" t="n">
        <v>0</v>
      </c>
      <c r="BI186" s="461">
        <f>K186*BH186</f>
        <v/>
      </c>
      <c r="BJ186" s="461" t="n"/>
      <c r="BK186" s="461">
        <f>BI186-BJ186</f>
        <v/>
      </c>
      <c r="BL186" s="461" t="inlineStr">
        <is>
          <t>按实</t>
        </is>
      </c>
      <c r="BM186" s="220">
        <f>BN186</f>
        <v/>
      </c>
      <c r="BN186" s="220" t="n"/>
      <c r="BO186" s="220">
        <f>BM186-BN186</f>
        <v/>
      </c>
      <c r="BP186" s="220">
        <f>N186+Q186+U186+Y186+AC186+AG186+AK186+AO186+AS186+AW186+BA186+BE186+BI186+BM186</f>
        <v/>
      </c>
      <c r="BQ186" s="220">
        <f>N186+R186+V186+Z186+AD186+AH186+AL186+AP186+AT186+AX186+BB186+BF186+BJ186+BN186</f>
        <v/>
      </c>
      <c r="BR186" s="220">
        <f>BP186-BQ186</f>
        <v/>
      </c>
      <c r="BS186" s="229" t="inlineStr">
        <is>
          <t>/</t>
        </is>
      </c>
      <c r="BT186" s="229" t="inlineStr">
        <is>
          <t>/</t>
        </is>
      </c>
      <c r="BU186" s="230" t="inlineStr">
        <is>
          <t>1、甲方捐赠：项目反馈不收取，包含在服务费中；</t>
        </is>
      </c>
      <c r="BV186" s="230" t="inlineStr">
        <is>
          <t>1、签订期间：2026.3-7月；
2、指标按照全年换算；</t>
        </is>
      </c>
      <c r="BW186" s="534" t="n"/>
    </row>
    <row r="187" ht="24" customFormat="1" customHeight="1" s="209">
      <c r="A187" s="219" t="n">
        <v>219</v>
      </c>
      <c r="B187" s="220" t="inlineStr">
        <is>
          <t>KQCY0219</t>
        </is>
      </c>
      <c r="C187" s="221" t="inlineStr">
        <is>
          <t>餐饮三分部</t>
        </is>
      </c>
      <c r="D187" s="221" t="inlineStr">
        <is>
          <t>CF780</t>
        </is>
      </c>
      <c r="E187" s="221" t="inlineStr">
        <is>
          <t>吉建大二食堂</t>
        </is>
      </c>
      <c r="F187" s="219" t="inlineStr">
        <is>
          <t>分组作业</t>
        </is>
      </c>
      <c r="G187" s="222" t="inlineStr">
        <is>
          <t>徐敏娟</t>
        </is>
      </c>
      <c r="H187" s="503" t="inlineStr">
        <is>
          <t>/</t>
        </is>
      </c>
      <c r="I187" s="237" t="inlineStr">
        <is>
          <t>大块牛肉饭</t>
        </is>
      </c>
      <c r="J187" s="222" t="inlineStr">
        <is>
          <t>王亮</t>
        </is>
      </c>
      <c r="K187" s="545">
        <f>LET(k,D187&amp;"|"&amp;E187&amp;"|"&amp;H187&amp;"|"&amp;I187&amp;"|"&amp;J187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87" s="546" t="n"/>
      <c r="M187" s="224" t="n"/>
      <c r="N187" s="253" t="n"/>
      <c r="O187" s="548" t="n">
        <v>936000</v>
      </c>
      <c r="P187" s="552" t="n">
        <v>0.1</v>
      </c>
      <c r="Q187" s="461">
        <f>K187*P187</f>
        <v/>
      </c>
      <c r="R187" s="461" t="n"/>
      <c r="S187" s="461">
        <f>Q187-R187</f>
        <v/>
      </c>
      <c r="T187" s="235" t="n">
        <v>0.01</v>
      </c>
      <c r="U187" s="461">
        <f>K187*T187</f>
        <v/>
      </c>
      <c r="V187" s="461" t="n"/>
      <c r="W187" s="461">
        <f>U187-V187</f>
        <v/>
      </c>
      <c r="X187" s="235" t="n">
        <v>0</v>
      </c>
      <c r="Y187" s="461">
        <f>K187*X187</f>
        <v/>
      </c>
      <c r="Z187" s="461" t="n"/>
      <c r="AA187" s="461">
        <f>Y187-Z187</f>
        <v/>
      </c>
      <c r="AB187" s="235" t="n">
        <v>0.04</v>
      </c>
      <c r="AC187" s="461">
        <f>K187*AB187</f>
        <v/>
      </c>
      <c r="AD187" s="461" t="n"/>
      <c r="AE187" s="461">
        <f>AC187-AD187</f>
        <v/>
      </c>
      <c r="AF187" s="235" t="n">
        <v>0.03</v>
      </c>
      <c r="AG187" s="461">
        <f>K187*AF187</f>
        <v/>
      </c>
      <c r="AH187" s="461" t="n"/>
      <c r="AI187" s="461">
        <f>AG187-AH187</f>
        <v/>
      </c>
      <c r="AJ187" s="235" t="n">
        <v>0.01</v>
      </c>
      <c r="AK187" s="461">
        <f>K187*AJ187</f>
        <v/>
      </c>
      <c r="AL187" s="461" t="n"/>
      <c r="AM187" s="461">
        <f>AK187-AL187</f>
        <v/>
      </c>
      <c r="AN187" s="235" t="n">
        <v>0.01</v>
      </c>
      <c r="AO187" s="461">
        <f>K187*AN187</f>
        <v/>
      </c>
      <c r="AP187" s="461" t="n"/>
      <c r="AQ187" s="461">
        <f>AO187-AP187</f>
        <v/>
      </c>
      <c r="AR187" s="461" t="inlineStr">
        <is>
          <t>按实</t>
        </is>
      </c>
      <c r="AS187" s="461">
        <f>AT187</f>
        <v/>
      </c>
      <c r="AT187" s="461" t="n"/>
      <c r="AU187" s="461">
        <f>AS187-AT187</f>
        <v/>
      </c>
      <c r="AV187" s="461" t="inlineStr">
        <is>
          <t>按实</t>
        </is>
      </c>
      <c r="AW187" s="461">
        <f>AX187</f>
        <v/>
      </c>
      <c r="AX187" s="461" t="n"/>
      <c r="AY187" s="461">
        <f>AW187-AX187</f>
        <v/>
      </c>
      <c r="AZ187" s="461" t="inlineStr">
        <is>
          <t>按实</t>
        </is>
      </c>
      <c r="BA187" s="461">
        <f>BB187</f>
        <v/>
      </c>
      <c r="BB187" s="461" t="n"/>
      <c r="BC187" s="461">
        <f>BA187-BB187</f>
        <v/>
      </c>
      <c r="BD187" s="461" t="n">
        <v>0</v>
      </c>
      <c r="BE187" s="461">
        <f>K187*BD187</f>
        <v/>
      </c>
      <c r="BF187" s="461" t="n"/>
      <c r="BG187" s="461">
        <f>BE187-BF187</f>
        <v/>
      </c>
      <c r="BH187" s="461" t="n">
        <v>0</v>
      </c>
      <c r="BI187" s="461">
        <f>K187*BH187</f>
        <v/>
      </c>
      <c r="BJ187" s="461" t="n"/>
      <c r="BK187" s="461">
        <f>BI187-BJ187</f>
        <v/>
      </c>
      <c r="BL187" s="461" t="inlineStr">
        <is>
          <t>按实</t>
        </is>
      </c>
      <c r="BM187" s="220">
        <f>BN187</f>
        <v/>
      </c>
      <c r="BN187" s="220" t="n"/>
      <c r="BO187" s="220">
        <f>BM187-BN187</f>
        <v/>
      </c>
      <c r="BP187" s="220">
        <f>N187+Q187+U187+Y187+AC187+AG187+AK187+AO187+AS187+AW187+BA187+BE187+BI187+BM187</f>
        <v/>
      </c>
      <c r="BQ187" s="220">
        <f>N187+R187+V187+Z187+AD187+AH187+AL187+AP187+AT187+AX187+BB187+BF187+BJ187+BN187</f>
        <v/>
      </c>
      <c r="BR187" s="220">
        <f>BP187-BQ187</f>
        <v/>
      </c>
      <c r="BS187" s="229" t="inlineStr">
        <is>
          <t>/</t>
        </is>
      </c>
      <c r="BT187" s="229" t="inlineStr">
        <is>
          <t>/</t>
        </is>
      </c>
      <c r="BU187" s="230" t="inlineStr">
        <is>
          <t>1、甲方捐赠：项目反馈不收取，包含在服务费中；</t>
        </is>
      </c>
      <c r="BV187" s="230" t="inlineStr">
        <is>
          <t>1、签订期间：2026.3-7月；
2、指标按照全年换算；</t>
        </is>
      </c>
      <c r="BW187" s="534" t="n"/>
    </row>
    <row r="188" ht="24" customFormat="1" customHeight="1" s="209">
      <c r="A188" s="219" t="n">
        <v>220</v>
      </c>
      <c r="B188" s="220" t="inlineStr">
        <is>
          <t>KQCY0220</t>
        </is>
      </c>
      <c r="C188" s="221" t="inlineStr">
        <is>
          <t>餐饮三分部</t>
        </is>
      </c>
      <c r="D188" s="221" t="inlineStr">
        <is>
          <t>CF780</t>
        </is>
      </c>
      <c r="E188" s="221" t="inlineStr">
        <is>
          <t>吉建大二食堂</t>
        </is>
      </c>
      <c r="F188" s="219" t="inlineStr">
        <is>
          <t>分组作业</t>
        </is>
      </c>
      <c r="G188" s="222" t="inlineStr">
        <is>
          <t>徐敏娟</t>
        </is>
      </c>
      <c r="H188" s="503" t="inlineStr">
        <is>
          <t>/</t>
        </is>
      </c>
      <c r="I188" s="237" t="inlineStr">
        <is>
          <t>嘻哈密语</t>
        </is>
      </c>
      <c r="J188" s="222" t="inlineStr">
        <is>
          <t>陶志鹏</t>
        </is>
      </c>
      <c r="K188" s="545">
        <f>LET(k,D188&amp;"|"&amp;E188&amp;"|"&amp;H188&amp;"|"&amp;I188&amp;"|"&amp;J188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88" s="546" t="n"/>
      <c r="M188" s="224" t="n"/>
      <c r="N188" s="253" t="n"/>
      <c r="O188" s="548" t="n">
        <v>456000</v>
      </c>
      <c r="P188" s="552" t="n">
        <v>0.1</v>
      </c>
      <c r="Q188" s="461">
        <f>K188*P188</f>
        <v/>
      </c>
      <c r="R188" s="461" t="n"/>
      <c r="S188" s="461">
        <f>Q188-R188</f>
        <v/>
      </c>
      <c r="T188" s="235" t="n">
        <v>0.01</v>
      </c>
      <c r="U188" s="461">
        <f>K188*T188</f>
        <v/>
      </c>
      <c r="V188" s="461" t="n"/>
      <c r="W188" s="461">
        <f>U188-V188</f>
        <v/>
      </c>
      <c r="X188" s="235" t="n">
        <v>0</v>
      </c>
      <c r="Y188" s="461">
        <f>K188*X188</f>
        <v/>
      </c>
      <c r="Z188" s="461" t="n"/>
      <c r="AA188" s="461">
        <f>Y188-Z188</f>
        <v/>
      </c>
      <c r="AB188" s="235" t="n">
        <v>0.04</v>
      </c>
      <c r="AC188" s="461">
        <f>K188*AB188</f>
        <v/>
      </c>
      <c r="AD188" s="461" t="n"/>
      <c r="AE188" s="461">
        <f>AC188-AD188</f>
        <v/>
      </c>
      <c r="AF188" s="235" t="n">
        <v>0.03</v>
      </c>
      <c r="AG188" s="461">
        <f>K188*AF188</f>
        <v/>
      </c>
      <c r="AH188" s="461" t="n"/>
      <c r="AI188" s="461">
        <f>AG188-AH188</f>
        <v/>
      </c>
      <c r="AJ188" s="235" t="n">
        <v>0.01</v>
      </c>
      <c r="AK188" s="461">
        <f>K188*AJ188</f>
        <v/>
      </c>
      <c r="AL188" s="461" t="n"/>
      <c r="AM188" s="461">
        <f>AK188-AL188</f>
        <v/>
      </c>
      <c r="AN188" s="235" t="n">
        <v>0.01</v>
      </c>
      <c r="AO188" s="461">
        <f>K188*AN188</f>
        <v/>
      </c>
      <c r="AP188" s="461" t="n"/>
      <c r="AQ188" s="461">
        <f>AO188-AP188</f>
        <v/>
      </c>
      <c r="AR188" s="461" t="inlineStr">
        <is>
          <t>按实</t>
        </is>
      </c>
      <c r="AS188" s="461">
        <f>AT188</f>
        <v/>
      </c>
      <c r="AT188" s="461" t="n"/>
      <c r="AU188" s="461">
        <f>AS188-AT188</f>
        <v/>
      </c>
      <c r="AV188" s="461" t="inlineStr">
        <is>
          <t>按实</t>
        </is>
      </c>
      <c r="AW188" s="461">
        <f>AX188</f>
        <v/>
      </c>
      <c r="AX188" s="461" t="n"/>
      <c r="AY188" s="461">
        <f>AW188-AX188</f>
        <v/>
      </c>
      <c r="AZ188" s="461" t="inlineStr">
        <is>
          <t>按实</t>
        </is>
      </c>
      <c r="BA188" s="461">
        <f>BB188</f>
        <v/>
      </c>
      <c r="BB188" s="461" t="n"/>
      <c r="BC188" s="461">
        <f>BA188-BB188</f>
        <v/>
      </c>
      <c r="BD188" s="461" t="n">
        <v>0</v>
      </c>
      <c r="BE188" s="461">
        <f>K188*BD188</f>
        <v/>
      </c>
      <c r="BF188" s="461" t="n"/>
      <c r="BG188" s="461">
        <f>BE188-BF188</f>
        <v/>
      </c>
      <c r="BH188" s="461" t="n">
        <v>0</v>
      </c>
      <c r="BI188" s="461">
        <f>K188*BH188</f>
        <v/>
      </c>
      <c r="BJ188" s="461" t="n"/>
      <c r="BK188" s="461">
        <f>BI188-BJ188</f>
        <v/>
      </c>
      <c r="BL188" s="461" t="inlineStr">
        <is>
          <t>按实</t>
        </is>
      </c>
      <c r="BM188" s="220">
        <f>BN188</f>
        <v/>
      </c>
      <c r="BN188" s="220" t="n"/>
      <c r="BO188" s="220">
        <f>BM188-BN188</f>
        <v/>
      </c>
      <c r="BP188" s="220">
        <f>N188+Q188+U188+Y188+AC188+AG188+AK188+AO188+AS188+AW188+BA188+BE188+BI188+BM188</f>
        <v/>
      </c>
      <c r="BQ188" s="220">
        <f>N188+R188+V188+Z188+AD188+AH188+AL188+AP188+AT188+AX188+BB188+BF188+BJ188+BN188</f>
        <v/>
      </c>
      <c r="BR188" s="220">
        <f>BP188-BQ188</f>
        <v/>
      </c>
      <c r="BS188" s="229" t="inlineStr">
        <is>
          <t>/</t>
        </is>
      </c>
      <c r="BT188" s="229" t="inlineStr">
        <is>
          <t>/</t>
        </is>
      </c>
      <c r="BU188" s="230" t="inlineStr">
        <is>
          <t>1、甲方捐赠：项目反馈不收取，包含在服务费中；</t>
        </is>
      </c>
      <c r="BV188" s="230" t="inlineStr">
        <is>
          <t>1、签订期间：2026.3-7月；
2、指标按照全年换算；</t>
        </is>
      </c>
      <c r="BW188" s="534" t="n"/>
    </row>
    <row r="189" ht="24" customFormat="1" customHeight="1" s="209">
      <c r="A189" s="219" t="n">
        <v>221</v>
      </c>
      <c r="B189" s="220" t="inlineStr">
        <is>
          <t>KQCY0221</t>
        </is>
      </c>
      <c r="C189" s="221" t="inlineStr">
        <is>
          <t>餐饮三分部</t>
        </is>
      </c>
      <c r="D189" s="221" t="inlineStr">
        <is>
          <t>CF780</t>
        </is>
      </c>
      <c r="E189" s="221" t="inlineStr">
        <is>
          <t>吉建大二食堂</t>
        </is>
      </c>
      <c r="F189" s="219" t="inlineStr">
        <is>
          <t>分组作业</t>
        </is>
      </c>
      <c r="G189" s="222" t="inlineStr">
        <is>
          <t>徐敏娟</t>
        </is>
      </c>
      <c r="H189" s="503" t="inlineStr">
        <is>
          <t>/</t>
        </is>
      </c>
      <c r="I189" s="237" t="inlineStr">
        <is>
          <t>炸鸡汉堡</t>
        </is>
      </c>
      <c r="J189" s="222" t="inlineStr">
        <is>
          <t>隗伟</t>
        </is>
      </c>
      <c r="K189" s="545">
        <f>LET(k,D189&amp;"|"&amp;E189&amp;"|"&amp;H189&amp;"|"&amp;I189&amp;"|"&amp;J189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89" s="546" t="n"/>
      <c r="M189" s="224" t="n"/>
      <c r="N189" s="253" t="n"/>
      <c r="O189" s="548" t="n">
        <v>676800</v>
      </c>
      <c r="P189" s="552" t="n">
        <v>0.1</v>
      </c>
      <c r="Q189" s="461">
        <f>K189*P189</f>
        <v/>
      </c>
      <c r="R189" s="461" t="n"/>
      <c r="S189" s="461">
        <f>Q189-R189</f>
        <v/>
      </c>
      <c r="T189" s="235" t="n">
        <v>0.01</v>
      </c>
      <c r="U189" s="461">
        <f>K189*T189</f>
        <v/>
      </c>
      <c r="V189" s="461" t="n"/>
      <c r="W189" s="461">
        <f>U189-V189</f>
        <v/>
      </c>
      <c r="X189" s="235" t="n">
        <v>0</v>
      </c>
      <c r="Y189" s="461">
        <f>K189*X189</f>
        <v/>
      </c>
      <c r="Z189" s="461" t="n"/>
      <c r="AA189" s="461">
        <f>Y189-Z189</f>
        <v/>
      </c>
      <c r="AB189" s="235" t="n">
        <v>0.04</v>
      </c>
      <c r="AC189" s="461">
        <f>K189*AB189</f>
        <v/>
      </c>
      <c r="AD189" s="461" t="n"/>
      <c r="AE189" s="461">
        <f>AC189-AD189</f>
        <v/>
      </c>
      <c r="AF189" s="235" t="n">
        <v>0.03</v>
      </c>
      <c r="AG189" s="461">
        <f>K189*AF189</f>
        <v/>
      </c>
      <c r="AH189" s="461" t="n"/>
      <c r="AI189" s="461">
        <f>AG189-AH189</f>
        <v/>
      </c>
      <c r="AJ189" s="235" t="n">
        <v>0.01</v>
      </c>
      <c r="AK189" s="461">
        <f>K189*AJ189</f>
        <v/>
      </c>
      <c r="AL189" s="461" t="n"/>
      <c r="AM189" s="461">
        <f>AK189-AL189</f>
        <v/>
      </c>
      <c r="AN189" s="235" t="n">
        <v>0.01</v>
      </c>
      <c r="AO189" s="461">
        <f>K189*AN189</f>
        <v/>
      </c>
      <c r="AP189" s="461" t="n"/>
      <c r="AQ189" s="461">
        <f>AO189-AP189</f>
        <v/>
      </c>
      <c r="AR189" s="461" t="inlineStr">
        <is>
          <t>按实</t>
        </is>
      </c>
      <c r="AS189" s="461">
        <f>AT189</f>
        <v/>
      </c>
      <c r="AT189" s="461" t="n"/>
      <c r="AU189" s="461">
        <f>AS189-AT189</f>
        <v/>
      </c>
      <c r="AV189" s="461" t="inlineStr">
        <is>
          <t>按实</t>
        </is>
      </c>
      <c r="AW189" s="461">
        <f>AX189</f>
        <v/>
      </c>
      <c r="AX189" s="461" t="n"/>
      <c r="AY189" s="461">
        <f>AW189-AX189</f>
        <v/>
      </c>
      <c r="AZ189" s="461" t="inlineStr">
        <is>
          <t>按实</t>
        </is>
      </c>
      <c r="BA189" s="461">
        <f>BB189</f>
        <v/>
      </c>
      <c r="BB189" s="461" t="n"/>
      <c r="BC189" s="461">
        <f>BA189-BB189</f>
        <v/>
      </c>
      <c r="BD189" s="461" t="n">
        <v>0</v>
      </c>
      <c r="BE189" s="461">
        <f>K189*BD189</f>
        <v/>
      </c>
      <c r="BF189" s="461" t="n"/>
      <c r="BG189" s="461">
        <f>BE189-BF189</f>
        <v/>
      </c>
      <c r="BH189" s="461" t="n">
        <v>0</v>
      </c>
      <c r="BI189" s="461">
        <f>K189*BH189</f>
        <v/>
      </c>
      <c r="BJ189" s="461" t="n"/>
      <c r="BK189" s="461">
        <f>BI189-BJ189</f>
        <v/>
      </c>
      <c r="BL189" s="461" t="inlineStr">
        <is>
          <t>按实</t>
        </is>
      </c>
      <c r="BM189" s="220">
        <f>BN189</f>
        <v/>
      </c>
      <c r="BN189" s="220" t="n"/>
      <c r="BO189" s="220">
        <f>BM189-BN189</f>
        <v/>
      </c>
      <c r="BP189" s="220">
        <f>N189+Q189+U189+Y189+AC189+AG189+AK189+AO189+AS189+AW189+BA189+BE189+BI189+BM189</f>
        <v/>
      </c>
      <c r="BQ189" s="220">
        <f>N189+R189+V189+Z189+AD189+AH189+AL189+AP189+AT189+AX189+BB189+BF189+BJ189+BN189</f>
        <v/>
      </c>
      <c r="BR189" s="220">
        <f>BP189-BQ189</f>
        <v/>
      </c>
      <c r="BS189" s="229" t="inlineStr">
        <is>
          <t>/</t>
        </is>
      </c>
      <c r="BT189" s="229" t="inlineStr">
        <is>
          <t>/</t>
        </is>
      </c>
      <c r="BU189" s="230" t="inlineStr">
        <is>
          <t>1、甲方捐赠：项目反馈不收取，包含在服务费中；</t>
        </is>
      </c>
      <c r="BV189" s="230" t="inlineStr">
        <is>
          <t>1、签订期间：2026.3-7月；
2、指标按照全年换算；</t>
        </is>
      </c>
      <c r="BW189" s="534" t="n"/>
    </row>
    <row r="190" ht="24" customFormat="1" customHeight="1" s="209">
      <c r="A190" s="219" t="n">
        <v>222</v>
      </c>
      <c r="B190" s="220" t="inlineStr">
        <is>
          <t>KQCY0222</t>
        </is>
      </c>
      <c r="C190" s="221" t="inlineStr">
        <is>
          <t>餐饮三分部</t>
        </is>
      </c>
      <c r="D190" s="221" t="inlineStr">
        <is>
          <t>CF780</t>
        </is>
      </c>
      <c r="E190" s="221" t="inlineStr">
        <is>
          <t>吉建大二食堂</t>
        </is>
      </c>
      <c r="F190" s="219" t="inlineStr">
        <is>
          <t>分组作业</t>
        </is>
      </c>
      <c r="G190" s="222" t="inlineStr">
        <is>
          <t>徐敏娟</t>
        </is>
      </c>
      <c r="H190" s="503" t="inlineStr">
        <is>
          <t>/</t>
        </is>
      </c>
      <c r="I190" s="237" t="inlineStr">
        <is>
          <t>九阳豆浆</t>
        </is>
      </c>
      <c r="J190" s="222" t="inlineStr">
        <is>
          <t>李宝友</t>
        </is>
      </c>
      <c r="K190" s="545">
        <f>LET(k,D190&amp;"|"&amp;E190&amp;"|"&amp;H190&amp;"|"&amp;I190&amp;"|"&amp;J190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90" s="546" t="n"/>
      <c r="M190" s="224" t="n"/>
      <c r="N190" s="253" t="n"/>
      <c r="O190" s="548" t="n">
        <v>468000</v>
      </c>
      <c r="P190" s="247" t="n">
        <v>0.1</v>
      </c>
      <c r="Q190" s="461">
        <f>K190*P190</f>
        <v/>
      </c>
      <c r="R190" s="461" t="n"/>
      <c r="S190" s="461">
        <f>Q190-R190</f>
        <v/>
      </c>
      <c r="T190" s="235" t="n">
        <v>0.01</v>
      </c>
      <c r="U190" s="461">
        <f>K190*T190</f>
        <v/>
      </c>
      <c r="V190" s="461" t="n"/>
      <c r="W190" s="461">
        <f>U190-V190</f>
        <v/>
      </c>
      <c r="X190" s="461" t="n">
        <v>0</v>
      </c>
      <c r="Y190" s="461">
        <f>K190*X190</f>
        <v/>
      </c>
      <c r="Z190" s="461" t="n"/>
      <c r="AA190" s="461">
        <f>Y190-Z190</f>
        <v/>
      </c>
      <c r="AB190" s="235" t="n">
        <v>0.04</v>
      </c>
      <c r="AC190" s="461">
        <f>K190*AB190</f>
        <v/>
      </c>
      <c r="AD190" s="461" t="n"/>
      <c r="AE190" s="461">
        <f>AC190-AD190</f>
        <v/>
      </c>
      <c r="AF190" s="235" t="n">
        <v>0.03</v>
      </c>
      <c r="AG190" s="461">
        <f>K190*AF190</f>
        <v/>
      </c>
      <c r="AH190" s="461" t="n"/>
      <c r="AI190" s="461">
        <f>AG190-AH190</f>
        <v/>
      </c>
      <c r="AJ190" s="235" t="n">
        <v>0.01</v>
      </c>
      <c r="AK190" s="461">
        <f>K190*AJ190</f>
        <v/>
      </c>
      <c r="AL190" s="461" t="n"/>
      <c r="AM190" s="461">
        <f>AK190-AL190</f>
        <v/>
      </c>
      <c r="AN190" s="235" t="n">
        <v>0.01</v>
      </c>
      <c r="AO190" s="461">
        <f>K190*AN190</f>
        <v/>
      </c>
      <c r="AP190" s="461" t="n"/>
      <c r="AQ190" s="461">
        <f>AO190-AP190</f>
        <v/>
      </c>
      <c r="AR190" s="461" t="inlineStr">
        <is>
          <t>按实</t>
        </is>
      </c>
      <c r="AS190" s="461">
        <f>AT190</f>
        <v/>
      </c>
      <c r="AT190" s="461" t="n"/>
      <c r="AU190" s="461">
        <f>AS190-AT190</f>
        <v/>
      </c>
      <c r="AV190" s="461" t="inlineStr">
        <is>
          <t>按实</t>
        </is>
      </c>
      <c r="AW190" s="461">
        <f>AX190</f>
        <v/>
      </c>
      <c r="AX190" s="461" t="n"/>
      <c r="AY190" s="461">
        <f>AW190-AX190</f>
        <v/>
      </c>
      <c r="AZ190" s="461" t="inlineStr">
        <is>
          <t>按实</t>
        </is>
      </c>
      <c r="BA190" s="461">
        <f>BB190</f>
        <v/>
      </c>
      <c r="BB190" s="461" t="n"/>
      <c r="BC190" s="461">
        <f>BA190-BB190</f>
        <v/>
      </c>
      <c r="BD190" s="461" t="n">
        <v>0</v>
      </c>
      <c r="BE190" s="461">
        <f>K190*BD190</f>
        <v/>
      </c>
      <c r="BF190" s="461" t="n"/>
      <c r="BG190" s="461">
        <f>BE190-BF190</f>
        <v/>
      </c>
      <c r="BH190" s="461" t="n">
        <v>0</v>
      </c>
      <c r="BI190" s="461">
        <f>K190*BH190</f>
        <v/>
      </c>
      <c r="BJ190" s="461" t="n"/>
      <c r="BK190" s="461">
        <f>BI190-BJ190</f>
        <v/>
      </c>
      <c r="BL190" s="461" t="inlineStr">
        <is>
          <t>按实</t>
        </is>
      </c>
      <c r="BM190" s="220">
        <f>BN190</f>
        <v/>
      </c>
      <c r="BN190" s="220" t="n"/>
      <c r="BO190" s="220">
        <f>BM190-BN190</f>
        <v/>
      </c>
      <c r="BP190" s="220">
        <f>N190+Q190+U190+Y190+AC190+AG190+AK190+AO190+AS190+AW190+BA190+BE190+BI190+BM190</f>
        <v/>
      </c>
      <c r="BQ190" s="220">
        <f>N190+R190+V190+Z190+AD190+AH190+AL190+AP190+AT190+AX190+BB190+BF190+BJ190+BN190</f>
        <v/>
      </c>
      <c r="BR190" s="220">
        <f>BP190-BQ190</f>
        <v/>
      </c>
      <c r="BS190" s="229" t="inlineStr">
        <is>
          <t>/</t>
        </is>
      </c>
      <c r="BT190" s="229" t="inlineStr">
        <is>
          <t>/</t>
        </is>
      </c>
      <c r="BU190" s="230" t="inlineStr">
        <is>
          <t>1、甲方捐赠：项目反馈不收取，包含在服务费中；</t>
        </is>
      </c>
      <c r="BV190" s="230" t="inlineStr">
        <is>
          <t>1、签订期间：2026.3-7月；
2、指标按照全年换算；</t>
        </is>
      </c>
      <c r="BW190" s="534" t="n"/>
    </row>
    <row r="191" ht="24" customFormat="1" customHeight="1" s="209">
      <c r="A191" s="219" t="n">
        <v>223</v>
      </c>
      <c r="B191" s="220" t="inlineStr">
        <is>
          <t>KQCY0223</t>
        </is>
      </c>
      <c r="C191" s="221" t="inlineStr">
        <is>
          <t>餐饮三分部</t>
        </is>
      </c>
      <c r="D191" s="221" t="inlineStr">
        <is>
          <t>CF780</t>
        </is>
      </c>
      <c r="E191" s="221" t="inlineStr">
        <is>
          <t>吉建大二食堂</t>
        </is>
      </c>
      <c r="F191" s="219" t="inlineStr">
        <is>
          <t>分组作业</t>
        </is>
      </c>
      <c r="G191" s="222" t="inlineStr">
        <is>
          <t>徐敏娟</t>
        </is>
      </c>
      <c r="H191" s="503" t="inlineStr">
        <is>
          <t>/</t>
        </is>
      </c>
      <c r="I191" s="237" t="inlineStr">
        <is>
          <t>杂粮煎饼</t>
        </is>
      </c>
      <c r="J191" s="222" t="inlineStr">
        <is>
          <t>仲伟兴</t>
        </is>
      </c>
      <c r="K191" s="545">
        <f>LET(k,D191&amp;"|"&amp;E191&amp;"|"&amp;H191&amp;"|"&amp;I191&amp;"|"&amp;J191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91" s="546" t="n"/>
      <c r="M191" s="224" t="n"/>
      <c r="N191" s="253" t="n"/>
      <c r="O191" s="548" t="n">
        <v>460800</v>
      </c>
      <c r="P191" s="247" t="n">
        <v>0.1</v>
      </c>
      <c r="Q191" s="461">
        <f>K191*P191</f>
        <v/>
      </c>
      <c r="R191" s="461" t="n"/>
      <c r="S191" s="461">
        <f>Q191-R191</f>
        <v/>
      </c>
      <c r="T191" s="235" t="n">
        <v>0.01</v>
      </c>
      <c r="U191" s="461">
        <f>K191*T191</f>
        <v/>
      </c>
      <c r="V191" s="461" t="n"/>
      <c r="W191" s="461">
        <f>U191-V191</f>
        <v/>
      </c>
      <c r="X191" s="461" t="n">
        <v>0</v>
      </c>
      <c r="Y191" s="461">
        <f>K191*X191</f>
        <v/>
      </c>
      <c r="Z191" s="461" t="n"/>
      <c r="AA191" s="461">
        <f>Y191-Z191</f>
        <v/>
      </c>
      <c r="AB191" s="235" t="n">
        <v>0.04</v>
      </c>
      <c r="AC191" s="461">
        <f>K191*AB191</f>
        <v/>
      </c>
      <c r="AD191" s="461" t="n"/>
      <c r="AE191" s="461">
        <f>AC191-AD191</f>
        <v/>
      </c>
      <c r="AF191" s="235" t="n">
        <v>0.03</v>
      </c>
      <c r="AG191" s="461">
        <f>K191*AF191</f>
        <v/>
      </c>
      <c r="AH191" s="461" t="n"/>
      <c r="AI191" s="461">
        <f>AG191-AH191</f>
        <v/>
      </c>
      <c r="AJ191" s="235" t="n">
        <v>0.01</v>
      </c>
      <c r="AK191" s="461">
        <f>K191*AJ191</f>
        <v/>
      </c>
      <c r="AL191" s="461" t="n"/>
      <c r="AM191" s="461">
        <f>AK191-AL191</f>
        <v/>
      </c>
      <c r="AN191" s="235" t="n">
        <v>0.01</v>
      </c>
      <c r="AO191" s="461">
        <f>K191*AN191</f>
        <v/>
      </c>
      <c r="AP191" s="461" t="n"/>
      <c r="AQ191" s="461">
        <f>AO191-AP191</f>
        <v/>
      </c>
      <c r="AR191" s="461" t="inlineStr">
        <is>
          <t>按实</t>
        </is>
      </c>
      <c r="AS191" s="461">
        <f>AT191</f>
        <v/>
      </c>
      <c r="AT191" s="461" t="n"/>
      <c r="AU191" s="461">
        <f>AS191-AT191</f>
        <v/>
      </c>
      <c r="AV191" s="461" t="inlineStr">
        <is>
          <t>按实</t>
        </is>
      </c>
      <c r="AW191" s="461">
        <f>AX191</f>
        <v/>
      </c>
      <c r="AX191" s="461" t="n"/>
      <c r="AY191" s="461">
        <f>AW191-AX191</f>
        <v/>
      </c>
      <c r="AZ191" s="461" t="inlineStr">
        <is>
          <t>按实</t>
        </is>
      </c>
      <c r="BA191" s="461">
        <f>BB191</f>
        <v/>
      </c>
      <c r="BB191" s="461" t="n"/>
      <c r="BC191" s="461">
        <f>BA191-BB191</f>
        <v/>
      </c>
      <c r="BD191" s="461" t="n">
        <v>0</v>
      </c>
      <c r="BE191" s="461">
        <f>K191*BD191</f>
        <v/>
      </c>
      <c r="BF191" s="461" t="n"/>
      <c r="BG191" s="461">
        <f>BE191-BF191</f>
        <v/>
      </c>
      <c r="BH191" s="461" t="n">
        <v>0</v>
      </c>
      <c r="BI191" s="461">
        <f>K191*BH191</f>
        <v/>
      </c>
      <c r="BJ191" s="461" t="n"/>
      <c r="BK191" s="461">
        <f>BI191-BJ191</f>
        <v/>
      </c>
      <c r="BL191" s="461" t="inlineStr">
        <is>
          <t>按实</t>
        </is>
      </c>
      <c r="BM191" s="220">
        <f>BN191</f>
        <v/>
      </c>
      <c r="BN191" s="220" t="n"/>
      <c r="BO191" s="220">
        <f>BM191-BN191</f>
        <v/>
      </c>
      <c r="BP191" s="220">
        <f>N191+Q191+U191+Y191+AC191+AG191+AK191+AO191+AS191+AW191+BA191+BE191+BI191+BM191</f>
        <v/>
      </c>
      <c r="BQ191" s="220">
        <f>N191+R191+V191+Z191+AD191+AH191+AL191+AP191+AT191+AX191+BB191+BF191+BJ191+BN191</f>
        <v/>
      </c>
      <c r="BR191" s="220">
        <f>BP191-BQ191</f>
        <v/>
      </c>
      <c r="BS191" s="229" t="inlineStr">
        <is>
          <t>/</t>
        </is>
      </c>
      <c r="BT191" s="229" t="inlineStr">
        <is>
          <t>/</t>
        </is>
      </c>
      <c r="BU191" s="230" t="inlineStr">
        <is>
          <t>1、甲方捐赠：项目反馈不收取，包含在服务费中；</t>
        </is>
      </c>
      <c r="BV191" s="230" t="inlineStr">
        <is>
          <t>1、签订期间：2026.3-7月；
2、指标按照全年换算；</t>
        </is>
      </c>
      <c r="BW191" s="534" t="n"/>
    </row>
    <row r="192" ht="24" customFormat="1" customHeight="1" s="209">
      <c r="A192" s="219" t="n">
        <v>224</v>
      </c>
      <c r="B192" s="220" t="inlineStr">
        <is>
          <t>KQCY0224</t>
        </is>
      </c>
      <c r="C192" s="221" t="inlineStr">
        <is>
          <t>餐饮三分部</t>
        </is>
      </c>
      <c r="D192" s="221" t="inlineStr">
        <is>
          <t>CF780</t>
        </is>
      </c>
      <c r="E192" s="221" t="inlineStr">
        <is>
          <t>吉建大二食堂</t>
        </is>
      </c>
      <c r="F192" s="219" t="inlineStr">
        <is>
          <t>分组作业</t>
        </is>
      </c>
      <c r="G192" s="222" t="inlineStr">
        <is>
          <t>徐敏娟</t>
        </is>
      </c>
      <c r="H192" s="503" t="inlineStr">
        <is>
          <t>/</t>
        </is>
      </c>
      <c r="I192" s="237" t="inlineStr">
        <is>
          <t>特色餐厅</t>
        </is>
      </c>
      <c r="J192" s="222" t="inlineStr">
        <is>
          <t>王友峰</t>
        </is>
      </c>
      <c r="K192" s="545">
        <f>LET(k,D192&amp;"|"&amp;E192&amp;"|"&amp;H192&amp;"|"&amp;I192&amp;"|"&amp;J192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92" s="546" t="n"/>
      <c r="M192" s="224" t="n"/>
      <c r="N192" s="253" t="n"/>
      <c r="O192" s="548" t="n">
        <v>1363200</v>
      </c>
      <c r="P192" s="247" t="n">
        <v>0.06</v>
      </c>
      <c r="Q192" s="461">
        <f>K192*P192</f>
        <v/>
      </c>
      <c r="R192" s="461" t="n"/>
      <c r="S192" s="461">
        <f>Q192-R192</f>
        <v/>
      </c>
      <c r="T192" s="235" t="n">
        <v>0.01</v>
      </c>
      <c r="U192" s="461">
        <f>K192*T192</f>
        <v/>
      </c>
      <c r="V192" s="461" t="n"/>
      <c r="W192" s="461">
        <f>U192-V192</f>
        <v/>
      </c>
      <c r="X192" s="461" t="n">
        <v>0</v>
      </c>
      <c r="Y192" s="461">
        <f>K192*X192</f>
        <v/>
      </c>
      <c r="Z192" s="461" t="n"/>
      <c r="AA192" s="461">
        <f>Y192-Z192</f>
        <v/>
      </c>
      <c r="AB192" s="235" t="n">
        <v>0.04</v>
      </c>
      <c r="AC192" s="461">
        <f>K192*AB192</f>
        <v/>
      </c>
      <c r="AD192" s="461" t="n"/>
      <c r="AE192" s="461">
        <f>AC192-AD192</f>
        <v/>
      </c>
      <c r="AF192" s="235" t="n">
        <v>0.03</v>
      </c>
      <c r="AG192" s="461">
        <f>K192*AF192</f>
        <v/>
      </c>
      <c r="AH192" s="461" t="n"/>
      <c r="AI192" s="461">
        <f>AG192-AH192</f>
        <v/>
      </c>
      <c r="AJ192" s="235" t="n">
        <v>0.01</v>
      </c>
      <c r="AK192" s="461">
        <f>K192*AJ192</f>
        <v/>
      </c>
      <c r="AL192" s="461" t="n"/>
      <c r="AM192" s="461">
        <f>AK192-AL192</f>
        <v/>
      </c>
      <c r="AN192" s="235" t="n">
        <v>0.01</v>
      </c>
      <c r="AO192" s="461">
        <f>K192*AN192</f>
        <v/>
      </c>
      <c r="AP192" s="461" t="n"/>
      <c r="AQ192" s="461">
        <f>AO192-AP192</f>
        <v/>
      </c>
      <c r="AR192" s="461" t="inlineStr">
        <is>
          <t>按实</t>
        </is>
      </c>
      <c r="AS192" s="461">
        <f>AT192</f>
        <v/>
      </c>
      <c r="AT192" s="461" t="n"/>
      <c r="AU192" s="461">
        <f>AS192-AT192</f>
        <v/>
      </c>
      <c r="AV192" s="461" t="inlineStr">
        <is>
          <t>按实</t>
        </is>
      </c>
      <c r="AW192" s="461">
        <f>AX192</f>
        <v/>
      </c>
      <c r="AX192" s="461" t="n"/>
      <c r="AY192" s="461">
        <f>AW192-AX192</f>
        <v/>
      </c>
      <c r="AZ192" s="461" t="inlineStr">
        <is>
          <t>按实</t>
        </is>
      </c>
      <c r="BA192" s="461">
        <f>BB192</f>
        <v/>
      </c>
      <c r="BB192" s="461" t="n"/>
      <c r="BC192" s="461">
        <f>BA192-BB192</f>
        <v/>
      </c>
      <c r="BD192" s="461" t="n">
        <v>0</v>
      </c>
      <c r="BE192" s="461">
        <f>K192*BD192</f>
        <v/>
      </c>
      <c r="BF192" s="461" t="n"/>
      <c r="BG192" s="461">
        <f>BE192-BF192</f>
        <v/>
      </c>
      <c r="BH192" s="461" t="n">
        <v>0</v>
      </c>
      <c r="BI192" s="461">
        <f>K192*BH192</f>
        <v/>
      </c>
      <c r="BJ192" s="461" t="n"/>
      <c r="BK192" s="461">
        <f>BI192-BJ192</f>
        <v/>
      </c>
      <c r="BL192" s="461" t="inlineStr">
        <is>
          <t>按实</t>
        </is>
      </c>
      <c r="BM192" s="220">
        <f>BN192</f>
        <v/>
      </c>
      <c r="BN192" s="220" t="n"/>
      <c r="BO192" s="220">
        <f>BM192-BN192</f>
        <v/>
      </c>
      <c r="BP192" s="220">
        <f>N192+Q192+U192+Y192+AC192+AG192+AK192+AO192+AS192+AW192+BA192+BE192+BI192+BM192</f>
        <v/>
      </c>
      <c r="BQ192" s="220">
        <f>N192+R192+V192+Z192+AD192+AH192+AL192+AP192+AT192+AX192+BB192+BF192+BJ192+BN192</f>
        <v/>
      </c>
      <c r="BR192" s="220">
        <f>BP192-BQ192</f>
        <v/>
      </c>
      <c r="BS192" s="229" t="inlineStr">
        <is>
          <t>/</t>
        </is>
      </c>
      <c r="BT192" s="229" t="inlineStr">
        <is>
          <t>/</t>
        </is>
      </c>
      <c r="BU192" s="230" t="inlineStr">
        <is>
          <t>1、甲方捐赠：项目反馈不收取，包含在服务费中；</t>
        </is>
      </c>
      <c r="BV192" s="230" t="inlineStr">
        <is>
          <t>1、签订期间：2026.3-7月；
2、指标按照全年换算；</t>
        </is>
      </c>
      <c r="BW192" s="534" t="n"/>
    </row>
    <row r="193" ht="24" customFormat="1" customHeight="1" s="209">
      <c r="A193" s="219" t="n">
        <v>226</v>
      </c>
      <c r="B193" s="220" t="inlineStr">
        <is>
          <t>KQCY0226</t>
        </is>
      </c>
      <c r="C193" s="221" t="inlineStr">
        <is>
          <t>餐饮三分部</t>
        </is>
      </c>
      <c r="D193" s="221" t="inlineStr">
        <is>
          <t>CF641</t>
        </is>
      </c>
      <c r="E193" s="221" t="inlineStr">
        <is>
          <t>中山大学北学二食堂</t>
        </is>
      </c>
      <c r="F193" s="219" t="inlineStr">
        <is>
          <t>分组作业</t>
        </is>
      </c>
      <c r="G193" s="222" t="inlineStr">
        <is>
          <t>徐敏娟</t>
        </is>
      </c>
      <c r="H193" s="222" t="inlineStr">
        <is>
          <t>第一班组</t>
        </is>
      </c>
      <c r="I193" s="232" t="inlineStr">
        <is>
          <t>早点（大众餐、粉面）</t>
        </is>
      </c>
      <c r="J193" s="503" t="inlineStr">
        <is>
          <t>蒲久龙</t>
        </is>
      </c>
      <c r="K193" s="545">
        <f>LET(k,D193&amp;"|"&amp;E193&amp;"|"&amp;H193&amp;"|"&amp;I193&amp;"|"&amp;J193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93" s="546" t="n"/>
      <c r="M193" s="224" t="n"/>
      <c r="N193" s="253" t="n">
        <v>4333.96</v>
      </c>
      <c r="O193" s="548" t="n">
        <v>2400000</v>
      </c>
      <c r="P193" s="247" t="n">
        <v>0.03</v>
      </c>
      <c r="Q193" s="461">
        <f>K193*P193</f>
        <v/>
      </c>
      <c r="R193" s="461" t="n">
        <v>0</v>
      </c>
      <c r="S193" s="461">
        <f>Q193-R193</f>
        <v/>
      </c>
      <c r="T193" s="247" t="n">
        <v>0.01</v>
      </c>
      <c r="U193" s="461">
        <f>K193*T193</f>
        <v/>
      </c>
      <c r="V193" s="461" t="n">
        <v>0</v>
      </c>
      <c r="W193" s="461">
        <f>U193-V193</f>
        <v/>
      </c>
      <c r="X193" s="247" t="n">
        <v>0.06</v>
      </c>
      <c r="Y193" s="461">
        <f>K193*X193</f>
        <v/>
      </c>
      <c r="Z193" s="461" t="n">
        <v>0</v>
      </c>
      <c r="AA193" s="461">
        <f>Y193-Z193</f>
        <v/>
      </c>
      <c r="AB193" s="247" t="n">
        <v>0.02</v>
      </c>
      <c r="AC193" s="461">
        <f>K193*AB193</f>
        <v/>
      </c>
      <c r="AD193" s="461" t="n">
        <v>0</v>
      </c>
      <c r="AE193" s="461">
        <f>AC193-AD193</f>
        <v/>
      </c>
      <c r="AF193" s="247" t="n">
        <v>0.03</v>
      </c>
      <c r="AG193" s="461">
        <f>K193*AF193</f>
        <v/>
      </c>
      <c r="AH193" s="461" t="n">
        <v>0</v>
      </c>
      <c r="AI193" s="461">
        <f>AG193-AH193</f>
        <v/>
      </c>
      <c r="AJ193" s="247" t="n">
        <v>0.01</v>
      </c>
      <c r="AK193" s="461">
        <f>K193*AJ193</f>
        <v/>
      </c>
      <c r="AL193" s="461" t="n">
        <v>0</v>
      </c>
      <c r="AM193" s="461">
        <f>AK193-AL193</f>
        <v/>
      </c>
      <c r="AN193" s="247" t="n">
        <v>0.01</v>
      </c>
      <c r="AO193" s="461">
        <f>K193*AN193</f>
        <v/>
      </c>
      <c r="AP193" s="461" t="n">
        <v>0</v>
      </c>
      <c r="AQ193" s="461">
        <f>AO193-AP193</f>
        <v/>
      </c>
      <c r="AR193" s="461" t="inlineStr">
        <is>
          <t>按实</t>
        </is>
      </c>
      <c r="AS193" s="461">
        <f>AT193</f>
        <v/>
      </c>
      <c r="AT193" s="461" t="n">
        <v>0</v>
      </c>
      <c r="AU193" s="461">
        <f>AS193-AT193</f>
        <v/>
      </c>
      <c r="AV193" s="461" t="inlineStr">
        <is>
          <t>按实</t>
        </is>
      </c>
      <c r="AW193" s="461">
        <f>AX193</f>
        <v/>
      </c>
      <c r="AX193" s="461" t="n">
        <v>0</v>
      </c>
      <c r="AY193" s="461">
        <f>AW193-AX193</f>
        <v/>
      </c>
      <c r="AZ193" s="461" t="inlineStr">
        <is>
          <t>按实</t>
        </is>
      </c>
      <c r="BA193" s="461">
        <f>BB193</f>
        <v/>
      </c>
      <c r="BB193" s="461" t="n">
        <v>0</v>
      </c>
      <c r="BC193" s="461">
        <f>BA193-BB193</f>
        <v/>
      </c>
      <c r="BD193" s="247" t="n">
        <v>0.002</v>
      </c>
      <c r="BE193" s="461">
        <f>K193*BD193</f>
        <v/>
      </c>
      <c r="BF193" s="461" t="n">
        <v>0</v>
      </c>
      <c r="BG193" s="461">
        <f>BE193-BF193</f>
        <v/>
      </c>
      <c r="BH193" s="461" t="n">
        <v>0</v>
      </c>
      <c r="BI193" s="461">
        <f>K193*BH193</f>
        <v/>
      </c>
      <c r="BJ193" s="461" t="n"/>
      <c r="BK193" s="461">
        <f>BI193-BJ193</f>
        <v/>
      </c>
      <c r="BL193" s="461" t="inlineStr">
        <is>
          <t>按实</t>
        </is>
      </c>
      <c r="BM193" s="220">
        <f>BN193</f>
        <v/>
      </c>
      <c r="BN193" s="220" t="n">
        <v>0</v>
      </c>
      <c r="BO193" s="220">
        <f>BM193-BN193</f>
        <v/>
      </c>
      <c r="BP193" s="220">
        <f>N193+Q193+U193+Y193+AC193+AG193+AK193+AO193+AS193+AW193+BA193+BE193+BI193+BM193</f>
        <v/>
      </c>
      <c r="BQ193" s="220">
        <f>N193+R193+V193+Z193+AD193+AH193+AL193+AP193+AT193+AX193+BB193+BF193+BJ193+BN193</f>
        <v/>
      </c>
      <c r="BR193" s="220">
        <f>BP193-BQ193</f>
        <v/>
      </c>
      <c r="BS193" s="229" t="inlineStr">
        <is>
          <t>/</t>
        </is>
      </c>
      <c r="BT193" s="229" t="inlineStr">
        <is>
          <t>/</t>
        </is>
      </c>
      <c r="BU193" s="230" t="inlineStr">
        <is>
          <t>1、甲方管理费：项目反馈不收取，包含在服务费中；</t>
        </is>
      </c>
      <c r="BV193" s="230" t="inlineStr">
        <is>
          <t>1、签订期间：2026.2-2027.2；
2、指标按照全年换算；</t>
        </is>
      </c>
      <c r="BW193" s="534" t="n"/>
    </row>
    <row r="194" ht="24" customFormat="1" customHeight="1" s="209">
      <c r="A194" s="219" t="n">
        <v>227</v>
      </c>
      <c r="B194" s="220" t="inlineStr">
        <is>
          <t>KQCY0227</t>
        </is>
      </c>
      <c r="C194" s="221" t="inlineStr">
        <is>
          <t>餐饮三分部</t>
        </is>
      </c>
      <c r="D194" s="221" t="inlineStr">
        <is>
          <t>CF641</t>
        </is>
      </c>
      <c r="E194" s="221" t="inlineStr">
        <is>
          <t>中山大学北学二食堂</t>
        </is>
      </c>
      <c r="F194" s="219" t="inlineStr">
        <is>
          <t>分组作业</t>
        </is>
      </c>
      <c r="G194" s="222" t="inlineStr">
        <is>
          <t>徐敏娟</t>
        </is>
      </c>
      <c r="H194" s="222" t="inlineStr">
        <is>
          <t>第二班组</t>
        </is>
      </c>
      <c r="I194" s="232" t="inlineStr">
        <is>
          <t>喜多多扒饭</t>
        </is>
      </c>
      <c r="J194" s="503" t="inlineStr">
        <is>
          <t>郝晓敏</t>
        </is>
      </c>
      <c r="K194" s="545">
        <f>LET(k,D194&amp;"|"&amp;E194&amp;"|"&amp;H194&amp;"|"&amp;I194&amp;"|"&amp;J194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94" s="546" t="n"/>
      <c r="M194" s="224" t="n"/>
      <c r="N194" s="253" t="n"/>
      <c r="O194" s="548" t="n">
        <v>640000</v>
      </c>
      <c r="P194" s="247" t="n">
        <v>0.03</v>
      </c>
      <c r="Q194" s="461">
        <f>K194*P194</f>
        <v/>
      </c>
      <c r="R194" s="461" t="n"/>
      <c r="S194" s="461">
        <f>Q194-R194</f>
        <v/>
      </c>
      <c r="T194" s="247" t="n">
        <v>0.01</v>
      </c>
      <c r="U194" s="461">
        <f>K194*T194</f>
        <v/>
      </c>
      <c r="V194" s="461" t="n"/>
      <c r="W194" s="461">
        <f>U194-V194</f>
        <v/>
      </c>
      <c r="X194" s="247" t="n">
        <v>0.06</v>
      </c>
      <c r="Y194" s="461">
        <f>K194*X194</f>
        <v/>
      </c>
      <c r="Z194" s="461" t="n"/>
      <c r="AA194" s="461">
        <f>Y194-Z194</f>
        <v/>
      </c>
      <c r="AB194" s="247" t="n">
        <v>0.02</v>
      </c>
      <c r="AC194" s="461">
        <f>K194*AB194</f>
        <v/>
      </c>
      <c r="AD194" s="461" t="n"/>
      <c r="AE194" s="461">
        <f>AC194-AD194</f>
        <v/>
      </c>
      <c r="AF194" s="247" t="n">
        <v>0.03</v>
      </c>
      <c r="AG194" s="461">
        <f>K194*AF194</f>
        <v/>
      </c>
      <c r="AH194" s="461" t="n"/>
      <c r="AI194" s="461">
        <f>AG194-AH194</f>
        <v/>
      </c>
      <c r="AJ194" s="247" t="n">
        <v>0.01</v>
      </c>
      <c r="AK194" s="461">
        <f>K194*AJ194</f>
        <v/>
      </c>
      <c r="AL194" s="461" t="n"/>
      <c r="AM194" s="461">
        <f>AK194-AL194</f>
        <v/>
      </c>
      <c r="AN194" s="247" t="n">
        <v>0.01</v>
      </c>
      <c r="AO194" s="461">
        <f>K194*AN194</f>
        <v/>
      </c>
      <c r="AP194" s="461" t="n"/>
      <c r="AQ194" s="461">
        <f>AO194-AP194</f>
        <v/>
      </c>
      <c r="AR194" s="461" t="inlineStr">
        <is>
          <t>按实</t>
        </is>
      </c>
      <c r="AS194" s="461">
        <f>AT194</f>
        <v/>
      </c>
      <c r="AT194" s="461" t="n"/>
      <c r="AU194" s="461">
        <f>AS194-AT194</f>
        <v/>
      </c>
      <c r="AV194" s="461" t="inlineStr">
        <is>
          <t>按实</t>
        </is>
      </c>
      <c r="AW194" s="461">
        <f>AX194</f>
        <v/>
      </c>
      <c r="AX194" s="461" t="n"/>
      <c r="AY194" s="461">
        <f>AW194-AX194</f>
        <v/>
      </c>
      <c r="AZ194" s="461" t="inlineStr">
        <is>
          <t>按实</t>
        </is>
      </c>
      <c r="BA194" s="461">
        <f>BB194</f>
        <v/>
      </c>
      <c r="BB194" s="461" t="n"/>
      <c r="BC194" s="461">
        <f>BA194-BB194</f>
        <v/>
      </c>
      <c r="BD194" s="247" t="n">
        <v>0.002</v>
      </c>
      <c r="BE194" s="461">
        <f>K194*BD194</f>
        <v/>
      </c>
      <c r="BF194" s="461" t="n"/>
      <c r="BG194" s="461">
        <f>BE194-BF194</f>
        <v/>
      </c>
      <c r="BH194" s="461" t="n">
        <v>0</v>
      </c>
      <c r="BI194" s="461">
        <f>K194*BH194</f>
        <v/>
      </c>
      <c r="BJ194" s="461" t="n"/>
      <c r="BK194" s="461">
        <f>BI194-BJ194</f>
        <v/>
      </c>
      <c r="BL194" s="461" t="inlineStr">
        <is>
          <t>按实</t>
        </is>
      </c>
      <c r="BM194" s="220">
        <f>BN194</f>
        <v/>
      </c>
      <c r="BN194" s="220" t="n"/>
      <c r="BO194" s="220">
        <f>BM194-BN194</f>
        <v/>
      </c>
      <c r="BP194" s="220">
        <f>N194+Q194+U194+Y194+AC194+AG194+AK194+AO194+AS194+AW194+BA194+BE194+BI194+BM194</f>
        <v/>
      </c>
      <c r="BQ194" s="220">
        <f>N194+R194+V194+Z194+AD194+AH194+AL194+AP194+AT194+AX194+BB194+BF194+BJ194+BN194</f>
        <v/>
      </c>
      <c r="BR194" s="220">
        <f>BP194-BQ194</f>
        <v/>
      </c>
      <c r="BS194" s="229" t="inlineStr">
        <is>
          <t>/</t>
        </is>
      </c>
      <c r="BT194" s="229" t="inlineStr">
        <is>
          <t>/</t>
        </is>
      </c>
      <c r="BU194" s="230" t="inlineStr">
        <is>
          <t>1、甲方管理费：项目反馈不收取，包含在服务费中；</t>
        </is>
      </c>
      <c r="BV194" s="230" t="inlineStr">
        <is>
          <t>1、签订期间：2026.2-2027.2；
2、指标按照全年换算；</t>
        </is>
      </c>
      <c r="BW194" s="534" t="n"/>
    </row>
    <row r="195" ht="24" customFormat="1" customHeight="1" s="209">
      <c r="A195" s="219" t="n">
        <v>228</v>
      </c>
      <c r="B195" s="220" t="inlineStr">
        <is>
          <t>KQCY0228</t>
        </is>
      </c>
      <c r="C195" s="221" t="inlineStr">
        <is>
          <t>餐饮三分部</t>
        </is>
      </c>
      <c r="D195" s="221" t="inlineStr">
        <is>
          <t>CF641</t>
        </is>
      </c>
      <c r="E195" s="221" t="inlineStr">
        <is>
          <t>中山大学北学二食堂</t>
        </is>
      </c>
      <c r="F195" s="219" t="inlineStr">
        <is>
          <t>分组作业</t>
        </is>
      </c>
      <c r="G195" s="222" t="inlineStr">
        <is>
          <t>徐敏娟</t>
        </is>
      </c>
      <c r="H195" s="222" t="inlineStr">
        <is>
          <t>第三班组</t>
        </is>
      </c>
      <c r="I195" s="232" t="inlineStr">
        <is>
          <t>香锅（麻辣烫）</t>
        </is>
      </c>
      <c r="J195" s="503" t="inlineStr">
        <is>
          <t>魏国义</t>
        </is>
      </c>
      <c r="K195" s="545">
        <f>LET(k,D195&amp;"|"&amp;E195&amp;"|"&amp;H195&amp;"|"&amp;I195&amp;"|"&amp;J195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95" s="546" t="n"/>
      <c r="M195" s="224" t="n"/>
      <c r="N195" s="253" t="n"/>
      <c r="O195" s="548" t="n">
        <v>640000</v>
      </c>
      <c r="P195" s="247" t="n">
        <v>0.03</v>
      </c>
      <c r="Q195" s="461">
        <f>K195*P195</f>
        <v/>
      </c>
      <c r="R195" s="461" t="n"/>
      <c r="S195" s="461">
        <f>Q195-R195</f>
        <v/>
      </c>
      <c r="T195" s="247" t="n">
        <v>0.01</v>
      </c>
      <c r="U195" s="461">
        <f>K195*T195</f>
        <v/>
      </c>
      <c r="V195" s="461" t="n"/>
      <c r="W195" s="461">
        <f>U195-V195</f>
        <v/>
      </c>
      <c r="X195" s="247" t="n">
        <v>0.06</v>
      </c>
      <c r="Y195" s="461">
        <f>K195*X195</f>
        <v/>
      </c>
      <c r="Z195" s="461" t="n"/>
      <c r="AA195" s="461">
        <f>Y195-Z195</f>
        <v/>
      </c>
      <c r="AB195" s="247" t="n">
        <v>0.02</v>
      </c>
      <c r="AC195" s="461">
        <f>K195*AB195</f>
        <v/>
      </c>
      <c r="AD195" s="461" t="n"/>
      <c r="AE195" s="461">
        <f>AC195-AD195</f>
        <v/>
      </c>
      <c r="AF195" s="247" t="n">
        <v>0.03</v>
      </c>
      <c r="AG195" s="461">
        <f>K195*AF195</f>
        <v/>
      </c>
      <c r="AH195" s="461" t="n"/>
      <c r="AI195" s="461">
        <f>AG195-AH195</f>
        <v/>
      </c>
      <c r="AJ195" s="247" t="n">
        <v>0.01</v>
      </c>
      <c r="AK195" s="461">
        <f>K195*AJ195</f>
        <v/>
      </c>
      <c r="AL195" s="461" t="n"/>
      <c r="AM195" s="461">
        <f>AK195-AL195</f>
        <v/>
      </c>
      <c r="AN195" s="247" t="n">
        <v>0.01</v>
      </c>
      <c r="AO195" s="461">
        <f>K195*AN195</f>
        <v/>
      </c>
      <c r="AP195" s="461" t="n"/>
      <c r="AQ195" s="461">
        <f>AO195-AP195</f>
        <v/>
      </c>
      <c r="AR195" s="461" t="inlineStr">
        <is>
          <t>按实</t>
        </is>
      </c>
      <c r="AS195" s="461">
        <f>AT195</f>
        <v/>
      </c>
      <c r="AT195" s="461" t="n"/>
      <c r="AU195" s="461">
        <f>AS195-AT195</f>
        <v/>
      </c>
      <c r="AV195" s="461" t="inlineStr">
        <is>
          <t>按实</t>
        </is>
      </c>
      <c r="AW195" s="461">
        <f>AX195</f>
        <v/>
      </c>
      <c r="AX195" s="461" t="n"/>
      <c r="AY195" s="461">
        <f>AW195-AX195</f>
        <v/>
      </c>
      <c r="AZ195" s="461" t="inlineStr">
        <is>
          <t>按实</t>
        </is>
      </c>
      <c r="BA195" s="461">
        <f>BB195</f>
        <v/>
      </c>
      <c r="BB195" s="461" t="n"/>
      <c r="BC195" s="461">
        <f>BA195-BB195</f>
        <v/>
      </c>
      <c r="BD195" s="247" t="n">
        <v>0.002</v>
      </c>
      <c r="BE195" s="461">
        <f>K195*BD195</f>
        <v/>
      </c>
      <c r="BF195" s="461" t="n"/>
      <c r="BG195" s="461">
        <f>BE195-BF195</f>
        <v/>
      </c>
      <c r="BH195" s="461" t="n">
        <v>0</v>
      </c>
      <c r="BI195" s="461">
        <f>K195*BH195</f>
        <v/>
      </c>
      <c r="BJ195" s="461" t="n"/>
      <c r="BK195" s="461">
        <f>BI195-BJ195</f>
        <v/>
      </c>
      <c r="BL195" s="461" t="inlineStr">
        <is>
          <t>按实</t>
        </is>
      </c>
      <c r="BM195" s="220">
        <f>BN195</f>
        <v/>
      </c>
      <c r="BN195" s="220" t="n"/>
      <c r="BO195" s="220">
        <f>BM195-BN195</f>
        <v/>
      </c>
      <c r="BP195" s="220">
        <f>N195+Q195+U195+Y195+AC195+AG195+AK195+AO195+AS195+AW195+BA195+BE195+BI195+BM195</f>
        <v/>
      </c>
      <c r="BQ195" s="220">
        <f>N195+R195+V195+Z195+AD195+AH195+AL195+AP195+AT195+AX195+BB195+BF195+BJ195+BN195</f>
        <v/>
      </c>
      <c r="BR195" s="220">
        <f>BP195-BQ195</f>
        <v/>
      </c>
      <c r="BS195" s="229" t="inlineStr">
        <is>
          <t>/</t>
        </is>
      </c>
      <c r="BT195" s="229" t="inlineStr">
        <is>
          <t>/</t>
        </is>
      </c>
      <c r="BU195" s="230" t="inlineStr">
        <is>
          <t>1、甲方管理费：项目反馈不收取，包含在服务费中；</t>
        </is>
      </c>
      <c r="BV195" s="230" t="inlineStr">
        <is>
          <t>1、签订期间：2026.2-2027.2；
2、指标按照全年换算；</t>
        </is>
      </c>
      <c r="BW195" s="534" t="n"/>
    </row>
    <row r="196" ht="24" customFormat="1" customHeight="1" s="209">
      <c r="A196" s="219" t="n">
        <v>229</v>
      </c>
      <c r="B196" s="220" t="inlineStr">
        <is>
          <t>KQCY0229</t>
        </is>
      </c>
      <c r="C196" s="221" t="inlineStr">
        <is>
          <t>餐饮三分部</t>
        </is>
      </c>
      <c r="D196" s="221" t="inlineStr">
        <is>
          <t>CF641</t>
        </is>
      </c>
      <c r="E196" s="221" t="inlineStr">
        <is>
          <t>中山大学北学二食堂</t>
        </is>
      </c>
      <c r="F196" s="219" t="inlineStr">
        <is>
          <t>分组作业</t>
        </is>
      </c>
      <c r="G196" s="222" t="inlineStr">
        <is>
          <t>徐敏娟</t>
        </is>
      </c>
      <c r="H196" s="222" t="inlineStr">
        <is>
          <t>第四班组</t>
        </is>
      </c>
      <c r="I196" s="232" t="inlineStr">
        <is>
          <t>面条（螺蛳粉）</t>
        </is>
      </c>
      <c r="J196" s="503" t="inlineStr">
        <is>
          <t>张玉雷</t>
        </is>
      </c>
      <c r="K196" s="545">
        <f>LET(k,D196&amp;"|"&amp;E196&amp;"|"&amp;H196&amp;"|"&amp;I196&amp;"|"&amp;J196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96" s="546" t="n"/>
      <c r="M196" s="224" t="n"/>
      <c r="N196" s="253" t="n"/>
      <c r="O196" s="548" t="n">
        <v>640000</v>
      </c>
      <c r="P196" s="247" t="n">
        <v>0.03</v>
      </c>
      <c r="Q196" s="461">
        <f>K196*P196</f>
        <v/>
      </c>
      <c r="R196" s="461" t="n"/>
      <c r="S196" s="461">
        <f>Q196-R196</f>
        <v/>
      </c>
      <c r="T196" s="247" t="n">
        <v>0.01</v>
      </c>
      <c r="U196" s="461">
        <f>K196*T196</f>
        <v/>
      </c>
      <c r="V196" s="461" t="n"/>
      <c r="W196" s="461">
        <f>U196-V196</f>
        <v/>
      </c>
      <c r="X196" s="247" t="n">
        <v>0.06</v>
      </c>
      <c r="Y196" s="461">
        <f>K196*X196</f>
        <v/>
      </c>
      <c r="Z196" s="461" t="n"/>
      <c r="AA196" s="461">
        <f>Y196-Z196</f>
        <v/>
      </c>
      <c r="AB196" s="247" t="n">
        <v>0.02</v>
      </c>
      <c r="AC196" s="461">
        <f>K196*AB196</f>
        <v/>
      </c>
      <c r="AD196" s="461" t="n"/>
      <c r="AE196" s="461">
        <f>AC196-AD196</f>
        <v/>
      </c>
      <c r="AF196" s="247" t="n">
        <v>0.03</v>
      </c>
      <c r="AG196" s="461">
        <f>K196*AF196</f>
        <v/>
      </c>
      <c r="AH196" s="461" t="n"/>
      <c r="AI196" s="461">
        <f>AG196-AH196</f>
        <v/>
      </c>
      <c r="AJ196" s="247" t="n">
        <v>0.01</v>
      </c>
      <c r="AK196" s="461">
        <f>K196*AJ196</f>
        <v/>
      </c>
      <c r="AL196" s="461" t="n"/>
      <c r="AM196" s="461">
        <f>AK196-AL196</f>
        <v/>
      </c>
      <c r="AN196" s="247" t="n">
        <v>0.01</v>
      </c>
      <c r="AO196" s="461">
        <f>K196*AN196</f>
        <v/>
      </c>
      <c r="AP196" s="461" t="n"/>
      <c r="AQ196" s="461">
        <f>AO196-AP196</f>
        <v/>
      </c>
      <c r="AR196" s="461" t="inlineStr">
        <is>
          <t>按实</t>
        </is>
      </c>
      <c r="AS196" s="461">
        <f>AT196</f>
        <v/>
      </c>
      <c r="AT196" s="461" t="n"/>
      <c r="AU196" s="461">
        <f>AS196-AT196</f>
        <v/>
      </c>
      <c r="AV196" s="461" t="inlineStr">
        <is>
          <t>按实</t>
        </is>
      </c>
      <c r="AW196" s="461">
        <f>AX196</f>
        <v/>
      </c>
      <c r="AX196" s="461" t="n"/>
      <c r="AY196" s="461">
        <f>AW196-AX196</f>
        <v/>
      </c>
      <c r="AZ196" s="461" t="inlineStr">
        <is>
          <t>按实</t>
        </is>
      </c>
      <c r="BA196" s="461">
        <f>BB196</f>
        <v/>
      </c>
      <c r="BB196" s="461" t="n"/>
      <c r="BC196" s="461">
        <f>BA196-BB196</f>
        <v/>
      </c>
      <c r="BD196" s="247" t="n">
        <v>0.002</v>
      </c>
      <c r="BE196" s="461">
        <f>K196*BD196</f>
        <v/>
      </c>
      <c r="BF196" s="461" t="n"/>
      <c r="BG196" s="461">
        <f>BE196-BF196</f>
        <v/>
      </c>
      <c r="BH196" s="461" t="n">
        <v>0</v>
      </c>
      <c r="BI196" s="461">
        <f>K196*BH196</f>
        <v/>
      </c>
      <c r="BJ196" s="461" t="n"/>
      <c r="BK196" s="461">
        <f>BI196-BJ196</f>
        <v/>
      </c>
      <c r="BL196" s="461" t="inlineStr">
        <is>
          <t>按实</t>
        </is>
      </c>
      <c r="BM196" s="220">
        <f>BN196</f>
        <v/>
      </c>
      <c r="BN196" s="220" t="n"/>
      <c r="BO196" s="220">
        <f>BM196-BN196</f>
        <v/>
      </c>
      <c r="BP196" s="220">
        <f>N196+Q196+U196+Y196+AC196+AG196+AK196+AO196+AS196+AW196+BA196+BE196+BI196+BM196</f>
        <v/>
      </c>
      <c r="BQ196" s="220">
        <f>N196+R196+V196+Z196+AD196+AH196+AL196+AP196+AT196+AX196+BB196+BF196+BJ196+BN196</f>
        <v/>
      </c>
      <c r="BR196" s="220">
        <f>BP196-BQ196</f>
        <v/>
      </c>
      <c r="BS196" s="229" t="inlineStr">
        <is>
          <t>/</t>
        </is>
      </c>
      <c r="BT196" s="229" t="inlineStr">
        <is>
          <t>/</t>
        </is>
      </c>
      <c r="BU196" s="230" t="inlineStr">
        <is>
          <t>1、甲方管理费：项目反馈不收取，包含在服务费中；</t>
        </is>
      </c>
      <c r="BV196" s="230" t="inlineStr">
        <is>
          <t>1、签订期间：2026.2-2027.2；
2、指标按照全年换算；</t>
        </is>
      </c>
      <c r="BW196" s="534" t="n"/>
    </row>
    <row r="197" ht="24" customFormat="1" customHeight="1" s="209">
      <c r="A197" s="219" t="n">
        <v>230</v>
      </c>
      <c r="B197" s="220" t="inlineStr">
        <is>
          <t>KQCY0230</t>
        </is>
      </c>
      <c r="C197" s="221" t="inlineStr">
        <is>
          <t>餐饮三分部</t>
        </is>
      </c>
      <c r="D197" s="221" t="inlineStr">
        <is>
          <t>CF641</t>
        </is>
      </c>
      <c r="E197" s="221" t="inlineStr">
        <is>
          <t>中山大学北学二食堂</t>
        </is>
      </c>
      <c r="F197" s="219" t="inlineStr">
        <is>
          <t>分组作业</t>
        </is>
      </c>
      <c r="G197" s="222" t="inlineStr">
        <is>
          <t>徐敏娟</t>
        </is>
      </c>
      <c r="H197" s="222" t="inlineStr">
        <is>
          <t>第五班组</t>
        </is>
      </c>
      <c r="I197" s="232" t="inlineStr">
        <is>
          <t>牛肉饭（烤肉拌饭）</t>
        </is>
      </c>
      <c r="J197" s="503" t="inlineStr">
        <is>
          <t>张磊</t>
        </is>
      </c>
      <c r="K197" s="545">
        <f>LET(k,D197&amp;"|"&amp;E197&amp;"|"&amp;H197&amp;"|"&amp;I197&amp;"|"&amp;J197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97" s="546" t="n"/>
      <c r="M197" s="224" t="n"/>
      <c r="N197" s="253" t="n"/>
      <c r="O197" s="548" t="n">
        <v>640000</v>
      </c>
      <c r="P197" s="247" t="n">
        <v>0.03</v>
      </c>
      <c r="Q197" s="461">
        <f>K197*P197</f>
        <v/>
      </c>
      <c r="R197" s="461" t="n"/>
      <c r="S197" s="461">
        <f>Q197-R197</f>
        <v/>
      </c>
      <c r="T197" s="247" t="n">
        <v>0.01</v>
      </c>
      <c r="U197" s="461">
        <f>K197*T197</f>
        <v/>
      </c>
      <c r="V197" s="461" t="n"/>
      <c r="W197" s="461">
        <f>U197-V197</f>
        <v/>
      </c>
      <c r="X197" s="247" t="n">
        <v>0.06</v>
      </c>
      <c r="Y197" s="461">
        <f>K197*X197</f>
        <v/>
      </c>
      <c r="Z197" s="461" t="n"/>
      <c r="AA197" s="461">
        <f>Y197-Z197</f>
        <v/>
      </c>
      <c r="AB197" s="247" t="n">
        <v>0.02</v>
      </c>
      <c r="AC197" s="461">
        <f>K197*AB197</f>
        <v/>
      </c>
      <c r="AD197" s="461" t="n"/>
      <c r="AE197" s="461">
        <f>AC197-AD197</f>
        <v/>
      </c>
      <c r="AF197" s="247" t="n">
        <v>0.03</v>
      </c>
      <c r="AG197" s="461">
        <f>K197*AF197</f>
        <v/>
      </c>
      <c r="AH197" s="461" t="n"/>
      <c r="AI197" s="461">
        <f>AG197-AH197</f>
        <v/>
      </c>
      <c r="AJ197" s="247" t="n">
        <v>0.01</v>
      </c>
      <c r="AK197" s="461">
        <f>K197*AJ197</f>
        <v/>
      </c>
      <c r="AL197" s="461" t="n"/>
      <c r="AM197" s="461">
        <f>AK197-AL197</f>
        <v/>
      </c>
      <c r="AN197" s="247" t="n">
        <v>0.01</v>
      </c>
      <c r="AO197" s="461">
        <f>K197*AN197</f>
        <v/>
      </c>
      <c r="AP197" s="461" t="n"/>
      <c r="AQ197" s="461">
        <f>AO197-AP197</f>
        <v/>
      </c>
      <c r="AR197" s="461" t="inlineStr">
        <is>
          <t>按实</t>
        </is>
      </c>
      <c r="AS197" s="461">
        <f>AT197</f>
        <v/>
      </c>
      <c r="AT197" s="461" t="n"/>
      <c r="AU197" s="461">
        <f>AS197-AT197</f>
        <v/>
      </c>
      <c r="AV197" s="461" t="inlineStr">
        <is>
          <t>按实</t>
        </is>
      </c>
      <c r="AW197" s="461">
        <f>AX197</f>
        <v/>
      </c>
      <c r="AX197" s="461" t="n"/>
      <c r="AY197" s="461">
        <f>AW197-AX197</f>
        <v/>
      </c>
      <c r="AZ197" s="461" t="inlineStr">
        <is>
          <t>按实</t>
        </is>
      </c>
      <c r="BA197" s="461">
        <f>BB197</f>
        <v/>
      </c>
      <c r="BB197" s="461" t="n"/>
      <c r="BC197" s="461">
        <f>BA197-BB197</f>
        <v/>
      </c>
      <c r="BD197" s="247" t="n">
        <v>0.002</v>
      </c>
      <c r="BE197" s="461">
        <f>K197*BD197</f>
        <v/>
      </c>
      <c r="BF197" s="461" t="n"/>
      <c r="BG197" s="461">
        <f>BE197-BF197</f>
        <v/>
      </c>
      <c r="BH197" s="461" t="n">
        <v>0</v>
      </c>
      <c r="BI197" s="461">
        <f>K197*BH197</f>
        <v/>
      </c>
      <c r="BJ197" s="461" t="n"/>
      <c r="BK197" s="461">
        <f>BI197-BJ197</f>
        <v/>
      </c>
      <c r="BL197" s="461" t="inlineStr">
        <is>
          <t>按实</t>
        </is>
      </c>
      <c r="BM197" s="220">
        <f>BN197</f>
        <v/>
      </c>
      <c r="BN197" s="220" t="n"/>
      <c r="BO197" s="220">
        <f>BM197-BN197</f>
        <v/>
      </c>
      <c r="BP197" s="220">
        <f>N197+Q197+U197+Y197+AC197+AG197+AK197+AO197+AS197+AW197+BA197+BE197+BI197+BM197</f>
        <v/>
      </c>
      <c r="BQ197" s="220">
        <f>N197+R197+V197+Z197+AD197+AH197+AL197+AP197+AT197+AX197+BB197+BF197+BJ197+BN197</f>
        <v/>
      </c>
      <c r="BR197" s="220">
        <f>BP197-BQ197</f>
        <v/>
      </c>
      <c r="BS197" s="229" t="inlineStr">
        <is>
          <t>/</t>
        </is>
      </c>
      <c r="BT197" s="229" t="inlineStr">
        <is>
          <t>/</t>
        </is>
      </c>
      <c r="BU197" s="230" t="inlineStr">
        <is>
          <t>1、甲方管理费：项目反馈不收取，包含在服务费中；</t>
        </is>
      </c>
      <c r="BV197" s="230" t="inlineStr">
        <is>
          <t>1、签订期间：2026.2-2026.7；
2、指标按照全年换算；</t>
        </is>
      </c>
      <c r="BW197" s="534" t="n"/>
    </row>
    <row r="198" ht="60" customFormat="1" customHeight="1" s="209">
      <c r="A198" s="219" t="n">
        <v>232</v>
      </c>
      <c r="B198" s="220" t="inlineStr">
        <is>
          <t>KQCY0232</t>
        </is>
      </c>
      <c r="C198" s="221" t="inlineStr">
        <is>
          <t>餐饮三分部</t>
        </is>
      </c>
      <c r="D198" s="221" t="inlineStr">
        <is>
          <t>CF640</t>
        </is>
      </c>
      <c r="E198" s="221" t="inlineStr">
        <is>
          <t>广东财大雅食园食堂</t>
        </is>
      </c>
      <c r="F198" s="219" t="inlineStr">
        <is>
          <t>分组作业</t>
        </is>
      </c>
      <c r="G198" s="222" t="inlineStr">
        <is>
          <t>徐敏娟</t>
        </is>
      </c>
      <c r="H198" s="222" t="inlineStr">
        <is>
          <t>第一班组</t>
        </is>
      </c>
      <c r="I198" s="232" t="inlineStr">
        <is>
          <t>早点(大众餐)</t>
        </is>
      </c>
      <c r="J198" s="503" t="inlineStr">
        <is>
          <t>黄国青</t>
        </is>
      </c>
      <c r="K198" s="545">
        <f>LET(k,D198&amp;"|"&amp;E198&amp;"|"&amp;H198&amp;"|"&amp;I198&amp;"|"&amp;J198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98" s="546" t="n"/>
      <c r="M198" s="224" t="n"/>
      <c r="N198" s="253" t="n">
        <v>0</v>
      </c>
      <c r="O198" s="548" t="n">
        <v>1200000</v>
      </c>
      <c r="P198" s="235" t="n">
        <v>0</v>
      </c>
      <c r="Q198" s="461">
        <f>K198*P198</f>
        <v/>
      </c>
      <c r="R198" s="461" t="n"/>
      <c r="S198" s="461">
        <f>Q198-R198</f>
        <v/>
      </c>
      <c r="T198" s="235" t="n">
        <v>0</v>
      </c>
      <c r="U198" s="461">
        <f>K198*T198</f>
        <v/>
      </c>
      <c r="V198" s="461" t="n"/>
      <c r="W198" s="461">
        <f>U198-V198</f>
        <v/>
      </c>
      <c r="X198" s="235" t="n">
        <v>0</v>
      </c>
      <c r="Y198" s="461">
        <f>K198*X198</f>
        <v/>
      </c>
      <c r="Z198" s="461" t="n"/>
      <c r="AA198" s="461">
        <f>Y198-Z198</f>
        <v/>
      </c>
      <c r="AB198" s="235" t="n">
        <v>0</v>
      </c>
      <c r="AC198" s="461">
        <f>K198*AB198</f>
        <v/>
      </c>
      <c r="AD198" s="461" t="n"/>
      <c r="AE198" s="461">
        <f>AC198-AD198</f>
        <v/>
      </c>
      <c r="AF198" s="235" t="n">
        <v>0</v>
      </c>
      <c r="AG198" s="461">
        <f>K198*AF198</f>
        <v/>
      </c>
      <c r="AH198" s="461" t="n"/>
      <c r="AI198" s="461">
        <f>AG198-AH198</f>
        <v/>
      </c>
      <c r="AJ198" s="235" t="n">
        <v>0</v>
      </c>
      <c r="AK198" s="461">
        <f>K198*AJ198</f>
        <v/>
      </c>
      <c r="AL198" s="461" t="n"/>
      <c r="AM198" s="461">
        <f>AK198-AL198</f>
        <v/>
      </c>
      <c r="AN198" s="235" t="n">
        <v>0</v>
      </c>
      <c r="AO198" s="461">
        <f>K198*AN198</f>
        <v/>
      </c>
      <c r="AP198" s="461" t="n"/>
      <c r="AQ198" s="461">
        <f>AO198-AP198</f>
        <v/>
      </c>
      <c r="AR198" s="461" t="inlineStr">
        <is>
          <t>按实结算</t>
        </is>
      </c>
      <c r="AS198" s="461">
        <f>AT198</f>
        <v/>
      </c>
      <c r="AT198" s="461" t="n"/>
      <c r="AU198" s="461">
        <f>AS198-AT198</f>
        <v/>
      </c>
      <c r="AV198" s="461" t="inlineStr">
        <is>
          <t>按实结算</t>
        </is>
      </c>
      <c r="AW198" s="461">
        <f>AX198</f>
        <v/>
      </c>
      <c r="AX198" s="461" t="n"/>
      <c r="AY198" s="461">
        <f>AW198-AX198</f>
        <v/>
      </c>
      <c r="AZ198" s="461" t="inlineStr">
        <is>
          <t>按实</t>
        </is>
      </c>
      <c r="BA198" s="461">
        <f>BB198</f>
        <v/>
      </c>
      <c r="BB198" s="461" t="n"/>
      <c r="BC198" s="461">
        <f>BA198-BB198</f>
        <v/>
      </c>
      <c r="BD198" s="461" t="inlineStr">
        <is>
          <t>10万/年，2月不收取，其他月份收取1万</t>
        </is>
      </c>
      <c r="BE198" s="461" t="n">
        <v>0</v>
      </c>
      <c r="BF198" s="461" t="n"/>
      <c r="BG198" s="461">
        <f>BE198-BF198</f>
        <v/>
      </c>
      <c r="BH198" s="461" t="n">
        <v>0</v>
      </c>
      <c r="BI198" s="461">
        <f>K198*BH198</f>
        <v/>
      </c>
      <c r="BJ198" s="461" t="n"/>
      <c r="BK198" s="461">
        <f>BI198-BJ198</f>
        <v/>
      </c>
      <c r="BL198" s="461" t="inlineStr">
        <is>
          <t>按实</t>
        </is>
      </c>
      <c r="BM198" s="220">
        <f>BN198</f>
        <v/>
      </c>
      <c r="BN198" s="220" t="n"/>
      <c r="BO198" s="220">
        <f>BM198-BN198</f>
        <v/>
      </c>
      <c r="BP198" s="220">
        <f>N198+Q198+U198+Y198+AC198+AG198+AK198+AO198+AS198+AW198+BA198+BE198+BI198+BM198</f>
        <v/>
      </c>
      <c r="BQ198" s="220">
        <f>N198+R198+V198+Z198+AD198+AH198+AL198+AP198+AT198+AX198+BB198+BF198+BJ198+BN198</f>
        <v/>
      </c>
      <c r="BR198" s="220">
        <f>BP198-BQ198</f>
        <v/>
      </c>
      <c r="BS198" s="220" t="inlineStr">
        <is>
          <t>/</t>
        </is>
      </c>
      <c r="BT198" s="229" t="inlineStr">
        <is>
          <t>/</t>
        </is>
      </c>
      <c r="BU198" s="230" t="inlineStr">
        <is>
          <t>1、服务费：1、3-7；9-12月收取服务费，每月10000；
2、装修折旧费：项目反馈不收取，包含在服务费中；
3、管理人员费：项目反馈不收取，包含在服务费中；
4、资产费：项目反馈不收取，包含在服务费中；
5、甲方服务费：项目反馈不收取，包含在服务费中；</t>
        </is>
      </c>
      <c r="BV198" s="230" t="inlineStr">
        <is>
          <t>1、签订期间：2026.2-2026.7；
2、指标按照全年换算；
3、管理费10000元/月</t>
        </is>
      </c>
      <c r="BW198" s="534" t="n"/>
    </row>
    <row r="199" ht="84" customFormat="1" customHeight="1" s="209">
      <c r="A199" s="219" t="n">
        <v>234</v>
      </c>
      <c r="B199" s="220" t="inlineStr">
        <is>
          <t>KQCY0234</t>
        </is>
      </c>
      <c r="C199" s="221" t="inlineStr">
        <is>
          <t>餐饮三分部</t>
        </is>
      </c>
      <c r="D199" s="221" t="inlineStr">
        <is>
          <t>CF781</t>
        </is>
      </c>
      <c r="E199" s="221" t="inlineStr">
        <is>
          <t>苏食院第一学生食堂</t>
        </is>
      </c>
      <c r="F199" s="219" t="inlineStr">
        <is>
          <t>分组作业</t>
        </is>
      </c>
      <c r="G199" s="222" t="inlineStr">
        <is>
          <t>徐敏娟</t>
        </is>
      </c>
      <c r="H199" s="503" t="inlineStr">
        <is>
          <t>/</t>
        </is>
      </c>
      <c r="I199" s="232" t="inlineStr">
        <is>
          <t>兰州拉面</t>
        </is>
      </c>
      <c r="J199" s="503" t="inlineStr">
        <is>
          <t>马金明</t>
        </is>
      </c>
      <c r="K199" s="545">
        <f>LET(k,D199&amp;"|"&amp;E199&amp;"|"&amp;H199&amp;"|"&amp;I199&amp;"|"&amp;J199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199" s="546" t="n"/>
      <c r="M199" s="224" t="n"/>
      <c r="N199" s="253" t="n"/>
      <c r="O199" s="548" t="n">
        <v>0</v>
      </c>
      <c r="P199" s="552" t="n">
        <v>0.23</v>
      </c>
      <c r="Q199" s="461">
        <f>K199*P199</f>
        <v/>
      </c>
      <c r="R199" s="281" t="n">
        <v>29202.5013</v>
      </c>
      <c r="S199" s="461">
        <f>Q199-R199</f>
        <v/>
      </c>
      <c r="T199" s="235" t="n">
        <v>0</v>
      </c>
      <c r="U199" s="461">
        <f>K199*T199</f>
        <v/>
      </c>
      <c r="V199" s="461" t="n"/>
      <c r="W199" s="461">
        <f>U199-V199</f>
        <v/>
      </c>
      <c r="X199" s="235" t="n">
        <v>0</v>
      </c>
      <c r="Y199" s="461">
        <f>K199*X199</f>
        <v/>
      </c>
      <c r="Z199" s="461" t="n"/>
      <c r="AA199" s="461">
        <f>Y199-Z199</f>
        <v/>
      </c>
      <c r="AB199" s="235" t="n">
        <v>0</v>
      </c>
      <c r="AC199" s="461">
        <f>K199*AB199</f>
        <v/>
      </c>
      <c r="AD199" s="461" t="n"/>
      <c r="AE199" s="461">
        <f>AC199-AD199</f>
        <v/>
      </c>
      <c r="AF199" s="235" t="n">
        <v>0</v>
      </c>
      <c r="AG199" s="461">
        <f>K199*AF199</f>
        <v/>
      </c>
      <c r="AH199" s="461" t="n"/>
      <c r="AI199" s="461">
        <f>AG199-AH199</f>
        <v/>
      </c>
      <c r="AJ199" s="235" t="n">
        <v>0</v>
      </c>
      <c r="AK199" s="461">
        <f>K199*AJ199</f>
        <v/>
      </c>
      <c r="AL199" s="461" t="n"/>
      <c r="AM199" s="461">
        <f>AK199-AL199</f>
        <v/>
      </c>
      <c r="AN199" s="235" t="n">
        <v>0</v>
      </c>
      <c r="AO199" s="461">
        <f>K199*AN199</f>
        <v/>
      </c>
      <c r="AP199" s="461" t="n"/>
      <c r="AQ199" s="461">
        <f>AO199-AP199</f>
        <v/>
      </c>
      <c r="AR199" s="461" t="n">
        <v>0</v>
      </c>
      <c r="AS199" s="461">
        <f>K199*AR199</f>
        <v/>
      </c>
      <c r="AT199" s="461" t="n"/>
      <c r="AU199" s="461">
        <f>AS199-AT199</f>
        <v/>
      </c>
      <c r="AV199" s="235" t="n">
        <v>0</v>
      </c>
      <c r="AW199" s="461">
        <f>K199*AV199</f>
        <v/>
      </c>
      <c r="AX199" s="461" t="n"/>
      <c r="AY199" s="461">
        <f>AW199-AX199</f>
        <v/>
      </c>
      <c r="AZ199" s="461" t="inlineStr">
        <is>
          <t>按实</t>
        </is>
      </c>
      <c r="BA199" s="461">
        <f>BB199</f>
        <v/>
      </c>
      <c r="BB199" s="461" t="n">
        <v>2966</v>
      </c>
      <c r="BC199" s="461">
        <f>BA199-BB199</f>
        <v/>
      </c>
      <c r="BD199" s="461" t="n">
        <v>0</v>
      </c>
      <c r="BE199" s="461">
        <f>K199*BD199</f>
        <v/>
      </c>
      <c r="BF199" s="461" t="n"/>
      <c r="BG199" s="461">
        <f>BE199-BF199</f>
        <v/>
      </c>
      <c r="BH199" s="461" t="n">
        <v>0</v>
      </c>
      <c r="BI199" s="461">
        <f>K199*BH199</f>
        <v/>
      </c>
      <c r="BJ199" s="461" t="n"/>
      <c r="BK199" s="461">
        <f>BI199-BJ199</f>
        <v/>
      </c>
      <c r="BL199" s="461" t="inlineStr">
        <is>
          <t>按实</t>
        </is>
      </c>
      <c r="BM199" s="220">
        <f>BN199</f>
        <v/>
      </c>
      <c r="BN199" s="282" t="n"/>
      <c r="BO199" s="220">
        <f>BM199-BN199</f>
        <v/>
      </c>
      <c r="BP199" s="220">
        <f>N199+Q199+U199+Y199+AC199+AG199+AK199+AO199+AS199+AW199+BA199+BE199+BI199+BM199</f>
        <v/>
      </c>
      <c r="BQ199" s="220">
        <f>N199+R199+V199+Z199+AD199+AH199+AL199+AP199+AT199+AX199+BB199+BF199+BJ199+BN199</f>
        <v/>
      </c>
      <c r="BR199" s="220">
        <f>BP199-BQ199</f>
        <v/>
      </c>
      <c r="BS199" s="220" t="inlineStr">
        <is>
          <t>/</t>
        </is>
      </c>
      <c r="BT199" s="229" t="inlineStr">
        <is>
          <t>/</t>
        </is>
      </c>
      <c r="BU199" s="230"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
7、能源费：项目反馈不收取，包含在服务费中；</t>
        </is>
      </c>
      <c r="BV199" s="230" t="inlineStr">
        <is>
          <t>已撤场（2026年3月）；</t>
        </is>
      </c>
      <c r="BW199" s="534" t="n"/>
    </row>
    <row r="200" ht="24" customFormat="1" customHeight="1" s="209">
      <c r="A200" s="219" t="n">
        <v>235</v>
      </c>
      <c r="B200" s="220" t="inlineStr">
        <is>
          <t>KQCY0235</t>
        </is>
      </c>
      <c r="C200" s="221" t="inlineStr">
        <is>
          <t>餐饮三分部</t>
        </is>
      </c>
      <c r="D200" s="221" t="inlineStr">
        <is>
          <t>CF781</t>
        </is>
      </c>
      <c r="E200" s="221" t="inlineStr">
        <is>
          <t>苏食院第一学生食堂</t>
        </is>
      </c>
      <c r="F200" s="219" t="inlineStr">
        <is>
          <t>分组作业</t>
        </is>
      </c>
      <c r="G200" s="222" t="inlineStr">
        <is>
          <t>徐敏娟</t>
        </is>
      </c>
      <c r="H200" s="503" t="inlineStr">
        <is>
          <t>/</t>
        </is>
      </c>
      <c r="I200" s="237" t="inlineStr">
        <is>
          <t>米线</t>
        </is>
      </c>
      <c r="J200" s="222" t="inlineStr">
        <is>
          <t>许慧强</t>
        </is>
      </c>
      <c r="K200" s="545">
        <f>LET(k,D200&amp;"|"&amp;E200&amp;"|"&amp;H200&amp;"|"&amp;I200&amp;"|"&amp;J200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00" s="546" t="n"/>
      <c r="M200" s="224" t="n"/>
      <c r="N200" s="253" t="n"/>
      <c r="O200" s="548" t="n">
        <v>250000</v>
      </c>
      <c r="P200" s="552" t="n">
        <v>0.28</v>
      </c>
      <c r="Q200" s="461">
        <f>K200*P200</f>
        <v/>
      </c>
      <c r="R200" s="281" t="n"/>
      <c r="S200" s="461">
        <f>Q200-R200</f>
        <v/>
      </c>
      <c r="T200" s="235" t="n">
        <v>0</v>
      </c>
      <c r="U200" s="461">
        <f>K200*T200</f>
        <v/>
      </c>
      <c r="V200" s="461" t="n"/>
      <c r="W200" s="461">
        <f>U200-V200</f>
        <v/>
      </c>
      <c r="X200" s="235" t="n">
        <v>0</v>
      </c>
      <c r="Y200" s="461">
        <f>K200*X200</f>
        <v/>
      </c>
      <c r="Z200" s="461" t="n"/>
      <c r="AA200" s="461">
        <f>Y200-Z200</f>
        <v/>
      </c>
      <c r="AB200" s="235" t="n">
        <v>0</v>
      </c>
      <c r="AC200" s="461">
        <f>K200*AB200</f>
        <v/>
      </c>
      <c r="AD200" s="461" t="n"/>
      <c r="AE200" s="461">
        <f>AC200-AD200</f>
        <v/>
      </c>
      <c r="AF200" s="235" t="n">
        <v>0</v>
      </c>
      <c r="AG200" s="461">
        <f>K200*AF200</f>
        <v/>
      </c>
      <c r="AH200" s="461" t="n"/>
      <c r="AI200" s="461">
        <f>AG200-AH200</f>
        <v/>
      </c>
      <c r="AJ200" s="235" t="n">
        <v>0</v>
      </c>
      <c r="AK200" s="461">
        <f>K200*AJ200</f>
        <v/>
      </c>
      <c r="AL200" s="461" t="n"/>
      <c r="AM200" s="461">
        <f>AK200-AL200</f>
        <v/>
      </c>
      <c r="AN200" s="235" t="n">
        <v>0</v>
      </c>
      <c r="AO200" s="461">
        <f>K200*AN200</f>
        <v/>
      </c>
      <c r="AP200" s="461" t="n"/>
      <c r="AQ200" s="461">
        <f>AO200-AP200</f>
        <v/>
      </c>
      <c r="AR200" s="461" t="n">
        <v>0</v>
      </c>
      <c r="AS200" s="461">
        <f>K200*AR200</f>
        <v/>
      </c>
      <c r="AT200" s="461" t="n"/>
      <c r="AU200" s="461">
        <f>AS200-AT200</f>
        <v/>
      </c>
      <c r="AV200" s="235" t="n">
        <v>0</v>
      </c>
      <c r="AW200" s="461">
        <f>K200*AV200</f>
        <v/>
      </c>
      <c r="AX200" s="461" t="n"/>
      <c r="AY200" s="461">
        <f>AW200-AX200</f>
        <v/>
      </c>
      <c r="AZ200" s="461" t="inlineStr">
        <is>
          <t>按实</t>
        </is>
      </c>
      <c r="BA200" s="461">
        <f>BB200</f>
        <v/>
      </c>
      <c r="BB200" s="461" t="n"/>
      <c r="BC200" s="461">
        <f>BA200-BB200</f>
        <v/>
      </c>
      <c r="BD200" s="461" t="n">
        <v>0</v>
      </c>
      <c r="BE200" s="461">
        <f>K200*BD200</f>
        <v/>
      </c>
      <c r="BF200" s="461" t="n"/>
      <c r="BG200" s="461">
        <f>BE200-BF200</f>
        <v/>
      </c>
      <c r="BH200" s="461" t="n">
        <v>0</v>
      </c>
      <c r="BI200" s="461">
        <f>K200*BH200</f>
        <v/>
      </c>
      <c r="BJ200" s="461" t="n"/>
      <c r="BK200" s="461">
        <f>BI200-BJ200</f>
        <v/>
      </c>
      <c r="BL200" s="461" t="inlineStr">
        <is>
          <t>按实</t>
        </is>
      </c>
      <c r="BM200" s="220">
        <f>BN200</f>
        <v/>
      </c>
      <c r="BN200" s="282" t="n">
        <v>69678.5</v>
      </c>
      <c r="BO200" s="220">
        <f>BM200-BN200</f>
        <v/>
      </c>
      <c r="BP200" s="220">
        <f>N200+Q200+U200+Y200+AC200+AG200+AK200+AO200+AS200+AW200+BA200+BE200+BI200+BM200</f>
        <v/>
      </c>
      <c r="BQ200" s="220">
        <f>N200+R200+V200+Z200+AD200+AH200+AL200+AP200+AT200+AX200+BB200+BF200+BJ200+BN200</f>
        <v/>
      </c>
      <c r="BR200" s="220">
        <f>BP200-BQ200</f>
        <v/>
      </c>
      <c r="BS200" s="220" t="inlineStr">
        <is>
          <t>/</t>
        </is>
      </c>
      <c r="BT200" s="229" t="inlineStr">
        <is>
          <t>/</t>
        </is>
      </c>
      <c r="BU200" s="329" t="n"/>
      <c r="BV200" s="230" t="inlineStr">
        <is>
          <t>1、签订期间：2026.2-8月；
2、指标按照全年换算；</t>
        </is>
      </c>
      <c r="BW200" s="534" t="n"/>
    </row>
    <row r="201" ht="24" customFormat="1" customHeight="1" s="209">
      <c r="A201" s="219" t="n">
        <v>236</v>
      </c>
      <c r="B201" s="220" t="inlineStr">
        <is>
          <t>KQCY0236</t>
        </is>
      </c>
      <c r="C201" s="221" t="inlineStr">
        <is>
          <t>餐饮三分部</t>
        </is>
      </c>
      <c r="D201" s="221" t="inlineStr">
        <is>
          <t>CF781</t>
        </is>
      </c>
      <c r="E201" s="221" t="inlineStr">
        <is>
          <t>苏食院第一学生食堂</t>
        </is>
      </c>
      <c r="F201" s="219" t="inlineStr">
        <is>
          <t>分组作业</t>
        </is>
      </c>
      <c r="G201" s="222" t="inlineStr">
        <is>
          <t>徐敏娟</t>
        </is>
      </c>
      <c r="H201" s="503" t="inlineStr">
        <is>
          <t>/</t>
        </is>
      </c>
      <c r="I201" s="237" t="inlineStr">
        <is>
          <t>早点</t>
        </is>
      </c>
      <c r="J201" s="222" t="inlineStr">
        <is>
          <t>李帮</t>
        </is>
      </c>
      <c r="K201" s="545">
        <f>LET(k,D201&amp;"|"&amp;E201&amp;"|"&amp;H201&amp;"|"&amp;I201&amp;"|"&amp;J201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01" s="546" t="n"/>
      <c r="M201" s="224" t="n"/>
      <c r="N201" s="253" t="n"/>
      <c r="O201" s="548" t="n">
        <v>530000</v>
      </c>
      <c r="P201" s="552" t="n">
        <v>0.27</v>
      </c>
      <c r="Q201" s="461">
        <f>K201*P201</f>
        <v/>
      </c>
      <c r="R201" s="281" t="n"/>
      <c r="S201" s="461">
        <f>Q201-R201</f>
        <v/>
      </c>
      <c r="T201" s="235" t="n">
        <v>0</v>
      </c>
      <c r="U201" s="461">
        <f>K201*T201</f>
        <v/>
      </c>
      <c r="V201" s="461" t="n"/>
      <c r="W201" s="461">
        <f>U201-V201</f>
        <v/>
      </c>
      <c r="X201" s="235" t="n">
        <v>0</v>
      </c>
      <c r="Y201" s="461">
        <f>K201*X201</f>
        <v/>
      </c>
      <c r="Z201" s="461" t="n"/>
      <c r="AA201" s="461">
        <f>Y201-Z201</f>
        <v/>
      </c>
      <c r="AB201" s="235" t="n">
        <v>0</v>
      </c>
      <c r="AC201" s="461">
        <f>K201*AB201</f>
        <v/>
      </c>
      <c r="AD201" s="461" t="n"/>
      <c r="AE201" s="461">
        <f>AC201-AD201</f>
        <v/>
      </c>
      <c r="AF201" s="235" t="n">
        <v>0</v>
      </c>
      <c r="AG201" s="461">
        <f>K201*AF201</f>
        <v/>
      </c>
      <c r="AH201" s="461" t="n"/>
      <c r="AI201" s="461">
        <f>AG201-AH201</f>
        <v/>
      </c>
      <c r="AJ201" s="235" t="n">
        <v>0</v>
      </c>
      <c r="AK201" s="461">
        <f>K201*AJ201</f>
        <v/>
      </c>
      <c r="AL201" s="461" t="n"/>
      <c r="AM201" s="461">
        <f>AK201-AL201</f>
        <v/>
      </c>
      <c r="AN201" s="235" t="n">
        <v>0</v>
      </c>
      <c r="AO201" s="461">
        <f>K201*AN201</f>
        <v/>
      </c>
      <c r="AP201" s="461" t="n"/>
      <c r="AQ201" s="461">
        <f>AO201-AP201</f>
        <v/>
      </c>
      <c r="AR201" s="461" t="n">
        <v>0</v>
      </c>
      <c r="AS201" s="461">
        <f>K201*AR201</f>
        <v/>
      </c>
      <c r="AT201" s="461" t="n"/>
      <c r="AU201" s="461">
        <f>AS201-AT201</f>
        <v/>
      </c>
      <c r="AV201" s="235" t="n">
        <v>0</v>
      </c>
      <c r="AW201" s="461">
        <f>K201*AV201</f>
        <v/>
      </c>
      <c r="AX201" s="461" t="n"/>
      <c r="AY201" s="461">
        <f>AW201-AX201</f>
        <v/>
      </c>
      <c r="AZ201" s="461" t="inlineStr">
        <is>
          <t>按实</t>
        </is>
      </c>
      <c r="BA201" s="461">
        <f>BB201</f>
        <v/>
      </c>
      <c r="BB201" s="461" t="n"/>
      <c r="BC201" s="461">
        <f>BA201-BB201</f>
        <v/>
      </c>
      <c r="BD201" s="461" t="n">
        <v>0</v>
      </c>
      <c r="BE201" s="461">
        <f>K201*BD201</f>
        <v/>
      </c>
      <c r="BF201" s="461" t="n"/>
      <c r="BG201" s="461">
        <f>BE201-BF201</f>
        <v/>
      </c>
      <c r="BH201" s="461" t="n">
        <v>0</v>
      </c>
      <c r="BI201" s="461">
        <f>K201*BH201</f>
        <v/>
      </c>
      <c r="BJ201" s="461" t="n"/>
      <c r="BK201" s="461">
        <f>BI201-BJ201</f>
        <v/>
      </c>
      <c r="BL201" s="461" t="inlineStr">
        <is>
          <t>按实</t>
        </is>
      </c>
      <c r="BM201" s="220">
        <f>BN201</f>
        <v/>
      </c>
      <c r="BN201" s="282" t="n"/>
      <c r="BO201" s="220">
        <f>BM201-BN201</f>
        <v/>
      </c>
      <c r="BP201" s="220">
        <f>N201+Q201+U201+Y201+AC201+AG201+AK201+AO201+AS201+AW201+BA201+BE201+BI201+BM201</f>
        <v/>
      </c>
      <c r="BQ201" s="220">
        <f>N201+R201+V201+Z201+AD201+AH201+AL201+AP201+AT201+AX201+BB201+BF201+BJ201+BN201</f>
        <v/>
      </c>
      <c r="BR201" s="220">
        <f>BP201-BQ201</f>
        <v/>
      </c>
      <c r="BS201" s="220" t="inlineStr">
        <is>
          <t>/</t>
        </is>
      </c>
      <c r="BT201" s="229" t="inlineStr">
        <is>
          <t>/</t>
        </is>
      </c>
      <c r="BU201" s="329" t="n"/>
      <c r="BV201" s="230" t="inlineStr">
        <is>
          <t>1、签订期间：2026.2-8月；
2、指标按照全年换算；</t>
        </is>
      </c>
      <c r="BW201" s="534" t="n"/>
    </row>
    <row r="202" ht="56.25" customFormat="1" customHeight="1" s="209">
      <c r="A202" s="219" t="n">
        <v>237</v>
      </c>
      <c r="B202" s="220" t="inlineStr">
        <is>
          <t>KQCY0237</t>
        </is>
      </c>
      <c r="C202" s="221" t="inlineStr">
        <is>
          <t>餐饮三分部</t>
        </is>
      </c>
      <c r="D202" s="221" t="inlineStr">
        <is>
          <t>CF781</t>
        </is>
      </c>
      <c r="E202" s="221" t="inlineStr">
        <is>
          <t>苏食院第一学生食堂</t>
        </is>
      </c>
      <c r="F202" s="219" t="inlineStr">
        <is>
          <t>分组作业</t>
        </is>
      </c>
      <c r="G202" s="222" t="inlineStr">
        <is>
          <t>徐敏娟</t>
        </is>
      </c>
      <c r="H202" s="503" t="inlineStr">
        <is>
          <t>/</t>
        </is>
      </c>
      <c r="I202" s="237" t="inlineStr">
        <is>
          <t>快餐</t>
        </is>
      </c>
      <c r="J202" s="222" t="inlineStr">
        <is>
          <t>吴荣花</t>
        </is>
      </c>
      <c r="K202" s="545">
        <f>LET(k,D202&amp;"|"&amp;E202&amp;"|"&amp;H202&amp;"|"&amp;I202&amp;"|"&amp;J202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02" s="546" t="n"/>
      <c r="M202" s="224" t="n"/>
      <c r="N202" s="253" t="n"/>
      <c r="O202" s="548" t="n">
        <v>1240000</v>
      </c>
      <c r="P202" s="552" t="inlineStr">
        <is>
          <t>20%-23％
20万元以下收23%
20-23万元收22%
23-25万元收21%
25万元以上收20%</t>
        </is>
      </c>
      <c r="Q202" s="461">
        <f>K202*23%</f>
        <v/>
      </c>
      <c r="R202" s="281" t="n"/>
      <c r="S202" s="461">
        <f>Q202-R202</f>
        <v/>
      </c>
      <c r="T202" s="235" t="n">
        <v>0</v>
      </c>
      <c r="U202" s="461">
        <f>K202*T202</f>
        <v/>
      </c>
      <c r="V202" s="461" t="n"/>
      <c r="W202" s="461">
        <f>U202-V202</f>
        <v/>
      </c>
      <c r="X202" s="235" t="n">
        <v>0</v>
      </c>
      <c r="Y202" s="461">
        <f>K202*X202</f>
        <v/>
      </c>
      <c r="Z202" s="461" t="n"/>
      <c r="AA202" s="461">
        <f>Y202-Z202</f>
        <v/>
      </c>
      <c r="AB202" s="235" t="n">
        <v>0</v>
      </c>
      <c r="AC202" s="461">
        <f>K202*AB202</f>
        <v/>
      </c>
      <c r="AD202" s="461" t="n"/>
      <c r="AE202" s="461">
        <f>AC202-AD202</f>
        <v/>
      </c>
      <c r="AF202" s="235" t="n">
        <v>0</v>
      </c>
      <c r="AG202" s="461">
        <f>K202*AF202</f>
        <v/>
      </c>
      <c r="AH202" s="461" t="n"/>
      <c r="AI202" s="461">
        <f>AG202-AH202</f>
        <v/>
      </c>
      <c r="AJ202" s="235" t="n">
        <v>0</v>
      </c>
      <c r="AK202" s="461">
        <f>K202*AJ202</f>
        <v/>
      </c>
      <c r="AL202" s="461" t="n"/>
      <c r="AM202" s="461">
        <f>AK202-AL202</f>
        <v/>
      </c>
      <c r="AN202" s="235" t="n">
        <v>0</v>
      </c>
      <c r="AO202" s="461">
        <f>K202*AN202</f>
        <v/>
      </c>
      <c r="AP202" s="461" t="n"/>
      <c r="AQ202" s="461">
        <f>AO202-AP202</f>
        <v/>
      </c>
      <c r="AR202" s="461" t="n">
        <v>0</v>
      </c>
      <c r="AS202" s="461">
        <f>K202*AR202</f>
        <v/>
      </c>
      <c r="AT202" s="461" t="n"/>
      <c r="AU202" s="461">
        <f>AS202-AT202</f>
        <v/>
      </c>
      <c r="AV202" s="235" t="n">
        <v>0</v>
      </c>
      <c r="AW202" s="461">
        <f>K202*AV202</f>
        <v/>
      </c>
      <c r="AX202" s="461" t="n"/>
      <c r="AY202" s="461">
        <f>AW202-AX202</f>
        <v/>
      </c>
      <c r="AZ202" s="461" t="inlineStr">
        <is>
          <t>按实</t>
        </is>
      </c>
      <c r="BA202" s="461">
        <f>BB202</f>
        <v/>
      </c>
      <c r="BB202" s="461" t="n"/>
      <c r="BC202" s="461">
        <f>BA202-BB202</f>
        <v/>
      </c>
      <c r="BD202" s="461" t="n">
        <v>0</v>
      </c>
      <c r="BE202" s="461">
        <f>K202*BD202</f>
        <v/>
      </c>
      <c r="BF202" s="461" t="n"/>
      <c r="BG202" s="461">
        <f>BE202-BF202</f>
        <v/>
      </c>
      <c r="BH202" s="461" t="n">
        <v>0</v>
      </c>
      <c r="BI202" s="461">
        <f>K202*BH202</f>
        <v/>
      </c>
      <c r="BJ202" s="461" t="n"/>
      <c r="BK202" s="461">
        <f>BI202-BJ202</f>
        <v/>
      </c>
      <c r="BL202" s="461" t="inlineStr">
        <is>
          <t>按实</t>
        </is>
      </c>
      <c r="BM202" s="220">
        <f>BN202</f>
        <v/>
      </c>
      <c r="BN202" s="282" t="n"/>
      <c r="BO202" s="220">
        <f>BM202-BN202</f>
        <v/>
      </c>
      <c r="BP202" s="220">
        <f>N202+Q202+U202+Y202+AC202+AG202+AK202+AO202+AS202+AW202+BA202+BE202+BI202+BM202</f>
        <v/>
      </c>
      <c r="BQ202" s="220">
        <f>N202+R202+V202+Z202+AD202+AH202+AL202+AP202+AT202+AX202+BB202+BF202+BJ202+BN202</f>
        <v/>
      </c>
      <c r="BR202" s="220">
        <f>BP202-BQ202</f>
        <v/>
      </c>
      <c r="BS202" s="220" t="inlineStr">
        <is>
          <t>/</t>
        </is>
      </c>
      <c r="BT202" s="229" t="inlineStr">
        <is>
          <t>/</t>
        </is>
      </c>
      <c r="BU202" s="329" t="n"/>
      <c r="BV202" s="230" t="inlineStr">
        <is>
          <t>1、签订期间：2026.2-8月；
2、指标按照全年换算；</t>
        </is>
      </c>
      <c r="BW202" s="534" t="n"/>
    </row>
    <row r="203" ht="24" customFormat="1" customHeight="1" s="209">
      <c r="A203" s="219" t="n">
        <v>238</v>
      </c>
      <c r="B203" s="220" t="inlineStr">
        <is>
          <t>KQCY0238</t>
        </is>
      </c>
      <c r="C203" s="221" t="inlineStr">
        <is>
          <t>餐饮三分部</t>
        </is>
      </c>
      <c r="D203" s="221" t="inlineStr">
        <is>
          <t>CF781</t>
        </is>
      </c>
      <c r="E203" s="221" t="inlineStr">
        <is>
          <t>苏食院第一学生食堂</t>
        </is>
      </c>
      <c r="F203" s="219" t="inlineStr">
        <is>
          <t>分组作业</t>
        </is>
      </c>
      <c r="G203" s="222" t="inlineStr">
        <is>
          <t>徐敏娟</t>
        </is>
      </c>
      <c r="H203" s="503" t="inlineStr">
        <is>
          <t>/</t>
        </is>
      </c>
      <c r="I203" s="237" t="inlineStr">
        <is>
          <t>羊杂面</t>
        </is>
      </c>
      <c r="J203" s="222" t="inlineStr">
        <is>
          <t>许慧强</t>
        </is>
      </c>
      <c r="K203" s="545">
        <f>LET(k,D203&amp;"|"&amp;E203&amp;"|"&amp;H203&amp;"|"&amp;I203&amp;"|"&amp;J203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03" s="546" t="n"/>
      <c r="M203" s="224" t="n"/>
      <c r="N203" s="253" t="n"/>
      <c r="O203" s="548" t="n">
        <v>700000</v>
      </c>
      <c r="P203" s="552" t="n">
        <v>0.28</v>
      </c>
      <c r="Q203" s="461">
        <f>K203*P203</f>
        <v/>
      </c>
      <c r="R203" s="281" t="n"/>
      <c r="S203" s="461">
        <f>Q203-R203</f>
        <v/>
      </c>
      <c r="T203" s="235" t="n">
        <v>0</v>
      </c>
      <c r="U203" s="461">
        <f>K203*T203</f>
        <v/>
      </c>
      <c r="V203" s="461" t="n"/>
      <c r="W203" s="461">
        <f>U203-V203</f>
        <v/>
      </c>
      <c r="X203" s="235" t="n">
        <v>0</v>
      </c>
      <c r="Y203" s="461">
        <f>K203*X203</f>
        <v/>
      </c>
      <c r="Z203" s="461" t="n"/>
      <c r="AA203" s="461">
        <f>Y203-Z203</f>
        <v/>
      </c>
      <c r="AB203" s="235" t="n">
        <v>0</v>
      </c>
      <c r="AC203" s="461">
        <f>K203*AB203</f>
        <v/>
      </c>
      <c r="AD203" s="461" t="n"/>
      <c r="AE203" s="461">
        <f>AC203-AD203</f>
        <v/>
      </c>
      <c r="AF203" s="235" t="n">
        <v>0</v>
      </c>
      <c r="AG203" s="461">
        <f>K203*AF203</f>
        <v/>
      </c>
      <c r="AH203" s="461" t="n"/>
      <c r="AI203" s="461">
        <f>AG203-AH203</f>
        <v/>
      </c>
      <c r="AJ203" s="235" t="n">
        <v>0</v>
      </c>
      <c r="AK203" s="461">
        <f>K203*AJ203</f>
        <v/>
      </c>
      <c r="AL203" s="461" t="n"/>
      <c r="AM203" s="461">
        <f>AK203-AL203</f>
        <v/>
      </c>
      <c r="AN203" s="235" t="n">
        <v>0</v>
      </c>
      <c r="AO203" s="461">
        <f>K203*AN203</f>
        <v/>
      </c>
      <c r="AP203" s="461" t="n"/>
      <c r="AQ203" s="461">
        <f>AO203-AP203</f>
        <v/>
      </c>
      <c r="AR203" s="461" t="n">
        <v>0</v>
      </c>
      <c r="AS203" s="461">
        <f>K203*AR203</f>
        <v/>
      </c>
      <c r="AT203" s="461" t="n"/>
      <c r="AU203" s="461">
        <f>AS203-AT203</f>
        <v/>
      </c>
      <c r="AV203" s="235" t="n">
        <v>0</v>
      </c>
      <c r="AW203" s="461">
        <f>K203*AV203</f>
        <v/>
      </c>
      <c r="AX203" s="461" t="n"/>
      <c r="AY203" s="461">
        <f>AW203-AX203</f>
        <v/>
      </c>
      <c r="AZ203" s="461" t="inlineStr">
        <is>
          <t>按实</t>
        </is>
      </c>
      <c r="BA203" s="461">
        <f>BB203</f>
        <v/>
      </c>
      <c r="BB203" s="461" t="n"/>
      <c r="BC203" s="461">
        <f>BA203-BB203</f>
        <v/>
      </c>
      <c r="BD203" s="461" t="n">
        <v>0</v>
      </c>
      <c r="BE203" s="461">
        <f>K203*BD203</f>
        <v/>
      </c>
      <c r="BF203" s="461" t="n"/>
      <c r="BG203" s="461">
        <f>BE203-BF203</f>
        <v/>
      </c>
      <c r="BH203" s="461" t="n">
        <v>0</v>
      </c>
      <c r="BI203" s="461">
        <f>K203*BH203</f>
        <v/>
      </c>
      <c r="BJ203" s="461" t="n"/>
      <c r="BK203" s="461">
        <f>BI203-BJ203</f>
        <v/>
      </c>
      <c r="BL203" s="461" t="inlineStr">
        <is>
          <t>按实</t>
        </is>
      </c>
      <c r="BM203" s="220">
        <f>BN203</f>
        <v/>
      </c>
      <c r="BN203" s="282" t="n"/>
      <c r="BO203" s="220">
        <f>BM203-BN203</f>
        <v/>
      </c>
      <c r="BP203" s="220">
        <f>N203+Q203+U203+Y203+AC203+AG203+AK203+AO203+AS203+AW203+BA203+BE203+BI203+BM203</f>
        <v/>
      </c>
      <c r="BQ203" s="220">
        <f>N203+R203+V203+Z203+AD203+AH203+AL203+AP203+AT203+AX203+BB203+BF203+BJ203+BN203</f>
        <v/>
      </c>
      <c r="BR203" s="220">
        <f>BP203-BQ203</f>
        <v/>
      </c>
      <c r="BS203" s="220" t="inlineStr">
        <is>
          <t>/</t>
        </is>
      </c>
      <c r="BT203" s="229" t="inlineStr">
        <is>
          <t>/</t>
        </is>
      </c>
      <c r="BU203" s="329" t="n"/>
      <c r="BV203" s="230" t="inlineStr">
        <is>
          <t>1、签订期间：2026.2-8月；
2、指标按照全年换算；</t>
        </is>
      </c>
      <c r="BW203" s="534" t="n"/>
    </row>
    <row r="204" ht="24" customFormat="1" customHeight="1" s="209">
      <c r="A204" s="219" t="n">
        <v>239</v>
      </c>
      <c r="B204" s="220" t="inlineStr">
        <is>
          <t>KQCY0239</t>
        </is>
      </c>
      <c r="C204" s="221" t="inlineStr">
        <is>
          <t>餐饮三分部</t>
        </is>
      </c>
      <c r="D204" s="221" t="inlineStr">
        <is>
          <t>CF781</t>
        </is>
      </c>
      <c r="E204" s="221" t="inlineStr">
        <is>
          <t>苏食院第一学生食堂</t>
        </is>
      </c>
      <c r="F204" s="219" t="inlineStr">
        <is>
          <t>分组作业</t>
        </is>
      </c>
      <c r="G204" s="222" t="inlineStr">
        <is>
          <t>徐敏娟</t>
        </is>
      </c>
      <c r="H204" s="503" t="inlineStr">
        <is>
          <t>/</t>
        </is>
      </c>
      <c r="I204" s="237" t="inlineStr">
        <is>
          <t>牛肉粉丝汤</t>
        </is>
      </c>
      <c r="J204" s="222" t="inlineStr">
        <is>
          <t>张宗芳</t>
        </is>
      </c>
      <c r="K204" s="545">
        <f>LET(k,D204&amp;"|"&amp;E204&amp;"|"&amp;H204&amp;"|"&amp;I204&amp;"|"&amp;J204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04" s="546" t="n"/>
      <c r="M204" s="224" t="n"/>
      <c r="N204" s="253" t="n"/>
      <c r="O204" s="548" t="n">
        <v>500000</v>
      </c>
      <c r="P204" s="552" t="n">
        <v>0.28</v>
      </c>
      <c r="Q204" s="461">
        <f>K204*P204</f>
        <v/>
      </c>
      <c r="R204" s="281" t="n"/>
      <c r="S204" s="461">
        <f>Q204-R204</f>
        <v/>
      </c>
      <c r="T204" s="235" t="n">
        <v>0</v>
      </c>
      <c r="U204" s="461">
        <f>K204*T204</f>
        <v/>
      </c>
      <c r="V204" s="461" t="n"/>
      <c r="W204" s="461">
        <f>U204-V204</f>
        <v/>
      </c>
      <c r="X204" s="235" t="n">
        <v>0</v>
      </c>
      <c r="Y204" s="461">
        <f>K204*X204</f>
        <v/>
      </c>
      <c r="Z204" s="461" t="n"/>
      <c r="AA204" s="461">
        <f>Y204-Z204</f>
        <v/>
      </c>
      <c r="AB204" s="235" t="n">
        <v>0</v>
      </c>
      <c r="AC204" s="461">
        <f>K204*AB204</f>
        <v/>
      </c>
      <c r="AD204" s="461" t="n"/>
      <c r="AE204" s="461">
        <f>AC204-AD204</f>
        <v/>
      </c>
      <c r="AF204" s="235" t="n">
        <v>0</v>
      </c>
      <c r="AG204" s="461">
        <f>K204*AF204</f>
        <v/>
      </c>
      <c r="AH204" s="461" t="n"/>
      <c r="AI204" s="461">
        <f>AG204-AH204</f>
        <v/>
      </c>
      <c r="AJ204" s="235" t="n">
        <v>0</v>
      </c>
      <c r="AK204" s="461">
        <f>K204*AJ204</f>
        <v/>
      </c>
      <c r="AL204" s="461" t="n"/>
      <c r="AM204" s="461">
        <f>AK204-AL204</f>
        <v/>
      </c>
      <c r="AN204" s="235" t="n">
        <v>0</v>
      </c>
      <c r="AO204" s="461">
        <f>K204*AN204</f>
        <v/>
      </c>
      <c r="AP204" s="461" t="n"/>
      <c r="AQ204" s="461">
        <f>AO204-AP204</f>
        <v/>
      </c>
      <c r="AR204" s="461" t="n">
        <v>0</v>
      </c>
      <c r="AS204" s="461">
        <f>K204*AR204</f>
        <v/>
      </c>
      <c r="AT204" s="461" t="n"/>
      <c r="AU204" s="461">
        <f>AS204-AT204</f>
        <v/>
      </c>
      <c r="AV204" s="235" t="n">
        <v>0</v>
      </c>
      <c r="AW204" s="461">
        <f>K204*AV204</f>
        <v/>
      </c>
      <c r="AX204" s="461" t="n"/>
      <c r="AY204" s="461">
        <f>AW204-AX204</f>
        <v/>
      </c>
      <c r="AZ204" s="461" t="inlineStr">
        <is>
          <t>按实</t>
        </is>
      </c>
      <c r="BA204" s="461">
        <f>BB204</f>
        <v/>
      </c>
      <c r="BB204" s="461" t="n"/>
      <c r="BC204" s="461">
        <f>BA204-BB204</f>
        <v/>
      </c>
      <c r="BD204" s="461" t="n">
        <v>0</v>
      </c>
      <c r="BE204" s="461">
        <f>K204*BD204</f>
        <v/>
      </c>
      <c r="BF204" s="461" t="n"/>
      <c r="BG204" s="461">
        <f>BE204-BF204</f>
        <v/>
      </c>
      <c r="BH204" s="461" t="n">
        <v>0</v>
      </c>
      <c r="BI204" s="461">
        <f>K204*BH204</f>
        <v/>
      </c>
      <c r="BJ204" s="461" t="n"/>
      <c r="BK204" s="461">
        <f>BI204-BJ204</f>
        <v/>
      </c>
      <c r="BL204" s="461" t="inlineStr">
        <is>
          <t>按实</t>
        </is>
      </c>
      <c r="BM204" s="220">
        <f>BN204</f>
        <v/>
      </c>
      <c r="BN204" s="282" t="n"/>
      <c r="BO204" s="220">
        <f>BM204-BN204</f>
        <v/>
      </c>
      <c r="BP204" s="220">
        <f>N204+Q204+U204+Y204+AC204+AG204+AK204+AO204+AS204+AW204+BA204+BE204+BI204+BM204</f>
        <v/>
      </c>
      <c r="BQ204" s="220">
        <f>N204+R204+V204+Z204+AD204+AH204+AL204+AP204+AT204+AX204+BB204+BF204+BJ204+BN204</f>
        <v/>
      </c>
      <c r="BR204" s="220">
        <f>BP204-BQ204</f>
        <v/>
      </c>
      <c r="BS204" s="220" t="inlineStr">
        <is>
          <t>/</t>
        </is>
      </c>
      <c r="BT204" s="229" t="inlineStr">
        <is>
          <t>/</t>
        </is>
      </c>
      <c r="BU204" s="329" t="n"/>
      <c r="BV204" s="230" t="inlineStr">
        <is>
          <t>1、签订期间：2026.2-8月；
2、指标按照全年换算；</t>
        </is>
      </c>
      <c r="BW204" s="534" t="n"/>
    </row>
    <row r="205" ht="24" customFormat="1" customHeight="1" s="209">
      <c r="A205" s="219" t="n">
        <v>240</v>
      </c>
      <c r="B205" s="220" t="inlineStr">
        <is>
          <t>KQCY0240</t>
        </is>
      </c>
      <c r="C205" s="221" t="inlineStr">
        <is>
          <t>餐饮三分部</t>
        </is>
      </c>
      <c r="D205" s="221" t="inlineStr">
        <is>
          <t>CF781</t>
        </is>
      </c>
      <c r="E205" s="221" t="inlineStr">
        <is>
          <t>苏食院第一学生食堂</t>
        </is>
      </c>
      <c r="F205" s="219" t="inlineStr">
        <is>
          <t>分组作业</t>
        </is>
      </c>
      <c r="G205" s="222" t="inlineStr">
        <is>
          <t>徐敏娟</t>
        </is>
      </c>
      <c r="H205" s="503" t="inlineStr">
        <is>
          <t>/</t>
        </is>
      </c>
      <c r="I205" s="237" t="inlineStr">
        <is>
          <t>汤包蒸饺</t>
        </is>
      </c>
      <c r="J205" s="222" t="inlineStr">
        <is>
          <t>嵇炜</t>
        </is>
      </c>
      <c r="K205" s="545">
        <f>LET(k,D205&amp;"|"&amp;E205&amp;"|"&amp;H205&amp;"|"&amp;I205&amp;"|"&amp;J205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05" s="546" t="n"/>
      <c r="M205" s="224" t="n"/>
      <c r="N205" s="253" t="n"/>
      <c r="O205" s="548" t="n">
        <v>540000</v>
      </c>
      <c r="P205" s="552" t="n">
        <v>0.28</v>
      </c>
      <c r="Q205" s="461">
        <f>K205*P205</f>
        <v/>
      </c>
      <c r="R205" s="281" t="n"/>
      <c r="S205" s="461">
        <f>Q205-R205</f>
        <v/>
      </c>
      <c r="T205" s="235" t="n">
        <v>0</v>
      </c>
      <c r="U205" s="461">
        <f>K205*T205</f>
        <v/>
      </c>
      <c r="V205" s="461" t="n"/>
      <c r="W205" s="461">
        <f>U205-V205</f>
        <v/>
      </c>
      <c r="X205" s="235" t="n">
        <v>0</v>
      </c>
      <c r="Y205" s="461">
        <f>K205*X205</f>
        <v/>
      </c>
      <c r="Z205" s="461" t="n"/>
      <c r="AA205" s="461">
        <f>Y205-Z205</f>
        <v/>
      </c>
      <c r="AB205" s="235" t="n">
        <v>0</v>
      </c>
      <c r="AC205" s="461">
        <f>K205*AB205</f>
        <v/>
      </c>
      <c r="AD205" s="461" t="n"/>
      <c r="AE205" s="461">
        <f>AC205-AD205</f>
        <v/>
      </c>
      <c r="AF205" s="235" t="n">
        <v>0</v>
      </c>
      <c r="AG205" s="461">
        <f>K205*AF205</f>
        <v/>
      </c>
      <c r="AH205" s="461" t="n"/>
      <c r="AI205" s="461">
        <f>AG205-AH205</f>
        <v/>
      </c>
      <c r="AJ205" s="235" t="n">
        <v>0</v>
      </c>
      <c r="AK205" s="461">
        <f>K205*AJ205</f>
        <v/>
      </c>
      <c r="AL205" s="461" t="n"/>
      <c r="AM205" s="461">
        <f>AK205-AL205</f>
        <v/>
      </c>
      <c r="AN205" s="235" t="n">
        <v>0</v>
      </c>
      <c r="AO205" s="461">
        <f>K205*AN205</f>
        <v/>
      </c>
      <c r="AP205" s="461" t="n"/>
      <c r="AQ205" s="461">
        <f>AO205-AP205</f>
        <v/>
      </c>
      <c r="AR205" s="461" t="n">
        <v>0</v>
      </c>
      <c r="AS205" s="461">
        <f>K205*AR205</f>
        <v/>
      </c>
      <c r="AT205" s="461" t="n"/>
      <c r="AU205" s="461">
        <f>AS205-AT205</f>
        <v/>
      </c>
      <c r="AV205" s="235" t="n">
        <v>0</v>
      </c>
      <c r="AW205" s="461">
        <f>K205*AV205</f>
        <v/>
      </c>
      <c r="AX205" s="461" t="n"/>
      <c r="AY205" s="461">
        <f>AW205-AX205</f>
        <v/>
      </c>
      <c r="AZ205" s="461" t="inlineStr">
        <is>
          <t>按实</t>
        </is>
      </c>
      <c r="BA205" s="461">
        <f>BB205</f>
        <v/>
      </c>
      <c r="BB205" s="461" t="n"/>
      <c r="BC205" s="461">
        <f>BA205-BB205</f>
        <v/>
      </c>
      <c r="BD205" s="461" t="n">
        <v>0</v>
      </c>
      <c r="BE205" s="461">
        <f>K205*BD205</f>
        <v/>
      </c>
      <c r="BF205" s="461" t="n"/>
      <c r="BG205" s="461">
        <f>BE205-BF205</f>
        <v/>
      </c>
      <c r="BH205" s="461" t="n">
        <v>0</v>
      </c>
      <c r="BI205" s="461">
        <f>K205*BH205</f>
        <v/>
      </c>
      <c r="BJ205" s="461" t="n"/>
      <c r="BK205" s="461">
        <f>BI205-BJ205</f>
        <v/>
      </c>
      <c r="BL205" s="461" t="inlineStr">
        <is>
          <t>按实</t>
        </is>
      </c>
      <c r="BM205" s="220">
        <f>BN205</f>
        <v/>
      </c>
      <c r="BN205" s="282" t="n"/>
      <c r="BO205" s="220">
        <f>BM205-BN205</f>
        <v/>
      </c>
      <c r="BP205" s="220">
        <f>N205+Q205+U205+Y205+AC205+AG205+AK205+AO205+AS205+AW205+BA205+BE205+BI205+BM205</f>
        <v/>
      </c>
      <c r="BQ205" s="220">
        <f>N205+R205+V205+Z205+AD205+AH205+AL205+AP205+AT205+AX205+BB205+BF205+BJ205+BN205</f>
        <v/>
      </c>
      <c r="BR205" s="220">
        <f>BP205-BQ205</f>
        <v/>
      </c>
      <c r="BS205" s="220" t="inlineStr">
        <is>
          <t>/</t>
        </is>
      </c>
      <c r="BT205" s="229" t="inlineStr">
        <is>
          <t>/</t>
        </is>
      </c>
      <c r="BU205" s="329" t="n"/>
      <c r="BV205" s="230" t="inlineStr">
        <is>
          <t>1、签订期间：2026.2-8月；
2、指标按照全年换算；</t>
        </is>
      </c>
      <c r="BW205" s="534" t="n"/>
    </row>
    <row r="206" ht="24" customFormat="1" customHeight="1" s="209">
      <c r="A206" s="219" t="n">
        <v>241</v>
      </c>
      <c r="B206" s="220" t="inlineStr">
        <is>
          <t>KQCY0241</t>
        </is>
      </c>
      <c r="C206" s="221" t="inlineStr">
        <is>
          <t>餐饮三分部</t>
        </is>
      </c>
      <c r="D206" s="221" t="inlineStr">
        <is>
          <t>CF781</t>
        </is>
      </c>
      <c r="E206" s="221" t="inlineStr">
        <is>
          <t>苏食院第一学生食堂</t>
        </is>
      </c>
      <c r="F206" s="219" t="inlineStr">
        <is>
          <t>分组作业</t>
        </is>
      </c>
      <c r="G206" s="222" t="inlineStr">
        <is>
          <t>徐敏娟</t>
        </is>
      </c>
      <c r="H206" s="503" t="inlineStr">
        <is>
          <t>/</t>
        </is>
      </c>
      <c r="I206" s="237" t="inlineStr">
        <is>
          <t>套餐饭</t>
        </is>
      </c>
      <c r="J206" s="222" t="inlineStr">
        <is>
          <t>白亚雪</t>
        </is>
      </c>
      <c r="K206" s="545">
        <f>LET(k,D206&amp;"|"&amp;E206&amp;"|"&amp;H206&amp;"|"&amp;I206&amp;"|"&amp;J206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06" s="546" t="n"/>
      <c r="M206" s="224" t="n"/>
      <c r="N206" s="253" t="n"/>
      <c r="O206" s="548" t="n">
        <v>600000</v>
      </c>
      <c r="P206" s="552" t="n">
        <v>0.28</v>
      </c>
      <c r="Q206" s="461">
        <f>K206*P206</f>
        <v/>
      </c>
      <c r="R206" s="281" t="n"/>
      <c r="S206" s="461">
        <f>Q206-R206</f>
        <v/>
      </c>
      <c r="T206" s="235" t="n">
        <v>0</v>
      </c>
      <c r="U206" s="461">
        <f>K206*T206</f>
        <v/>
      </c>
      <c r="V206" s="461" t="n"/>
      <c r="W206" s="461">
        <f>U206-V206</f>
        <v/>
      </c>
      <c r="X206" s="235" t="n">
        <v>0</v>
      </c>
      <c r="Y206" s="461">
        <f>K206*X206</f>
        <v/>
      </c>
      <c r="Z206" s="461" t="n"/>
      <c r="AA206" s="461">
        <f>Y206-Z206</f>
        <v/>
      </c>
      <c r="AB206" s="235" t="n">
        <v>0</v>
      </c>
      <c r="AC206" s="461">
        <f>K206*AB206</f>
        <v/>
      </c>
      <c r="AD206" s="461" t="n"/>
      <c r="AE206" s="461">
        <f>AC206-AD206</f>
        <v/>
      </c>
      <c r="AF206" s="235" t="n">
        <v>0</v>
      </c>
      <c r="AG206" s="461">
        <f>K206*AF206</f>
        <v/>
      </c>
      <c r="AH206" s="461" t="n"/>
      <c r="AI206" s="461">
        <f>AG206-AH206</f>
        <v/>
      </c>
      <c r="AJ206" s="235" t="n">
        <v>0</v>
      </c>
      <c r="AK206" s="461">
        <f>K206*AJ206</f>
        <v/>
      </c>
      <c r="AL206" s="461" t="n"/>
      <c r="AM206" s="461">
        <f>AK206-AL206</f>
        <v/>
      </c>
      <c r="AN206" s="235" t="n">
        <v>0</v>
      </c>
      <c r="AO206" s="461">
        <f>K206*AN206</f>
        <v/>
      </c>
      <c r="AP206" s="461" t="n"/>
      <c r="AQ206" s="461">
        <f>AO206-AP206</f>
        <v/>
      </c>
      <c r="AR206" s="461" t="n">
        <v>0</v>
      </c>
      <c r="AS206" s="461">
        <f>K206*AR206</f>
        <v/>
      </c>
      <c r="AT206" s="461" t="n"/>
      <c r="AU206" s="461">
        <f>AS206-AT206</f>
        <v/>
      </c>
      <c r="AV206" s="235" t="n">
        <v>0</v>
      </c>
      <c r="AW206" s="461">
        <f>K206*AV206</f>
        <v/>
      </c>
      <c r="AX206" s="461" t="n"/>
      <c r="AY206" s="461">
        <f>AW206-AX206</f>
        <v/>
      </c>
      <c r="AZ206" s="461" t="inlineStr">
        <is>
          <t>按实</t>
        </is>
      </c>
      <c r="BA206" s="461">
        <f>BB206</f>
        <v/>
      </c>
      <c r="BB206" s="461" t="n"/>
      <c r="BC206" s="461">
        <f>BA206-BB206</f>
        <v/>
      </c>
      <c r="BD206" s="461" t="n">
        <v>0</v>
      </c>
      <c r="BE206" s="461">
        <f>K206*BD206</f>
        <v/>
      </c>
      <c r="BF206" s="461" t="n"/>
      <c r="BG206" s="461">
        <f>BE206-BF206</f>
        <v/>
      </c>
      <c r="BH206" s="461" t="n">
        <v>0</v>
      </c>
      <c r="BI206" s="461">
        <f>K206*BH206</f>
        <v/>
      </c>
      <c r="BJ206" s="461" t="n"/>
      <c r="BK206" s="461">
        <f>BI206-BJ206</f>
        <v/>
      </c>
      <c r="BL206" s="461" t="inlineStr">
        <is>
          <t>按实</t>
        </is>
      </c>
      <c r="BM206" s="220">
        <f>BN206</f>
        <v/>
      </c>
      <c r="BN206" s="282" t="n"/>
      <c r="BO206" s="220">
        <f>BM206-BN206</f>
        <v/>
      </c>
      <c r="BP206" s="220">
        <f>N206+Q206+U206+Y206+AC206+AG206+AK206+AO206+AS206+AW206+BA206+BE206+BI206+BM206</f>
        <v/>
      </c>
      <c r="BQ206" s="220">
        <f>N206+R206+V206+Z206+AD206+AH206+AL206+AP206+AT206+AX206+BB206+BF206+BJ206+BN206</f>
        <v/>
      </c>
      <c r="BR206" s="220">
        <f>BP206-BQ206</f>
        <v/>
      </c>
      <c r="BS206" s="220" t="inlineStr">
        <is>
          <t>/</t>
        </is>
      </c>
      <c r="BT206" s="229" t="inlineStr">
        <is>
          <t>/</t>
        </is>
      </c>
      <c r="BU206" s="329" t="n"/>
      <c r="BV206" s="230" t="inlineStr">
        <is>
          <t>1、签订期间：2026.2-8月；
2、指标按照全年换算；</t>
        </is>
      </c>
      <c r="BW206" s="534" t="n"/>
    </row>
    <row r="207" ht="24" customFormat="1" customHeight="1" s="209">
      <c r="A207" s="219" t="n">
        <v>242</v>
      </c>
      <c r="B207" s="220" t="inlineStr">
        <is>
          <t>KQCY0242</t>
        </is>
      </c>
      <c r="C207" s="221" t="inlineStr">
        <is>
          <t>餐饮三分部</t>
        </is>
      </c>
      <c r="D207" s="221" t="inlineStr">
        <is>
          <t>CF781</t>
        </is>
      </c>
      <c r="E207" s="221" t="inlineStr">
        <is>
          <t>苏食院第一学生食堂</t>
        </is>
      </c>
      <c r="F207" s="219" t="inlineStr">
        <is>
          <t>分组作业</t>
        </is>
      </c>
      <c r="G207" s="222" t="inlineStr">
        <is>
          <t>徐敏娟</t>
        </is>
      </c>
      <c r="H207" s="503" t="inlineStr">
        <is>
          <t>/</t>
        </is>
      </c>
      <c r="I207" s="237" t="inlineStr">
        <is>
          <t>拉面</t>
        </is>
      </c>
      <c r="J207" s="222" t="inlineStr">
        <is>
          <t>李小东</t>
        </is>
      </c>
      <c r="K207" s="545">
        <f>LET(k,D207&amp;"|"&amp;E207&amp;"|"&amp;H207&amp;"|"&amp;I207&amp;"|"&amp;J207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07" s="546" t="n"/>
      <c r="M207" s="224" t="n"/>
      <c r="N207" s="253" t="n"/>
      <c r="O207" s="548" t="n">
        <v>370000</v>
      </c>
      <c r="P207" s="552" t="n">
        <v>0.22</v>
      </c>
      <c r="Q207" s="461">
        <f>K207*P207</f>
        <v/>
      </c>
      <c r="R207" s="281" t="n"/>
      <c r="S207" s="461">
        <f>Q207-R207</f>
        <v/>
      </c>
      <c r="T207" s="235" t="n">
        <v>0</v>
      </c>
      <c r="U207" s="461">
        <f>K207*T207</f>
        <v/>
      </c>
      <c r="V207" s="461" t="n"/>
      <c r="W207" s="461">
        <f>U207-V207</f>
        <v/>
      </c>
      <c r="X207" s="235" t="n">
        <v>0</v>
      </c>
      <c r="Y207" s="461">
        <f>K207*X207</f>
        <v/>
      </c>
      <c r="Z207" s="461" t="n"/>
      <c r="AA207" s="461">
        <f>Y207-Z207</f>
        <v/>
      </c>
      <c r="AB207" s="235" t="n">
        <v>0</v>
      </c>
      <c r="AC207" s="461">
        <f>K207*AB207</f>
        <v/>
      </c>
      <c r="AD207" s="461" t="n"/>
      <c r="AE207" s="461">
        <f>AC207-AD207</f>
        <v/>
      </c>
      <c r="AF207" s="235" t="n">
        <v>0</v>
      </c>
      <c r="AG207" s="461">
        <f>K207*AF207</f>
        <v/>
      </c>
      <c r="AH207" s="461" t="n"/>
      <c r="AI207" s="461">
        <f>AG207-AH207</f>
        <v/>
      </c>
      <c r="AJ207" s="235" t="n">
        <v>0</v>
      </c>
      <c r="AK207" s="461">
        <f>K207*AJ207</f>
        <v/>
      </c>
      <c r="AL207" s="461" t="n"/>
      <c r="AM207" s="461">
        <f>AK207-AL207</f>
        <v/>
      </c>
      <c r="AN207" s="235" t="n">
        <v>0</v>
      </c>
      <c r="AO207" s="461">
        <f>K207*AN207</f>
        <v/>
      </c>
      <c r="AP207" s="461" t="n"/>
      <c r="AQ207" s="461">
        <f>AO207-AP207</f>
        <v/>
      </c>
      <c r="AR207" s="461" t="n">
        <v>0</v>
      </c>
      <c r="AS207" s="461">
        <f>K207*AR207</f>
        <v/>
      </c>
      <c r="AT207" s="461" t="n"/>
      <c r="AU207" s="461">
        <f>AS207-AT207</f>
        <v/>
      </c>
      <c r="AV207" s="235" t="n">
        <v>0</v>
      </c>
      <c r="AW207" s="461">
        <f>K207*AV207</f>
        <v/>
      </c>
      <c r="AX207" s="461" t="n"/>
      <c r="AY207" s="461">
        <f>AW207-AX207</f>
        <v/>
      </c>
      <c r="AZ207" s="461" t="inlineStr">
        <is>
          <t>按实</t>
        </is>
      </c>
      <c r="BA207" s="461">
        <f>BB207</f>
        <v/>
      </c>
      <c r="BB207" s="461" t="n"/>
      <c r="BC207" s="461">
        <f>BA207-BB207</f>
        <v/>
      </c>
      <c r="BD207" s="461" t="n">
        <v>0</v>
      </c>
      <c r="BE207" s="461">
        <f>K207*BD207</f>
        <v/>
      </c>
      <c r="BF207" s="461" t="n"/>
      <c r="BG207" s="461">
        <f>BE207-BF207</f>
        <v/>
      </c>
      <c r="BH207" s="461" t="n">
        <v>0</v>
      </c>
      <c r="BI207" s="461">
        <f>K207*BH207</f>
        <v/>
      </c>
      <c r="BJ207" s="461" t="n"/>
      <c r="BK207" s="461">
        <f>BI207-BJ207</f>
        <v/>
      </c>
      <c r="BL207" s="461" t="inlineStr">
        <is>
          <t>按实</t>
        </is>
      </c>
      <c r="BM207" s="220">
        <f>BN207</f>
        <v/>
      </c>
      <c r="BN207" s="282" t="n"/>
      <c r="BO207" s="220">
        <f>BM207-BN207</f>
        <v/>
      </c>
      <c r="BP207" s="220">
        <f>N207+Q207+U207+Y207+AC207+AG207+AK207+AO207+AS207+AW207+BA207+BE207+BI207+BM207</f>
        <v/>
      </c>
      <c r="BQ207" s="220">
        <f>N207+R207+V207+Z207+AD207+AH207+AL207+AP207+AT207+AX207+BB207+BF207+BJ207+BN207</f>
        <v/>
      </c>
      <c r="BR207" s="220">
        <f>BP207-BQ207</f>
        <v/>
      </c>
      <c r="BS207" s="220" t="inlineStr">
        <is>
          <t>/</t>
        </is>
      </c>
      <c r="BT207" s="229" t="inlineStr">
        <is>
          <t>/</t>
        </is>
      </c>
      <c r="BU207" s="329" t="n"/>
      <c r="BV207" s="230" t="inlineStr">
        <is>
          <t>1、签订期间：2026.2-8月；
2、指标按照全年换算；</t>
        </is>
      </c>
      <c r="BW207" s="534" t="n"/>
    </row>
    <row r="208" ht="24" customFormat="1" customHeight="1" s="209">
      <c r="A208" s="219" t="n">
        <v>243</v>
      </c>
      <c r="B208" s="220" t="inlineStr">
        <is>
          <t>KQCY0243</t>
        </is>
      </c>
      <c r="C208" s="221" t="inlineStr">
        <is>
          <t>餐饮三分部</t>
        </is>
      </c>
      <c r="D208" s="221" t="inlineStr">
        <is>
          <t>CF781</t>
        </is>
      </c>
      <c r="E208" s="221" t="inlineStr">
        <is>
          <t>苏食院第一学生食堂</t>
        </is>
      </c>
      <c r="F208" s="219" t="inlineStr">
        <is>
          <t>分组作业</t>
        </is>
      </c>
      <c r="G208" s="222" t="inlineStr">
        <is>
          <t>徐敏娟</t>
        </is>
      </c>
      <c r="H208" s="503" t="inlineStr">
        <is>
          <t>/</t>
        </is>
      </c>
      <c r="I208" s="232" t="inlineStr">
        <is>
          <t>水吧</t>
        </is>
      </c>
      <c r="J208" s="222" t="inlineStr">
        <is>
          <t>王树松</t>
        </is>
      </c>
      <c r="K208" s="545">
        <f>LET(k,D208&amp;"|"&amp;E208&amp;"|"&amp;H208&amp;"|"&amp;I208&amp;"|"&amp;J208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08" s="546" t="n"/>
      <c r="M208" s="224" t="n"/>
      <c r="N208" s="253" t="n"/>
      <c r="O208" s="548" t="n">
        <v>250000</v>
      </c>
      <c r="P208" s="552" t="n">
        <v>0.23</v>
      </c>
      <c r="Q208" s="461">
        <f>K208*P208</f>
        <v/>
      </c>
      <c r="R208" s="281" t="n"/>
      <c r="S208" s="461">
        <f>Q208-R208</f>
        <v/>
      </c>
      <c r="T208" s="235" t="n">
        <v>0</v>
      </c>
      <c r="U208" s="461">
        <f>K208*T208</f>
        <v/>
      </c>
      <c r="V208" s="461" t="n"/>
      <c r="W208" s="461">
        <f>U208-V208</f>
        <v/>
      </c>
      <c r="X208" s="235" t="n">
        <v>0</v>
      </c>
      <c r="Y208" s="461">
        <f>K208*X208</f>
        <v/>
      </c>
      <c r="Z208" s="461" t="n"/>
      <c r="AA208" s="461">
        <f>Y208-Z208</f>
        <v/>
      </c>
      <c r="AB208" s="235" t="n">
        <v>0</v>
      </c>
      <c r="AC208" s="461">
        <f>K208*AB208</f>
        <v/>
      </c>
      <c r="AD208" s="461" t="n"/>
      <c r="AE208" s="461">
        <f>AC208-AD208</f>
        <v/>
      </c>
      <c r="AF208" s="235" t="n">
        <v>0</v>
      </c>
      <c r="AG208" s="461">
        <f>K208*AF208</f>
        <v/>
      </c>
      <c r="AH208" s="461" t="n"/>
      <c r="AI208" s="461">
        <f>AG208-AH208</f>
        <v/>
      </c>
      <c r="AJ208" s="235" t="n">
        <v>0</v>
      </c>
      <c r="AK208" s="461">
        <f>K208*AJ208</f>
        <v/>
      </c>
      <c r="AL208" s="461" t="n"/>
      <c r="AM208" s="461">
        <f>AK208-AL208</f>
        <v/>
      </c>
      <c r="AN208" s="235" t="n">
        <v>0</v>
      </c>
      <c r="AO208" s="461">
        <f>K208*AN208</f>
        <v/>
      </c>
      <c r="AP208" s="461" t="n"/>
      <c r="AQ208" s="461">
        <f>AO208-AP208</f>
        <v/>
      </c>
      <c r="AR208" s="461" t="n">
        <v>0</v>
      </c>
      <c r="AS208" s="461">
        <f>K208*AR208</f>
        <v/>
      </c>
      <c r="AT208" s="461" t="n"/>
      <c r="AU208" s="461">
        <f>AS208-AT208</f>
        <v/>
      </c>
      <c r="AV208" s="235" t="n">
        <v>0</v>
      </c>
      <c r="AW208" s="461">
        <f>K208*AV208</f>
        <v/>
      </c>
      <c r="AX208" s="461" t="n"/>
      <c r="AY208" s="461">
        <f>AW208-AX208</f>
        <v/>
      </c>
      <c r="AZ208" s="461" t="inlineStr">
        <is>
          <t>按实</t>
        </is>
      </c>
      <c r="BA208" s="461">
        <f>BB208</f>
        <v/>
      </c>
      <c r="BB208" s="461" t="n"/>
      <c r="BC208" s="461">
        <f>BA208-BB208</f>
        <v/>
      </c>
      <c r="BD208" s="461" t="n">
        <v>0</v>
      </c>
      <c r="BE208" s="461">
        <f>K208*BD208</f>
        <v/>
      </c>
      <c r="BF208" s="461" t="n"/>
      <c r="BG208" s="461">
        <f>BE208-BF208</f>
        <v/>
      </c>
      <c r="BH208" s="461" t="n">
        <v>0</v>
      </c>
      <c r="BI208" s="461">
        <f>K208*BH208</f>
        <v/>
      </c>
      <c r="BJ208" s="461" t="n"/>
      <c r="BK208" s="461">
        <f>BI208-BJ208</f>
        <v/>
      </c>
      <c r="BL208" s="461" t="inlineStr">
        <is>
          <t>按实</t>
        </is>
      </c>
      <c r="BM208" s="220">
        <f>BN208</f>
        <v/>
      </c>
      <c r="BN208" s="282" t="n"/>
      <c r="BO208" s="220">
        <f>BM208-BN208</f>
        <v/>
      </c>
      <c r="BP208" s="220">
        <f>N208+Q208+U208+Y208+AC208+AG208+AK208+AO208+AS208+AW208+BA208+BE208+BI208+BM208</f>
        <v/>
      </c>
      <c r="BQ208" s="220">
        <f>N208+R208+V208+Z208+AD208+AH208+AL208+AP208+AT208+AX208+BB208+BF208+BJ208+BN208</f>
        <v/>
      </c>
      <c r="BR208" s="220">
        <f>BP208-BQ208</f>
        <v/>
      </c>
      <c r="BS208" s="220" t="inlineStr">
        <is>
          <t>/</t>
        </is>
      </c>
      <c r="BT208" s="229" t="inlineStr">
        <is>
          <t>/</t>
        </is>
      </c>
      <c r="BU208" s="329" t="n"/>
      <c r="BV208" s="230" t="inlineStr">
        <is>
          <t>1、签订期间：2026.2-8月；
2、指标按照全年换算；</t>
        </is>
      </c>
      <c r="BW208" s="534" t="n"/>
    </row>
    <row r="209" ht="24" customFormat="1" customHeight="1" s="209">
      <c r="A209" s="219" t="n">
        <v>244</v>
      </c>
      <c r="B209" s="220" t="inlineStr">
        <is>
          <t>KQCY0244</t>
        </is>
      </c>
      <c r="C209" s="221" t="inlineStr">
        <is>
          <t>餐饮三分部</t>
        </is>
      </c>
      <c r="D209" s="221" t="inlineStr">
        <is>
          <t>CF781</t>
        </is>
      </c>
      <c r="E209" s="221" t="inlineStr">
        <is>
          <t>苏食院第一学生食堂</t>
        </is>
      </c>
      <c r="F209" s="219" t="inlineStr">
        <is>
          <t>分组作业</t>
        </is>
      </c>
      <c r="G209" s="222" t="inlineStr">
        <is>
          <t>徐敏娟</t>
        </is>
      </c>
      <c r="H209" s="503" t="inlineStr">
        <is>
          <t>/</t>
        </is>
      </c>
      <c r="I209" s="237" t="inlineStr">
        <is>
          <t>面包</t>
        </is>
      </c>
      <c r="J209" s="222" t="inlineStr">
        <is>
          <t>汪雨凤</t>
        </is>
      </c>
      <c r="K209" s="545">
        <f>LET(k,D209&amp;"|"&amp;E209&amp;"|"&amp;H209&amp;"|"&amp;I209&amp;"|"&amp;J209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09" s="546" t="n"/>
      <c r="M209" s="224" t="n"/>
      <c r="N209" s="253" t="n"/>
      <c r="O209" s="548" t="n">
        <v>300000</v>
      </c>
      <c r="P209" s="247" t="n">
        <v>0.24</v>
      </c>
      <c r="Q209" s="461">
        <f>K209*P209</f>
        <v/>
      </c>
      <c r="R209" s="281" t="n"/>
      <c r="S209" s="461">
        <f>Q209-R209</f>
        <v/>
      </c>
      <c r="T209" s="235" t="n">
        <v>0</v>
      </c>
      <c r="U209" s="461">
        <f>K209*T209</f>
        <v/>
      </c>
      <c r="V209" s="461" t="n"/>
      <c r="W209" s="461">
        <f>U209-V209</f>
        <v/>
      </c>
      <c r="X209" s="235" t="n">
        <v>0</v>
      </c>
      <c r="Y209" s="461">
        <f>K209*X209</f>
        <v/>
      </c>
      <c r="Z209" s="461" t="n"/>
      <c r="AA209" s="461">
        <f>Y209-Z209</f>
        <v/>
      </c>
      <c r="AB209" s="235" t="n">
        <v>0</v>
      </c>
      <c r="AC209" s="461">
        <f>K209*AB209</f>
        <v/>
      </c>
      <c r="AD209" s="461" t="n"/>
      <c r="AE209" s="461">
        <f>AC209-AD209</f>
        <v/>
      </c>
      <c r="AF209" s="235" t="n">
        <v>0</v>
      </c>
      <c r="AG209" s="461">
        <f>K209*AF209</f>
        <v/>
      </c>
      <c r="AH209" s="461" t="n"/>
      <c r="AI209" s="461">
        <f>AG209-AH209</f>
        <v/>
      </c>
      <c r="AJ209" s="235" t="n">
        <v>0</v>
      </c>
      <c r="AK209" s="461">
        <f>K209*AJ209</f>
        <v/>
      </c>
      <c r="AL209" s="461" t="n"/>
      <c r="AM209" s="461">
        <f>AK209-AL209</f>
        <v/>
      </c>
      <c r="AN209" s="235" t="n">
        <v>0</v>
      </c>
      <c r="AO209" s="461">
        <f>K209*AN209</f>
        <v/>
      </c>
      <c r="AP209" s="461" t="n"/>
      <c r="AQ209" s="461">
        <f>AO209-AP209</f>
        <v/>
      </c>
      <c r="AR209" s="461" t="n">
        <v>0</v>
      </c>
      <c r="AS209" s="461">
        <f>K209*AR209</f>
        <v/>
      </c>
      <c r="AT209" s="461" t="n"/>
      <c r="AU209" s="461">
        <f>AS209-AT209</f>
        <v/>
      </c>
      <c r="AV209" s="235" t="n">
        <v>0</v>
      </c>
      <c r="AW209" s="461">
        <f>K209*AV209</f>
        <v/>
      </c>
      <c r="AX209" s="461" t="n"/>
      <c r="AY209" s="461">
        <f>AW209-AX209</f>
        <v/>
      </c>
      <c r="AZ209" s="461" t="inlineStr">
        <is>
          <t>按实</t>
        </is>
      </c>
      <c r="BA209" s="461">
        <f>BB209</f>
        <v/>
      </c>
      <c r="BB209" s="461" t="n"/>
      <c r="BC209" s="461">
        <f>BA209-BB209</f>
        <v/>
      </c>
      <c r="BD209" s="461" t="n">
        <v>0</v>
      </c>
      <c r="BE209" s="461">
        <f>K209*BD209</f>
        <v/>
      </c>
      <c r="BF209" s="461" t="n"/>
      <c r="BG209" s="461">
        <f>BE209-BF209</f>
        <v/>
      </c>
      <c r="BH209" s="461" t="n">
        <v>0</v>
      </c>
      <c r="BI209" s="461">
        <f>K209*BH209</f>
        <v/>
      </c>
      <c r="BJ209" s="461" t="n"/>
      <c r="BK209" s="461">
        <f>BI209-BJ209</f>
        <v/>
      </c>
      <c r="BL209" s="461" t="inlineStr">
        <is>
          <t>按实</t>
        </is>
      </c>
      <c r="BM209" s="220">
        <f>BN209</f>
        <v/>
      </c>
      <c r="BN209" s="282" t="n"/>
      <c r="BO209" s="220">
        <f>BM209-BN209</f>
        <v/>
      </c>
      <c r="BP209" s="220">
        <f>N209+Q209+U209+Y209+AC209+AG209+AK209+AO209+AS209+AW209+BA209+BE209+BI209+BM209</f>
        <v/>
      </c>
      <c r="BQ209" s="220">
        <f>N209+R209+V209+Z209+AD209+AH209+AL209+AP209+AT209+AX209+BB209+BF209+BJ209+BN209</f>
        <v/>
      </c>
      <c r="BR209" s="220">
        <f>BP209-BQ209</f>
        <v/>
      </c>
      <c r="BS209" s="220" t="inlineStr">
        <is>
          <t>/</t>
        </is>
      </c>
      <c r="BT209" s="229" t="inlineStr">
        <is>
          <t>/</t>
        </is>
      </c>
      <c r="BU209" s="329" t="n"/>
      <c r="BV209" s="230" t="inlineStr">
        <is>
          <t>1、签订期间：2026.2-8月；
2、指标按照全年换算；</t>
        </is>
      </c>
      <c r="BW209" s="534" t="n"/>
    </row>
    <row r="210" ht="24" customFormat="1" customHeight="1" s="209">
      <c r="A210" s="219" t="n">
        <v>245</v>
      </c>
      <c r="B210" s="220" t="inlineStr">
        <is>
          <t>KQCY0245</t>
        </is>
      </c>
      <c r="C210" s="221" t="inlineStr">
        <is>
          <t>餐饮三分部</t>
        </is>
      </c>
      <c r="D210" s="221" t="inlineStr">
        <is>
          <t>CF781</t>
        </is>
      </c>
      <c r="E210" s="221" t="inlineStr">
        <is>
          <t>苏食院第一学生食堂</t>
        </is>
      </c>
      <c r="F210" s="219" t="inlineStr">
        <is>
          <t>分组作业</t>
        </is>
      </c>
      <c r="G210" s="222" t="inlineStr">
        <is>
          <t>徐敏娟</t>
        </is>
      </c>
      <c r="H210" s="503" t="inlineStr">
        <is>
          <t>/</t>
        </is>
      </c>
      <c r="I210" s="237" t="inlineStr">
        <is>
          <t>蹦蹦鸡</t>
        </is>
      </c>
      <c r="J210" s="222" t="inlineStr">
        <is>
          <t>朱海涛</t>
        </is>
      </c>
      <c r="K210" s="545">
        <f>LET(k,D210&amp;"|"&amp;E210&amp;"|"&amp;H210&amp;"|"&amp;I210&amp;"|"&amp;J210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10" s="546" t="n"/>
      <c r="M210" s="224" t="n"/>
      <c r="N210" s="253" t="n"/>
      <c r="O210" s="548" t="n">
        <v>360000</v>
      </c>
      <c r="P210" s="247" t="n">
        <v>0.28</v>
      </c>
      <c r="Q210" s="461">
        <f>K210*P210</f>
        <v/>
      </c>
      <c r="R210" s="281" t="n"/>
      <c r="S210" s="461">
        <f>Q210-R210</f>
        <v/>
      </c>
      <c r="T210" s="235" t="n">
        <v>0</v>
      </c>
      <c r="U210" s="461">
        <f>K210*T210</f>
        <v/>
      </c>
      <c r="V210" s="461" t="n"/>
      <c r="W210" s="461">
        <f>U210-V210</f>
        <v/>
      </c>
      <c r="X210" s="235" t="n">
        <v>0</v>
      </c>
      <c r="Y210" s="461">
        <f>K210*X210</f>
        <v/>
      </c>
      <c r="Z210" s="461" t="n"/>
      <c r="AA210" s="461">
        <f>Y210-Z210</f>
        <v/>
      </c>
      <c r="AB210" s="235" t="n">
        <v>0</v>
      </c>
      <c r="AC210" s="461">
        <f>K210*AB210</f>
        <v/>
      </c>
      <c r="AD210" s="461" t="n"/>
      <c r="AE210" s="461">
        <f>AC210-AD210</f>
        <v/>
      </c>
      <c r="AF210" s="235" t="n">
        <v>0</v>
      </c>
      <c r="AG210" s="461">
        <f>K210*AF210</f>
        <v/>
      </c>
      <c r="AH210" s="461" t="n"/>
      <c r="AI210" s="461">
        <f>AG210-AH210</f>
        <v/>
      </c>
      <c r="AJ210" s="235" t="n">
        <v>0</v>
      </c>
      <c r="AK210" s="461">
        <f>K210*AJ210</f>
        <v/>
      </c>
      <c r="AL210" s="461" t="n"/>
      <c r="AM210" s="461">
        <f>AK210-AL210</f>
        <v/>
      </c>
      <c r="AN210" s="235" t="n">
        <v>0</v>
      </c>
      <c r="AO210" s="461">
        <f>K210*AN210</f>
        <v/>
      </c>
      <c r="AP210" s="461" t="n"/>
      <c r="AQ210" s="461">
        <f>AO210-AP210</f>
        <v/>
      </c>
      <c r="AR210" s="461" t="n">
        <v>0</v>
      </c>
      <c r="AS210" s="461">
        <f>K210*AR210</f>
        <v/>
      </c>
      <c r="AT210" s="461" t="n"/>
      <c r="AU210" s="461">
        <f>AS210-AT210</f>
        <v/>
      </c>
      <c r="AV210" s="235" t="n">
        <v>0</v>
      </c>
      <c r="AW210" s="461">
        <f>K210*AV210</f>
        <v/>
      </c>
      <c r="AX210" s="461" t="n"/>
      <c r="AY210" s="461">
        <f>AW210-AX210</f>
        <v/>
      </c>
      <c r="AZ210" s="461" t="inlineStr">
        <is>
          <t>按实</t>
        </is>
      </c>
      <c r="BA210" s="461">
        <f>BB210</f>
        <v/>
      </c>
      <c r="BB210" s="461" t="n"/>
      <c r="BC210" s="461">
        <f>BA210-BB210</f>
        <v/>
      </c>
      <c r="BD210" s="461" t="n">
        <v>0</v>
      </c>
      <c r="BE210" s="461">
        <f>K210*BD210</f>
        <v/>
      </c>
      <c r="BF210" s="461" t="n"/>
      <c r="BG210" s="461">
        <f>BE210-BF210</f>
        <v/>
      </c>
      <c r="BH210" s="461" t="n">
        <v>0</v>
      </c>
      <c r="BI210" s="461">
        <f>K210*BH210</f>
        <v/>
      </c>
      <c r="BJ210" s="461" t="n"/>
      <c r="BK210" s="461">
        <f>BI210-BJ210</f>
        <v/>
      </c>
      <c r="BL210" s="461" t="inlineStr">
        <is>
          <t>按实</t>
        </is>
      </c>
      <c r="BM210" s="220">
        <f>BN210</f>
        <v/>
      </c>
      <c r="BN210" s="282" t="n"/>
      <c r="BO210" s="220">
        <f>BM210-BN210</f>
        <v/>
      </c>
      <c r="BP210" s="220">
        <f>N210+Q210+U210+Y210+AC210+AG210+AK210+AO210+AS210+AW210+BA210+BE210+BI210+BM210</f>
        <v/>
      </c>
      <c r="BQ210" s="220">
        <f>N210+R210+V210+Z210+AD210+AH210+AL210+AP210+AT210+AX210+BB210+BF210+BJ210+BN210</f>
        <v/>
      </c>
      <c r="BR210" s="220">
        <f>BP210-BQ210</f>
        <v/>
      </c>
      <c r="BS210" s="220" t="inlineStr">
        <is>
          <t>/</t>
        </is>
      </c>
      <c r="BT210" s="229" t="inlineStr">
        <is>
          <t>/</t>
        </is>
      </c>
      <c r="BU210" s="329" t="n"/>
      <c r="BV210" s="230" t="inlineStr">
        <is>
          <t>1、签订期间：2026.2-8月；
2、指标按照全年换算；</t>
        </is>
      </c>
      <c r="BW210" s="534" t="n"/>
    </row>
    <row r="211" ht="24" customFormat="1" customHeight="1" s="209">
      <c r="A211" s="219" t="n">
        <v>246</v>
      </c>
      <c r="B211" s="220" t="inlineStr">
        <is>
          <t>KQCY0246</t>
        </is>
      </c>
      <c r="C211" s="221" t="inlineStr">
        <is>
          <t>餐饮三分部</t>
        </is>
      </c>
      <c r="D211" s="221" t="inlineStr">
        <is>
          <t>CF781</t>
        </is>
      </c>
      <c r="E211" s="221" t="inlineStr">
        <is>
          <t>苏食院第一学生食堂</t>
        </is>
      </c>
      <c r="F211" s="219" t="inlineStr">
        <is>
          <t>分组作业</t>
        </is>
      </c>
      <c r="G211" s="222" t="inlineStr">
        <is>
          <t>徐敏娟</t>
        </is>
      </c>
      <c r="H211" s="503" t="inlineStr">
        <is>
          <t>/</t>
        </is>
      </c>
      <c r="I211" s="237" t="inlineStr">
        <is>
          <t>水饺</t>
        </is>
      </c>
      <c r="J211" s="222" t="inlineStr">
        <is>
          <t>刘淑平</t>
        </is>
      </c>
      <c r="K211" s="545">
        <f>LET(k,D211&amp;"|"&amp;E211&amp;"|"&amp;H211&amp;"|"&amp;I211&amp;"|"&amp;J211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11" s="546" t="n"/>
      <c r="M211" s="224" t="n"/>
      <c r="N211" s="253" t="n"/>
      <c r="O211" s="548" t="n">
        <v>250000</v>
      </c>
      <c r="P211" s="247" t="n">
        <v>0.28</v>
      </c>
      <c r="Q211" s="461">
        <f>K211*P211</f>
        <v/>
      </c>
      <c r="R211" s="281" t="n"/>
      <c r="S211" s="461">
        <f>Q211-R211</f>
        <v/>
      </c>
      <c r="T211" s="235" t="n">
        <v>0</v>
      </c>
      <c r="U211" s="461">
        <f>K211*T211</f>
        <v/>
      </c>
      <c r="V211" s="461" t="n"/>
      <c r="W211" s="461">
        <f>U211-V211</f>
        <v/>
      </c>
      <c r="X211" s="235" t="n">
        <v>0</v>
      </c>
      <c r="Y211" s="461">
        <f>K211*X211</f>
        <v/>
      </c>
      <c r="Z211" s="461" t="n"/>
      <c r="AA211" s="461">
        <f>Y211-Z211</f>
        <v/>
      </c>
      <c r="AB211" s="235" t="n">
        <v>0</v>
      </c>
      <c r="AC211" s="461">
        <f>K211*AB211</f>
        <v/>
      </c>
      <c r="AD211" s="461" t="n"/>
      <c r="AE211" s="461">
        <f>AC211-AD211</f>
        <v/>
      </c>
      <c r="AF211" s="235" t="n">
        <v>0</v>
      </c>
      <c r="AG211" s="461">
        <f>K211*AF211</f>
        <v/>
      </c>
      <c r="AH211" s="461" t="n"/>
      <c r="AI211" s="461">
        <f>AG211-AH211</f>
        <v/>
      </c>
      <c r="AJ211" s="235" t="n">
        <v>0</v>
      </c>
      <c r="AK211" s="461">
        <f>K211*AJ211</f>
        <v/>
      </c>
      <c r="AL211" s="461" t="n"/>
      <c r="AM211" s="461">
        <f>AK211-AL211</f>
        <v/>
      </c>
      <c r="AN211" s="235" t="n">
        <v>0</v>
      </c>
      <c r="AO211" s="461">
        <f>K211*AN211</f>
        <v/>
      </c>
      <c r="AP211" s="461" t="n"/>
      <c r="AQ211" s="461">
        <f>AO211-AP211</f>
        <v/>
      </c>
      <c r="AR211" s="461" t="n">
        <v>0</v>
      </c>
      <c r="AS211" s="461">
        <f>K211*AR211</f>
        <v/>
      </c>
      <c r="AT211" s="461" t="n"/>
      <c r="AU211" s="461">
        <f>AS211-AT211</f>
        <v/>
      </c>
      <c r="AV211" s="235" t="n">
        <v>0</v>
      </c>
      <c r="AW211" s="461">
        <f>K211*AV211</f>
        <v/>
      </c>
      <c r="AX211" s="461" t="n"/>
      <c r="AY211" s="461">
        <f>AW211-AX211</f>
        <v/>
      </c>
      <c r="AZ211" s="461" t="inlineStr">
        <is>
          <t>按实</t>
        </is>
      </c>
      <c r="BA211" s="461">
        <f>BB211</f>
        <v/>
      </c>
      <c r="BB211" s="461" t="n"/>
      <c r="BC211" s="461">
        <f>BA211-BB211</f>
        <v/>
      </c>
      <c r="BD211" s="461" t="n">
        <v>0</v>
      </c>
      <c r="BE211" s="461">
        <f>K211*BD211</f>
        <v/>
      </c>
      <c r="BF211" s="461" t="n"/>
      <c r="BG211" s="461">
        <f>BE211-BF211</f>
        <v/>
      </c>
      <c r="BH211" s="461" t="n">
        <v>0</v>
      </c>
      <c r="BI211" s="461">
        <f>K211*BH211</f>
        <v/>
      </c>
      <c r="BJ211" s="461" t="n"/>
      <c r="BK211" s="461">
        <f>BI211-BJ211</f>
        <v/>
      </c>
      <c r="BL211" s="461" t="inlineStr">
        <is>
          <t>按实</t>
        </is>
      </c>
      <c r="BM211" s="220">
        <f>BN211</f>
        <v/>
      </c>
      <c r="BN211" s="282" t="n"/>
      <c r="BO211" s="220">
        <f>BM211-BN211</f>
        <v/>
      </c>
      <c r="BP211" s="220">
        <f>N211+Q211+U211+Y211+AC211+AG211+AK211+AO211+AS211+AW211+BA211+BE211+BI211+BM211</f>
        <v/>
      </c>
      <c r="BQ211" s="220">
        <f>N211+R211+V211+Z211+AD211+AH211+AL211+AP211+AT211+AX211+BB211+BF211+BJ211+BN211</f>
        <v/>
      </c>
      <c r="BR211" s="220">
        <f>BP211-BQ211</f>
        <v/>
      </c>
      <c r="BS211" s="220" t="inlineStr">
        <is>
          <t>/</t>
        </is>
      </c>
      <c r="BT211" s="229" t="inlineStr">
        <is>
          <t>/</t>
        </is>
      </c>
      <c r="BU211" s="329" t="n"/>
      <c r="BV211" s="230" t="inlineStr">
        <is>
          <t>1、签订期间：2026.2-8月；
2、指标按照全年换算；</t>
        </is>
      </c>
      <c r="BW211" s="534" t="n"/>
    </row>
    <row r="212" ht="41.25" customFormat="1" customHeight="1" s="209">
      <c r="A212" s="219" t="n">
        <v>247</v>
      </c>
      <c r="B212" s="220" t="inlineStr">
        <is>
          <t>KQCY0247</t>
        </is>
      </c>
      <c r="C212" s="221" t="inlineStr">
        <is>
          <t>餐饮三分部</t>
        </is>
      </c>
      <c r="D212" s="221" t="inlineStr">
        <is>
          <t>CF781</t>
        </is>
      </c>
      <c r="E212" s="221" t="inlineStr">
        <is>
          <t>苏食院第一学生食堂</t>
        </is>
      </c>
      <c r="F212" s="219" t="inlineStr">
        <is>
          <t>分组作业</t>
        </is>
      </c>
      <c r="G212" s="222" t="inlineStr">
        <is>
          <t>徐敏娟</t>
        </is>
      </c>
      <c r="H212" s="503" t="inlineStr">
        <is>
          <t>/</t>
        </is>
      </c>
      <c r="I212" s="232" t="inlineStr">
        <is>
          <t>0900汉堡</t>
        </is>
      </c>
      <c r="J212" s="222" t="inlineStr">
        <is>
          <t>张文浩</t>
        </is>
      </c>
      <c r="K212" s="545">
        <f>LET(k,D212&amp;"|"&amp;E212&amp;"|"&amp;H212&amp;"|"&amp;I212&amp;"|"&amp;J212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12" s="546" t="n"/>
      <c r="M212" s="224" t="n"/>
      <c r="N212" s="253" t="n"/>
      <c r="O212" s="548" t="n">
        <v>340000</v>
      </c>
      <c r="P212" s="461" t="inlineStr">
        <is>
          <t>房租8000元/月，半年4.0万元，2月、8月不收取</t>
        </is>
      </c>
      <c r="Q212" s="461" t="n">
        <v>8000</v>
      </c>
      <c r="R212" s="281" t="n"/>
      <c r="S212" s="461">
        <f>Q212-R212</f>
        <v/>
      </c>
      <c r="T212" s="235" t="n">
        <v>0</v>
      </c>
      <c r="U212" s="461">
        <f>K212*T212</f>
        <v/>
      </c>
      <c r="V212" s="461" t="n"/>
      <c r="W212" s="461">
        <f>U212-V212</f>
        <v/>
      </c>
      <c r="X212" s="235" t="n">
        <v>0</v>
      </c>
      <c r="Y212" s="461">
        <f>K212*X212</f>
        <v/>
      </c>
      <c r="Z212" s="461" t="n"/>
      <c r="AA212" s="461">
        <f>Y212-Z212</f>
        <v/>
      </c>
      <c r="AB212" s="235" t="n">
        <v>0</v>
      </c>
      <c r="AC212" s="461">
        <f>K212*AB212</f>
        <v/>
      </c>
      <c r="AD212" s="461" t="n"/>
      <c r="AE212" s="461">
        <f>AC212-AD212</f>
        <v/>
      </c>
      <c r="AF212" s="235" t="n">
        <v>0</v>
      </c>
      <c r="AG212" s="461">
        <f>K212*AF212</f>
        <v/>
      </c>
      <c r="AH212" s="461" t="n"/>
      <c r="AI212" s="461">
        <f>AG212-AH212</f>
        <v/>
      </c>
      <c r="AJ212" s="235" t="n">
        <v>0</v>
      </c>
      <c r="AK212" s="461">
        <f>K212*AJ212</f>
        <v/>
      </c>
      <c r="AL212" s="461" t="n"/>
      <c r="AM212" s="461">
        <f>AK212-AL212</f>
        <v/>
      </c>
      <c r="AN212" s="235" t="n">
        <v>0</v>
      </c>
      <c r="AO212" s="461">
        <f>K212*AN212</f>
        <v/>
      </c>
      <c r="AP212" s="461" t="n"/>
      <c r="AQ212" s="461">
        <f>AO212-AP212</f>
        <v/>
      </c>
      <c r="AR212" s="461" t="n">
        <v>0</v>
      </c>
      <c r="AS212" s="461">
        <f>K212*AR212</f>
        <v/>
      </c>
      <c r="AT212" s="461" t="n"/>
      <c r="AU212" s="461">
        <f>AS212-AT212</f>
        <v/>
      </c>
      <c r="AV212" s="461" t="inlineStr">
        <is>
          <t>按实</t>
        </is>
      </c>
      <c r="AW212" s="461">
        <f>AX212</f>
        <v/>
      </c>
      <c r="AX212" s="461" t="n">
        <v>599.5</v>
      </c>
      <c r="AY212" s="461">
        <f>AW212-AX212</f>
        <v/>
      </c>
      <c r="AZ212" s="461" t="inlineStr">
        <is>
          <t>按实</t>
        </is>
      </c>
      <c r="BA212" s="461">
        <f>BB212</f>
        <v/>
      </c>
      <c r="BB212" s="461" t="n"/>
      <c r="BC212" s="461">
        <f>BA212-BB212</f>
        <v/>
      </c>
      <c r="BD212" s="461" t="n">
        <v>0</v>
      </c>
      <c r="BE212" s="461">
        <f>K212*BD212</f>
        <v/>
      </c>
      <c r="BF212" s="461" t="n"/>
      <c r="BG212" s="461">
        <f>BE212-BF212</f>
        <v/>
      </c>
      <c r="BH212" s="461" t="n">
        <v>0</v>
      </c>
      <c r="BI212" s="461">
        <f>K212*BH212</f>
        <v/>
      </c>
      <c r="BJ212" s="461" t="n"/>
      <c r="BK212" s="461">
        <f>BI212-BJ212</f>
        <v/>
      </c>
      <c r="BL212" s="461" t="inlineStr">
        <is>
          <t>按实</t>
        </is>
      </c>
      <c r="BM212" s="220">
        <f>BN212</f>
        <v/>
      </c>
      <c r="BN212" s="282" t="n"/>
      <c r="BO212" s="220">
        <f>BM212-BN212</f>
        <v/>
      </c>
      <c r="BP212" s="220">
        <f>N212+Q212+U212+Y212+AC212+AG212+AK212+AO212+AS212+AW212+BA212+BE212+BI212+BM212</f>
        <v/>
      </c>
      <c r="BQ212" s="220">
        <f>N212+R212+V212+Z212+AD212+AH212+AL212+AP212+AT212+AX212+BB212+BF212+BJ212+BN212</f>
        <v/>
      </c>
      <c r="BR212" s="220">
        <f>BP212-BQ212</f>
        <v/>
      </c>
      <c r="BS212" s="220" t="inlineStr">
        <is>
          <t>/</t>
        </is>
      </c>
      <c r="BT212" s="229" t="inlineStr">
        <is>
          <t>/</t>
        </is>
      </c>
      <c r="BU212" s="230"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BV212" s="230" t="inlineStr">
        <is>
          <t>1、签订期间：2026.2-8月；
2、指标按照全年换算；
3、管理费3.2万/半年</t>
        </is>
      </c>
      <c r="BW212" s="534" t="n"/>
    </row>
    <row r="213" ht="31.5" customFormat="1" customHeight="1" s="209">
      <c r="A213" s="219" t="n">
        <v>248</v>
      </c>
      <c r="B213" s="220" t="inlineStr">
        <is>
          <t>KQCY0248</t>
        </is>
      </c>
      <c r="C213" s="221" t="inlineStr">
        <is>
          <t>餐饮三分部</t>
        </is>
      </c>
      <c r="D213" s="221" t="inlineStr">
        <is>
          <t>CF781</t>
        </is>
      </c>
      <c r="E213" s="221" t="inlineStr">
        <is>
          <t>苏食院第一学生食堂</t>
        </is>
      </c>
      <c r="F213" s="219" t="inlineStr">
        <is>
          <t>分组作业</t>
        </is>
      </c>
      <c r="G213" s="222" t="inlineStr">
        <is>
          <t>徐敏娟</t>
        </is>
      </c>
      <c r="H213" s="503" t="inlineStr">
        <is>
          <t>/</t>
        </is>
      </c>
      <c r="I213" s="232" t="inlineStr">
        <is>
          <t>煎饼果子</t>
        </is>
      </c>
      <c r="J213" s="222" t="inlineStr">
        <is>
          <t>朱小林</t>
        </is>
      </c>
      <c r="K213" s="545">
        <f>LET(k,D213&amp;"|"&amp;E213&amp;"|"&amp;H213&amp;"|"&amp;I213&amp;"|"&amp;J213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13" s="546" t="n"/>
      <c r="M213" s="224" t="n"/>
      <c r="N213" s="253" t="n"/>
      <c r="O213" s="548" t="n">
        <v>320000</v>
      </c>
      <c r="P213" s="461" t="inlineStr">
        <is>
          <t>房租9000元/月，半年4.5万元，2月、8月不收取</t>
        </is>
      </c>
      <c r="Q213" s="461" t="n">
        <v>9000</v>
      </c>
      <c r="R213" s="281" t="n">
        <v>38154.87</v>
      </c>
      <c r="S213" s="461">
        <f>Q213-R213</f>
        <v/>
      </c>
      <c r="T213" s="235" t="n">
        <v>0</v>
      </c>
      <c r="U213" s="461">
        <f>K213*T213</f>
        <v/>
      </c>
      <c r="V213" s="461" t="n"/>
      <c r="W213" s="461">
        <f>U213-V213</f>
        <v/>
      </c>
      <c r="X213" s="235" t="n">
        <v>0</v>
      </c>
      <c r="Y213" s="461">
        <f>K213*X213</f>
        <v/>
      </c>
      <c r="Z213" s="461" t="n"/>
      <c r="AA213" s="461">
        <f>Y213-Z213</f>
        <v/>
      </c>
      <c r="AB213" s="235" t="n">
        <v>0</v>
      </c>
      <c r="AC213" s="461">
        <f>K213*AB213</f>
        <v/>
      </c>
      <c r="AD213" s="461" t="n"/>
      <c r="AE213" s="461">
        <f>AC213-AD213</f>
        <v/>
      </c>
      <c r="AF213" s="235" t="n">
        <v>0</v>
      </c>
      <c r="AG213" s="461">
        <f>K213*AF213</f>
        <v/>
      </c>
      <c r="AH213" s="461" t="n"/>
      <c r="AI213" s="461">
        <f>AG213-AH213</f>
        <v/>
      </c>
      <c r="AJ213" s="235" t="n">
        <v>0</v>
      </c>
      <c r="AK213" s="461">
        <f>K213*AJ213</f>
        <v/>
      </c>
      <c r="AL213" s="461" t="n"/>
      <c r="AM213" s="461">
        <f>AK213-AL213</f>
        <v/>
      </c>
      <c r="AN213" s="235" t="n">
        <v>0</v>
      </c>
      <c r="AO213" s="461">
        <f>K213*AN213</f>
        <v/>
      </c>
      <c r="AP213" s="461" t="n"/>
      <c r="AQ213" s="461">
        <f>AO213-AP213</f>
        <v/>
      </c>
      <c r="AR213" s="461" t="n">
        <v>0</v>
      </c>
      <c r="AS213" s="461">
        <f>K213*AR213</f>
        <v/>
      </c>
      <c r="AT213" s="461" t="n"/>
      <c r="AU213" s="461">
        <f>AS213-AT213</f>
        <v/>
      </c>
      <c r="AV213" s="461" t="inlineStr">
        <is>
          <t>按实</t>
        </is>
      </c>
      <c r="AW213" s="461">
        <f>AX213</f>
        <v/>
      </c>
      <c r="AX213" s="461" t="n">
        <v>360.38</v>
      </c>
      <c r="AY213" s="461">
        <f>AW213-AX213</f>
        <v/>
      </c>
      <c r="AZ213" s="461" t="inlineStr">
        <is>
          <t>按实</t>
        </is>
      </c>
      <c r="BA213" s="461">
        <f>BB213</f>
        <v/>
      </c>
      <c r="BB213" s="461" t="n"/>
      <c r="BC213" s="461">
        <f>BA213-BB213</f>
        <v/>
      </c>
      <c r="BD213" s="461" t="n">
        <v>0</v>
      </c>
      <c r="BE213" s="461">
        <f>K213*BD213</f>
        <v/>
      </c>
      <c r="BF213" s="461" t="n"/>
      <c r="BG213" s="461">
        <f>BE213-BF213</f>
        <v/>
      </c>
      <c r="BH213" s="461" t="n">
        <v>0</v>
      </c>
      <c r="BI213" s="461">
        <f>K213*BH213</f>
        <v/>
      </c>
      <c r="BJ213" s="461" t="n"/>
      <c r="BK213" s="461">
        <f>BI213-BJ213</f>
        <v/>
      </c>
      <c r="BL213" s="461" t="inlineStr">
        <is>
          <t>按实</t>
        </is>
      </c>
      <c r="BM213" s="220">
        <f>BN213</f>
        <v/>
      </c>
      <c r="BN213" s="282" t="n"/>
      <c r="BO213" s="220">
        <f>BM213-BN213</f>
        <v/>
      </c>
      <c r="BP213" s="220">
        <f>N213+Q213+U213+Y213+AC213+AG213+AK213+AO213+AS213+AW213+BA213+BE213+BI213+BM213</f>
        <v/>
      </c>
      <c r="BQ213" s="220">
        <f>N213+R213+V213+Z213+AD213+AH213+AL213+AP213+AT213+AX213+BB213+BF213+BJ213+BN213</f>
        <v/>
      </c>
      <c r="BR213" s="220">
        <f>BP213-BQ213</f>
        <v/>
      </c>
      <c r="BS213" s="220" t="inlineStr">
        <is>
          <t>/</t>
        </is>
      </c>
      <c r="BT213" s="229" t="inlineStr">
        <is>
          <t>/</t>
        </is>
      </c>
      <c r="BU213" s="230"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BV213" s="230" t="inlineStr">
        <is>
          <t>1、签订期间：2026.2-8月；
2、指标按照全年换算；
3、管理费4.5万/半年</t>
        </is>
      </c>
      <c r="BW213" s="534" t="n"/>
    </row>
    <row r="214" ht="36" customFormat="1" customHeight="1" s="209">
      <c r="A214" s="219" t="n">
        <v>250</v>
      </c>
      <c r="B214" s="220" t="inlineStr">
        <is>
          <t>KQCY0250</t>
        </is>
      </c>
      <c r="C214" s="221" t="inlineStr">
        <is>
          <t>餐饮三分部</t>
        </is>
      </c>
      <c r="D214" s="221" t="inlineStr">
        <is>
          <t>CF320</t>
        </is>
      </c>
      <c r="E214" s="221" t="inlineStr">
        <is>
          <t>江苏财经梅园食堂</t>
        </is>
      </c>
      <c r="F214" s="219" t="inlineStr">
        <is>
          <t>分组作业</t>
        </is>
      </c>
      <c r="G214" s="222" t="inlineStr">
        <is>
          <t>徐敏娟</t>
        </is>
      </c>
      <c r="H214" s="503" t="inlineStr">
        <is>
          <t>/</t>
        </is>
      </c>
      <c r="I214" s="237" t="inlineStr">
        <is>
          <t>喜翻拌</t>
        </is>
      </c>
      <c r="J214" s="219" t="inlineStr">
        <is>
          <t>赵建芳</t>
        </is>
      </c>
      <c r="K214" s="545">
        <f>LET(k,D214&amp;"|"&amp;E214&amp;"|"&amp;H214&amp;"|"&amp;I214&amp;"|"&amp;J214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14" s="546" t="n"/>
      <c r="M214" s="224" t="n"/>
      <c r="N214" s="330" t="n"/>
      <c r="O214" s="548" t="n">
        <v>732000</v>
      </c>
      <c r="P214" s="247" t="n">
        <v>0.29</v>
      </c>
      <c r="Q214" s="461">
        <f>K214*P214</f>
        <v/>
      </c>
      <c r="R214" s="584" t="n">
        <v>50719.8112</v>
      </c>
      <c r="S214" s="461">
        <f>Q214-R214</f>
        <v/>
      </c>
      <c r="T214" s="235" t="n">
        <v>0</v>
      </c>
      <c r="U214" s="461">
        <f>K214*T214</f>
        <v/>
      </c>
      <c r="V214" s="461" t="n"/>
      <c r="W214" s="461">
        <f>U214-V214</f>
        <v/>
      </c>
      <c r="X214" s="235" t="n">
        <v>0</v>
      </c>
      <c r="Y214" s="461">
        <f>K214*X214</f>
        <v/>
      </c>
      <c r="Z214" s="461" t="n"/>
      <c r="AA214" s="461">
        <f>Y214-Z214</f>
        <v/>
      </c>
      <c r="AB214" s="235" t="n">
        <v>0</v>
      </c>
      <c r="AC214" s="461">
        <f>K214*AB214</f>
        <v/>
      </c>
      <c r="AD214" s="461" t="n"/>
      <c r="AE214" s="461">
        <f>AC214-AD214</f>
        <v/>
      </c>
      <c r="AF214" s="235" t="n">
        <v>0</v>
      </c>
      <c r="AG214" s="461">
        <f>K214*AF214</f>
        <v/>
      </c>
      <c r="AH214" s="461" t="n"/>
      <c r="AI214" s="461">
        <f>AG214-AH214</f>
        <v/>
      </c>
      <c r="AJ214" s="235" t="n">
        <v>0</v>
      </c>
      <c r="AK214" s="461">
        <f>K214*AJ214</f>
        <v/>
      </c>
      <c r="AL214" s="461" t="n"/>
      <c r="AM214" s="461">
        <f>AK214-AL214</f>
        <v/>
      </c>
      <c r="AN214" s="235" t="n">
        <v>0</v>
      </c>
      <c r="AO214" s="461">
        <f>K214*AN214</f>
        <v/>
      </c>
      <c r="AP214" s="461" t="n"/>
      <c r="AQ214" s="461">
        <f>AO214-AP214</f>
        <v/>
      </c>
      <c r="AR214" s="461" t="n">
        <v>0</v>
      </c>
      <c r="AS214" s="461">
        <f>K214*AR214</f>
        <v/>
      </c>
      <c r="AT214" s="461" t="n"/>
      <c r="AU214" s="461">
        <f>AS214-AT214</f>
        <v/>
      </c>
      <c r="AV214" s="235" t="n">
        <v>0</v>
      </c>
      <c r="AW214" s="461">
        <f>K214*AV214</f>
        <v/>
      </c>
      <c r="AX214" s="461" t="n"/>
      <c r="AY214" s="461">
        <f>AW214-AX214</f>
        <v/>
      </c>
      <c r="AZ214" s="461" t="inlineStr">
        <is>
          <t>按实</t>
        </is>
      </c>
      <c r="BA214" s="461">
        <f>BB214</f>
        <v/>
      </c>
      <c r="BB214" s="480" t="n">
        <v>362.5</v>
      </c>
      <c r="BC214" s="461">
        <f>BA214-BB214</f>
        <v/>
      </c>
      <c r="BD214" s="461" t="inlineStr">
        <is>
          <t>餐损50元/月，7月按实际经营天数结算</t>
        </is>
      </c>
      <c r="BE214" s="461" t="n">
        <v>50</v>
      </c>
      <c r="BF214" s="480" t="n"/>
      <c r="BG214" s="461">
        <f>BE214-BF214</f>
        <v/>
      </c>
      <c r="BH214" s="461" t="n">
        <v>0</v>
      </c>
      <c r="BI214" s="461">
        <f>K214*BH214</f>
        <v/>
      </c>
      <c r="BJ214" s="585" t="n"/>
      <c r="BK214" s="461">
        <f>BI214-BJ214</f>
        <v/>
      </c>
      <c r="BL214" s="461" t="inlineStr">
        <is>
          <t>按实</t>
        </is>
      </c>
      <c r="BM214" s="220">
        <f>BN214</f>
        <v/>
      </c>
      <c r="BN214" s="243" t="n">
        <v>78056.64999999999</v>
      </c>
      <c r="BO214" s="220">
        <f>BM214-BN214</f>
        <v/>
      </c>
      <c r="BP214" s="220">
        <f>N214+Q214+U214+Y214+AC214+AG214+AK214+AO214+AS214+AW214+BA214+BE214+BI214+BM214</f>
        <v/>
      </c>
      <c r="BQ214" s="220">
        <f>N214+R214+V214+Z214+AD214+AH214+AL214+AP214+AT214+AX214+BB214+BF214+BJ214+BN214</f>
        <v/>
      </c>
      <c r="BR214" s="220">
        <f>BP214-BQ214</f>
        <v/>
      </c>
      <c r="BS214" s="254" t="inlineStr">
        <is>
          <t>/</t>
        </is>
      </c>
      <c r="BT214" s="229" t="inlineStr">
        <is>
          <t>/</t>
        </is>
      </c>
      <c r="BU214" s="230" t="n"/>
      <c r="BV214" s="230" t="inlineStr">
        <is>
          <t>1、签订期间：2026.2-7月；
2、指标按照全年换算；</t>
        </is>
      </c>
      <c r="BW214" s="534" t="n"/>
    </row>
    <row r="215" ht="36" customFormat="1" customHeight="1" s="209">
      <c r="A215" s="219" t="n">
        <v>251</v>
      </c>
      <c r="B215" s="220" t="inlineStr">
        <is>
          <t>KQCY0251</t>
        </is>
      </c>
      <c r="C215" s="221" t="inlineStr">
        <is>
          <t>餐饮三分部</t>
        </is>
      </c>
      <c r="D215" s="221" t="inlineStr">
        <is>
          <t>CF320</t>
        </is>
      </c>
      <c r="E215" s="221" t="inlineStr">
        <is>
          <t>江苏财经梅园食堂</t>
        </is>
      </c>
      <c r="F215" s="219" t="inlineStr">
        <is>
          <t>分组作业</t>
        </is>
      </c>
      <c r="G215" s="222" t="inlineStr">
        <is>
          <t>徐敏娟</t>
        </is>
      </c>
      <c r="H215" s="503" t="inlineStr">
        <is>
          <t>/</t>
        </is>
      </c>
      <c r="I215" s="237" t="inlineStr">
        <is>
          <t>石锅菜</t>
        </is>
      </c>
      <c r="J215" s="219" t="inlineStr">
        <is>
          <t>马成霞</t>
        </is>
      </c>
      <c r="K215" s="545">
        <f>LET(k,D215&amp;"|"&amp;E215&amp;"|"&amp;H215&amp;"|"&amp;I215&amp;"|"&amp;J215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15" s="546" t="n"/>
      <c r="M215" s="224" t="n"/>
      <c r="N215" s="330" t="n"/>
      <c r="O215" s="548" t="n">
        <v>316800</v>
      </c>
      <c r="P215" s="247" t="n">
        <v>0.29</v>
      </c>
      <c r="Q215" s="461">
        <f>K215*P215</f>
        <v/>
      </c>
      <c r="R215" s="584" t="n"/>
      <c r="S215" s="461">
        <f>Q215-R215</f>
        <v/>
      </c>
      <c r="T215" s="235" t="n">
        <v>0</v>
      </c>
      <c r="U215" s="461">
        <f>K215*T215</f>
        <v/>
      </c>
      <c r="V215" s="461" t="n"/>
      <c r="W215" s="461">
        <f>U215-V215</f>
        <v/>
      </c>
      <c r="X215" s="235" t="n">
        <v>0</v>
      </c>
      <c r="Y215" s="461">
        <f>K215*X215</f>
        <v/>
      </c>
      <c r="Z215" s="461" t="n"/>
      <c r="AA215" s="461">
        <f>Y215-Z215</f>
        <v/>
      </c>
      <c r="AB215" s="235" t="n">
        <v>0</v>
      </c>
      <c r="AC215" s="461">
        <f>K215*AB215</f>
        <v/>
      </c>
      <c r="AD215" s="461" t="n"/>
      <c r="AE215" s="461">
        <f>AC215-AD215</f>
        <v/>
      </c>
      <c r="AF215" s="235" t="n">
        <v>0</v>
      </c>
      <c r="AG215" s="461">
        <f>K215*AF215</f>
        <v/>
      </c>
      <c r="AH215" s="461" t="n"/>
      <c r="AI215" s="461">
        <f>AG215-AH215</f>
        <v/>
      </c>
      <c r="AJ215" s="235" t="n">
        <v>0</v>
      </c>
      <c r="AK215" s="461">
        <f>K215*AJ215</f>
        <v/>
      </c>
      <c r="AL215" s="461" t="n"/>
      <c r="AM215" s="461">
        <f>AK215-AL215</f>
        <v/>
      </c>
      <c r="AN215" s="235" t="n">
        <v>0</v>
      </c>
      <c r="AO215" s="461">
        <f>K215*AN215</f>
        <v/>
      </c>
      <c r="AP215" s="461" t="n"/>
      <c r="AQ215" s="461">
        <f>AO215-AP215</f>
        <v/>
      </c>
      <c r="AR215" s="461" t="n">
        <v>0</v>
      </c>
      <c r="AS215" s="461">
        <f>K215*AR215</f>
        <v/>
      </c>
      <c r="AT215" s="461" t="n"/>
      <c r="AU215" s="461">
        <f>AS215-AT215</f>
        <v/>
      </c>
      <c r="AV215" s="235" t="n">
        <v>0</v>
      </c>
      <c r="AW215" s="461">
        <f>K215*AV215</f>
        <v/>
      </c>
      <c r="AX215" s="461" t="n"/>
      <c r="AY215" s="461">
        <f>AW215-AX215</f>
        <v/>
      </c>
      <c r="AZ215" s="461" t="inlineStr">
        <is>
          <t>按实</t>
        </is>
      </c>
      <c r="BA215" s="461">
        <f>BB215</f>
        <v/>
      </c>
      <c r="BB215" s="480" t="n"/>
      <c r="BC215" s="461">
        <f>BA215-BB215</f>
        <v/>
      </c>
      <c r="BD215" s="461" t="inlineStr">
        <is>
          <t>餐损50元/月，7月按实际经营天数结算</t>
        </is>
      </c>
      <c r="BE215" s="461" t="n">
        <v>50</v>
      </c>
      <c r="BF215" s="480" t="n"/>
      <c r="BG215" s="461">
        <f>BE215-BF215</f>
        <v/>
      </c>
      <c r="BH215" s="461" t="n">
        <v>0</v>
      </c>
      <c r="BI215" s="461">
        <f>K215*BH215</f>
        <v/>
      </c>
      <c r="BJ215" s="480" t="n"/>
      <c r="BK215" s="461">
        <f>BI215-BJ215</f>
        <v/>
      </c>
      <c r="BL215" s="461" t="inlineStr">
        <is>
          <t>按实</t>
        </is>
      </c>
      <c r="BM215" s="220">
        <f>BN215</f>
        <v/>
      </c>
      <c r="BN215" s="243" t="n"/>
      <c r="BO215" s="220">
        <f>BM215-BN215</f>
        <v/>
      </c>
      <c r="BP215" s="220">
        <f>N215+Q215+U215+Y215+AC215+AG215+AK215+AO215+AS215+AW215+BA215+BE215+BI215+BM215</f>
        <v/>
      </c>
      <c r="BQ215" s="220">
        <f>N215+R215+V215+Z215+AD215+AH215+AL215+AP215+AT215+AX215+BB215+BF215+BJ215+BN215</f>
        <v/>
      </c>
      <c r="BR215" s="220">
        <f>BP215-BQ215</f>
        <v/>
      </c>
      <c r="BS215" s="254" t="inlineStr">
        <is>
          <t>/</t>
        </is>
      </c>
      <c r="BT215" s="229" t="inlineStr">
        <is>
          <t>/</t>
        </is>
      </c>
      <c r="BU215" s="230" t="n"/>
      <c r="BV215" s="230" t="inlineStr">
        <is>
          <t>1、签订期间：2026.2-7月；
2、指标按照全年换算；</t>
        </is>
      </c>
      <c r="BW215" s="534" t="n"/>
    </row>
    <row r="216" ht="41.25" customFormat="1" customHeight="1" s="209">
      <c r="A216" s="219" t="n">
        <v>252</v>
      </c>
      <c r="B216" s="220" t="inlineStr">
        <is>
          <t>KQCY0252</t>
        </is>
      </c>
      <c r="C216" s="221" t="inlineStr">
        <is>
          <t>餐饮三分部</t>
        </is>
      </c>
      <c r="D216" s="221" t="inlineStr">
        <is>
          <t>CF320</t>
        </is>
      </c>
      <c r="E216" s="221" t="inlineStr">
        <is>
          <t>江苏财经梅园食堂</t>
        </is>
      </c>
      <c r="F216" s="219" t="inlineStr">
        <is>
          <t>分组作业</t>
        </is>
      </c>
      <c r="G216" s="222" t="inlineStr">
        <is>
          <t>徐敏娟</t>
        </is>
      </c>
      <c r="H216" s="503" t="inlineStr">
        <is>
          <t>/</t>
        </is>
      </c>
      <c r="I216" s="237" t="inlineStr">
        <is>
          <t>盖码面/饭</t>
        </is>
      </c>
      <c r="J216" s="219" t="inlineStr">
        <is>
          <t>辛保帆</t>
        </is>
      </c>
      <c r="K216" s="545">
        <f>LET(k,D216&amp;"|"&amp;E216&amp;"|"&amp;H216&amp;"|"&amp;I216&amp;"|"&amp;J216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16" s="546" t="n"/>
      <c r="M216" s="224" t="n"/>
      <c r="N216" s="330" t="n"/>
      <c r="O216" s="548" t="n">
        <v>667200</v>
      </c>
      <c r="P216" s="235" t="n">
        <v>0</v>
      </c>
      <c r="Q216" s="461">
        <f>K216*P216</f>
        <v/>
      </c>
      <c r="R216" s="584" t="n"/>
      <c r="S216" s="461">
        <f>Q216-R216</f>
        <v/>
      </c>
      <c r="T216" s="235" t="n">
        <v>0</v>
      </c>
      <c r="U216" s="461">
        <f>K216*T216</f>
        <v/>
      </c>
      <c r="V216" s="461" t="n"/>
      <c r="W216" s="461">
        <f>U216-V216</f>
        <v/>
      </c>
      <c r="X216" s="235" t="n">
        <v>0</v>
      </c>
      <c r="Y216" s="461">
        <f>K216*X216</f>
        <v/>
      </c>
      <c r="Z216" s="461" t="n"/>
      <c r="AA216" s="461">
        <f>Y216-Z216</f>
        <v/>
      </c>
      <c r="AB216" s="235" t="n">
        <v>0</v>
      </c>
      <c r="AC216" s="461">
        <f>K216*AB216</f>
        <v/>
      </c>
      <c r="AD216" s="461" t="n"/>
      <c r="AE216" s="461">
        <f>AC216-AD216</f>
        <v/>
      </c>
      <c r="AF216" s="235" t="n">
        <v>0</v>
      </c>
      <c r="AG216" s="461">
        <f>K216*AF216</f>
        <v/>
      </c>
      <c r="AH216" s="461" t="n"/>
      <c r="AI216" s="461">
        <f>AG216-AH216</f>
        <v/>
      </c>
      <c r="AJ216" s="235" t="n">
        <v>0</v>
      </c>
      <c r="AK216" s="461">
        <f>K216*AJ216</f>
        <v/>
      </c>
      <c r="AL216" s="461" t="n"/>
      <c r="AM216" s="461">
        <f>AK216-AL216</f>
        <v/>
      </c>
      <c r="AN216" s="235" t="n">
        <v>0</v>
      </c>
      <c r="AO216" s="461">
        <f>K216*AN216</f>
        <v/>
      </c>
      <c r="AP216" s="461" t="n"/>
      <c r="AQ216" s="461">
        <f>AO216-AP216</f>
        <v/>
      </c>
      <c r="AR216" s="461" t="n">
        <v>0</v>
      </c>
      <c r="AS216" s="461">
        <f>K216*AR216</f>
        <v/>
      </c>
      <c r="AT216" s="461" t="n"/>
      <c r="AU216" s="461">
        <f>AS216-AT216</f>
        <v/>
      </c>
      <c r="AV216" s="235" t="n">
        <v>0</v>
      </c>
      <c r="AW216" s="461">
        <f>K216*AV216</f>
        <v/>
      </c>
      <c r="AX216" s="461" t="n"/>
      <c r="AY216" s="461">
        <f>AW216-AX216</f>
        <v/>
      </c>
      <c r="AZ216" s="461" t="inlineStr">
        <is>
          <t>按实</t>
        </is>
      </c>
      <c r="BA216" s="461">
        <f>BB216</f>
        <v/>
      </c>
      <c r="BB216" s="480" t="n"/>
      <c r="BC216" s="461">
        <f>BA216-BB216</f>
        <v/>
      </c>
      <c r="BD216" s="461" t="inlineStr">
        <is>
          <t>餐损50元/月，7月按实际经营天数结算</t>
        </is>
      </c>
      <c r="BE216" s="461" t="n">
        <v>50</v>
      </c>
      <c r="BF216" s="480" t="n"/>
      <c r="BG216" s="461">
        <f>BE216-BF216</f>
        <v/>
      </c>
      <c r="BH216" s="461" t="inlineStr">
        <is>
          <t>6万（含）以下29%，6万以上28%</t>
        </is>
      </c>
      <c r="BI216" s="461">
        <f>K216*29%</f>
        <v/>
      </c>
      <c r="BJ216" s="480" t="n"/>
      <c r="BK216" s="461">
        <f>BI216-BJ216</f>
        <v/>
      </c>
      <c r="BL216" s="461" t="inlineStr">
        <is>
          <t>按实</t>
        </is>
      </c>
      <c r="BM216" s="220">
        <f>BN216</f>
        <v/>
      </c>
      <c r="BN216" s="243" t="n"/>
      <c r="BO216" s="220">
        <f>BM216-BN216</f>
        <v/>
      </c>
      <c r="BP216" s="220">
        <f>N216+Q216+U216+Y216+AC216+AG216+AK216+AO216+AS216+AW216+BA216+BE216+BI216+BM216</f>
        <v/>
      </c>
      <c r="BQ216" s="220">
        <f>N216+R216+V216+Z216+AD216+AH216+AL216+AP216+AT216+AX216+BB216+BF216+BJ216+BN216</f>
        <v/>
      </c>
      <c r="BR216" s="220">
        <f>BP216-BQ216</f>
        <v/>
      </c>
      <c r="BS216" s="254" t="inlineStr">
        <is>
          <t>/</t>
        </is>
      </c>
      <c r="BT216" s="229" t="inlineStr">
        <is>
          <t>/</t>
        </is>
      </c>
      <c r="BU216" s="230" t="inlineStr">
        <is>
          <t>1、服务费：超过6万按28%，未超过按29%收取管理费；
2、虫害消杀：项目反馈不收取，包含在服务费中；
3、采购费：项目反馈不收取，包含在服务费中；
4、装修折旧费：项目反馈不收取，包含在服务费中；
5、管理人员费：项目反馈不收取，包含在服务费中；
6、共建活动费：项目反馈不收取，包含在服务费中；
7、资产费：项目反馈不收取，包含在服务费中；
8、卫生费：项目反馈不收取，包含在服务费中；
9、能源费：项目反馈不收取，包含在服务费中；</t>
        </is>
      </c>
      <c r="BV216" s="230" t="inlineStr">
        <is>
          <t>1、签订期间：2026.3-7月；
2、指标按照全年换算；
3、管理费6万以上28%，以下29%；</t>
        </is>
      </c>
      <c r="BW216" s="534" t="n"/>
    </row>
    <row r="217" ht="36" customFormat="1" customHeight="1" s="209">
      <c r="A217" s="219" t="n">
        <v>253</v>
      </c>
      <c r="B217" s="220" t="inlineStr">
        <is>
          <t>KQCY0253</t>
        </is>
      </c>
      <c r="C217" s="221" t="inlineStr">
        <is>
          <t>餐饮三分部</t>
        </is>
      </c>
      <c r="D217" s="221" t="inlineStr">
        <is>
          <t>CF320</t>
        </is>
      </c>
      <c r="E217" s="221" t="inlineStr">
        <is>
          <t>江苏财经梅园食堂</t>
        </is>
      </c>
      <c r="F217" s="219" t="inlineStr">
        <is>
          <t>分组作业</t>
        </is>
      </c>
      <c r="G217" s="222" t="inlineStr">
        <is>
          <t>徐敏娟</t>
        </is>
      </c>
      <c r="H217" s="461" t="inlineStr">
        <is>
          <t>/</t>
        </is>
      </c>
      <c r="I217" s="237" t="inlineStr">
        <is>
          <t>铁板烧</t>
        </is>
      </c>
      <c r="J217" s="219" t="inlineStr">
        <is>
          <t>姜红霞</t>
        </is>
      </c>
      <c r="K217" s="545">
        <f>LET(k,D217&amp;"|"&amp;E217&amp;"|"&amp;H217&amp;"|"&amp;I217&amp;"|"&amp;J217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17" s="546" t="n"/>
      <c r="M217" s="224" t="n"/>
      <c r="N217" s="330" t="n"/>
      <c r="O217" s="548" t="n"/>
      <c r="P217" s="552" t="n">
        <v>0.29</v>
      </c>
      <c r="Q217" s="461">
        <f>K217*P217</f>
        <v/>
      </c>
      <c r="R217" s="584" t="n"/>
      <c r="S217" s="461">
        <f>Q217-R217</f>
        <v/>
      </c>
      <c r="T217" s="235" t="n">
        <v>0</v>
      </c>
      <c r="U217" s="461">
        <f>K217*T217</f>
        <v/>
      </c>
      <c r="V217" s="461" t="n"/>
      <c r="W217" s="461">
        <f>U217-V217</f>
        <v/>
      </c>
      <c r="X217" s="235" t="n">
        <v>0</v>
      </c>
      <c r="Y217" s="461">
        <f>K217*X217</f>
        <v/>
      </c>
      <c r="Z217" s="461" t="n"/>
      <c r="AA217" s="461">
        <f>Y217-Z217</f>
        <v/>
      </c>
      <c r="AB217" s="235" t="n">
        <v>0</v>
      </c>
      <c r="AC217" s="461">
        <f>K217*AB217</f>
        <v/>
      </c>
      <c r="AD217" s="461" t="n"/>
      <c r="AE217" s="461">
        <f>AC217-AD217</f>
        <v/>
      </c>
      <c r="AF217" s="235" t="n">
        <v>0</v>
      </c>
      <c r="AG217" s="461">
        <f>K217*AF217</f>
        <v/>
      </c>
      <c r="AH217" s="461" t="n"/>
      <c r="AI217" s="461">
        <f>AG217-AH217</f>
        <v/>
      </c>
      <c r="AJ217" s="235" t="n">
        <v>0</v>
      </c>
      <c r="AK217" s="461">
        <f>K217*AJ217</f>
        <v/>
      </c>
      <c r="AL217" s="461" t="n"/>
      <c r="AM217" s="461">
        <f>AK217-AL217</f>
        <v/>
      </c>
      <c r="AN217" s="235" t="n">
        <v>0</v>
      </c>
      <c r="AO217" s="461">
        <f>K217*AN217</f>
        <v/>
      </c>
      <c r="AP217" s="461" t="n"/>
      <c r="AQ217" s="461">
        <f>AO217-AP217</f>
        <v/>
      </c>
      <c r="AR217" s="461" t="n">
        <v>0</v>
      </c>
      <c r="AS217" s="461">
        <f>K217*AR217</f>
        <v/>
      </c>
      <c r="AT217" s="461" t="n"/>
      <c r="AU217" s="461">
        <f>AS217-AT217</f>
        <v/>
      </c>
      <c r="AV217" s="235" t="n">
        <v>0</v>
      </c>
      <c r="AW217" s="461">
        <f>K217*AV217</f>
        <v/>
      </c>
      <c r="AX217" s="461" t="n"/>
      <c r="AY217" s="461">
        <f>AW217-AX217</f>
        <v/>
      </c>
      <c r="AZ217" s="461" t="inlineStr">
        <is>
          <t>按实</t>
        </is>
      </c>
      <c r="BA217" s="461">
        <f>BB217</f>
        <v/>
      </c>
      <c r="BB217" s="480" t="n"/>
      <c r="BC217" s="461">
        <f>BA217-BB217</f>
        <v/>
      </c>
      <c r="BD217" s="235" t="inlineStr">
        <is>
          <t>餐损50元/月，7月按实际经营天数结算</t>
        </is>
      </c>
      <c r="BE217" s="461" t="n">
        <v>50</v>
      </c>
      <c r="BF217" s="480" t="n"/>
      <c r="BG217" s="461">
        <f>BE217-BF217</f>
        <v/>
      </c>
      <c r="BH217" s="461" t="n">
        <v>0</v>
      </c>
      <c r="BI217" s="461">
        <f>K217*BH217</f>
        <v/>
      </c>
      <c r="BJ217" s="585" t="n"/>
      <c r="BK217" s="461">
        <f>BI217-BJ217</f>
        <v/>
      </c>
      <c r="BL217" s="461" t="inlineStr">
        <is>
          <t>按实</t>
        </is>
      </c>
      <c r="BM217" s="220">
        <f>BN217</f>
        <v/>
      </c>
      <c r="BN217" s="243" t="n"/>
      <c r="BO217" s="220">
        <f>BM217-BN217</f>
        <v/>
      </c>
      <c r="BP217" s="220">
        <f>N217+Q217+U217+Y217+AC217+AG217+AK217+AO217+AS217+AW217+BA217+BE217+BI217+BM217</f>
        <v/>
      </c>
      <c r="BQ217" s="220">
        <f>N217+R217+V217+Z217+AD217+AH217+AL217+AP217+AT217+AX217+BB217+BF217+BJ217+BN217</f>
        <v/>
      </c>
      <c r="BR217" s="220">
        <f>BP217-BQ217</f>
        <v/>
      </c>
      <c r="BS217" s="254" t="n"/>
      <c r="BT217" s="229" t="n"/>
      <c r="BU217" s="230" t="n"/>
      <c r="BV217" s="230" t="n"/>
      <c r="BW217" s="534" t="n"/>
    </row>
    <row r="218" ht="36" customFormat="1" customHeight="1" s="209">
      <c r="A218" s="219" t="n">
        <v>254</v>
      </c>
      <c r="B218" s="220" t="inlineStr">
        <is>
          <t>KQCY0254</t>
        </is>
      </c>
      <c r="C218" s="221" t="inlineStr">
        <is>
          <t>餐饮三分部</t>
        </is>
      </c>
      <c r="D218" s="221" t="inlineStr">
        <is>
          <t>CF320</t>
        </is>
      </c>
      <c r="E218" s="221" t="inlineStr">
        <is>
          <t>江苏财经梅园食堂</t>
        </is>
      </c>
      <c r="F218" s="219" t="inlineStr">
        <is>
          <t>分组作业</t>
        </is>
      </c>
      <c r="G218" s="222" t="inlineStr">
        <is>
          <t>徐敏娟</t>
        </is>
      </c>
      <c r="H218" s="503" t="inlineStr">
        <is>
          <t>/</t>
        </is>
      </c>
      <c r="I218" s="237" t="inlineStr">
        <is>
          <t>快餐</t>
        </is>
      </c>
      <c r="J218" s="219" t="inlineStr">
        <is>
          <t>黄信生</t>
        </is>
      </c>
      <c r="K218" s="545">
        <f>LET(k,D218&amp;"|"&amp;E218&amp;"|"&amp;H218&amp;"|"&amp;I218&amp;"|"&amp;J218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18" s="546" t="n"/>
      <c r="M218" s="224" t="n"/>
      <c r="N218" s="330" t="n"/>
      <c r="O218" s="548" t="n">
        <v>1519200</v>
      </c>
      <c r="P218" s="552" t="n">
        <v>0.22</v>
      </c>
      <c r="Q218" s="461">
        <f>K218*P218</f>
        <v/>
      </c>
      <c r="R218" s="584" t="n"/>
      <c r="S218" s="461">
        <f>Q218-R218</f>
        <v/>
      </c>
      <c r="T218" s="235" t="n">
        <v>0</v>
      </c>
      <c r="U218" s="461">
        <f>K218*T218</f>
        <v/>
      </c>
      <c r="V218" s="461" t="n"/>
      <c r="W218" s="461">
        <f>U218-V218</f>
        <v/>
      </c>
      <c r="X218" s="235" t="n">
        <v>0</v>
      </c>
      <c r="Y218" s="461">
        <f>K218*X218</f>
        <v/>
      </c>
      <c r="Z218" s="461" t="n"/>
      <c r="AA218" s="461">
        <f>Y218-Z218</f>
        <v/>
      </c>
      <c r="AB218" s="235" t="n">
        <v>0</v>
      </c>
      <c r="AC218" s="461">
        <f>K218*AB218</f>
        <v/>
      </c>
      <c r="AD218" s="461" t="n"/>
      <c r="AE218" s="461">
        <f>AC218-AD218</f>
        <v/>
      </c>
      <c r="AF218" s="235" t="n">
        <v>0</v>
      </c>
      <c r="AG218" s="461">
        <f>K218*AF218</f>
        <v/>
      </c>
      <c r="AH218" s="461" t="n"/>
      <c r="AI218" s="461">
        <f>AG218-AH218</f>
        <v/>
      </c>
      <c r="AJ218" s="235" t="n">
        <v>0</v>
      </c>
      <c r="AK218" s="461">
        <f>K218*AJ218</f>
        <v/>
      </c>
      <c r="AL218" s="461" t="n"/>
      <c r="AM218" s="461">
        <f>AK218-AL218</f>
        <v/>
      </c>
      <c r="AN218" s="235" t="n">
        <v>0</v>
      </c>
      <c r="AO218" s="461">
        <f>K218*AN218</f>
        <v/>
      </c>
      <c r="AP218" s="461" t="n"/>
      <c r="AQ218" s="461">
        <f>AO218-AP218</f>
        <v/>
      </c>
      <c r="AR218" s="461" t="n">
        <v>0</v>
      </c>
      <c r="AS218" s="461">
        <f>K218*AR218</f>
        <v/>
      </c>
      <c r="AT218" s="461" t="n"/>
      <c r="AU218" s="461">
        <f>AS218-AT218</f>
        <v/>
      </c>
      <c r="AV218" s="235" t="n">
        <v>0</v>
      </c>
      <c r="AW218" s="461">
        <f>K218*AV218</f>
        <v/>
      </c>
      <c r="AX218" s="461" t="n"/>
      <c r="AY218" s="461">
        <f>AW218-AX218</f>
        <v/>
      </c>
      <c r="AZ218" s="461" t="inlineStr">
        <is>
          <t>按实</t>
        </is>
      </c>
      <c r="BA218" s="461">
        <f>BB218</f>
        <v/>
      </c>
      <c r="BB218" s="480" t="n"/>
      <c r="BC218" s="461">
        <f>BA218-BB218</f>
        <v/>
      </c>
      <c r="BD218" s="235" t="inlineStr">
        <is>
          <t>餐损50元/月，7月按实际经营天数结算</t>
        </is>
      </c>
      <c r="BE218" s="461" t="n">
        <v>50</v>
      </c>
      <c r="BF218" s="480" t="n"/>
      <c r="BG218" s="461">
        <f>BE218-BF218</f>
        <v/>
      </c>
      <c r="BH218" s="461" t="n">
        <v>0</v>
      </c>
      <c r="BI218" s="461">
        <f>K218*BH218</f>
        <v/>
      </c>
      <c r="BJ218" s="585" t="n"/>
      <c r="BK218" s="461">
        <f>BI218-BJ218</f>
        <v/>
      </c>
      <c r="BL218" s="461" t="inlineStr">
        <is>
          <t>按实</t>
        </is>
      </c>
      <c r="BM218" s="220">
        <f>BN218</f>
        <v/>
      </c>
      <c r="BN218" s="243" t="n"/>
      <c r="BO218" s="220">
        <f>BM218-BN218</f>
        <v/>
      </c>
      <c r="BP218" s="220">
        <f>N218+Q218+U218+Y218+AC218+AG218+AK218+AO218+AS218+AW218+BA218+BE218+BI218+BM218</f>
        <v/>
      </c>
      <c r="BQ218" s="220">
        <f>N218+R218+V218+Z218+AD218+AH218+AL218+AP218+AT218+AX218+BB218+BF218+BJ218+BN218</f>
        <v/>
      </c>
      <c r="BR218" s="220">
        <f>BP218-BQ218</f>
        <v/>
      </c>
      <c r="BS218" s="254" t="inlineStr">
        <is>
          <t>/</t>
        </is>
      </c>
      <c r="BT218" s="229" t="inlineStr">
        <is>
          <t>/</t>
        </is>
      </c>
      <c r="BU218" s="230" t="n"/>
      <c r="BV218" s="230" t="inlineStr">
        <is>
          <t>1、签订期间：2026.3-7月；
2、指标按照全年换算；</t>
        </is>
      </c>
      <c r="BW218" s="534" t="n"/>
    </row>
    <row r="219" ht="36" customFormat="1" customHeight="1" s="209">
      <c r="A219" s="219" t="n">
        <v>255</v>
      </c>
      <c r="B219" s="220" t="inlineStr">
        <is>
          <t>KQCY0255</t>
        </is>
      </c>
      <c r="C219" s="221" t="inlineStr">
        <is>
          <t>餐饮三分部</t>
        </is>
      </c>
      <c r="D219" s="221" t="inlineStr">
        <is>
          <t>CF320</t>
        </is>
      </c>
      <c r="E219" s="221" t="inlineStr">
        <is>
          <t>江苏财经梅园食堂</t>
        </is>
      </c>
      <c r="F219" s="219" t="inlineStr">
        <is>
          <t>分组作业</t>
        </is>
      </c>
      <c r="G219" s="222" t="inlineStr">
        <is>
          <t>徐敏娟</t>
        </is>
      </c>
      <c r="H219" s="503" t="inlineStr">
        <is>
          <t>/</t>
        </is>
      </c>
      <c r="I219" s="237" t="inlineStr">
        <is>
          <t>早点</t>
        </is>
      </c>
      <c r="J219" s="239" t="inlineStr">
        <is>
          <t>狄国军</t>
        </is>
      </c>
      <c r="K219" s="545">
        <f>LET(k,D219&amp;"|"&amp;E219&amp;"|"&amp;H219&amp;"|"&amp;I219&amp;"|"&amp;J219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19" s="546" t="n"/>
      <c r="M219" s="224" t="n"/>
      <c r="N219" s="330" t="n"/>
      <c r="O219" s="548" t="n">
        <v>868800</v>
      </c>
      <c r="P219" s="552" t="n">
        <v>0.28</v>
      </c>
      <c r="Q219" s="461">
        <f>K219*P219</f>
        <v/>
      </c>
      <c r="R219" s="584" t="n"/>
      <c r="S219" s="461">
        <f>Q219-R219</f>
        <v/>
      </c>
      <c r="T219" s="235" t="n">
        <v>0</v>
      </c>
      <c r="U219" s="461">
        <f>K219*T219</f>
        <v/>
      </c>
      <c r="V219" s="461" t="n"/>
      <c r="W219" s="461">
        <f>U219-V219</f>
        <v/>
      </c>
      <c r="X219" s="235" t="n">
        <v>0</v>
      </c>
      <c r="Y219" s="461">
        <f>K219*X219</f>
        <v/>
      </c>
      <c r="Z219" s="461" t="n"/>
      <c r="AA219" s="461">
        <f>Y219-Z219</f>
        <v/>
      </c>
      <c r="AB219" s="235" t="n">
        <v>0</v>
      </c>
      <c r="AC219" s="461">
        <f>K219*AB219</f>
        <v/>
      </c>
      <c r="AD219" s="461" t="n"/>
      <c r="AE219" s="461">
        <f>AC219-AD219</f>
        <v/>
      </c>
      <c r="AF219" s="235" t="n">
        <v>0</v>
      </c>
      <c r="AG219" s="461">
        <f>K219*AF219</f>
        <v/>
      </c>
      <c r="AH219" s="461" t="n"/>
      <c r="AI219" s="461">
        <f>AG219-AH219</f>
        <v/>
      </c>
      <c r="AJ219" s="235" t="n">
        <v>0</v>
      </c>
      <c r="AK219" s="461">
        <f>K219*AJ219</f>
        <v/>
      </c>
      <c r="AL219" s="461" t="n"/>
      <c r="AM219" s="461">
        <f>AK219-AL219</f>
        <v/>
      </c>
      <c r="AN219" s="235" t="n">
        <v>0</v>
      </c>
      <c r="AO219" s="461">
        <f>K219*AN219</f>
        <v/>
      </c>
      <c r="AP219" s="461" t="n"/>
      <c r="AQ219" s="461">
        <f>AO219-AP219</f>
        <v/>
      </c>
      <c r="AR219" s="461" t="n">
        <v>0</v>
      </c>
      <c r="AS219" s="461">
        <f>K219*AR219</f>
        <v/>
      </c>
      <c r="AT219" s="461" t="n"/>
      <c r="AU219" s="461">
        <f>AS219-AT219</f>
        <v/>
      </c>
      <c r="AV219" s="235" t="n">
        <v>0</v>
      </c>
      <c r="AW219" s="461">
        <f>K219*AV219</f>
        <v/>
      </c>
      <c r="AX219" s="461" t="n"/>
      <c r="AY219" s="461">
        <f>AW219-AX219</f>
        <v/>
      </c>
      <c r="AZ219" s="461" t="inlineStr">
        <is>
          <t>按实</t>
        </is>
      </c>
      <c r="BA219" s="461">
        <f>BB219</f>
        <v/>
      </c>
      <c r="BB219" s="480" t="n"/>
      <c r="BC219" s="461">
        <f>BA219-BB219</f>
        <v/>
      </c>
      <c r="BD219" s="235" t="inlineStr">
        <is>
          <t>餐损50元/月，7月按实际经营天数结算</t>
        </is>
      </c>
      <c r="BE219" s="461" t="n">
        <v>50</v>
      </c>
      <c r="BF219" s="480" t="n"/>
      <c r="BG219" s="461">
        <f>BE219-BF219</f>
        <v/>
      </c>
      <c r="BH219" s="461" t="n">
        <v>0</v>
      </c>
      <c r="BI219" s="461">
        <f>K219*BH219</f>
        <v/>
      </c>
      <c r="BJ219" s="480" t="n"/>
      <c r="BK219" s="461">
        <f>BI219-BJ219</f>
        <v/>
      </c>
      <c r="BL219" s="461" t="inlineStr">
        <is>
          <t>按实</t>
        </is>
      </c>
      <c r="BM219" s="220">
        <f>BN219</f>
        <v/>
      </c>
      <c r="BN219" s="243" t="n"/>
      <c r="BO219" s="220">
        <f>BM219-BN219</f>
        <v/>
      </c>
      <c r="BP219" s="220">
        <f>N219+Q219+U219+Y219+AC219+AG219+AK219+AO219+AS219+AW219+BA219+BE219+BI219+BM219</f>
        <v/>
      </c>
      <c r="BQ219" s="220">
        <f>N219+R219+V219+Z219+AD219+AH219+AL219+AP219+AT219+AX219+BB219+BF219+BJ219+BN219</f>
        <v/>
      </c>
      <c r="BR219" s="220">
        <f>BP219-BQ219</f>
        <v/>
      </c>
      <c r="BS219" s="254" t="inlineStr">
        <is>
          <t>/</t>
        </is>
      </c>
      <c r="BT219" s="229" t="inlineStr">
        <is>
          <t>/</t>
        </is>
      </c>
      <c r="BU219" s="230" t="n"/>
      <c r="BV219" s="230" t="inlineStr">
        <is>
          <t>1、签订期间：2026.3-7月；
2、指标按照全年换算；</t>
        </is>
      </c>
      <c r="BW219" s="534" t="n"/>
    </row>
    <row r="220" ht="36" customFormat="1" customHeight="1" s="209">
      <c r="A220" s="219" t="n">
        <v>256</v>
      </c>
      <c r="B220" s="220" t="inlineStr">
        <is>
          <t>KQCY0256</t>
        </is>
      </c>
      <c r="C220" s="221" t="inlineStr">
        <is>
          <t>餐饮三分部</t>
        </is>
      </c>
      <c r="D220" s="221" t="inlineStr">
        <is>
          <t>CF320</t>
        </is>
      </c>
      <c r="E220" s="221" t="inlineStr">
        <is>
          <t>江苏财经梅园食堂</t>
        </is>
      </c>
      <c r="F220" s="219" t="inlineStr">
        <is>
          <t>分组作业</t>
        </is>
      </c>
      <c r="G220" s="222" t="inlineStr">
        <is>
          <t>徐敏娟</t>
        </is>
      </c>
      <c r="H220" s="503" t="inlineStr">
        <is>
          <t>/</t>
        </is>
      </c>
      <c r="I220" s="237" t="inlineStr">
        <is>
          <t>双拼饭</t>
        </is>
      </c>
      <c r="J220" s="219" t="inlineStr">
        <is>
          <t>相加生</t>
        </is>
      </c>
      <c r="K220" s="545">
        <f>LET(k,D220&amp;"|"&amp;E220&amp;"|"&amp;H220&amp;"|"&amp;I220&amp;"|"&amp;J220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20" s="546" t="n"/>
      <c r="M220" s="224" t="n"/>
      <c r="N220" s="330" t="n"/>
      <c r="O220" s="548" t="n">
        <v>780000</v>
      </c>
      <c r="P220" s="552" t="n">
        <v>0.29</v>
      </c>
      <c r="Q220" s="461">
        <f>K220*P220</f>
        <v/>
      </c>
      <c r="R220" s="584" t="n"/>
      <c r="S220" s="461">
        <f>Q220-R220</f>
        <v/>
      </c>
      <c r="T220" s="235" t="n">
        <v>0</v>
      </c>
      <c r="U220" s="461">
        <f>K220*T220</f>
        <v/>
      </c>
      <c r="V220" s="461" t="n"/>
      <c r="W220" s="461">
        <f>U220-V220</f>
        <v/>
      </c>
      <c r="X220" s="235" t="n">
        <v>0</v>
      </c>
      <c r="Y220" s="461">
        <f>K220*X220</f>
        <v/>
      </c>
      <c r="Z220" s="461" t="n"/>
      <c r="AA220" s="461">
        <f>Y220-Z220</f>
        <v/>
      </c>
      <c r="AB220" s="235" t="n">
        <v>0</v>
      </c>
      <c r="AC220" s="461">
        <f>K220*AB220</f>
        <v/>
      </c>
      <c r="AD220" s="461" t="n"/>
      <c r="AE220" s="461">
        <f>AC220-AD220</f>
        <v/>
      </c>
      <c r="AF220" s="235" t="n">
        <v>0</v>
      </c>
      <c r="AG220" s="461">
        <f>K220*AF220</f>
        <v/>
      </c>
      <c r="AH220" s="461" t="n"/>
      <c r="AI220" s="461">
        <f>AG220-AH220</f>
        <v/>
      </c>
      <c r="AJ220" s="235" t="n">
        <v>0</v>
      </c>
      <c r="AK220" s="461">
        <f>K220*AJ220</f>
        <v/>
      </c>
      <c r="AL220" s="461" t="n"/>
      <c r="AM220" s="461">
        <f>AK220-AL220</f>
        <v/>
      </c>
      <c r="AN220" s="235" t="n">
        <v>0</v>
      </c>
      <c r="AO220" s="461">
        <f>K220*AN220</f>
        <v/>
      </c>
      <c r="AP220" s="461" t="n"/>
      <c r="AQ220" s="461">
        <f>AO220-AP220</f>
        <v/>
      </c>
      <c r="AR220" s="461" t="n">
        <v>0</v>
      </c>
      <c r="AS220" s="461">
        <f>K220*AR220</f>
        <v/>
      </c>
      <c r="AT220" s="461" t="n"/>
      <c r="AU220" s="461">
        <f>AS220-AT220</f>
        <v/>
      </c>
      <c r="AV220" s="235" t="n">
        <v>0</v>
      </c>
      <c r="AW220" s="461">
        <f>K220*AV220</f>
        <v/>
      </c>
      <c r="AX220" s="461" t="n"/>
      <c r="AY220" s="461">
        <f>AW220-AX220</f>
        <v/>
      </c>
      <c r="AZ220" s="461" t="inlineStr">
        <is>
          <t>按实</t>
        </is>
      </c>
      <c r="BA220" s="461">
        <f>BB220</f>
        <v/>
      </c>
      <c r="BB220" s="480" t="n"/>
      <c r="BC220" s="461">
        <f>BA220-BB220</f>
        <v/>
      </c>
      <c r="BD220" s="235" t="inlineStr">
        <is>
          <t>餐损50元/月，7月按实际经营天数结算</t>
        </is>
      </c>
      <c r="BE220" s="461" t="n">
        <v>50</v>
      </c>
      <c r="BF220" s="480" t="n"/>
      <c r="BG220" s="461">
        <f>BE220-BF220</f>
        <v/>
      </c>
      <c r="BH220" s="461" t="n">
        <v>0</v>
      </c>
      <c r="BI220" s="461">
        <f>K220*BH220</f>
        <v/>
      </c>
      <c r="BJ220" s="586" t="n"/>
      <c r="BK220" s="461">
        <f>BI220-BJ220</f>
        <v/>
      </c>
      <c r="BL220" s="461" t="inlineStr">
        <is>
          <t>按实</t>
        </is>
      </c>
      <c r="BM220" s="220">
        <f>BN220</f>
        <v/>
      </c>
      <c r="BN220" s="587" t="n"/>
      <c r="BO220" s="220">
        <f>BM220-BN220</f>
        <v/>
      </c>
      <c r="BP220" s="220">
        <f>N220+Q220+U220+Y220+AC220+AG220+AK220+AO220+AS220+AW220+BA220+BE220+BI220+BM220</f>
        <v/>
      </c>
      <c r="BQ220" s="220">
        <f>N220+R220+V220+Z220+AD220+AH220+AL220+AP220+AT220+AX220+BB220+BF220+BJ220+BN220</f>
        <v/>
      </c>
      <c r="BR220" s="220">
        <f>BP220-BQ220</f>
        <v/>
      </c>
      <c r="BS220" s="254" t="inlineStr">
        <is>
          <t>/</t>
        </is>
      </c>
      <c r="BT220" s="229" t="inlineStr">
        <is>
          <t>/</t>
        </is>
      </c>
      <c r="BU220" s="230" t="n"/>
      <c r="BV220" s="230" t="inlineStr">
        <is>
          <t>1、签订期间：2026.2-7月；
2、指标按照全年换算；</t>
        </is>
      </c>
      <c r="BW220" s="534" t="n"/>
    </row>
    <row r="221" ht="36" customFormat="1" customHeight="1" s="209">
      <c r="A221" s="219" t="n">
        <v>257</v>
      </c>
      <c r="B221" s="220" t="inlineStr">
        <is>
          <t>KQCY0257</t>
        </is>
      </c>
      <c r="C221" s="221" t="inlineStr">
        <is>
          <t>餐饮三分部</t>
        </is>
      </c>
      <c r="D221" s="221" t="inlineStr">
        <is>
          <t>CF320</t>
        </is>
      </c>
      <c r="E221" s="221" t="inlineStr">
        <is>
          <t>江苏财经梅园食堂</t>
        </is>
      </c>
      <c r="F221" s="219" t="inlineStr">
        <is>
          <t>分组作业</t>
        </is>
      </c>
      <c r="G221" s="222" t="inlineStr">
        <is>
          <t>徐敏娟</t>
        </is>
      </c>
      <c r="H221" s="503" t="inlineStr">
        <is>
          <t>/</t>
        </is>
      </c>
      <c r="I221" s="237" t="inlineStr">
        <is>
          <t>一纸鸡</t>
        </is>
      </c>
      <c r="J221" s="219" t="inlineStr">
        <is>
          <t>王森</t>
        </is>
      </c>
      <c r="K221" s="545">
        <f>LET(k,D221&amp;"|"&amp;E221&amp;"|"&amp;H221&amp;"|"&amp;I221&amp;"|"&amp;J221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21" s="546" t="n"/>
      <c r="M221" s="224" t="n"/>
      <c r="N221" s="330" t="n">
        <v>12602.13</v>
      </c>
      <c r="O221" s="548" t="n">
        <v>333600</v>
      </c>
      <c r="P221" s="552" t="n">
        <v>0.29</v>
      </c>
      <c r="Q221" s="461">
        <f>K221*P221</f>
        <v/>
      </c>
      <c r="R221" s="584" t="n"/>
      <c r="S221" s="461">
        <f>Q221-R221</f>
        <v/>
      </c>
      <c r="T221" s="235" t="n">
        <v>0</v>
      </c>
      <c r="U221" s="461">
        <f>K221*T221</f>
        <v/>
      </c>
      <c r="V221" s="461" t="n"/>
      <c r="W221" s="461">
        <f>U221-V221</f>
        <v/>
      </c>
      <c r="X221" s="235" t="n">
        <v>0</v>
      </c>
      <c r="Y221" s="461">
        <f>K221*X221</f>
        <v/>
      </c>
      <c r="Z221" s="461" t="n"/>
      <c r="AA221" s="461">
        <f>Y221-Z221</f>
        <v/>
      </c>
      <c r="AB221" s="235" t="n">
        <v>0</v>
      </c>
      <c r="AC221" s="461">
        <f>K221*AB221</f>
        <v/>
      </c>
      <c r="AD221" s="461" t="n"/>
      <c r="AE221" s="461">
        <f>AC221-AD221</f>
        <v/>
      </c>
      <c r="AF221" s="235" t="n">
        <v>0</v>
      </c>
      <c r="AG221" s="461">
        <f>K221*AF221</f>
        <v/>
      </c>
      <c r="AH221" s="461" t="n"/>
      <c r="AI221" s="461">
        <f>AG221-AH221</f>
        <v/>
      </c>
      <c r="AJ221" s="235" t="n">
        <v>0</v>
      </c>
      <c r="AK221" s="461">
        <f>K221*AJ221</f>
        <v/>
      </c>
      <c r="AL221" s="461" t="n"/>
      <c r="AM221" s="461">
        <f>AK221-AL221</f>
        <v/>
      </c>
      <c r="AN221" s="235" t="n">
        <v>0</v>
      </c>
      <c r="AO221" s="461">
        <f>K221*AN221</f>
        <v/>
      </c>
      <c r="AP221" s="461" t="n"/>
      <c r="AQ221" s="461">
        <f>AO221-AP221</f>
        <v/>
      </c>
      <c r="AR221" s="461" t="n">
        <v>0</v>
      </c>
      <c r="AS221" s="461">
        <f>K221*AR221</f>
        <v/>
      </c>
      <c r="AT221" s="461" t="n"/>
      <c r="AU221" s="461">
        <f>AS221-AT221</f>
        <v/>
      </c>
      <c r="AV221" s="235" t="n">
        <v>0</v>
      </c>
      <c r="AW221" s="461">
        <f>K221*AV221</f>
        <v/>
      </c>
      <c r="AX221" s="461" t="n"/>
      <c r="AY221" s="461">
        <f>AW221-AX221</f>
        <v/>
      </c>
      <c r="AZ221" s="461" t="inlineStr">
        <is>
          <t>按实</t>
        </is>
      </c>
      <c r="BA221" s="461">
        <f>BB221</f>
        <v/>
      </c>
      <c r="BB221" s="480" t="n"/>
      <c r="BC221" s="461">
        <f>BA221-BB221</f>
        <v/>
      </c>
      <c r="BD221" s="235" t="inlineStr">
        <is>
          <t>餐损50元/月，7月按实际经营天数结算</t>
        </is>
      </c>
      <c r="BE221" s="461" t="n">
        <v>50</v>
      </c>
      <c r="BF221" s="480" t="n"/>
      <c r="BG221" s="461">
        <f>BE221-BF221</f>
        <v/>
      </c>
      <c r="BH221" s="461" t="n">
        <v>0</v>
      </c>
      <c r="BI221" s="461">
        <f>K221*BH221</f>
        <v/>
      </c>
      <c r="BJ221" s="586" t="n"/>
      <c r="BK221" s="461">
        <f>BI221-BJ221</f>
        <v/>
      </c>
      <c r="BL221" s="461" t="inlineStr">
        <is>
          <t>按实</t>
        </is>
      </c>
      <c r="BM221" s="220">
        <f>BN221</f>
        <v/>
      </c>
      <c r="BN221" s="587" t="n"/>
      <c r="BO221" s="220">
        <f>BM221-BN221</f>
        <v/>
      </c>
      <c r="BP221" s="220">
        <f>N221+Q221+U221+Y221+AC221+AG221+AK221+AO221+AS221+AW221+BA221+BE221+BI221+BM221</f>
        <v/>
      </c>
      <c r="BQ221" s="220">
        <f>N221+R221+V221+Z221+AD221+AH221+AL221+AP221+AT221+AX221+BB221+BF221+BJ221+BN221</f>
        <v/>
      </c>
      <c r="BR221" s="220">
        <f>BP221-BQ221</f>
        <v/>
      </c>
      <c r="BS221" s="254" t="inlineStr">
        <is>
          <t>/</t>
        </is>
      </c>
      <c r="BT221" s="229" t="inlineStr">
        <is>
          <t>/</t>
        </is>
      </c>
      <c r="BU221" s="230" t="n"/>
      <c r="BV221" s="230" t="inlineStr">
        <is>
          <t>1、签订期间：2026.3-7月；
2、指标按照全年换算；</t>
        </is>
      </c>
      <c r="BW221" s="534" t="n"/>
    </row>
    <row r="222" ht="36" customFormat="1" customHeight="1" s="209">
      <c r="A222" s="219" t="n">
        <v>258</v>
      </c>
      <c r="B222" s="220" t="inlineStr">
        <is>
          <t>KQCY0258</t>
        </is>
      </c>
      <c r="C222" s="221" t="inlineStr">
        <is>
          <t>餐饮三分部</t>
        </is>
      </c>
      <c r="D222" s="221" t="inlineStr">
        <is>
          <t>CF320</t>
        </is>
      </c>
      <c r="E222" s="221" t="inlineStr">
        <is>
          <t>江苏财经梅园食堂</t>
        </is>
      </c>
      <c r="F222" s="219" t="inlineStr">
        <is>
          <t>分组作业</t>
        </is>
      </c>
      <c r="G222" s="222" t="inlineStr">
        <is>
          <t>徐敏娟</t>
        </is>
      </c>
      <c r="H222" s="503" t="inlineStr">
        <is>
          <t>/</t>
        </is>
      </c>
      <c r="I222" s="237" t="inlineStr">
        <is>
          <t>糖水粥铺</t>
        </is>
      </c>
      <c r="J222" s="219" t="inlineStr">
        <is>
          <t>胡跃跃</t>
        </is>
      </c>
      <c r="K222" s="545">
        <f>LET(k,D222&amp;"|"&amp;E222&amp;"|"&amp;H222&amp;"|"&amp;I222&amp;"|"&amp;J222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22" s="546" t="n"/>
      <c r="M222" s="224" t="n"/>
      <c r="N222" s="330" t="n"/>
      <c r="O222" s="548" t="n">
        <v>254400</v>
      </c>
      <c r="P222" s="552" t="n">
        <v>0.29</v>
      </c>
      <c r="Q222" s="461">
        <f>K222*P222</f>
        <v/>
      </c>
      <c r="R222" s="584" t="n"/>
      <c r="S222" s="461">
        <f>Q222-R222</f>
        <v/>
      </c>
      <c r="T222" s="235" t="n">
        <v>0</v>
      </c>
      <c r="U222" s="461">
        <f>K222*T222</f>
        <v/>
      </c>
      <c r="V222" s="461" t="n"/>
      <c r="W222" s="461">
        <f>U222-V222</f>
        <v/>
      </c>
      <c r="X222" s="235" t="n">
        <v>0</v>
      </c>
      <c r="Y222" s="461">
        <f>K222*X222</f>
        <v/>
      </c>
      <c r="Z222" s="461" t="n"/>
      <c r="AA222" s="461">
        <f>Y222-Z222</f>
        <v/>
      </c>
      <c r="AB222" s="235" t="n">
        <v>0</v>
      </c>
      <c r="AC222" s="461">
        <f>K222*AB222</f>
        <v/>
      </c>
      <c r="AD222" s="461" t="n"/>
      <c r="AE222" s="461">
        <f>AC222-AD222</f>
        <v/>
      </c>
      <c r="AF222" s="235" t="n">
        <v>0</v>
      </c>
      <c r="AG222" s="461">
        <f>K222*AF222</f>
        <v/>
      </c>
      <c r="AH222" s="461" t="n"/>
      <c r="AI222" s="461">
        <f>AG222-AH222</f>
        <v/>
      </c>
      <c r="AJ222" s="235" t="n">
        <v>0</v>
      </c>
      <c r="AK222" s="461">
        <f>K222*AJ222</f>
        <v/>
      </c>
      <c r="AL222" s="461" t="n"/>
      <c r="AM222" s="461">
        <f>AK222-AL222</f>
        <v/>
      </c>
      <c r="AN222" s="235" t="n">
        <v>0</v>
      </c>
      <c r="AO222" s="461">
        <f>K222*AN222</f>
        <v/>
      </c>
      <c r="AP222" s="461" t="n"/>
      <c r="AQ222" s="461">
        <f>AO222-AP222</f>
        <v/>
      </c>
      <c r="AR222" s="461" t="n">
        <v>0</v>
      </c>
      <c r="AS222" s="461">
        <f>K222*AR222</f>
        <v/>
      </c>
      <c r="AT222" s="461" t="n"/>
      <c r="AU222" s="461">
        <f>AS222-AT222</f>
        <v/>
      </c>
      <c r="AV222" s="235" t="n">
        <v>0</v>
      </c>
      <c r="AW222" s="461">
        <f>K222*AV222</f>
        <v/>
      </c>
      <c r="AX222" s="461" t="n"/>
      <c r="AY222" s="461">
        <f>AW222-AX222</f>
        <v/>
      </c>
      <c r="AZ222" s="461" t="inlineStr">
        <is>
          <t>按实</t>
        </is>
      </c>
      <c r="BA222" s="461">
        <f>BB222</f>
        <v/>
      </c>
      <c r="BB222" s="480" t="n"/>
      <c r="BC222" s="461">
        <f>BA222-BB222</f>
        <v/>
      </c>
      <c r="BD222" s="235" t="inlineStr">
        <is>
          <t>餐损50元/月，7月按实际经营天数结算</t>
        </is>
      </c>
      <c r="BE222" s="461" t="n">
        <v>50</v>
      </c>
      <c r="BF222" s="480" t="n"/>
      <c r="BG222" s="461">
        <f>BE222-BF222</f>
        <v/>
      </c>
      <c r="BH222" s="461" t="n">
        <v>0</v>
      </c>
      <c r="BI222" s="461">
        <f>K222*BH222</f>
        <v/>
      </c>
      <c r="BJ222" s="586" t="n"/>
      <c r="BK222" s="461">
        <f>BI222-BJ222</f>
        <v/>
      </c>
      <c r="BL222" s="461" t="inlineStr">
        <is>
          <t>按实</t>
        </is>
      </c>
      <c r="BM222" s="220">
        <f>BN222</f>
        <v/>
      </c>
      <c r="BN222" s="587" t="n"/>
      <c r="BO222" s="220">
        <f>BM222-BN222</f>
        <v/>
      </c>
      <c r="BP222" s="220">
        <f>N222+Q222+U222+Y222+AC222+AG222+AK222+AO222+AS222+AW222+BA222+BE222+BI222+BM222</f>
        <v/>
      </c>
      <c r="BQ222" s="220">
        <f>N222+R222+V222+Z222+AD222+AH222+AL222+AP222+AT222+AX222+BB222+BF222+BJ222+BN222</f>
        <v/>
      </c>
      <c r="BR222" s="220">
        <f>BP222-BQ222</f>
        <v/>
      </c>
      <c r="BS222" s="254" t="inlineStr">
        <is>
          <t>/</t>
        </is>
      </c>
      <c r="BT222" s="229" t="inlineStr">
        <is>
          <t>/</t>
        </is>
      </c>
      <c r="BU222" s="230" t="n"/>
      <c r="BV222" s="230" t="inlineStr">
        <is>
          <t>1、签订期间：2026.3-7月；
2、指标按照全年换算；</t>
        </is>
      </c>
      <c r="BW222" s="534" t="n"/>
    </row>
    <row r="223" ht="36" customFormat="1" customHeight="1" s="209">
      <c r="A223" s="219" t="n">
        <v>259</v>
      </c>
      <c r="B223" s="220" t="inlineStr">
        <is>
          <t>KQCY0259</t>
        </is>
      </c>
      <c r="C223" s="221" t="inlineStr">
        <is>
          <t>餐饮三分部</t>
        </is>
      </c>
      <c r="D223" s="221" t="inlineStr">
        <is>
          <t>CF320</t>
        </is>
      </c>
      <c r="E223" s="221" t="inlineStr">
        <is>
          <t>江苏财经梅园食堂</t>
        </is>
      </c>
      <c r="F223" s="219" t="inlineStr">
        <is>
          <t>分组作业</t>
        </is>
      </c>
      <c r="G223" s="222" t="inlineStr">
        <is>
          <t>徐敏娟</t>
        </is>
      </c>
      <c r="H223" s="503" t="inlineStr">
        <is>
          <t>/</t>
        </is>
      </c>
      <c r="I223" s="237" t="inlineStr">
        <is>
          <t>五谷渔粉</t>
        </is>
      </c>
      <c r="J223" s="219" t="inlineStr">
        <is>
          <t>赵青青</t>
        </is>
      </c>
      <c r="K223" s="545">
        <f>LET(k,D223&amp;"|"&amp;E223&amp;"|"&amp;H223&amp;"|"&amp;I223&amp;"|"&amp;J223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23" s="546" t="n"/>
      <c r="M223" s="224" t="n"/>
      <c r="N223" s="330" t="n"/>
      <c r="O223" s="548" t="n">
        <v>892800</v>
      </c>
      <c r="P223" s="552" t="n">
        <v>0.29</v>
      </c>
      <c r="Q223" s="461">
        <f>K223*P223</f>
        <v/>
      </c>
      <c r="R223" s="584" t="n"/>
      <c r="S223" s="461">
        <f>Q223-R223</f>
        <v/>
      </c>
      <c r="T223" s="235" t="n">
        <v>0</v>
      </c>
      <c r="U223" s="461">
        <f>K223*T223</f>
        <v/>
      </c>
      <c r="V223" s="461" t="n"/>
      <c r="W223" s="461">
        <f>U223-V223</f>
        <v/>
      </c>
      <c r="X223" s="235" t="n">
        <v>0</v>
      </c>
      <c r="Y223" s="461">
        <f>K223*X223</f>
        <v/>
      </c>
      <c r="Z223" s="461" t="n"/>
      <c r="AA223" s="461">
        <f>Y223-Z223</f>
        <v/>
      </c>
      <c r="AB223" s="235" t="n">
        <v>0</v>
      </c>
      <c r="AC223" s="461">
        <f>K223*AB223</f>
        <v/>
      </c>
      <c r="AD223" s="461" t="n"/>
      <c r="AE223" s="461">
        <f>AC223-AD223</f>
        <v/>
      </c>
      <c r="AF223" s="235" t="n">
        <v>0</v>
      </c>
      <c r="AG223" s="461">
        <f>K223*AF223</f>
        <v/>
      </c>
      <c r="AH223" s="461" t="n"/>
      <c r="AI223" s="461">
        <f>AG223-AH223</f>
        <v/>
      </c>
      <c r="AJ223" s="235" t="n">
        <v>0</v>
      </c>
      <c r="AK223" s="461">
        <f>K223*AJ223</f>
        <v/>
      </c>
      <c r="AL223" s="461" t="n"/>
      <c r="AM223" s="461">
        <f>AK223-AL223</f>
        <v/>
      </c>
      <c r="AN223" s="235" t="n">
        <v>0</v>
      </c>
      <c r="AO223" s="461">
        <f>K223*AN223</f>
        <v/>
      </c>
      <c r="AP223" s="461" t="n"/>
      <c r="AQ223" s="461">
        <f>AO223-AP223</f>
        <v/>
      </c>
      <c r="AR223" s="461" t="n">
        <v>0</v>
      </c>
      <c r="AS223" s="461">
        <f>K223*AR223</f>
        <v/>
      </c>
      <c r="AT223" s="461" t="n"/>
      <c r="AU223" s="461">
        <f>AS223-AT223</f>
        <v/>
      </c>
      <c r="AV223" s="235" t="n">
        <v>0</v>
      </c>
      <c r="AW223" s="461">
        <f>K223*AV223</f>
        <v/>
      </c>
      <c r="AX223" s="461" t="n"/>
      <c r="AY223" s="461">
        <f>AW223-AX223</f>
        <v/>
      </c>
      <c r="AZ223" s="461" t="inlineStr">
        <is>
          <t>按实</t>
        </is>
      </c>
      <c r="BA223" s="461">
        <f>BB223</f>
        <v/>
      </c>
      <c r="BB223" s="480" t="n"/>
      <c r="BC223" s="461">
        <f>BA223-BB223</f>
        <v/>
      </c>
      <c r="BD223" s="235" t="inlineStr">
        <is>
          <t>餐损50元/月，7月按实际经营天数结算</t>
        </is>
      </c>
      <c r="BE223" s="461" t="n">
        <v>50</v>
      </c>
      <c r="BF223" s="480" t="n"/>
      <c r="BG223" s="461">
        <f>BE223-BF223</f>
        <v/>
      </c>
      <c r="BH223" s="461" t="n">
        <v>0</v>
      </c>
      <c r="BI223" s="461">
        <f>K223*BH223</f>
        <v/>
      </c>
      <c r="BJ223" s="586" t="n"/>
      <c r="BK223" s="461">
        <f>BI223-BJ223</f>
        <v/>
      </c>
      <c r="BL223" s="461" t="inlineStr">
        <is>
          <t>按实</t>
        </is>
      </c>
      <c r="BM223" s="220">
        <f>BN223</f>
        <v/>
      </c>
      <c r="BN223" s="587" t="n"/>
      <c r="BO223" s="220">
        <f>BM223-BN223</f>
        <v/>
      </c>
      <c r="BP223" s="220">
        <f>N223+Q223+U223+Y223+AC223+AG223+AK223+AO223+AS223+AW223+BA223+BE223+BI223+BM223</f>
        <v/>
      </c>
      <c r="BQ223" s="220">
        <f>N223+R223+V223+Z223+AD223+AH223+AL223+AP223+AT223+AX223+BB223+BF223+BJ223+BN223</f>
        <v/>
      </c>
      <c r="BR223" s="220">
        <f>BP223-BQ223</f>
        <v/>
      </c>
      <c r="BS223" s="254" t="inlineStr">
        <is>
          <t>/</t>
        </is>
      </c>
      <c r="BT223" s="229" t="inlineStr">
        <is>
          <t>/</t>
        </is>
      </c>
      <c r="BU223" s="230" t="n"/>
      <c r="BV223" s="230" t="inlineStr">
        <is>
          <t>1、签订期间：2026.3-7月；
2、指标按照全年换算；</t>
        </is>
      </c>
      <c r="BW223" s="534" t="n"/>
    </row>
    <row r="224" ht="36" customFormat="1" customHeight="1" s="209">
      <c r="A224" s="219" t="n">
        <v>260</v>
      </c>
      <c r="B224" s="220" t="inlineStr">
        <is>
          <t>KQCY0260</t>
        </is>
      </c>
      <c r="C224" s="221" t="inlineStr">
        <is>
          <t>餐饮三分部</t>
        </is>
      </c>
      <c r="D224" s="221" t="inlineStr">
        <is>
          <t>CF320</t>
        </is>
      </c>
      <c r="E224" s="221" t="inlineStr">
        <is>
          <t>江苏财经梅园食堂</t>
        </is>
      </c>
      <c r="F224" s="219" t="inlineStr">
        <is>
          <t>分组作业</t>
        </is>
      </c>
      <c r="G224" s="222" t="inlineStr">
        <is>
          <t>徐敏娟</t>
        </is>
      </c>
      <c r="H224" s="503" t="inlineStr">
        <is>
          <t>/</t>
        </is>
      </c>
      <c r="I224" s="237" t="inlineStr">
        <is>
          <t>吉祥馄饨</t>
        </is>
      </c>
      <c r="J224" s="219" t="inlineStr">
        <is>
          <t>刘淑平</t>
        </is>
      </c>
      <c r="K224" s="545">
        <f>LET(k,D224&amp;"|"&amp;E224&amp;"|"&amp;H224&amp;"|"&amp;I224&amp;"|"&amp;J224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24" s="546" t="n"/>
      <c r="M224" s="224" t="n"/>
      <c r="N224" s="330" t="n"/>
      <c r="O224" s="548" t="n">
        <v>340800</v>
      </c>
      <c r="P224" s="552" t="n">
        <v>0.29</v>
      </c>
      <c r="Q224" s="461">
        <f>K224*P224</f>
        <v/>
      </c>
      <c r="R224" s="584" t="n"/>
      <c r="S224" s="461">
        <f>Q224-R224</f>
        <v/>
      </c>
      <c r="T224" s="235" t="n">
        <v>0</v>
      </c>
      <c r="U224" s="461">
        <f>K224*T224</f>
        <v/>
      </c>
      <c r="V224" s="461" t="n"/>
      <c r="W224" s="461">
        <f>U224-V224</f>
        <v/>
      </c>
      <c r="X224" s="235" t="n">
        <v>0</v>
      </c>
      <c r="Y224" s="461">
        <f>K224*X224</f>
        <v/>
      </c>
      <c r="Z224" s="461" t="n"/>
      <c r="AA224" s="461">
        <f>Y224-Z224</f>
        <v/>
      </c>
      <c r="AB224" s="235" t="n">
        <v>0</v>
      </c>
      <c r="AC224" s="461">
        <f>K224*AB224</f>
        <v/>
      </c>
      <c r="AD224" s="461" t="n"/>
      <c r="AE224" s="461">
        <f>AC224-AD224</f>
        <v/>
      </c>
      <c r="AF224" s="235" t="n">
        <v>0</v>
      </c>
      <c r="AG224" s="461">
        <f>K224*AF224</f>
        <v/>
      </c>
      <c r="AH224" s="461" t="n"/>
      <c r="AI224" s="461">
        <f>AG224-AH224</f>
        <v/>
      </c>
      <c r="AJ224" s="235" t="n">
        <v>0</v>
      </c>
      <c r="AK224" s="461">
        <f>K224*AJ224</f>
        <v/>
      </c>
      <c r="AL224" s="461" t="n"/>
      <c r="AM224" s="461">
        <f>AK224-AL224</f>
        <v/>
      </c>
      <c r="AN224" s="235" t="n">
        <v>0</v>
      </c>
      <c r="AO224" s="461">
        <f>K224*AN224</f>
        <v/>
      </c>
      <c r="AP224" s="461" t="n"/>
      <c r="AQ224" s="461">
        <f>AO224-AP224</f>
        <v/>
      </c>
      <c r="AR224" s="461" t="n">
        <v>0</v>
      </c>
      <c r="AS224" s="461">
        <f>K224*AR224</f>
        <v/>
      </c>
      <c r="AT224" s="461" t="n"/>
      <c r="AU224" s="461">
        <f>AS224-AT224</f>
        <v/>
      </c>
      <c r="AV224" s="235" t="n">
        <v>0</v>
      </c>
      <c r="AW224" s="461">
        <f>K224*AV224</f>
        <v/>
      </c>
      <c r="AX224" s="461" t="n"/>
      <c r="AY224" s="461">
        <f>AW224-AX224</f>
        <v/>
      </c>
      <c r="AZ224" s="461" t="inlineStr">
        <is>
          <t>按实</t>
        </is>
      </c>
      <c r="BA224" s="461">
        <f>BB224</f>
        <v/>
      </c>
      <c r="BB224" s="480" t="n"/>
      <c r="BC224" s="461">
        <f>BA224-BB224</f>
        <v/>
      </c>
      <c r="BD224" s="235" t="inlineStr">
        <is>
          <t>餐损50元/月，7月按实际经营天数结算</t>
        </is>
      </c>
      <c r="BE224" s="461" t="n">
        <v>50</v>
      </c>
      <c r="BF224" s="480" t="n"/>
      <c r="BG224" s="461">
        <f>BE224-BF224</f>
        <v/>
      </c>
      <c r="BH224" s="461" t="n">
        <v>0</v>
      </c>
      <c r="BI224" s="461">
        <f>K224*BH224</f>
        <v/>
      </c>
      <c r="BJ224" s="586" t="n"/>
      <c r="BK224" s="461">
        <f>BI224-BJ224</f>
        <v/>
      </c>
      <c r="BL224" s="461" t="inlineStr">
        <is>
          <t>按实</t>
        </is>
      </c>
      <c r="BM224" s="220">
        <f>BN224</f>
        <v/>
      </c>
      <c r="BN224" s="587" t="n"/>
      <c r="BO224" s="220">
        <f>BM224-BN224</f>
        <v/>
      </c>
      <c r="BP224" s="220">
        <f>N224+Q224+U224+Y224+AC224+AG224+AK224+AO224+AS224+AW224+BA224+BE224+BI224+BM224</f>
        <v/>
      </c>
      <c r="BQ224" s="220">
        <f>N224+R224+V224+Z224+AD224+AH224+AL224+AP224+AT224+AX224+BB224+BF224+BJ224+BN224</f>
        <v/>
      </c>
      <c r="BR224" s="220">
        <f>BP224-BQ224</f>
        <v/>
      </c>
      <c r="BS224" s="254" t="inlineStr">
        <is>
          <t>/</t>
        </is>
      </c>
      <c r="BT224" s="229" t="inlineStr">
        <is>
          <t>/</t>
        </is>
      </c>
      <c r="BU224" s="230" t="n"/>
      <c r="BV224" s="230" t="inlineStr">
        <is>
          <t>1、签订期间：2026.3-7月；
2、指标按照全年换算；</t>
        </is>
      </c>
      <c r="BW224" s="534" t="n"/>
    </row>
    <row r="225" ht="36" customFormat="1" customHeight="1" s="209">
      <c r="A225" s="219" t="n">
        <v>261</v>
      </c>
      <c r="B225" s="220" t="inlineStr">
        <is>
          <t>KQCY0261</t>
        </is>
      </c>
      <c r="C225" s="221" t="inlineStr">
        <is>
          <t>餐饮三分部</t>
        </is>
      </c>
      <c r="D225" s="221" t="inlineStr">
        <is>
          <t>CF320</t>
        </is>
      </c>
      <c r="E225" s="221" t="inlineStr">
        <is>
          <t>江苏财经梅园食堂</t>
        </is>
      </c>
      <c r="F225" s="219" t="inlineStr">
        <is>
          <t>分组作业</t>
        </is>
      </c>
      <c r="G225" s="222" t="inlineStr">
        <is>
          <t>徐敏娟</t>
        </is>
      </c>
      <c r="H225" s="503" t="inlineStr">
        <is>
          <t>/</t>
        </is>
      </c>
      <c r="I225" s="237" t="inlineStr">
        <is>
          <t>煎饼</t>
        </is>
      </c>
      <c r="J225" s="219" t="inlineStr">
        <is>
          <t>相丽</t>
        </is>
      </c>
      <c r="K225" s="545">
        <f>LET(k,D225&amp;"|"&amp;E225&amp;"|"&amp;H225&amp;"|"&amp;I225&amp;"|"&amp;J225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25" s="546" t="n"/>
      <c r="M225" s="224" t="n"/>
      <c r="N225" s="330" t="n"/>
      <c r="O225" s="548" t="n">
        <v>360000</v>
      </c>
      <c r="P225" s="552" t="n">
        <v>0.29</v>
      </c>
      <c r="Q225" s="461">
        <f>K225*P225</f>
        <v/>
      </c>
      <c r="R225" s="584" t="n"/>
      <c r="S225" s="461">
        <f>Q225-R225</f>
        <v/>
      </c>
      <c r="T225" s="235" t="n">
        <v>0</v>
      </c>
      <c r="U225" s="461">
        <f>K225*T225</f>
        <v/>
      </c>
      <c r="V225" s="461" t="n"/>
      <c r="W225" s="461">
        <f>U225-V225</f>
        <v/>
      </c>
      <c r="X225" s="235" t="n">
        <v>0</v>
      </c>
      <c r="Y225" s="461">
        <f>K225*X225</f>
        <v/>
      </c>
      <c r="Z225" s="461" t="n"/>
      <c r="AA225" s="461">
        <f>Y225-Z225</f>
        <v/>
      </c>
      <c r="AB225" s="235" t="n">
        <v>0</v>
      </c>
      <c r="AC225" s="461">
        <f>K225*AB225</f>
        <v/>
      </c>
      <c r="AD225" s="461" t="n"/>
      <c r="AE225" s="461">
        <f>AC225-AD225</f>
        <v/>
      </c>
      <c r="AF225" s="235" t="n">
        <v>0</v>
      </c>
      <c r="AG225" s="461">
        <f>K225*AF225</f>
        <v/>
      </c>
      <c r="AH225" s="461" t="n"/>
      <c r="AI225" s="461">
        <f>AG225-AH225</f>
        <v/>
      </c>
      <c r="AJ225" s="235" t="n">
        <v>0</v>
      </c>
      <c r="AK225" s="461">
        <f>K225*AJ225</f>
        <v/>
      </c>
      <c r="AL225" s="461" t="n"/>
      <c r="AM225" s="461">
        <f>AK225-AL225</f>
        <v/>
      </c>
      <c r="AN225" s="235" t="n">
        <v>0</v>
      </c>
      <c r="AO225" s="461">
        <f>K225*AN225</f>
        <v/>
      </c>
      <c r="AP225" s="461" t="n"/>
      <c r="AQ225" s="461">
        <f>AO225-AP225</f>
        <v/>
      </c>
      <c r="AR225" s="461" t="n">
        <v>0</v>
      </c>
      <c r="AS225" s="461">
        <f>K225*AR225</f>
        <v/>
      </c>
      <c r="AT225" s="461" t="n"/>
      <c r="AU225" s="461">
        <f>AS225-AT225</f>
        <v/>
      </c>
      <c r="AV225" s="235" t="n">
        <v>0</v>
      </c>
      <c r="AW225" s="461">
        <f>K225*AV225</f>
        <v/>
      </c>
      <c r="AX225" s="461" t="n"/>
      <c r="AY225" s="461">
        <f>AW225-AX225</f>
        <v/>
      </c>
      <c r="AZ225" s="461" t="inlineStr">
        <is>
          <t>按实</t>
        </is>
      </c>
      <c r="BA225" s="461">
        <f>BB225</f>
        <v/>
      </c>
      <c r="BB225" s="480" t="n"/>
      <c r="BC225" s="461">
        <f>BA225-BB225</f>
        <v/>
      </c>
      <c r="BD225" s="235" t="inlineStr">
        <is>
          <t>餐损50元/月，7月按实际经营天数结算</t>
        </is>
      </c>
      <c r="BE225" s="461" t="n">
        <v>50</v>
      </c>
      <c r="BF225" s="480" t="n"/>
      <c r="BG225" s="461">
        <f>BE225-BF225</f>
        <v/>
      </c>
      <c r="BH225" s="461" t="n">
        <v>0</v>
      </c>
      <c r="BI225" s="461">
        <f>K225*BH225</f>
        <v/>
      </c>
      <c r="BJ225" s="586" t="n"/>
      <c r="BK225" s="461">
        <f>BI225-BJ225</f>
        <v/>
      </c>
      <c r="BL225" s="461" t="inlineStr">
        <is>
          <t>按实</t>
        </is>
      </c>
      <c r="BM225" s="220">
        <f>BN225</f>
        <v/>
      </c>
      <c r="BN225" s="587" t="n"/>
      <c r="BO225" s="220">
        <f>BM225-BN225</f>
        <v/>
      </c>
      <c r="BP225" s="220">
        <f>N225+Q225+U225+Y225+AC225+AG225+AK225+AO225+AS225+AW225+BA225+BE225+BI225+BM225</f>
        <v/>
      </c>
      <c r="BQ225" s="220">
        <f>N225+R225+V225+Z225+AD225+AH225+AL225+AP225+AT225+AX225+BB225+BF225+BJ225+BN225</f>
        <v/>
      </c>
      <c r="BR225" s="220">
        <f>BP225-BQ225</f>
        <v/>
      </c>
      <c r="BS225" s="254" t="inlineStr">
        <is>
          <t>/</t>
        </is>
      </c>
      <c r="BT225" s="229" t="inlineStr">
        <is>
          <t>/</t>
        </is>
      </c>
      <c r="BU225" s="230" t="n"/>
      <c r="BV225" s="230" t="inlineStr">
        <is>
          <t>1、签订期间：2026.3-7月；
2、指标按照全年换算；</t>
        </is>
      </c>
      <c r="BW225" s="534" t="n"/>
    </row>
    <row r="226" ht="36" customFormat="1" customHeight="1" s="209">
      <c r="A226" s="219" t="n">
        <v>262</v>
      </c>
      <c r="B226" s="220" t="inlineStr">
        <is>
          <t>KQCY0262</t>
        </is>
      </c>
      <c r="C226" s="221" t="inlineStr">
        <is>
          <t>餐饮三分部</t>
        </is>
      </c>
      <c r="D226" s="221" t="inlineStr">
        <is>
          <t>CF320</t>
        </is>
      </c>
      <c r="E226" s="221" t="inlineStr">
        <is>
          <t>江苏财经梅园食堂</t>
        </is>
      </c>
      <c r="F226" s="219" t="inlineStr">
        <is>
          <t>分组作业</t>
        </is>
      </c>
      <c r="G226" s="222" t="inlineStr">
        <is>
          <t>徐敏娟</t>
        </is>
      </c>
      <c r="H226" s="503" t="inlineStr">
        <is>
          <t>/</t>
        </is>
      </c>
      <c r="I226" s="237" t="inlineStr">
        <is>
          <t>香锅</t>
        </is>
      </c>
      <c r="J226" s="219" t="inlineStr">
        <is>
          <t>王凯</t>
        </is>
      </c>
      <c r="K226" s="545">
        <f>LET(k,D226&amp;"|"&amp;E226&amp;"|"&amp;H226&amp;"|"&amp;I226&amp;"|"&amp;J226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26" s="546" t="n"/>
      <c r="M226" s="224" t="n"/>
      <c r="N226" s="330" t="n"/>
      <c r="O226" s="548" t="n">
        <v>592800</v>
      </c>
      <c r="P226" s="552" t="n">
        <v>0.29</v>
      </c>
      <c r="Q226" s="461">
        <f>K226*P226</f>
        <v/>
      </c>
      <c r="R226" s="584" t="n"/>
      <c r="S226" s="461">
        <f>Q226-R226</f>
        <v/>
      </c>
      <c r="T226" s="235" t="n">
        <v>0</v>
      </c>
      <c r="U226" s="461">
        <f>K226*T226</f>
        <v/>
      </c>
      <c r="V226" s="461" t="n"/>
      <c r="W226" s="461">
        <f>U226-V226</f>
        <v/>
      </c>
      <c r="X226" s="235" t="n">
        <v>0</v>
      </c>
      <c r="Y226" s="461">
        <f>K226*X226</f>
        <v/>
      </c>
      <c r="Z226" s="461" t="n"/>
      <c r="AA226" s="461">
        <f>Y226-Z226</f>
        <v/>
      </c>
      <c r="AB226" s="235" t="n">
        <v>0</v>
      </c>
      <c r="AC226" s="461">
        <f>K226*AB226</f>
        <v/>
      </c>
      <c r="AD226" s="461" t="n"/>
      <c r="AE226" s="461">
        <f>AC226-AD226</f>
        <v/>
      </c>
      <c r="AF226" s="235" t="n">
        <v>0</v>
      </c>
      <c r="AG226" s="461">
        <f>K226*AF226</f>
        <v/>
      </c>
      <c r="AH226" s="461" t="n"/>
      <c r="AI226" s="461">
        <f>AG226-AH226</f>
        <v/>
      </c>
      <c r="AJ226" s="235" t="n">
        <v>0</v>
      </c>
      <c r="AK226" s="461">
        <f>K226*AJ226</f>
        <v/>
      </c>
      <c r="AL226" s="461" t="n"/>
      <c r="AM226" s="461">
        <f>AK226-AL226</f>
        <v/>
      </c>
      <c r="AN226" s="235" t="n">
        <v>0</v>
      </c>
      <c r="AO226" s="461">
        <f>K226*AN226</f>
        <v/>
      </c>
      <c r="AP226" s="461" t="n"/>
      <c r="AQ226" s="461">
        <f>AO226-AP226</f>
        <v/>
      </c>
      <c r="AR226" s="461" t="n">
        <v>0</v>
      </c>
      <c r="AS226" s="461">
        <f>K226*AR226</f>
        <v/>
      </c>
      <c r="AT226" s="461" t="n"/>
      <c r="AU226" s="461">
        <f>AS226-AT226</f>
        <v/>
      </c>
      <c r="AV226" s="235" t="n">
        <v>0</v>
      </c>
      <c r="AW226" s="461">
        <f>K226*AV226</f>
        <v/>
      </c>
      <c r="AX226" s="461" t="n"/>
      <c r="AY226" s="461">
        <f>AW226-AX226</f>
        <v/>
      </c>
      <c r="AZ226" s="461" t="inlineStr">
        <is>
          <t>按实</t>
        </is>
      </c>
      <c r="BA226" s="461">
        <f>BB226</f>
        <v/>
      </c>
      <c r="BB226" s="480" t="n"/>
      <c r="BC226" s="461">
        <f>BA226-BB226</f>
        <v/>
      </c>
      <c r="BD226" s="235" t="inlineStr">
        <is>
          <t>餐损50元/月，7月按实际经营天数结算</t>
        </is>
      </c>
      <c r="BE226" s="461" t="n">
        <v>50</v>
      </c>
      <c r="BF226" s="480" t="n"/>
      <c r="BG226" s="461">
        <f>BE226-BF226</f>
        <v/>
      </c>
      <c r="BH226" s="461" t="n">
        <v>0</v>
      </c>
      <c r="BI226" s="461">
        <f>K226*BH226</f>
        <v/>
      </c>
      <c r="BJ226" s="586" t="n"/>
      <c r="BK226" s="461">
        <f>BI226-BJ226</f>
        <v/>
      </c>
      <c r="BL226" s="461" t="inlineStr">
        <is>
          <t>按实</t>
        </is>
      </c>
      <c r="BM226" s="220">
        <f>BN226</f>
        <v/>
      </c>
      <c r="BN226" s="587" t="n"/>
      <c r="BO226" s="220">
        <f>BM226-BN226</f>
        <v/>
      </c>
      <c r="BP226" s="220">
        <f>N226+Q226+U226+Y226+AC226+AG226+AK226+AO226+AS226+AW226+BA226+BE226+BI226+BM226</f>
        <v/>
      </c>
      <c r="BQ226" s="220">
        <f>N226+R226+V226+Z226+AD226+AH226+AL226+AP226+AT226+AX226+BB226+BF226+BJ226+BN226</f>
        <v/>
      </c>
      <c r="BR226" s="220">
        <f>BP226-BQ226</f>
        <v/>
      </c>
      <c r="BS226" s="254" t="inlineStr">
        <is>
          <t>/</t>
        </is>
      </c>
      <c r="BT226" s="229" t="inlineStr">
        <is>
          <t>/</t>
        </is>
      </c>
      <c r="BU226" s="230" t="n"/>
      <c r="BV226" s="230" t="inlineStr">
        <is>
          <t>1、签订期间：2026.3-7月；
2、指标按照全年换算；</t>
        </is>
      </c>
      <c r="BW226" s="534" t="n"/>
    </row>
    <row r="227" ht="37.5" customFormat="1" customHeight="1" s="209">
      <c r="A227" s="219" t="n">
        <v>263</v>
      </c>
      <c r="B227" s="220" t="inlineStr">
        <is>
          <t>KQCY0263</t>
        </is>
      </c>
      <c r="C227" s="221" t="inlineStr">
        <is>
          <t>餐饮三分部</t>
        </is>
      </c>
      <c r="D227" s="221" t="inlineStr">
        <is>
          <t>CF320</t>
        </is>
      </c>
      <c r="E227" s="221" t="inlineStr">
        <is>
          <t>江苏财经梅园食堂</t>
        </is>
      </c>
      <c r="F227" s="219" t="inlineStr">
        <is>
          <t>分组作业</t>
        </is>
      </c>
      <c r="G227" s="222" t="inlineStr">
        <is>
          <t>徐敏娟</t>
        </is>
      </c>
      <c r="H227" s="219" t="inlineStr">
        <is>
          <t>第十五班组</t>
        </is>
      </c>
      <c r="I227" s="232" t="inlineStr">
        <is>
          <t>柚见鲜茶</t>
        </is>
      </c>
      <c r="J227" s="219" t="inlineStr">
        <is>
          <t>王春梅</t>
        </is>
      </c>
      <c r="K227" s="545">
        <f>LET(k,D227&amp;"|"&amp;E227&amp;"|"&amp;H227&amp;"|"&amp;I227&amp;"|"&amp;J227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27" s="546" t="n"/>
      <c r="M227" s="224" t="n"/>
      <c r="N227" s="330" t="n"/>
      <c r="O227" s="548" t="n">
        <v>540000</v>
      </c>
      <c r="P227" s="235" t="n">
        <v>0</v>
      </c>
      <c r="Q227" s="461">
        <f>K227*P227</f>
        <v/>
      </c>
      <c r="R227" s="584" t="n"/>
      <c r="S227" s="461">
        <f>Q227-R227</f>
        <v/>
      </c>
      <c r="T227" s="235" t="n">
        <v>0</v>
      </c>
      <c r="U227" s="461">
        <f>K227*T227</f>
        <v/>
      </c>
      <c r="V227" s="461" t="n"/>
      <c r="W227" s="461">
        <f>U227-V227</f>
        <v/>
      </c>
      <c r="X227" s="235" t="n">
        <v>0</v>
      </c>
      <c r="Y227" s="461">
        <f>K227*X227</f>
        <v/>
      </c>
      <c r="Z227" s="461" t="n"/>
      <c r="AA227" s="461">
        <f>Y227-Z227</f>
        <v/>
      </c>
      <c r="AB227" s="235" t="n">
        <v>0</v>
      </c>
      <c r="AC227" s="461">
        <f>K227*AB227</f>
        <v/>
      </c>
      <c r="AD227" s="461" t="n"/>
      <c r="AE227" s="461">
        <f>AC227-AD227</f>
        <v/>
      </c>
      <c r="AF227" s="235" t="n">
        <v>0</v>
      </c>
      <c r="AG227" s="461">
        <f>K227*AF227</f>
        <v/>
      </c>
      <c r="AH227" s="461" t="n"/>
      <c r="AI227" s="461">
        <f>AG227-AH227</f>
        <v/>
      </c>
      <c r="AJ227" s="235" t="n">
        <v>0</v>
      </c>
      <c r="AK227" s="461">
        <f>K227*AJ227</f>
        <v/>
      </c>
      <c r="AL227" s="461" t="n"/>
      <c r="AM227" s="461">
        <f>AK227-AL227</f>
        <v/>
      </c>
      <c r="AN227" s="235" t="n">
        <v>0</v>
      </c>
      <c r="AO227" s="461">
        <f>K227*AN227</f>
        <v/>
      </c>
      <c r="AP227" s="461" t="n"/>
      <c r="AQ227" s="461">
        <f>AO227-AP227</f>
        <v/>
      </c>
      <c r="AR227" s="461" t="n">
        <v>0</v>
      </c>
      <c r="AS227" s="461">
        <f>K227*AR227</f>
        <v/>
      </c>
      <c r="AT227" s="461" t="n"/>
      <c r="AU227" s="461">
        <f>AS227-AT227</f>
        <v/>
      </c>
      <c r="AV227" s="552" t="inlineStr">
        <is>
          <t>计表</t>
        </is>
      </c>
      <c r="AW227" s="461">
        <f>AX227</f>
        <v/>
      </c>
      <c r="AX227" s="461" t="n">
        <v>544.8</v>
      </c>
      <c r="AY227" s="461">
        <f>AW227-AX227</f>
        <v/>
      </c>
      <c r="AZ227" s="461" t="inlineStr">
        <is>
          <t>按实</t>
        </is>
      </c>
      <c r="BA227" s="461">
        <f>BB227</f>
        <v/>
      </c>
      <c r="BB227" s="480" t="n"/>
      <c r="BC227" s="461">
        <f>BA227-BB227</f>
        <v/>
      </c>
      <c r="BD227" s="461" t="inlineStr">
        <is>
          <t>9万/年，8个月扣除，每个月扣除11250元，1、2、7月不收</t>
        </is>
      </c>
      <c r="BE227" s="461" t="n">
        <v>11250</v>
      </c>
      <c r="BF227" s="480" t="n">
        <v>11250</v>
      </c>
      <c r="BG227" s="461">
        <f>BE227-BF227</f>
        <v/>
      </c>
      <c r="BH227" s="461" t="n">
        <v>0</v>
      </c>
      <c r="BI227" s="461">
        <f>K227*BH227</f>
        <v/>
      </c>
      <c r="BJ227" s="586" t="n"/>
      <c r="BK227" s="461">
        <f>BI227-BJ227</f>
        <v/>
      </c>
      <c r="BL227" s="461" t="inlineStr">
        <is>
          <t>按实</t>
        </is>
      </c>
      <c r="BM227" s="220">
        <f>BN227</f>
        <v/>
      </c>
      <c r="BN227" s="587" t="n"/>
      <c r="BO227" s="220">
        <f>BM227-BN227</f>
        <v/>
      </c>
      <c r="BP227" s="220">
        <f>N227+Q227+U227+Y227+AC227+AG227+AK227+AO227+AS227+AW227+BA227+BE227+BI227+BM227</f>
        <v/>
      </c>
      <c r="BQ227" s="220">
        <f>N227+R227+V227+Z227+AD227+AH227+AL227+AP227+AT227+AX227+BB227+BF227+BJ227+BN227</f>
        <v/>
      </c>
      <c r="BR227" s="220">
        <f>BP227-BQ227</f>
        <v/>
      </c>
      <c r="BS227" s="254" t="inlineStr">
        <is>
          <t>/</t>
        </is>
      </c>
      <c r="BT227" s="229" t="inlineStr">
        <is>
          <t>/</t>
        </is>
      </c>
      <c r="BU227" s="230"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t>
        </is>
      </c>
      <c r="BV227" s="230" t="inlineStr">
        <is>
          <t>1、签订期间：2025.9-2026.7月；
2、指标按照全年换算；
3、管理费9万/年，8个月扣除，每月11250；</t>
        </is>
      </c>
      <c r="BW227" s="534" t="n"/>
    </row>
    <row r="228" ht="24" customFormat="1" customHeight="1" s="209">
      <c r="A228" s="219" t="n">
        <v>264</v>
      </c>
      <c r="B228" s="220" t="inlineStr">
        <is>
          <t>KQCY0264</t>
        </is>
      </c>
      <c r="C228" s="221" t="inlineStr">
        <is>
          <t>餐饮三分部</t>
        </is>
      </c>
      <c r="D228" s="221" t="inlineStr">
        <is>
          <t>CF320</t>
        </is>
      </c>
      <c r="E228" s="221" t="inlineStr">
        <is>
          <t>江苏财经梅园食堂</t>
        </is>
      </c>
      <c r="F228" s="219" t="inlineStr">
        <is>
          <t>分组作业</t>
        </is>
      </c>
      <c r="G228" s="222" t="inlineStr">
        <is>
          <t>徐敏娟</t>
        </is>
      </c>
      <c r="H228" s="219" t="inlineStr">
        <is>
          <t>第十六班组</t>
        </is>
      </c>
      <c r="I228" s="232" t="inlineStr">
        <is>
          <t>酷堡王</t>
        </is>
      </c>
      <c r="J228" s="219" t="inlineStr">
        <is>
          <t>籍明明</t>
        </is>
      </c>
      <c r="K228" s="545">
        <f>LET(k,D228&amp;"|"&amp;E228&amp;"|"&amp;H228&amp;"|"&amp;I228&amp;"|"&amp;J228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28" s="546" t="n"/>
      <c r="M228" s="224" t="n"/>
      <c r="N228" s="330" t="n"/>
      <c r="O228" s="548" t="n">
        <v>780000</v>
      </c>
      <c r="P228" s="552" t="n">
        <v>0.2</v>
      </c>
      <c r="Q228" s="461">
        <f>K228*P228</f>
        <v/>
      </c>
      <c r="R228" s="584" t="n"/>
      <c r="S228" s="461">
        <f>Q228-R228</f>
        <v/>
      </c>
      <c r="T228" s="235" t="n">
        <v>0</v>
      </c>
      <c r="U228" s="461">
        <f>K228*T228</f>
        <v/>
      </c>
      <c r="V228" s="461" t="n"/>
      <c r="W228" s="461">
        <f>U228-V228</f>
        <v/>
      </c>
      <c r="X228" s="235" t="n">
        <v>0</v>
      </c>
      <c r="Y228" s="461">
        <f>K228*X228</f>
        <v/>
      </c>
      <c r="Z228" s="461" t="n"/>
      <c r="AA228" s="461">
        <f>Y228-Z228</f>
        <v/>
      </c>
      <c r="AB228" s="235" t="n">
        <v>0</v>
      </c>
      <c r="AC228" s="461">
        <f>K228*AB228</f>
        <v/>
      </c>
      <c r="AD228" s="461" t="n"/>
      <c r="AE228" s="461">
        <f>AC228-AD228</f>
        <v/>
      </c>
      <c r="AF228" s="235" t="n">
        <v>0</v>
      </c>
      <c r="AG228" s="461">
        <f>K228*AF228</f>
        <v/>
      </c>
      <c r="AH228" s="461" t="n"/>
      <c r="AI228" s="461">
        <f>AG228-AH228</f>
        <v/>
      </c>
      <c r="AJ228" s="235" t="n">
        <v>0</v>
      </c>
      <c r="AK228" s="461">
        <f>K228*AJ228</f>
        <v/>
      </c>
      <c r="AL228" s="461" t="n"/>
      <c r="AM228" s="461">
        <f>AK228-AL228</f>
        <v/>
      </c>
      <c r="AN228" s="235" t="n">
        <v>0</v>
      </c>
      <c r="AO228" s="461">
        <f>K228*AN228</f>
        <v/>
      </c>
      <c r="AP228" s="461" t="n"/>
      <c r="AQ228" s="461">
        <f>AO228-AP228</f>
        <v/>
      </c>
      <c r="AR228" s="461" t="n">
        <v>0</v>
      </c>
      <c r="AS228" s="461">
        <f>K228*AR228</f>
        <v/>
      </c>
      <c r="AT228" s="461" t="n"/>
      <c r="AU228" s="461">
        <f>AS228-AT228</f>
        <v/>
      </c>
      <c r="AV228" s="235" t="inlineStr">
        <is>
          <t>计表</t>
        </is>
      </c>
      <c r="AW228" s="461">
        <f>AX228</f>
        <v/>
      </c>
      <c r="AX228" s="461" t="n">
        <v>504.6</v>
      </c>
      <c r="AY228" s="461">
        <f>AW228-AX228</f>
        <v/>
      </c>
      <c r="AZ228" s="461" t="inlineStr">
        <is>
          <t>按实</t>
        </is>
      </c>
      <c r="BA228" s="461">
        <f>BB228</f>
        <v/>
      </c>
      <c r="BB228" s="480" t="n"/>
      <c r="BC228" s="461">
        <f>BA228-BB228</f>
        <v/>
      </c>
      <c r="BD228" s="461" t="n">
        <v>0</v>
      </c>
      <c r="BE228" s="461">
        <f>K228*BD228</f>
        <v/>
      </c>
      <c r="BF228" s="480" t="n"/>
      <c r="BG228" s="461">
        <f>BE228-BF228</f>
        <v/>
      </c>
      <c r="BH228" s="461" t="n">
        <v>0</v>
      </c>
      <c r="BI228" s="461">
        <f>K228*BH228</f>
        <v/>
      </c>
      <c r="BJ228" s="586" t="n"/>
      <c r="BK228" s="461">
        <f>BI228-BJ228</f>
        <v/>
      </c>
      <c r="BL228" s="461" t="inlineStr">
        <is>
          <t>按实</t>
        </is>
      </c>
      <c r="BM228" s="220">
        <f>BN228</f>
        <v/>
      </c>
      <c r="BN228" s="587" t="n"/>
      <c r="BO228" s="220">
        <f>BM228-BN228</f>
        <v/>
      </c>
      <c r="BP228" s="220">
        <f>N228+Q228+U228+Y228+AC228+AG228+AK228+AO228+AS228+AW228+BA228+BE228+BI228+BM228</f>
        <v/>
      </c>
      <c r="BQ228" s="220">
        <f>N228+R228+V228+Z228+AD228+AH228+AL228+AP228+AT228+AX228+BB228+BF228+BJ228+BN228</f>
        <v/>
      </c>
      <c r="BR228" s="220">
        <f>BP228-BQ228</f>
        <v/>
      </c>
      <c r="BS228" s="254" t="inlineStr">
        <is>
          <t>/</t>
        </is>
      </c>
      <c r="BT228" s="229" t="inlineStr">
        <is>
          <t>/</t>
        </is>
      </c>
      <c r="BU228" s="297" t="inlineStr">
        <is>
          <t>1、卫生费：项目反馈不收取，包含在服务费中；
2、其他:项目反馈不收取，包含在服务费中；</t>
        </is>
      </c>
      <c r="BV228" s="230" t="inlineStr">
        <is>
          <t>1、签订期间：2025.9-2026.7月；
2、指标按照全年换算；</t>
        </is>
      </c>
      <c r="BW228" s="534" t="n"/>
    </row>
    <row r="229" ht="47.25" customFormat="1" customHeight="1" s="209">
      <c r="A229" s="219" t="n">
        <v>265</v>
      </c>
      <c r="B229" s="220" t="inlineStr">
        <is>
          <t>KQCY0265</t>
        </is>
      </c>
      <c r="C229" s="221" t="inlineStr">
        <is>
          <t>餐饮三分部</t>
        </is>
      </c>
      <c r="D229" s="221" t="inlineStr">
        <is>
          <t>CF320</t>
        </is>
      </c>
      <c r="E229" s="221" t="inlineStr">
        <is>
          <t>江苏财经梅园食堂</t>
        </is>
      </c>
      <c r="F229" s="219" t="inlineStr">
        <is>
          <t>分组作业</t>
        </is>
      </c>
      <c r="G229" s="222" t="inlineStr">
        <is>
          <t>徐敏娟</t>
        </is>
      </c>
      <c r="H229" s="503" t="inlineStr">
        <is>
          <t>/</t>
        </is>
      </c>
      <c r="I229" s="237" t="inlineStr">
        <is>
          <t>水果</t>
        </is>
      </c>
      <c r="J229" s="219" t="inlineStr">
        <is>
          <t>陈龙</t>
        </is>
      </c>
      <c r="K229" s="545">
        <f>LET(k,D229&amp;"|"&amp;E229&amp;"|"&amp;H229&amp;"|"&amp;I229&amp;"|"&amp;J229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29" s="546" t="n"/>
      <c r="M229" s="224" t="n"/>
      <c r="N229" s="330" t="n"/>
      <c r="O229" s="548" t="n">
        <v>1020000</v>
      </c>
      <c r="P229" s="235" t="n">
        <v>0</v>
      </c>
      <c r="Q229" s="461">
        <f>K229*P229</f>
        <v/>
      </c>
      <c r="R229" s="584" t="n"/>
      <c r="S229" s="461">
        <f>Q229-R229</f>
        <v/>
      </c>
      <c r="T229" s="235" t="n">
        <v>0</v>
      </c>
      <c r="U229" s="461">
        <f>K229*T229</f>
        <v/>
      </c>
      <c r="V229" s="461" t="n"/>
      <c r="W229" s="461">
        <f>U229-V229</f>
        <v/>
      </c>
      <c r="X229" s="235" t="n">
        <v>0</v>
      </c>
      <c r="Y229" s="461">
        <f>K229*X229</f>
        <v/>
      </c>
      <c r="Z229" s="461" t="n"/>
      <c r="AA229" s="461">
        <f>Y229-Z229</f>
        <v/>
      </c>
      <c r="AB229" s="235" t="n">
        <v>0</v>
      </c>
      <c r="AC229" s="461">
        <f>K229*AB229</f>
        <v/>
      </c>
      <c r="AD229" s="461" t="n"/>
      <c r="AE229" s="461">
        <f>AC229-AD229</f>
        <v/>
      </c>
      <c r="AF229" s="235" t="n">
        <v>0</v>
      </c>
      <c r="AG229" s="461">
        <f>K229*AF229</f>
        <v/>
      </c>
      <c r="AH229" s="461" t="n"/>
      <c r="AI229" s="461">
        <f>AG229-AH229</f>
        <v/>
      </c>
      <c r="AJ229" s="235" t="n">
        <v>0</v>
      </c>
      <c r="AK229" s="461">
        <f>K229*AJ229</f>
        <v/>
      </c>
      <c r="AL229" s="461" t="n"/>
      <c r="AM229" s="461">
        <f>AK229-AL229</f>
        <v/>
      </c>
      <c r="AN229" s="235" t="n">
        <v>0</v>
      </c>
      <c r="AO229" s="461">
        <f>K229*AN229</f>
        <v/>
      </c>
      <c r="AP229" s="461" t="n"/>
      <c r="AQ229" s="461">
        <f>AO229-AP229</f>
        <v/>
      </c>
      <c r="AR229" s="461" t="n">
        <v>0</v>
      </c>
      <c r="AS229" s="461">
        <f>K229*AR229</f>
        <v/>
      </c>
      <c r="AT229" s="461" t="n"/>
      <c r="AU229" s="461">
        <f>AS229-AT229</f>
        <v/>
      </c>
      <c r="AV229" s="235" t="n">
        <v>0</v>
      </c>
      <c r="AW229" s="461">
        <f>K229*AV229</f>
        <v/>
      </c>
      <c r="AX229" s="461" t="n"/>
      <c r="AY229" s="461">
        <f>AW229-AX229</f>
        <v/>
      </c>
      <c r="AZ229" s="461" t="inlineStr">
        <is>
          <t>按实</t>
        </is>
      </c>
      <c r="BA229" s="461">
        <f>BB229</f>
        <v/>
      </c>
      <c r="BB229" s="480" t="n"/>
      <c r="BC229" s="461">
        <f>BA229-BB229</f>
        <v/>
      </c>
      <c r="BD229" s="461" t="inlineStr">
        <is>
          <t>4万/半年，4个月收取，每月10000元（7月除外）</t>
        </is>
      </c>
      <c r="BE229" s="461" t="n">
        <v>10000</v>
      </c>
      <c r="BF229" s="480" t="n">
        <v>10000</v>
      </c>
      <c r="BG229" s="461">
        <f>BE229-BF229</f>
        <v/>
      </c>
      <c r="BH229" s="461" t="n">
        <v>0</v>
      </c>
      <c r="BI229" s="461">
        <f>K229*BH229</f>
        <v/>
      </c>
      <c r="BJ229" s="586" t="n"/>
      <c r="BK229" s="461">
        <f>BI229-BJ229</f>
        <v/>
      </c>
      <c r="BL229" s="461" t="inlineStr">
        <is>
          <t>按实</t>
        </is>
      </c>
      <c r="BM229" s="220">
        <f>BN229</f>
        <v/>
      </c>
      <c r="BN229" s="587" t="n"/>
      <c r="BO229" s="220">
        <f>BM229-BN229</f>
        <v/>
      </c>
      <c r="BP229" s="220">
        <f>N229+Q229+U229+Y229+AC229+AG229+AK229+AO229+AS229+AW229+BA229+BE229+BI229+BM229</f>
        <v/>
      </c>
      <c r="BQ229" s="220">
        <f>N229+R229+V229+Z229+AD229+AH229+AL229+AP229+AT229+AX229+BB229+BF229+BJ229+BN229</f>
        <v/>
      </c>
      <c r="BR229" s="220">
        <f>BP229-BQ229</f>
        <v/>
      </c>
      <c r="BS229" s="254" t="inlineStr">
        <is>
          <t>/</t>
        </is>
      </c>
      <c r="BT229" s="229" t="inlineStr">
        <is>
          <t>/</t>
        </is>
      </c>
      <c r="BU229" s="230"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8、能源费：项目反馈不收取，包含在服务费中；
9、其他：项目反馈不收取，包含在服务费中；</t>
        </is>
      </c>
      <c r="BV229" s="230" t="inlineStr">
        <is>
          <t>1、签订期间：2026.3-7月；
2、指标按照全年换算；
3、管理费4万/半年，分四个月收取，每月10000；</t>
        </is>
      </c>
      <c r="BW229" s="534" t="n"/>
    </row>
    <row r="230" ht="96" customFormat="1" customHeight="1" s="209">
      <c r="A230" s="219" t="n">
        <v>266</v>
      </c>
      <c r="B230" s="220" t="inlineStr">
        <is>
          <t>KQCY0266</t>
        </is>
      </c>
      <c r="C230" s="221" t="inlineStr">
        <is>
          <t>餐饮三分部</t>
        </is>
      </c>
      <c r="D230" s="221" t="inlineStr">
        <is>
          <t>CF320</t>
        </is>
      </c>
      <c r="E230" s="221" t="inlineStr">
        <is>
          <t>江苏财经梅园食堂</t>
        </is>
      </c>
      <c r="F230" s="219" t="inlineStr">
        <is>
          <t>分组作业</t>
        </is>
      </c>
      <c r="G230" s="222" t="inlineStr">
        <is>
          <t>徐敏娟</t>
        </is>
      </c>
      <c r="H230" s="503" t="inlineStr">
        <is>
          <t>/</t>
        </is>
      </c>
      <c r="I230" s="237" t="inlineStr">
        <is>
          <t>一鸣鲜奶</t>
        </is>
      </c>
      <c r="J230" s="219" t="inlineStr">
        <is>
          <t>吴斯忠</t>
        </is>
      </c>
      <c r="K230" s="545">
        <f>LET(k,D230&amp;"|"&amp;E230&amp;"|"&amp;H230&amp;"|"&amp;I230&amp;"|"&amp;J230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30" s="546" t="n"/>
      <c r="M230" s="224" t="n"/>
      <c r="N230" s="330" t="n"/>
      <c r="O230" s="548" t="n">
        <v>328800</v>
      </c>
      <c r="P230" s="235" t="n">
        <v>0</v>
      </c>
      <c r="Q230" s="461">
        <f>K230*P230</f>
        <v/>
      </c>
      <c r="R230" s="584" t="n"/>
      <c r="S230" s="461">
        <f>Q230-R230</f>
        <v/>
      </c>
      <c r="T230" s="235" t="n">
        <v>0</v>
      </c>
      <c r="U230" s="461">
        <f>K230*T230</f>
        <v/>
      </c>
      <c r="V230" s="461" t="n"/>
      <c r="W230" s="461">
        <f>U230-V230</f>
        <v/>
      </c>
      <c r="X230" s="235" t="n">
        <v>0</v>
      </c>
      <c r="Y230" s="461">
        <f>K230*X230</f>
        <v/>
      </c>
      <c r="Z230" s="461" t="n"/>
      <c r="AA230" s="461">
        <f>Y230-Z230</f>
        <v/>
      </c>
      <c r="AB230" s="235" t="n">
        <v>0</v>
      </c>
      <c r="AC230" s="461">
        <f>K230*AB230</f>
        <v/>
      </c>
      <c r="AD230" s="461" t="n"/>
      <c r="AE230" s="461">
        <f>AC230-AD230</f>
        <v/>
      </c>
      <c r="AF230" s="235" t="n">
        <v>0</v>
      </c>
      <c r="AG230" s="461">
        <f>K230*AF230</f>
        <v/>
      </c>
      <c r="AH230" s="461" t="n"/>
      <c r="AI230" s="461">
        <f>AG230-AH230</f>
        <v/>
      </c>
      <c r="AJ230" s="235" t="n">
        <v>0</v>
      </c>
      <c r="AK230" s="461">
        <f>K230*AJ230</f>
        <v/>
      </c>
      <c r="AL230" s="461" t="n"/>
      <c r="AM230" s="461">
        <f>AK230-AL230</f>
        <v/>
      </c>
      <c r="AN230" s="235" t="n">
        <v>0</v>
      </c>
      <c r="AO230" s="461">
        <f>K230*AN230</f>
        <v/>
      </c>
      <c r="AP230" s="461" t="n"/>
      <c r="AQ230" s="461">
        <f>AO230-AP230</f>
        <v/>
      </c>
      <c r="AR230" s="461" t="n">
        <v>0</v>
      </c>
      <c r="AS230" s="461">
        <f>K230*AR230</f>
        <v/>
      </c>
      <c r="AT230" s="461" t="n"/>
      <c r="AU230" s="461">
        <f>AS230-AT230</f>
        <v/>
      </c>
      <c r="AV230" s="235" t="inlineStr">
        <is>
          <t>计表</t>
        </is>
      </c>
      <c r="AW230" s="461">
        <f>AX230</f>
        <v/>
      </c>
      <c r="AX230" s="461" t="n"/>
      <c r="AY230" s="461">
        <f>AW230-AX230</f>
        <v/>
      </c>
      <c r="AZ230" s="461" t="inlineStr">
        <is>
          <t>按实</t>
        </is>
      </c>
      <c r="BA230" s="461">
        <f>BB230</f>
        <v/>
      </c>
      <c r="BB230" s="480" t="n"/>
      <c r="BC230" s="461">
        <f>BA230-BB230</f>
        <v/>
      </c>
      <c r="BD230" s="461" t="inlineStr">
        <is>
          <t>6万/年，8个月扣除，每月7500元，1、7、8月不收</t>
        </is>
      </c>
      <c r="BE230" s="461" t="n">
        <v>7500</v>
      </c>
      <c r="BF230" s="480" t="n">
        <v>7500</v>
      </c>
      <c r="BG230" s="461">
        <f>BE230-BF230</f>
        <v/>
      </c>
      <c r="BH230" s="461" t="n">
        <v>0</v>
      </c>
      <c r="BI230" s="461">
        <f>K230*BH230</f>
        <v/>
      </c>
      <c r="BJ230" s="586" t="n"/>
      <c r="BK230" s="461">
        <f>BI230-BJ230</f>
        <v/>
      </c>
      <c r="BL230" s="461" t="inlineStr">
        <is>
          <t>按实</t>
        </is>
      </c>
      <c r="BM230" s="220">
        <f>BN230</f>
        <v/>
      </c>
      <c r="BN230" s="587" t="n"/>
      <c r="BO230" s="220">
        <f>BM230-BN230</f>
        <v/>
      </c>
      <c r="BP230" s="220">
        <f>N230+Q230+U230+Y230+AC230+AG230+AK230+AO230+AS230+AW230+BA230+BE230+BI230+BM230</f>
        <v/>
      </c>
      <c r="BQ230" s="220">
        <f>N230+R230+V230+Z230+AD230+AH230+AL230+AP230+AT230+AX230+BB230+BF230+BJ230+BN230</f>
        <v/>
      </c>
      <c r="BR230" s="220">
        <f>BP230-BQ230</f>
        <v/>
      </c>
      <c r="BS230" s="254" t="inlineStr">
        <is>
          <t>/</t>
        </is>
      </c>
      <c r="BT230" s="229" t="inlineStr">
        <is>
          <t>/</t>
        </is>
      </c>
      <c r="BU230" s="230"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BV230" s="230" t="inlineStr">
        <is>
          <t>1、签订期间：2026.3-7月；
2、指标按照全年换算；
3、管理费6万一年，按8个月收取，每月7500；</t>
        </is>
      </c>
      <c r="BW230" s="534" t="n"/>
    </row>
    <row r="231" ht="96" customFormat="1" customHeight="1" s="209">
      <c r="A231" s="219" t="n">
        <v>267</v>
      </c>
      <c r="B231" s="220" t="inlineStr">
        <is>
          <t>KQCY0267</t>
        </is>
      </c>
      <c r="C231" s="221" t="inlineStr">
        <is>
          <t>餐饮三分部</t>
        </is>
      </c>
      <c r="D231" s="221" t="inlineStr">
        <is>
          <t>CF320</t>
        </is>
      </c>
      <c r="E231" s="221" t="inlineStr">
        <is>
          <t>江苏财经梅园食堂</t>
        </is>
      </c>
      <c r="F231" s="219" t="inlineStr">
        <is>
          <t>分组作业</t>
        </is>
      </c>
      <c r="G231" s="222" t="inlineStr">
        <is>
          <t>徐敏娟</t>
        </is>
      </c>
      <c r="H231" s="503" t="inlineStr">
        <is>
          <t>/</t>
        </is>
      </c>
      <c r="I231" s="237" t="inlineStr">
        <is>
          <t>库迪咖啡</t>
        </is>
      </c>
      <c r="J231" s="219" t="inlineStr">
        <is>
          <t>张凌子</t>
        </is>
      </c>
      <c r="K231" s="545">
        <f>LET(k,D231&amp;"|"&amp;E231&amp;"|"&amp;H231&amp;"|"&amp;I231&amp;"|"&amp;J231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31" s="546" t="n"/>
      <c r="M231" s="224" t="n"/>
      <c r="N231" s="330" t="n"/>
      <c r="O231" s="548" t="n">
        <v>285600</v>
      </c>
      <c r="P231" s="235" t="n">
        <v>0</v>
      </c>
      <c r="Q231" s="461">
        <f>K231*P231</f>
        <v/>
      </c>
      <c r="R231" s="584" t="n"/>
      <c r="S231" s="461">
        <f>Q231-R231</f>
        <v/>
      </c>
      <c r="T231" s="235" t="n">
        <v>0</v>
      </c>
      <c r="U231" s="461">
        <f>K231*T231</f>
        <v/>
      </c>
      <c r="V231" s="461" t="n"/>
      <c r="W231" s="461">
        <f>U231-V231</f>
        <v/>
      </c>
      <c r="X231" s="235" t="n">
        <v>0</v>
      </c>
      <c r="Y231" s="461">
        <f>K231*X231</f>
        <v/>
      </c>
      <c r="Z231" s="461" t="n"/>
      <c r="AA231" s="461">
        <f>Y231-Z231</f>
        <v/>
      </c>
      <c r="AB231" s="235" t="n">
        <v>0</v>
      </c>
      <c r="AC231" s="461">
        <f>K231*AB231</f>
        <v/>
      </c>
      <c r="AD231" s="461" t="n"/>
      <c r="AE231" s="461">
        <f>AC231-AD231</f>
        <v/>
      </c>
      <c r="AF231" s="235" t="n">
        <v>0</v>
      </c>
      <c r="AG231" s="461">
        <f>K231*AF231</f>
        <v/>
      </c>
      <c r="AH231" s="461" t="n"/>
      <c r="AI231" s="461">
        <f>AG231-AH231</f>
        <v/>
      </c>
      <c r="AJ231" s="235" t="n">
        <v>0</v>
      </c>
      <c r="AK231" s="461">
        <f>K231*AJ231</f>
        <v/>
      </c>
      <c r="AL231" s="461" t="n"/>
      <c r="AM231" s="461">
        <f>AK231-AL231</f>
        <v/>
      </c>
      <c r="AN231" s="235" t="n">
        <v>0</v>
      </c>
      <c r="AO231" s="461">
        <f>K231*AN231</f>
        <v/>
      </c>
      <c r="AP231" s="461" t="n"/>
      <c r="AQ231" s="461">
        <f>AO231-AP231</f>
        <v/>
      </c>
      <c r="AR231" s="461" t="n">
        <v>0</v>
      </c>
      <c r="AS231" s="461">
        <f>K231*AR231</f>
        <v/>
      </c>
      <c r="AT231" s="461" t="n"/>
      <c r="AU231" s="461">
        <f>AS231-AT231</f>
        <v/>
      </c>
      <c r="AV231" s="235" t="inlineStr">
        <is>
          <t>计表</t>
        </is>
      </c>
      <c r="AW231" s="461" t="n">
        <v>261.6</v>
      </c>
      <c r="AX231" s="461" t="n"/>
      <c r="AY231" s="461">
        <f>AW231-AX231</f>
        <v/>
      </c>
      <c r="AZ231" s="461" t="inlineStr">
        <is>
          <t>按实</t>
        </is>
      </c>
      <c r="BA231" s="461">
        <f>BB231</f>
        <v/>
      </c>
      <c r="BB231" s="480" t="n"/>
      <c r="BC231" s="461">
        <f>BA231-BB231</f>
        <v/>
      </c>
      <c r="BD231" s="461" t="inlineStr">
        <is>
          <t>7万/年，8个月收取，每月8750元，1、7、8月不收</t>
        </is>
      </c>
      <c r="BE231" s="461" t="n">
        <v>8750</v>
      </c>
      <c r="BF231" s="480" t="n">
        <v>8750</v>
      </c>
      <c r="BG231" s="461">
        <f>BE231-BF231</f>
        <v/>
      </c>
      <c r="BH231" s="461" t="n">
        <v>0</v>
      </c>
      <c r="BI231" s="461">
        <f>K231*BH231</f>
        <v/>
      </c>
      <c r="BJ231" s="586" t="n"/>
      <c r="BK231" s="461">
        <f>BI231-BJ231</f>
        <v/>
      </c>
      <c r="BL231" s="461" t="inlineStr">
        <is>
          <t>按实</t>
        </is>
      </c>
      <c r="BM231" s="220">
        <f>BN231</f>
        <v/>
      </c>
      <c r="BN231" s="587" t="n"/>
      <c r="BO231" s="220">
        <f>BM231-BN231</f>
        <v/>
      </c>
      <c r="BP231" s="220">
        <f>N231+Q231+U231+Y231+AC231+AG231+AK231+AO231+AS231+AW231+BA231+BE231+BI231+BM231</f>
        <v/>
      </c>
      <c r="BQ231" s="220">
        <f>N231+R231+V231+Z231+AD231+AH231+AL231+AP231+AT231+AX231+BB231+BF231+BJ231+BN231</f>
        <v/>
      </c>
      <c r="BR231" s="220">
        <f>BP231-BQ231</f>
        <v/>
      </c>
      <c r="BS231" s="254" t="inlineStr">
        <is>
          <t>/</t>
        </is>
      </c>
      <c r="BT231" s="229" t="inlineStr">
        <is>
          <t>/</t>
        </is>
      </c>
      <c r="BU231" s="230"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BV231" s="230" t="inlineStr">
        <is>
          <t>1、签订期间：2026.3-7月；
2、指标按照全年换算；
3、管理费7万一年，按8个月收取，每月8750；</t>
        </is>
      </c>
      <c r="BW231" s="534" t="n"/>
    </row>
    <row r="232" ht="36" customFormat="1" customHeight="1" s="209">
      <c r="A232" s="219" t="n">
        <v>268</v>
      </c>
      <c r="B232" s="220" t="inlineStr">
        <is>
          <t>KQCY0268</t>
        </is>
      </c>
      <c r="C232" s="221" t="inlineStr">
        <is>
          <t>餐饮三分部</t>
        </is>
      </c>
      <c r="D232" s="221" t="inlineStr">
        <is>
          <t>CF320</t>
        </is>
      </c>
      <c r="E232" s="221" t="inlineStr">
        <is>
          <t>江苏财经梅园食堂</t>
        </is>
      </c>
      <c r="F232" s="219" t="inlineStr">
        <is>
          <t>分组作业</t>
        </is>
      </c>
      <c r="G232" s="222" t="inlineStr">
        <is>
          <t>徐敏娟</t>
        </is>
      </c>
      <c r="H232" s="503" t="inlineStr">
        <is>
          <t>/</t>
        </is>
      </c>
      <c r="I232" s="237" t="inlineStr">
        <is>
          <t>猪脚饭</t>
        </is>
      </c>
      <c r="J232" s="219" t="inlineStr">
        <is>
          <t>李袁园</t>
        </is>
      </c>
      <c r="K232" s="545">
        <f>LET(k,D232&amp;"|"&amp;E232&amp;"|"&amp;H232&amp;"|"&amp;I232&amp;"|"&amp;J232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32" s="546" t="n"/>
      <c r="M232" s="224" t="n"/>
      <c r="N232" s="330" t="n"/>
      <c r="O232" s="548" t="n"/>
      <c r="P232" s="235" t="n">
        <v>0.28</v>
      </c>
      <c r="Q232" s="461">
        <f>K232*P232</f>
        <v/>
      </c>
      <c r="R232" s="584" t="n"/>
      <c r="S232" s="461">
        <f>Q232-R232</f>
        <v/>
      </c>
      <c r="T232" s="235" t="n">
        <v>0</v>
      </c>
      <c r="U232" s="461">
        <f>K232*T232</f>
        <v/>
      </c>
      <c r="V232" s="461" t="n"/>
      <c r="W232" s="461">
        <f>U232-V232</f>
        <v/>
      </c>
      <c r="X232" s="235" t="n">
        <v>0</v>
      </c>
      <c r="Y232" s="461">
        <f>K232*X232</f>
        <v/>
      </c>
      <c r="Z232" s="461" t="n"/>
      <c r="AA232" s="461">
        <f>Y232-Z232</f>
        <v/>
      </c>
      <c r="AB232" s="235" t="n">
        <v>0</v>
      </c>
      <c r="AC232" s="461">
        <f>K232*AB232</f>
        <v/>
      </c>
      <c r="AD232" s="461" t="n"/>
      <c r="AE232" s="461">
        <f>AC232-AD232</f>
        <v/>
      </c>
      <c r="AF232" s="235" t="n">
        <v>0</v>
      </c>
      <c r="AG232" s="461">
        <f>K232*AF232</f>
        <v/>
      </c>
      <c r="AH232" s="461" t="n"/>
      <c r="AI232" s="461">
        <f>AG232-AH232</f>
        <v/>
      </c>
      <c r="AJ232" s="235" t="n">
        <v>0</v>
      </c>
      <c r="AK232" s="461">
        <f>K232*AJ232</f>
        <v/>
      </c>
      <c r="AL232" s="461" t="n"/>
      <c r="AM232" s="461">
        <f>AK232-AL232</f>
        <v/>
      </c>
      <c r="AN232" s="235" t="n">
        <v>0</v>
      </c>
      <c r="AO232" s="461">
        <f>K232*AN232</f>
        <v/>
      </c>
      <c r="AP232" s="461" t="n"/>
      <c r="AQ232" s="461">
        <f>AO232-AP232</f>
        <v/>
      </c>
      <c r="AR232" s="461" t="n">
        <v>0</v>
      </c>
      <c r="AS232" s="461">
        <f>K232*AR232</f>
        <v/>
      </c>
      <c r="AT232" s="461" t="n"/>
      <c r="AU232" s="461">
        <f>AS232-AT232</f>
        <v/>
      </c>
      <c r="AV232" s="235" t="n">
        <v>0</v>
      </c>
      <c r="AW232" s="461">
        <f>K232*AV232</f>
        <v/>
      </c>
      <c r="AX232" s="461" t="n"/>
      <c r="AY232" s="461">
        <f>AW232-AX232</f>
        <v/>
      </c>
      <c r="AZ232" s="461" t="inlineStr">
        <is>
          <t>按实</t>
        </is>
      </c>
      <c r="BA232" s="461">
        <f>BB232</f>
        <v/>
      </c>
      <c r="BB232" s="480" t="n"/>
      <c r="BC232" s="461">
        <f>BA232-BB232</f>
        <v/>
      </c>
      <c r="BD232" s="235" t="inlineStr">
        <is>
          <t>餐损50元/月，7月按实际经营天数结算</t>
        </is>
      </c>
      <c r="BE232" s="461" t="n">
        <v>50</v>
      </c>
      <c r="BF232" s="480" t="n"/>
      <c r="BG232" s="461">
        <f>BE232-BF232</f>
        <v/>
      </c>
      <c r="BH232" s="461" t="n">
        <v>0</v>
      </c>
      <c r="BI232" s="461">
        <f>K232*BH232</f>
        <v/>
      </c>
      <c r="BJ232" s="480" t="n"/>
      <c r="BK232" s="461">
        <f>BI232-BJ232</f>
        <v/>
      </c>
      <c r="BL232" s="461" t="inlineStr">
        <is>
          <t>按实</t>
        </is>
      </c>
      <c r="BM232" s="220">
        <f>BN232</f>
        <v/>
      </c>
      <c r="BN232" s="243" t="n"/>
      <c r="BO232" s="220">
        <f>BM232-BN232</f>
        <v/>
      </c>
      <c r="BP232" s="220">
        <f>N232+Q232+U232+Y232+AC232+AG232+AK232+AO232+AS232+AW232+BA232+BE232+BI232+BM232</f>
        <v/>
      </c>
      <c r="BQ232" s="220">
        <f>N232+R232+V232+Z232+AD232+AH232+AL232+AP232+AT232+AX232+BB232+BF232+BJ232+BN232</f>
        <v/>
      </c>
      <c r="BR232" s="220">
        <f>BP232-BQ232</f>
        <v/>
      </c>
      <c r="BS232" s="254" t="n"/>
      <c r="BT232" s="229" t="n"/>
      <c r="BU232" s="230" t="n"/>
      <c r="BV232" s="230" t="n"/>
      <c r="BW232" s="534" t="n"/>
    </row>
    <row r="233" ht="24.75" customFormat="1" customHeight="1" s="209">
      <c r="A233" s="219" t="n">
        <v>270</v>
      </c>
      <c r="B233" s="220" t="inlineStr">
        <is>
          <t>KQCY0270</t>
        </is>
      </c>
      <c r="C233" s="221" t="inlineStr">
        <is>
          <t>餐饮五分部</t>
        </is>
      </c>
      <c r="D233" s="221" t="inlineStr">
        <is>
          <t>CF694</t>
        </is>
      </c>
      <c r="E233" s="221" t="inlineStr">
        <is>
          <t>兰理工彭家坪北村食堂</t>
        </is>
      </c>
      <c r="F233" s="219" t="inlineStr">
        <is>
          <t>分组作业</t>
        </is>
      </c>
      <c r="G233" s="222" t="inlineStr">
        <is>
          <t>徐敏捷</t>
        </is>
      </c>
      <c r="H233" s="503" t="inlineStr">
        <is>
          <t>/</t>
        </is>
      </c>
      <c r="I233" s="237" t="inlineStr">
        <is>
          <t>水饺</t>
        </is>
      </c>
      <c r="J233" s="503" t="inlineStr">
        <is>
          <t>穆小芳</t>
        </is>
      </c>
      <c r="K233" s="545">
        <f>LET(k,D233&amp;"|"&amp;E233&amp;"|"&amp;H233&amp;"|"&amp;I233&amp;"|"&amp;J233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33" s="546" t="n"/>
      <c r="M233" s="224" t="n"/>
      <c r="N233" s="253" t="n">
        <v>0</v>
      </c>
      <c r="O233" s="548" t="n">
        <v>592800</v>
      </c>
      <c r="P233" s="276" t="n">
        <v>0.18</v>
      </c>
      <c r="Q233" s="461">
        <f>K233*P233</f>
        <v/>
      </c>
      <c r="R233" s="227" t="n">
        <v>0</v>
      </c>
      <c r="S233" s="461">
        <f>Q233-R233</f>
        <v/>
      </c>
      <c r="T233" s="227" t="n">
        <v>0</v>
      </c>
      <c r="U233" s="461">
        <f>K233*T233</f>
        <v/>
      </c>
      <c r="V233" s="227" t="n">
        <v>0</v>
      </c>
      <c r="W233" s="461">
        <f>U233-V233</f>
        <v/>
      </c>
      <c r="X233" s="227" t="n">
        <v>0</v>
      </c>
      <c r="Y233" s="461">
        <f>K233*X233</f>
        <v/>
      </c>
      <c r="Z233" s="227" t="n">
        <v>0</v>
      </c>
      <c r="AA233" s="461">
        <f>Y233-Z233</f>
        <v/>
      </c>
      <c r="AB233" s="227" t="n">
        <v>0</v>
      </c>
      <c r="AC233" s="461">
        <f>K233*AB233</f>
        <v/>
      </c>
      <c r="AD233" s="227" t="n">
        <v>0</v>
      </c>
      <c r="AE233" s="461">
        <f>AC233-AD233</f>
        <v/>
      </c>
      <c r="AF233" s="227" t="n">
        <v>0</v>
      </c>
      <c r="AG233" s="461">
        <f>K233*AF233</f>
        <v/>
      </c>
      <c r="AH233" s="227" t="n">
        <v>0</v>
      </c>
      <c r="AI233" s="461">
        <f>AG233-AH233</f>
        <v/>
      </c>
      <c r="AJ233" s="227" t="n">
        <v>0</v>
      </c>
      <c r="AK233" s="461">
        <f>K233*AJ233</f>
        <v/>
      </c>
      <c r="AL233" s="227" t="n">
        <v>0</v>
      </c>
      <c r="AM233" s="461">
        <f>AK233-AL233</f>
        <v/>
      </c>
      <c r="AN233" s="227" t="n">
        <v>0</v>
      </c>
      <c r="AO233" s="461">
        <f>K233*AN233</f>
        <v/>
      </c>
      <c r="AP233" s="461" t="n">
        <v>0</v>
      </c>
      <c r="AQ233" s="461">
        <f>AO233-AP233</f>
        <v/>
      </c>
      <c r="AR233" s="461" t="n">
        <v>0.03</v>
      </c>
      <c r="AS233" s="461">
        <f>K233*AR233</f>
        <v/>
      </c>
      <c r="AT233" s="227" t="n">
        <v>0</v>
      </c>
      <c r="AU233" s="461">
        <f>AS233-AT233</f>
        <v/>
      </c>
      <c r="AV233" s="276" t="n">
        <v>0.03</v>
      </c>
      <c r="AW233" s="461">
        <f>K233*AV233</f>
        <v/>
      </c>
      <c r="AX233" s="227" t="n">
        <v>0</v>
      </c>
      <c r="AY233" s="461">
        <f>AW233-AX233</f>
        <v/>
      </c>
      <c r="AZ233" s="227" t="n">
        <v>0</v>
      </c>
      <c r="BA233" s="461">
        <f>K233*AZ233</f>
        <v/>
      </c>
      <c r="BB233" s="461" t="n">
        <v>0</v>
      </c>
      <c r="BC233" s="461">
        <f>BA233-BB233</f>
        <v/>
      </c>
      <c r="BD233" s="461" t="n"/>
      <c r="BE233" s="461">
        <f>K233*BD233</f>
        <v/>
      </c>
      <c r="BF233" s="461" t="n">
        <v>0</v>
      </c>
      <c r="BG233" s="461">
        <f>BE233-BF233</f>
        <v/>
      </c>
      <c r="BH233" s="461" t="n"/>
      <c r="BI233" s="461">
        <f>K233*BH233</f>
        <v/>
      </c>
      <c r="BJ233" s="461" t="n">
        <v>0</v>
      </c>
      <c r="BK233" s="461">
        <f>BI233-BJ233</f>
        <v/>
      </c>
      <c r="BL233" s="461" t="n"/>
      <c r="BM233" s="220">
        <f>BN233</f>
        <v/>
      </c>
      <c r="BN233" s="220" t="n">
        <v>0</v>
      </c>
      <c r="BO233" s="220">
        <f>BM233-BN233</f>
        <v/>
      </c>
      <c r="BP233" s="220">
        <f>N233+Q233+U233+Y233+AC233+AG233+AK233+AO233+AS233+AW233+BA233+BE233+BI233+BM233</f>
        <v/>
      </c>
      <c r="BQ233" s="220">
        <f>N233+R233+V233+Z233+AD233+AH233+AL233+AP233+AT233+AX233+BB233+BF233+BJ233+BN233</f>
        <v/>
      </c>
      <c r="BR233" s="220">
        <f>BP233-BQ233</f>
        <v/>
      </c>
      <c r="BS233" s="254" t="inlineStr">
        <is>
          <t>/</t>
        </is>
      </c>
      <c r="BT233" s="229" t="inlineStr">
        <is>
          <t>/</t>
        </is>
      </c>
      <c r="BU233"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33" s="230" t="inlineStr">
        <is>
          <t>1、签订期间：2026.3.1-2026.7.20；
2、指标按照全年换算；</t>
        </is>
      </c>
      <c r="BW233" s="534" t="n"/>
    </row>
    <row r="234" ht="24.75" customFormat="1" customHeight="1" s="209">
      <c r="A234" s="219" t="n">
        <v>271</v>
      </c>
      <c r="B234" s="220" t="inlineStr">
        <is>
          <t>KQCY0271</t>
        </is>
      </c>
      <c r="C234" s="221" t="inlineStr">
        <is>
          <t>餐饮五分部</t>
        </is>
      </c>
      <c r="D234" s="221" t="inlineStr">
        <is>
          <t>CF694</t>
        </is>
      </c>
      <c r="E234" s="221" t="inlineStr">
        <is>
          <t>兰理工彭家坪北村食堂</t>
        </is>
      </c>
      <c r="F234" s="219" t="inlineStr">
        <is>
          <t>分组作业</t>
        </is>
      </c>
      <c r="G234" s="222" t="inlineStr">
        <is>
          <t>徐敏捷</t>
        </is>
      </c>
      <c r="H234" s="503" t="inlineStr">
        <is>
          <t>/</t>
        </is>
      </c>
      <c r="I234" s="237" t="inlineStr">
        <is>
          <t>牛肉面</t>
        </is>
      </c>
      <c r="J234" s="461" t="inlineStr">
        <is>
          <t>李俊兵</t>
        </is>
      </c>
      <c r="K234" s="545">
        <f>LET(k,D234&amp;"|"&amp;E234&amp;"|"&amp;H234&amp;"|"&amp;I234&amp;"|"&amp;J234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34" s="546" t="n"/>
      <c r="M234" s="224" t="n"/>
      <c r="N234" s="253" t="n"/>
      <c r="O234" s="548" t="n">
        <v>626400</v>
      </c>
      <c r="P234" s="276" t="n">
        <v>0.12</v>
      </c>
      <c r="Q234" s="461">
        <f>K234*P234</f>
        <v/>
      </c>
      <c r="R234" s="227" t="n"/>
      <c r="S234" s="461">
        <f>Q234-R234</f>
        <v/>
      </c>
      <c r="T234" s="227" t="n">
        <v>0</v>
      </c>
      <c r="U234" s="461">
        <f>K234*T234</f>
        <v/>
      </c>
      <c r="V234" s="227" t="n"/>
      <c r="W234" s="461">
        <f>U234-V234</f>
        <v/>
      </c>
      <c r="X234" s="227" t="n">
        <v>0</v>
      </c>
      <c r="Y234" s="461">
        <f>K234*X234</f>
        <v/>
      </c>
      <c r="Z234" s="227" t="n"/>
      <c r="AA234" s="461">
        <f>Y234-Z234</f>
        <v/>
      </c>
      <c r="AB234" s="227" t="n">
        <v>0</v>
      </c>
      <c r="AC234" s="461">
        <f>K234*AB234</f>
        <v/>
      </c>
      <c r="AD234" s="227" t="n"/>
      <c r="AE234" s="461">
        <f>AC234-AD234</f>
        <v/>
      </c>
      <c r="AF234" s="227" t="n">
        <v>0</v>
      </c>
      <c r="AG234" s="461">
        <f>K234*AF234</f>
        <v/>
      </c>
      <c r="AH234" s="227" t="n"/>
      <c r="AI234" s="461">
        <f>AG234-AH234</f>
        <v/>
      </c>
      <c r="AJ234" s="227" t="n">
        <v>0</v>
      </c>
      <c r="AK234" s="461">
        <f>K234*AJ234</f>
        <v/>
      </c>
      <c r="AL234" s="227" t="n"/>
      <c r="AM234" s="461">
        <f>AK234-AL234</f>
        <v/>
      </c>
      <c r="AN234" s="227" t="n">
        <v>0</v>
      </c>
      <c r="AO234" s="461">
        <f>K234*AN234</f>
        <v/>
      </c>
      <c r="AP234" s="461" t="n"/>
      <c r="AQ234" s="461">
        <f>AO234-AP234</f>
        <v/>
      </c>
      <c r="AR234" s="461" t="n">
        <v>0.02</v>
      </c>
      <c r="AS234" s="461">
        <f>K234*AR234</f>
        <v/>
      </c>
      <c r="AT234" s="227" t="n"/>
      <c r="AU234" s="461">
        <f>AS234-AT234</f>
        <v/>
      </c>
      <c r="AV234" s="276" t="n">
        <v>0.02</v>
      </c>
      <c r="AW234" s="461">
        <f>K234*AV234</f>
        <v/>
      </c>
      <c r="AX234" s="227" t="n"/>
      <c r="AY234" s="461">
        <f>AW234-AX234</f>
        <v/>
      </c>
      <c r="AZ234" s="227" t="n">
        <v>0</v>
      </c>
      <c r="BA234" s="461">
        <f>K234*AZ234</f>
        <v/>
      </c>
      <c r="BB234" s="461" t="n"/>
      <c r="BC234" s="461">
        <f>BA234-BB234</f>
        <v/>
      </c>
      <c r="BD234" s="461" t="n"/>
      <c r="BE234" s="461">
        <f>K234*BD234</f>
        <v/>
      </c>
      <c r="BF234" s="461" t="n"/>
      <c r="BG234" s="461">
        <f>BE234-BF234</f>
        <v/>
      </c>
      <c r="BH234" s="461" t="n"/>
      <c r="BI234" s="461">
        <f>K234*BH234</f>
        <v/>
      </c>
      <c r="BJ234" s="461" t="n"/>
      <c r="BK234" s="461">
        <f>BI234-BJ234</f>
        <v/>
      </c>
      <c r="BL234" s="461" t="n"/>
      <c r="BM234" s="220">
        <f>K234*BL234</f>
        <v/>
      </c>
      <c r="BN234" s="220" t="n"/>
      <c r="BO234" s="220">
        <f>BM234-BN234</f>
        <v/>
      </c>
      <c r="BP234" s="220">
        <f>N234+Q234+U234+Y234+AC234+AG234+AK234+AO234+AS234+AW234+BA234+BE234+BI234+BM234</f>
        <v/>
      </c>
      <c r="BQ234" s="220">
        <f>N234+R234+V234+Z234+AD234+AH234+AL234+AP234+AT234+AX234+BB234+BF234+BJ234+BN234</f>
        <v/>
      </c>
      <c r="BR234" s="220">
        <f>BP234-BQ234</f>
        <v/>
      </c>
      <c r="BS234" s="254" t="inlineStr">
        <is>
          <t>/</t>
        </is>
      </c>
      <c r="BT234" s="229" t="inlineStr">
        <is>
          <t>/</t>
        </is>
      </c>
      <c r="BU234"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34" s="230" t="inlineStr">
        <is>
          <t>1、签订期间：2026.3.1-2026.7.20；
2、指标按照全年换算；</t>
        </is>
      </c>
      <c r="BW234" s="534" t="n"/>
    </row>
    <row r="235" ht="24.75" customFormat="1" customHeight="1" s="209">
      <c r="A235" s="219" t="n">
        <v>272</v>
      </c>
      <c r="B235" s="220" t="inlineStr">
        <is>
          <t>KQCY0272</t>
        </is>
      </c>
      <c r="C235" s="221" t="inlineStr">
        <is>
          <t>餐饮五分部</t>
        </is>
      </c>
      <c r="D235" s="221" t="inlineStr">
        <is>
          <t>CF694</t>
        </is>
      </c>
      <c r="E235" s="221" t="inlineStr">
        <is>
          <t>兰理工彭家坪北村食堂</t>
        </is>
      </c>
      <c r="F235" s="219" t="inlineStr">
        <is>
          <t>分组作业</t>
        </is>
      </c>
      <c r="G235" s="222" t="inlineStr">
        <is>
          <t>徐敏捷</t>
        </is>
      </c>
      <c r="H235" s="503" t="inlineStr">
        <is>
          <t>/</t>
        </is>
      </c>
      <c r="I235" s="237" t="inlineStr">
        <is>
          <t>韩式煎饼</t>
        </is>
      </c>
      <c r="J235" s="503" t="inlineStr">
        <is>
          <t>赵平花</t>
        </is>
      </c>
      <c r="K235" s="545">
        <f>LET(k,D235&amp;"|"&amp;E235&amp;"|"&amp;H235&amp;"|"&amp;I235&amp;"|"&amp;J235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35" s="546" t="n"/>
      <c r="M235" s="224" t="n"/>
      <c r="N235" s="253" t="n"/>
      <c r="O235" s="548" t="n">
        <v>343200</v>
      </c>
      <c r="P235" s="276" t="n">
        <v>0.2</v>
      </c>
      <c r="Q235" s="461">
        <f>K235*P235</f>
        <v/>
      </c>
      <c r="R235" s="227" t="n"/>
      <c r="S235" s="461">
        <f>Q235-R235</f>
        <v/>
      </c>
      <c r="T235" s="227" t="n">
        <v>0</v>
      </c>
      <c r="U235" s="461">
        <f>K235*T235</f>
        <v/>
      </c>
      <c r="V235" s="227" t="n"/>
      <c r="W235" s="461">
        <f>U235-V235</f>
        <v/>
      </c>
      <c r="X235" s="227" t="n">
        <v>0</v>
      </c>
      <c r="Y235" s="461">
        <f>K235*X235</f>
        <v/>
      </c>
      <c r="Z235" s="227" t="n"/>
      <c r="AA235" s="461">
        <f>Y235-Z235</f>
        <v/>
      </c>
      <c r="AB235" s="227" t="n">
        <v>0</v>
      </c>
      <c r="AC235" s="461">
        <f>K235*AB235</f>
        <v/>
      </c>
      <c r="AD235" s="227" t="n"/>
      <c r="AE235" s="461">
        <f>AC235-AD235</f>
        <v/>
      </c>
      <c r="AF235" s="227" t="n">
        <v>0</v>
      </c>
      <c r="AG235" s="461">
        <f>K235*AF235</f>
        <v/>
      </c>
      <c r="AH235" s="227" t="n"/>
      <c r="AI235" s="461">
        <f>AG235-AH235</f>
        <v/>
      </c>
      <c r="AJ235" s="227" t="n">
        <v>0</v>
      </c>
      <c r="AK235" s="461">
        <f>K235*AJ235</f>
        <v/>
      </c>
      <c r="AL235" s="227" t="n"/>
      <c r="AM235" s="461">
        <f>AK235-AL235</f>
        <v/>
      </c>
      <c r="AN235" s="227" t="n">
        <v>0</v>
      </c>
      <c r="AO235" s="461">
        <f>K235*AN235</f>
        <v/>
      </c>
      <c r="AP235" s="461" t="n"/>
      <c r="AQ235" s="461">
        <f>AO235-AP235</f>
        <v/>
      </c>
      <c r="AR235" s="461" t="n">
        <v>0.03</v>
      </c>
      <c r="AS235" s="461">
        <f>K235*AR235</f>
        <v/>
      </c>
      <c r="AT235" s="227" t="n"/>
      <c r="AU235" s="461">
        <f>AS235-AT235</f>
        <v/>
      </c>
      <c r="AV235" s="276" t="n">
        <v>0.03</v>
      </c>
      <c r="AW235" s="461">
        <f>K235*AV235</f>
        <v/>
      </c>
      <c r="AX235" s="227" t="n"/>
      <c r="AY235" s="461">
        <f>AW235-AX235</f>
        <v/>
      </c>
      <c r="AZ235" s="227" t="n">
        <v>0</v>
      </c>
      <c r="BA235" s="461">
        <f>K235*AZ235</f>
        <v/>
      </c>
      <c r="BB235" s="461" t="n"/>
      <c r="BC235" s="461">
        <f>BA235-BB235</f>
        <v/>
      </c>
      <c r="BD235" s="461" t="n"/>
      <c r="BE235" s="461">
        <f>K235*BD235</f>
        <v/>
      </c>
      <c r="BF235" s="461" t="n"/>
      <c r="BG235" s="461">
        <f>BE235-BF235</f>
        <v/>
      </c>
      <c r="BH235" s="461" t="n"/>
      <c r="BI235" s="461">
        <f>K235*BH235</f>
        <v/>
      </c>
      <c r="BJ235" s="461" t="n"/>
      <c r="BK235" s="461">
        <f>BI235-BJ235</f>
        <v/>
      </c>
      <c r="BL235" s="461" t="n"/>
      <c r="BM235" s="220">
        <f>K235*BL235</f>
        <v/>
      </c>
      <c r="BN235" s="220" t="n"/>
      <c r="BO235" s="220">
        <f>BM235-BN235</f>
        <v/>
      </c>
      <c r="BP235" s="220">
        <f>N235+Q235+U235+Y235+AC235+AG235+AK235+AO235+AS235+AW235+BA235+BE235+BI235+BM235</f>
        <v/>
      </c>
      <c r="BQ235" s="220">
        <f>N235+R235+V235+Z235+AD235+AH235+AL235+AP235+AT235+AX235+BB235+BF235+BJ235+BN235</f>
        <v/>
      </c>
      <c r="BR235" s="220">
        <f>BP235-BQ235</f>
        <v/>
      </c>
      <c r="BS235" s="254" t="inlineStr">
        <is>
          <t>/</t>
        </is>
      </c>
      <c r="BT235" s="229" t="inlineStr">
        <is>
          <t>/</t>
        </is>
      </c>
      <c r="BU235"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35" s="230" t="inlineStr">
        <is>
          <t>1、签订期间：2026.3.1-2026.7.20；
2、指标按照全年换算；</t>
        </is>
      </c>
      <c r="BW235" s="534" t="n"/>
    </row>
    <row r="236" ht="24.75" customFormat="1" customHeight="1" s="209">
      <c r="A236" s="219" t="n">
        <v>273</v>
      </c>
      <c r="B236" s="220" t="inlineStr">
        <is>
          <t>KQCY0273</t>
        </is>
      </c>
      <c r="C236" s="221" t="inlineStr">
        <is>
          <t>餐饮五分部</t>
        </is>
      </c>
      <c r="D236" s="221" t="inlineStr">
        <is>
          <t>CF694</t>
        </is>
      </c>
      <c r="E236" s="221" t="inlineStr">
        <is>
          <t>兰理工彭家坪北村食堂</t>
        </is>
      </c>
      <c r="F236" s="219" t="inlineStr">
        <is>
          <t>分组作业</t>
        </is>
      </c>
      <c r="G236" s="222" t="inlineStr">
        <is>
          <t>徐敏捷</t>
        </is>
      </c>
      <c r="H236" s="503" t="inlineStr">
        <is>
          <t>/</t>
        </is>
      </c>
      <c r="I236" s="237" t="inlineStr">
        <is>
          <t>米粉</t>
        </is>
      </c>
      <c r="J236" s="503" t="inlineStr">
        <is>
          <t>尚伟云</t>
        </is>
      </c>
      <c r="K236" s="545">
        <f>LET(k,D236&amp;"|"&amp;E236&amp;"|"&amp;H236&amp;"|"&amp;I236&amp;"|"&amp;J236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36" s="546" t="n"/>
      <c r="M236" s="224" t="n"/>
      <c r="N236" s="253" t="n"/>
      <c r="O236" s="548" t="n">
        <v>676800</v>
      </c>
      <c r="P236" s="276" t="n">
        <v>0.19</v>
      </c>
      <c r="Q236" s="461">
        <f>K236*P236</f>
        <v/>
      </c>
      <c r="R236" s="227" t="n"/>
      <c r="S236" s="461">
        <f>Q236-R236</f>
        <v/>
      </c>
      <c r="T236" s="227" t="n">
        <v>0</v>
      </c>
      <c r="U236" s="461">
        <f>K236*T236</f>
        <v/>
      </c>
      <c r="V236" s="227" t="n"/>
      <c r="W236" s="461">
        <f>U236-V236</f>
        <v/>
      </c>
      <c r="X236" s="227" t="n">
        <v>0</v>
      </c>
      <c r="Y236" s="461">
        <f>K236*X236</f>
        <v/>
      </c>
      <c r="Z236" s="227" t="n"/>
      <c r="AA236" s="461">
        <f>Y236-Z236</f>
        <v/>
      </c>
      <c r="AB236" s="227" t="n">
        <v>0</v>
      </c>
      <c r="AC236" s="461">
        <f>K236*AB236</f>
        <v/>
      </c>
      <c r="AD236" s="227" t="n"/>
      <c r="AE236" s="461">
        <f>AC236-AD236</f>
        <v/>
      </c>
      <c r="AF236" s="227" t="n">
        <v>0</v>
      </c>
      <c r="AG236" s="461">
        <f>K236*AF236</f>
        <v/>
      </c>
      <c r="AH236" s="227" t="n"/>
      <c r="AI236" s="461">
        <f>AG236-AH236</f>
        <v/>
      </c>
      <c r="AJ236" s="227" t="n">
        <v>0</v>
      </c>
      <c r="AK236" s="461">
        <f>K236*AJ236</f>
        <v/>
      </c>
      <c r="AL236" s="227" t="n"/>
      <c r="AM236" s="461">
        <f>AK236-AL236</f>
        <v/>
      </c>
      <c r="AN236" s="227" t="n">
        <v>0</v>
      </c>
      <c r="AO236" s="461">
        <f>K236*AN236</f>
        <v/>
      </c>
      <c r="AP236" s="461" t="n"/>
      <c r="AQ236" s="461">
        <f>AO236-AP236</f>
        <v/>
      </c>
      <c r="AR236" s="461" t="n">
        <v>0.03</v>
      </c>
      <c r="AS236" s="461">
        <f>K236*AR236</f>
        <v/>
      </c>
      <c r="AT236" s="227" t="n"/>
      <c r="AU236" s="461">
        <f>AS236-AT236</f>
        <v/>
      </c>
      <c r="AV236" s="276" t="n">
        <v>0.03</v>
      </c>
      <c r="AW236" s="461">
        <f>K236*AV236</f>
        <v/>
      </c>
      <c r="AX236" s="227" t="n"/>
      <c r="AY236" s="461">
        <f>AW236-AX236</f>
        <v/>
      </c>
      <c r="AZ236" s="227" t="n">
        <v>0</v>
      </c>
      <c r="BA236" s="461">
        <f>K236*AZ236</f>
        <v/>
      </c>
      <c r="BB236" s="461" t="n"/>
      <c r="BC236" s="461">
        <f>BA236-BB236</f>
        <v/>
      </c>
      <c r="BD236" s="461" t="n"/>
      <c r="BE236" s="461">
        <f>K236*BD236</f>
        <v/>
      </c>
      <c r="BF236" s="461" t="n"/>
      <c r="BG236" s="461">
        <f>BE236-BF236</f>
        <v/>
      </c>
      <c r="BH236" s="461" t="n"/>
      <c r="BI236" s="461">
        <f>K236*BH236</f>
        <v/>
      </c>
      <c r="BJ236" s="461" t="n"/>
      <c r="BK236" s="461">
        <f>BI236-BJ236</f>
        <v/>
      </c>
      <c r="BL236" s="461" t="n"/>
      <c r="BM236" s="220">
        <f>K236*BL236</f>
        <v/>
      </c>
      <c r="BN236" s="220" t="n"/>
      <c r="BO236" s="220">
        <f>BM236-BN236</f>
        <v/>
      </c>
      <c r="BP236" s="220">
        <f>N236+Q236+U236+Y236+AC236+AG236+AK236+AO236+AS236+AW236+BA236+BE236+BI236+BM236</f>
        <v/>
      </c>
      <c r="BQ236" s="220">
        <f>N236+R236+V236+Z236+AD236+AH236+AL236+AP236+AT236+AX236+BB236+BF236+BJ236+BN236</f>
        <v/>
      </c>
      <c r="BR236" s="220">
        <f>BP236-BQ236</f>
        <v/>
      </c>
      <c r="BS236" s="254" t="inlineStr">
        <is>
          <t>/</t>
        </is>
      </c>
      <c r="BT236" s="229" t="inlineStr">
        <is>
          <t>/</t>
        </is>
      </c>
      <c r="BU236"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36" s="230" t="inlineStr">
        <is>
          <t>1、签订期间：2026.3.1-2026.7.20；
2、指标按照全年换算；</t>
        </is>
      </c>
      <c r="BW236" s="534" t="n"/>
    </row>
    <row r="237" ht="24.75" customFormat="1" customHeight="1" s="209">
      <c r="A237" s="219" t="n">
        <v>274</v>
      </c>
      <c r="B237" s="220" t="inlineStr">
        <is>
          <t>KQCY0274</t>
        </is>
      </c>
      <c r="C237" s="221" t="inlineStr">
        <is>
          <t>餐饮五分部</t>
        </is>
      </c>
      <c r="D237" s="221" t="inlineStr">
        <is>
          <t>CF694</t>
        </is>
      </c>
      <c r="E237" s="221" t="inlineStr">
        <is>
          <t>兰理工彭家坪北村食堂</t>
        </is>
      </c>
      <c r="F237" s="219" t="inlineStr">
        <is>
          <t>分组作业</t>
        </is>
      </c>
      <c r="G237" s="222" t="inlineStr">
        <is>
          <t>徐敏捷</t>
        </is>
      </c>
      <c r="H237" s="503" t="inlineStr">
        <is>
          <t>/</t>
        </is>
      </c>
      <c r="I237" s="237" t="inlineStr">
        <is>
          <t>肉肉堡</t>
        </is>
      </c>
      <c r="J237" s="503" t="inlineStr">
        <is>
          <t>任洪彦</t>
        </is>
      </c>
      <c r="K237" s="545">
        <f>LET(k,D237&amp;"|"&amp;E237&amp;"|"&amp;H237&amp;"|"&amp;I237&amp;"|"&amp;J237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37" s="546" t="n"/>
      <c r="M237" s="224" t="n"/>
      <c r="N237" s="253" t="n"/>
      <c r="O237" s="548" t="n">
        <v>408000</v>
      </c>
      <c r="P237" s="276" t="n">
        <v>0.2</v>
      </c>
      <c r="Q237" s="461">
        <f>K237*P237</f>
        <v/>
      </c>
      <c r="R237" s="227" t="n"/>
      <c r="S237" s="461">
        <f>Q237-R237</f>
        <v/>
      </c>
      <c r="T237" s="227" t="n">
        <v>0</v>
      </c>
      <c r="U237" s="461">
        <f>K237*T237</f>
        <v/>
      </c>
      <c r="V237" s="227" t="n"/>
      <c r="W237" s="461">
        <f>U237-V237</f>
        <v/>
      </c>
      <c r="X237" s="227" t="n">
        <v>0</v>
      </c>
      <c r="Y237" s="461">
        <f>K237*X237</f>
        <v/>
      </c>
      <c r="Z237" s="227" t="n"/>
      <c r="AA237" s="461">
        <f>Y237-Z237</f>
        <v/>
      </c>
      <c r="AB237" s="227" t="n">
        <v>0</v>
      </c>
      <c r="AC237" s="461">
        <f>K237*AB237</f>
        <v/>
      </c>
      <c r="AD237" s="227" t="n"/>
      <c r="AE237" s="461">
        <f>AC237-AD237</f>
        <v/>
      </c>
      <c r="AF237" s="227" t="n">
        <v>0</v>
      </c>
      <c r="AG237" s="461">
        <f>K237*AF237</f>
        <v/>
      </c>
      <c r="AH237" s="227" t="n"/>
      <c r="AI237" s="461">
        <f>AG237-AH237</f>
        <v/>
      </c>
      <c r="AJ237" s="227" t="n">
        <v>0</v>
      </c>
      <c r="AK237" s="461">
        <f>K237*AJ237</f>
        <v/>
      </c>
      <c r="AL237" s="227" t="n"/>
      <c r="AM237" s="461">
        <f>AK237-AL237</f>
        <v/>
      </c>
      <c r="AN237" s="227" t="n">
        <v>0</v>
      </c>
      <c r="AO237" s="461">
        <f>K237*AN237</f>
        <v/>
      </c>
      <c r="AP237" s="461" t="n"/>
      <c r="AQ237" s="461">
        <f>AO237-AP237</f>
        <v/>
      </c>
      <c r="AR237" s="461" t="n">
        <v>0.03</v>
      </c>
      <c r="AS237" s="461">
        <f>K237*AR237</f>
        <v/>
      </c>
      <c r="AT237" s="227" t="n"/>
      <c r="AU237" s="461">
        <f>AS237-AT237</f>
        <v/>
      </c>
      <c r="AV237" s="276" t="n">
        <v>0.03</v>
      </c>
      <c r="AW237" s="461">
        <f>K237*AV237</f>
        <v/>
      </c>
      <c r="AX237" s="227" t="n"/>
      <c r="AY237" s="461">
        <f>AW237-AX237</f>
        <v/>
      </c>
      <c r="AZ237" s="227" t="n">
        <v>0</v>
      </c>
      <c r="BA237" s="461">
        <f>K237*AZ237</f>
        <v/>
      </c>
      <c r="BB237" s="461" t="n"/>
      <c r="BC237" s="461">
        <f>BA237-BB237</f>
        <v/>
      </c>
      <c r="BD237" s="461" t="n"/>
      <c r="BE237" s="461">
        <f>K237*BD237</f>
        <v/>
      </c>
      <c r="BF237" s="461" t="n"/>
      <c r="BG237" s="461">
        <f>BE237-BF237</f>
        <v/>
      </c>
      <c r="BH237" s="461" t="n"/>
      <c r="BI237" s="461">
        <f>K237*BH237</f>
        <v/>
      </c>
      <c r="BJ237" s="461" t="n"/>
      <c r="BK237" s="461">
        <f>BI237-BJ237</f>
        <v/>
      </c>
      <c r="BL237" s="461" t="n"/>
      <c r="BM237" s="220">
        <f>K237*BL237</f>
        <v/>
      </c>
      <c r="BN237" s="220" t="n"/>
      <c r="BO237" s="220">
        <f>BM237-BN237</f>
        <v/>
      </c>
      <c r="BP237" s="220">
        <f>N237+Q237+U237+Y237+AC237+AG237+AK237+AO237+AS237+AW237+BA237+BE237+BI237+BM237</f>
        <v/>
      </c>
      <c r="BQ237" s="220">
        <f>N237+R237+V237+Z237+AD237+AH237+AL237+AP237+AT237+AX237+BB237+BF237+BJ237+BN237</f>
        <v/>
      </c>
      <c r="BR237" s="220">
        <f>BP237-BQ237</f>
        <v/>
      </c>
      <c r="BS237" s="254" t="inlineStr">
        <is>
          <t>/</t>
        </is>
      </c>
      <c r="BT237" s="229" t="inlineStr">
        <is>
          <t>/</t>
        </is>
      </c>
      <c r="BU237"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37" s="230" t="inlineStr">
        <is>
          <t>1、签订期间：2026.3.1-2026.7.20；
2、指标按照全年换算；</t>
        </is>
      </c>
      <c r="BW237" s="534" t="n"/>
    </row>
    <row r="238" ht="24.75" customFormat="1" customHeight="1" s="209">
      <c r="A238" s="219" t="n">
        <v>275</v>
      </c>
      <c r="B238" s="220" t="inlineStr">
        <is>
          <t>KQCY0275</t>
        </is>
      </c>
      <c r="C238" s="221" t="inlineStr">
        <is>
          <t>餐饮五分部</t>
        </is>
      </c>
      <c r="D238" s="221" t="inlineStr">
        <is>
          <t>CF694</t>
        </is>
      </c>
      <c r="E238" s="221" t="inlineStr">
        <is>
          <t>兰理工彭家坪北村食堂</t>
        </is>
      </c>
      <c r="F238" s="219" t="inlineStr">
        <is>
          <t>分组作业</t>
        </is>
      </c>
      <c r="G238" s="222" t="inlineStr">
        <is>
          <t>徐敏捷</t>
        </is>
      </c>
      <c r="H238" s="503" t="inlineStr">
        <is>
          <t>/</t>
        </is>
      </c>
      <c r="I238" s="237" t="inlineStr">
        <is>
          <t>肉酱面</t>
        </is>
      </c>
      <c r="J238" s="503" t="inlineStr">
        <is>
          <t>杨小含</t>
        </is>
      </c>
      <c r="K238" s="545">
        <f>LET(k,D238&amp;"|"&amp;E238&amp;"|"&amp;H238&amp;"|"&amp;I238&amp;"|"&amp;J238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38" s="546" t="n"/>
      <c r="M238" s="224" t="n"/>
      <c r="N238" s="253" t="n"/>
      <c r="O238" s="548" t="n">
        <v>595200</v>
      </c>
      <c r="P238" s="276" t="n">
        <v>0.21</v>
      </c>
      <c r="Q238" s="461">
        <f>K238*P238</f>
        <v/>
      </c>
      <c r="R238" s="227" t="n"/>
      <c r="S238" s="461">
        <f>Q238-R238</f>
        <v/>
      </c>
      <c r="T238" s="227" t="n">
        <v>0</v>
      </c>
      <c r="U238" s="461">
        <f>K238*T238</f>
        <v/>
      </c>
      <c r="V238" s="227" t="n"/>
      <c r="W238" s="461">
        <f>U238-V238</f>
        <v/>
      </c>
      <c r="X238" s="227" t="n">
        <v>0</v>
      </c>
      <c r="Y238" s="461">
        <f>K238*X238</f>
        <v/>
      </c>
      <c r="Z238" s="227" t="n"/>
      <c r="AA238" s="461">
        <f>Y238-Z238</f>
        <v/>
      </c>
      <c r="AB238" s="227" t="n">
        <v>0</v>
      </c>
      <c r="AC238" s="461">
        <f>K238*AB238</f>
        <v/>
      </c>
      <c r="AD238" s="227" t="n"/>
      <c r="AE238" s="461">
        <f>AC238-AD238</f>
        <v/>
      </c>
      <c r="AF238" s="227" t="n">
        <v>0</v>
      </c>
      <c r="AG238" s="461">
        <f>K238*AF238</f>
        <v/>
      </c>
      <c r="AH238" s="227" t="n"/>
      <c r="AI238" s="461">
        <f>AG238-AH238</f>
        <v/>
      </c>
      <c r="AJ238" s="227" t="n">
        <v>0</v>
      </c>
      <c r="AK238" s="461">
        <f>K238*AJ238</f>
        <v/>
      </c>
      <c r="AL238" s="227" t="n"/>
      <c r="AM238" s="461">
        <f>AK238-AL238</f>
        <v/>
      </c>
      <c r="AN238" s="227" t="n">
        <v>0</v>
      </c>
      <c r="AO238" s="461">
        <f>K238*AN238</f>
        <v/>
      </c>
      <c r="AP238" s="461" t="n"/>
      <c r="AQ238" s="461">
        <f>AO238-AP238</f>
        <v/>
      </c>
      <c r="AR238" s="461" t="n">
        <v>0.02</v>
      </c>
      <c r="AS238" s="461">
        <f>K238*AR238</f>
        <v/>
      </c>
      <c r="AT238" s="227" t="n"/>
      <c r="AU238" s="461">
        <f>AS238-AT238</f>
        <v/>
      </c>
      <c r="AV238" s="276" t="n">
        <v>0.02</v>
      </c>
      <c r="AW238" s="461">
        <f>K238*AV238</f>
        <v/>
      </c>
      <c r="AX238" s="227" t="n"/>
      <c r="AY238" s="461">
        <f>AW238-AX238</f>
        <v/>
      </c>
      <c r="AZ238" s="227" t="n">
        <v>0</v>
      </c>
      <c r="BA238" s="461">
        <f>K238*AZ238</f>
        <v/>
      </c>
      <c r="BB238" s="461" t="n"/>
      <c r="BC238" s="461">
        <f>BA238-BB238</f>
        <v/>
      </c>
      <c r="BD238" s="461" t="n"/>
      <c r="BE238" s="461">
        <f>K238*BD238</f>
        <v/>
      </c>
      <c r="BF238" s="461" t="n"/>
      <c r="BG238" s="461">
        <f>BE238-BF238</f>
        <v/>
      </c>
      <c r="BH238" s="461" t="n"/>
      <c r="BI238" s="461">
        <f>K238*BH238</f>
        <v/>
      </c>
      <c r="BJ238" s="461" t="n"/>
      <c r="BK238" s="461">
        <f>BI238-BJ238</f>
        <v/>
      </c>
      <c r="BL238" s="461" t="n"/>
      <c r="BM238" s="220">
        <f>K238*BL238</f>
        <v/>
      </c>
      <c r="BN238" s="220" t="n"/>
      <c r="BO238" s="220">
        <f>BM238-BN238</f>
        <v/>
      </c>
      <c r="BP238" s="220">
        <f>N238+Q238+U238+Y238+AC238+AG238+AK238+AO238+AS238+AW238+BA238+BE238+BI238+BM238</f>
        <v/>
      </c>
      <c r="BQ238" s="220">
        <f>N238+R238+V238+Z238+AD238+AH238+AL238+AP238+AT238+AX238+BB238+BF238+BJ238+BN238</f>
        <v/>
      </c>
      <c r="BR238" s="220">
        <f>BP238-BQ238</f>
        <v/>
      </c>
      <c r="BS238" s="254" t="inlineStr">
        <is>
          <t>/</t>
        </is>
      </c>
      <c r="BT238" s="229" t="inlineStr">
        <is>
          <t>/</t>
        </is>
      </c>
      <c r="BU238"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38" s="230" t="inlineStr">
        <is>
          <t>1、签订期间：2026.3.1-2026.7.20；
2、指标按照全年换算；</t>
        </is>
      </c>
      <c r="BW238" s="534" t="n"/>
    </row>
    <row r="239" ht="24.75" customFormat="1" customHeight="1" s="209">
      <c r="A239" s="219" t="n">
        <v>276</v>
      </c>
      <c r="B239" s="220" t="inlineStr">
        <is>
          <t>KQCY0276</t>
        </is>
      </c>
      <c r="C239" s="221" t="inlineStr">
        <is>
          <t>餐饮五分部</t>
        </is>
      </c>
      <c r="D239" s="221" t="inlineStr">
        <is>
          <t>CF694</t>
        </is>
      </c>
      <c r="E239" s="221" t="inlineStr">
        <is>
          <t>兰理工彭家坪北村食堂</t>
        </is>
      </c>
      <c r="F239" s="219" t="inlineStr">
        <is>
          <t>分组作业</t>
        </is>
      </c>
      <c r="G239" s="222" t="inlineStr">
        <is>
          <t>徐敏捷</t>
        </is>
      </c>
      <c r="H239" s="503" t="inlineStr">
        <is>
          <t>/</t>
        </is>
      </c>
      <c r="I239" s="237" t="inlineStr">
        <is>
          <t>脆皮鸡</t>
        </is>
      </c>
      <c r="J239" s="503" t="inlineStr">
        <is>
          <t>汤瑞珍</t>
        </is>
      </c>
      <c r="K239" s="545">
        <f>LET(k,D239&amp;"|"&amp;E239&amp;"|"&amp;H239&amp;"|"&amp;I239&amp;"|"&amp;J239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39" s="546" t="n"/>
      <c r="M239" s="224" t="n"/>
      <c r="N239" s="253" t="n"/>
      <c r="O239" s="548" t="n">
        <v>595200</v>
      </c>
      <c r="P239" s="276" t="n">
        <v>0.2</v>
      </c>
      <c r="Q239" s="461">
        <f>K239*P239</f>
        <v/>
      </c>
      <c r="R239" s="227" t="n"/>
      <c r="S239" s="461">
        <f>Q239-R239</f>
        <v/>
      </c>
      <c r="T239" s="227" t="n">
        <v>0</v>
      </c>
      <c r="U239" s="461">
        <f>K239*T239</f>
        <v/>
      </c>
      <c r="V239" s="227" t="n"/>
      <c r="W239" s="461">
        <f>U239-V239</f>
        <v/>
      </c>
      <c r="X239" s="227" t="n">
        <v>0</v>
      </c>
      <c r="Y239" s="461">
        <f>K239*X239</f>
        <v/>
      </c>
      <c r="Z239" s="227" t="n"/>
      <c r="AA239" s="461">
        <f>Y239-Z239</f>
        <v/>
      </c>
      <c r="AB239" s="227" t="n">
        <v>0</v>
      </c>
      <c r="AC239" s="461">
        <f>K239*AB239</f>
        <v/>
      </c>
      <c r="AD239" s="227" t="n"/>
      <c r="AE239" s="461">
        <f>AC239-AD239</f>
        <v/>
      </c>
      <c r="AF239" s="227" t="n">
        <v>0</v>
      </c>
      <c r="AG239" s="461">
        <f>K239*AF239</f>
        <v/>
      </c>
      <c r="AH239" s="227" t="n"/>
      <c r="AI239" s="461">
        <f>AG239-AH239</f>
        <v/>
      </c>
      <c r="AJ239" s="227" t="n">
        <v>0</v>
      </c>
      <c r="AK239" s="461">
        <f>K239*AJ239</f>
        <v/>
      </c>
      <c r="AL239" s="227" t="n"/>
      <c r="AM239" s="461">
        <f>AK239-AL239</f>
        <v/>
      </c>
      <c r="AN239" s="227" t="n">
        <v>0</v>
      </c>
      <c r="AO239" s="461">
        <f>K239*AN239</f>
        <v/>
      </c>
      <c r="AP239" s="461" t="n"/>
      <c r="AQ239" s="461">
        <f>AO239-AP239</f>
        <v/>
      </c>
      <c r="AR239" s="461" t="n">
        <v>0.03</v>
      </c>
      <c r="AS239" s="461">
        <f>K239*AR239</f>
        <v/>
      </c>
      <c r="AT239" s="227" t="n"/>
      <c r="AU239" s="461">
        <f>AS239-AT239</f>
        <v/>
      </c>
      <c r="AV239" s="276" t="n">
        <v>0.03</v>
      </c>
      <c r="AW239" s="461">
        <f>K239*AV239</f>
        <v/>
      </c>
      <c r="AX239" s="227" t="n"/>
      <c r="AY239" s="461">
        <f>AW239-AX239</f>
        <v/>
      </c>
      <c r="AZ239" s="227" t="n">
        <v>0</v>
      </c>
      <c r="BA239" s="461">
        <f>K239*AZ239</f>
        <v/>
      </c>
      <c r="BB239" s="461" t="n"/>
      <c r="BC239" s="461">
        <f>BA239-BB239</f>
        <v/>
      </c>
      <c r="BD239" s="461" t="n"/>
      <c r="BE239" s="461">
        <f>K239*BD239</f>
        <v/>
      </c>
      <c r="BF239" s="461" t="n"/>
      <c r="BG239" s="461">
        <f>BE239-BF239</f>
        <v/>
      </c>
      <c r="BH239" s="461" t="n"/>
      <c r="BI239" s="461">
        <f>K239*BH239</f>
        <v/>
      </c>
      <c r="BJ239" s="461" t="n"/>
      <c r="BK239" s="461">
        <f>BI239-BJ239</f>
        <v/>
      </c>
      <c r="BL239" s="461" t="n"/>
      <c r="BM239" s="220">
        <f>K239*BL239</f>
        <v/>
      </c>
      <c r="BN239" s="220" t="n"/>
      <c r="BO239" s="220">
        <f>BM239-BN239</f>
        <v/>
      </c>
      <c r="BP239" s="220">
        <f>N239+Q239+U239+Y239+AC239+AG239+AK239+AO239+AS239+AW239+BA239+BE239+BI239+BM239</f>
        <v/>
      </c>
      <c r="BQ239" s="220">
        <f>N239+R239+V239+Z239+AD239+AH239+AL239+AP239+AT239+AX239+BB239+BF239+BJ239+BN239</f>
        <v/>
      </c>
      <c r="BR239" s="220">
        <f>BP239-BQ239</f>
        <v/>
      </c>
      <c r="BS239" s="254" t="inlineStr">
        <is>
          <t>/</t>
        </is>
      </c>
      <c r="BT239" s="229" t="inlineStr">
        <is>
          <t>/</t>
        </is>
      </c>
      <c r="BU239"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39" s="230" t="inlineStr">
        <is>
          <t>1、签订期间：2026.3.1-2026.7.20；
2、指标按照全年换算；</t>
        </is>
      </c>
      <c r="BW239" s="534" t="n"/>
    </row>
    <row r="240" ht="24.75" customFormat="1" customHeight="1" s="209">
      <c r="A240" s="219" t="n">
        <v>277</v>
      </c>
      <c r="B240" s="220" t="inlineStr">
        <is>
          <t>KQCY0277</t>
        </is>
      </c>
      <c r="C240" s="221" t="inlineStr">
        <is>
          <t>餐饮五分部</t>
        </is>
      </c>
      <c r="D240" s="221" t="inlineStr">
        <is>
          <t>CF694</t>
        </is>
      </c>
      <c r="E240" s="221" t="inlineStr">
        <is>
          <t>兰理工彭家坪北村食堂</t>
        </is>
      </c>
      <c r="F240" s="219" t="inlineStr">
        <is>
          <t>分组作业</t>
        </is>
      </c>
      <c r="G240" s="222" t="inlineStr">
        <is>
          <t>徐敏捷</t>
        </is>
      </c>
      <c r="H240" s="503" t="inlineStr">
        <is>
          <t>/</t>
        </is>
      </c>
      <c r="I240" s="237" t="inlineStr">
        <is>
          <t>小笼包（渔粉）</t>
        </is>
      </c>
      <c r="J240" s="503" t="inlineStr">
        <is>
          <t>庞大江</t>
        </is>
      </c>
      <c r="K240" s="545">
        <f>LET(k,D240&amp;"|"&amp;E240&amp;"|"&amp;H240&amp;"|"&amp;I240&amp;"|"&amp;J240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40" s="546" t="n"/>
      <c r="M240" s="224" t="n"/>
      <c r="N240" s="253" t="n"/>
      <c r="O240" s="548" t="n">
        <v>626400</v>
      </c>
      <c r="P240" s="276" t="n">
        <v>0.19</v>
      </c>
      <c r="Q240" s="461">
        <f>K240*P240</f>
        <v/>
      </c>
      <c r="R240" s="227" t="n"/>
      <c r="S240" s="461">
        <f>Q240-R240</f>
        <v/>
      </c>
      <c r="T240" s="227" t="n">
        <v>0</v>
      </c>
      <c r="U240" s="461">
        <f>K240*T240</f>
        <v/>
      </c>
      <c r="V240" s="227" t="n"/>
      <c r="W240" s="461">
        <f>U240-V240</f>
        <v/>
      </c>
      <c r="X240" s="227" t="n">
        <v>0</v>
      </c>
      <c r="Y240" s="461">
        <f>K240*X240</f>
        <v/>
      </c>
      <c r="Z240" s="227" t="n"/>
      <c r="AA240" s="461">
        <f>Y240-Z240</f>
        <v/>
      </c>
      <c r="AB240" s="227" t="n">
        <v>0</v>
      </c>
      <c r="AC240" s="461">
        <f>K240*AB240</f>
        <v/>
      </c>
      <c r="AD240" s="227" t="n"/>
      <c r="AE240" s="461">
        <f>AC240-AD240</f>
        <v/>
      </c>
      <c r="AF240" s="227" t="n">
        <v>0</v>
      </c>
      <c r="AG240" s="461">
        <f>K240*AF240</f>
        <v/>
      </c>
      <c r="AH240" s="227" t="n"/>
      <c r="AI240" s="461">
        <f>AG240-AH240</f>
        <v/>
      </c>
      <c r="AJ240" s="227" t="n">
        <v>0</v>
      </c>
      <c r="AK240" s="461">
        <f>K240*AJ240</f>
        <v/>
      </c>
      <c r="AL240" s="227" t="n"/>
      <c r="AM240" s="461">
        <f>AK240-AL240</f>
        <v/>
      </c>
      <c r="AN240" s="227" t="n">
        <v>0</v>
      </c>
      <c r="AO240" s="461">
        <f>K240*AN240</f>
        <v/>
      </c>
      <c r="AP240" s="461" t="n"/>
      <c r="AQ240" s="461">
        <f>AO240-AP240</f>
        <v/>
      </c>
      <c r="AR240" s="461" t="n">
        <v>0.03</v>
      </c>
      <c r="AS240" s="461">
        <f>K240*AR240</f>
        <v/>
      </c>
      <c r="AT240" s="227" t="n"/>
      <c r="AU240" s="461">
        <f>AS240-AT240</f>
        <v/>
      </c>
      <c r="AV240" s="276" t="n">
        <v>0.03</v>
      </c>
      <c r="AW240" s="461">
        <f>K240*AV240</f>
        <v/>
      </c>
      <c r="AX240" s="227" t="n"/>
      <c r="AY240" s="461">
        <f>AW240-AX240</f>
        <v/>
      </c>
      <c r="AZ240" s="227" t="n">
        <v>0</v>
      </c>
      <c r="BA240" s="461">
        <f>K240*AZ240</f>
        <v/>
      </c>
      <c r="BB240" s="461" t="n"/>
      <c r="BC240" s="461">
        <f>BA240-BB240</f>
        <v/>
      </c>
      <c r="BD240" s="461" t="n"/>
      <c r="BE240" s="461">
        <f>K240*BD240</f>
        <v/>
      </c>
      <c r="BF240" s="461" t="n"/>
      <c r="BG240" s="461">
        <f>BE240-BF240</f>
        <v/>
      </c>
      <c r="BH240" s="461" t="n"/>
      <c r="BI240" s="461">
        <f>K240*BH240</f>
        <v/>
      </c>
      <c r="BJ240" s="461" t="n"/>
      <c r="BK240" s="461">
        <f>BI240-BJ240</f>
        <v/>
      </c>
      <c r="BL240" s="461" t="n"/>
      <c r="BM240" s="220">
        <f>K240*BL240</f>
        <v/>
      </c>
      <c r="BN240" s="220" t="n"/>
      <c r="BO240" s="220">
        <f>BM240-BN240</f>
        <v/>
      </c>
      <c r="BP240" s="220">
        <f>N240+Q240+U240+Y240+AC240+AG240+AK240+AO240+AS240+AW240+BA240+BE240+BI240+BM240</f>
        <v/>
      </c>
      <c r="BQ240" s="220">
        <f>N240+R240+V240+Z240+AD240+AH240+AL240+AP240+AT240+AX240+BB240+BF240+BJ240+BN240</f>
        <v/>
      </c>
      <c r="BR240" s="220">
        <f>BP240-BQ240</f>
        <v/>
      </c>
      <c r="BS240" s="254" t="inlineStr">
        <is>
          <t>/</t>
        </is>
      </c>
      <c r="BT240" s="229" t="inlineStr">
        <is>
          <t>/</t>
        </is>
      </c>
      <c r="BU240"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0" s="230" t="inlineStr">
        <is>
          <t>1、签订期间：2026.3.1-2026.7.20；
2、指标按照全年换算；</t>
        </is>
      </c>
      <c r="BW240" s="534" t="n"/>
    </row>
    <row r="241" ht="24.75" customFormat="1" customHeight="1" s="209">
      <c r="A241" s="219" t="n">
        <v>278</v>
      </c>
      <c r="B241" s="220" t="inlineStr">
        <is>
          <t>KQCY0278</t>
        </is>
      </c>
      <c r="C241" s="221" t="inlineStr">
        <is>
          <t>餐饮五分部</t>
        </is>
      </c>
      <c r="D241" s="221" t="inlineStr">
        <is>
          <t>CF694</t>
        </is>
      </c>
      <c r="E241" s="221" t="inlineStr">
        <is>
          <t>兰理工彭家坪北村食堂</t>
        </is>
      </c>
      <c r="F241" s="219" t="inlineStr">
        <is>
          <t>分组作业</t>
        </is>
      </c>
      <c r="G241" s="222" t="inlineStr">
        <is>
          <t>徐敏捷</t>
        </is>
      </c>
      <c r="H241" s="503" t="inlineStr">
        <is>
          <t>/</t>
        </is>
      </c>
      <c r="I241" s="237" t="inlineStr">
        <is>
          <t>早点</t>
        </is>
      </c>
      <c r="J241" s="503" t="inlineStr">
        <is>
          <t>陶红喜</t>
        </is>
      </c>
      <c r="K241" s="545">
        <f>LET(k,D241&amp;"|"&amp;E241&amp;"|"&amp;H241&amp;"|"&amp;I241&amp;"|"&amp;J241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41" s="546" t="n"/>
      <c r="M241" s="224" t="n"/>
      <c r="N241" s="253" t="n"/>
      <c r="O241" s="548" t="n">
        <v>984000</v>
      </c>
      <c r="P241" s="276" t="n">
        <v>0.2</v>
      </c>
      <c r="Q241" s="461">
        <f>K241*P241</f>
        <v/>
      </c>
      <c r="R241" s="227" t="n"/>
      <c r="S241" s="461">
        <f>Q241-R241</f>
        <v/>
      </c>
      <c r="T241" s="227" t="n">
        <v>0</v>
      </c>
      <c r="U241" s="461">
        <f>K241*T241</f>
        <v/>
      </c>
      <c r="V241" s="227" t="n"/>
      <c r="W241" s="461">
        <f>U241-V241</f>
        <v/>
      </c>
      <c r="X241" s="227" t="n">
        <v>0</v>
      </c>
      <c r="Y241" s="461">
        <f>K241*X241</f>
        <v/>
      </c>
      <c r="Z241" s="227" t="n"/>
      <c r="AA241" s="461">
        <f>Y241-Z241</f>
        <v/>
      </c>
      <c r="AB241" s="227" t="n">
        <v>0</v>
      </c>
      <c r="AC241" s="461">
        <f>K241*AB241</f>
        <v/>
      </c>
      <c r="AD241" s="227" t="n"/>
      <c r="AE241" s="461">
        <f>AC241-AD241</f>
        <v/>
      </c>
      <c r="AF241" s="227" t="n">
        <v>0</v>
      </c>
      <c r="AG241" s="461">
        <f>K241*AF241</f>
        <v/>
      </c>
      <c r="AH241" s="227" t="n"/>
      <c r="AI241" s="461">
        <f>AG241-AH241</f>
        <v/>
      </c>
      <c r="AJ241" s="227" t="n">
        <v>0</v>
      </c>
      <c r="AK241" s="461">
        <f>K241*AJ241</f>
        <v/>
      </c>
      <c r="AL241" s="227" t="n"/>
      <c r="AM241" s="461">
        <f>AK241-AL241</f>
        <v/>
      </c>
      <c r="AN241" s="227" t="n">
        <v>0</v>
      </c>
      <c r="AO241" s="461">
        <f>K241*AN241</f>
        <v/>
      </c>
      <c r="AP241" s="461" t="n"/>
      <c r="AQ241" s="461">
        <f>AO241-AP241</f>
        <v/>
      </c>
      <c r="AR241" s="461" t="n">
        <v>0.03</v>
      </c>
      <c r="AS241" s="461">
        <f>K241*AR241</f>
        <v/>
      </c>
      <c r="AT241" s="227" t="n"/>
      <c r="AU241" s="461">
        <f>AS241-AT241</f>
        <v/>
      </c>
      <c r="AV241" s="276" t="n">
        <v>0.03</v>
      </c>
      <c r="AW241" s="461">
        <f>K241*AV241</f>
        <v/>
      </c>
      <c r="AX241" s="227" t="n"/>
      <c r="AY241" s="461">
        <f>AW241-AX241</f>
        <v/>
      </c>
      <c r="AZ241" s="227" t="n">
        <v>0</v>
      </c>
      <c r="BA241" s="461">
        <f>K241*AZ241</f>
        <v/>
      </c>
      <c r="BB241" s="461" t="n"/>
      <c r="BC241" s="461">
        <f>BA241-BB241</f>
        <v/>
      </c>
      <c r="BD241" s="461" t="n"/>
      <c r="BE241" s="461">
        <f>K241*BD241</f>
        <v/>
      </c>
      <c r="BF241" s="461" t="n"/>
      <c r="BG241" s="461">
        <f>BE241-BF241</f>
        <v/>
      </c>
      <c r="BH241" s="461" t="n"/>
      <c r="BI241" s="461">
        <f>K241*BH241</f>
        <v/>
      </c>
      <c r="BJ241" s="461" t="n"/>
      <c r="BK241" s="461">
        <f>BI241-BJ241</f>
        <v/>
      </c>
      <c r="BL241" s="461" t="n"/>
      <c r="BM241" s="220">
        <f>K241*BL241</f>
        <v/>
      </c>
      <c r="BN241" s="220" t="n"/>
      <c r="BO241" s="220">
        <f>BM241-BN241</f>
        <v/>
      </c>
      <c r="BP241" s="220">
        <f>N241+Q241+U241+Y241+AC241+AG241+AK241+AO241+AS241+AW241+BA241+BE241+BI241+BM241</f>
        <v/>
      </c>
      <c r="BQ241" s="220">
        <f>N241+R241+V241+Z241+AD241+AH241+AL241+AP241+AT241+AX241+BB241+BF241+BJ241+BN241</f>
        <v/>
      </c>
      <c r="BR241" s="220">
        <f>BP241-BQ241</f>
        <v/>
      </c>
      <c r="BS241" s="254" t="inlineStr">
        <is>
          <t>/</t>
        </is>
      </c>
      <c r="BT241" s="229" t="inlineStr">
        <is>
          <t>/</t>
        </is>
      </c>
      <c r="BU241"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1" s="230" t="inlineStr">
        <is>
          <t>1、签订期间：2026.3.1-2026.7.20；
2、指标按照全年换算；</t>
        </is>
      </c>
      <c r="BW241" s="534" t="n"/>
    </row>
    <row r="242" ht="24.75" customFormat="1" customHeight="1" s="209">
      <c r="A242" s="219" t="n">
        <v>279</v>
      </c>
      <c r="B242" s="220" t="inlineStr">
        <is>
          <t>KQCY0279</t>
        </is>
      </c>
      <c r="C242" s="221" t="inlineStr">
        <is>
          <t>餐饮五分部</t>
        </is>
      </c>
      <c r="D242" s="221" t="inlineStr">
        <is>
          <t>CF694</t>
        </is>
      </c>
      <c r="E242" s="221" t="inlineStr">
        <is>
          <t>兰理工彭家坪北村食堂</t>
        </is>
      </c>
      <c r="F242" s="219" t="inlineStr">
        <is>
          <t>分组作业</t>
        </is>
      </c>
      <c r="G242" s="222" t="inlineStr">
        <is>
          <t>徐敏捷</t>
        </is>
      </c>
      <c r="H242" s="503" t="inlineStr">
        <is>
          <t>/</t>
        </is>
      </c>
      <c r="I242" s="237" t="inlineStr">
        <is>
          <t>湘式小炒</t>
        </is>
      </c>
      <c r="J242" s="503" t="inlineStr">
        <is>
          <t>李雪婷</t>
        </is>
      </c>
      <c r="K242" s="545">
        <f>LET(k,D242&amp;"|"&amp;E242&amp;"|"&amp;H242&amp;"|"&amp;I242&amp;"|"&amp;J242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42" s="546" t="n"/>
      <c r="M242" s="224" t="n"/>
      <c r="N242" s="253" t="n"/>
      <c r="O242" s="548" t="n">
        <v>626400</v>
      </c>
      <c r="P242" s="276" t="n">
        <v>0.19</v>
      </c>
      <c r="Q242" s="461">
        <f>K242*P242</f>
        <v/>
      </c>
      <c r="R242" s="227" t="n"/>
      <c r="S242" s="461">
        <f>Q242-R242</f>
        <v/>
      </c>
      <c r="T242" s="227" t="n">
        <v>0</v>
      </c>
      <c r="U242" s="461">
        <f>K242*T242</f>
        <v/>
      </c>
      <c r="V242" s="227" t="n"/>
      <c r="W242" s="461">
        <f>U242-V242</f>
        <v/>
      </c>
      <c r="X242" s="227" t="n">
        <v>0</v>
      </c>
      <c r="Y242" s="461">
        <f>K242*X242</f>
        <v/>
      </c>
      <c r="Z242" s="227" t="n"/>
      <c r="AA242" s="461">
        <f>Y242-Z242</f>
        <v/>
      </c>
      <c r="AB242" s="227" t="n">
        <v>0</v>
      </c>
      <c r="AC242" s="461">
        <f>K242*AB242</f>
        <v/>
      </c>
      <c r="AD242" s="227" t="n"/>
      <c r="AE242" s="461">
        <f>AC242-AD242</f>
        <v/>
      </c>
      <c r="AF242" s="227" t="n">
        <v>0</v>
      </c>
      <c r="AG242" s="461">
        <f>K242*AF242</f>
        <v/>
      </c>
      <c r="AH242" s="227" t="n"/>
      <c r="AI242" s="461">
        <f>AG242-AH242</f>
        <v/>
      </c>
      <c r="AJ242" s="227" t="n">
        <v>0</v>
      </c>
      <c r="AK242" s="461">
        <f>K242*AJ242</f>
        <v/>
      </c>
      <c r="AL242" s="227" t="n"/>
      <c r="AM242" s="461">
        <f>AK242-AL242</f>
        <v/>
      </c>
      <c r="AN242" s="227" t="n">
        <v>0</v>
      </c>
      <c r="AO242" s="461">
        <f>K242*AN242</f>
        <v/>
      </c>
      <c r="AP242" s="461" t="n"/>
      <c r="AQ242" s="461">
        <f>AO242-AP242</f>
        <v/>
      </c>
      <c r="AR242" s="461" t="n">
        <v>0.03</v>
      </c>
      <c r="AS242" s="461">
        <f>K242*AR242</f>
        <v/>
      </c>
      <c r="AT242" s="227" t="n"/>
      <c r="AU242" s="461">
        <f>AS242-AT242</f>
        <v/>
      </c>
      <c r="AV242" s="276" t="n">
        <v>0.03</v>
      </c>
      <c r="AW242" s="461">
        <f>K242*AV242</f>
        <v/>
      </c>
      <c r="AX242" s="227" t="n"/>
      <c r="AY242" s="461">
        <f>AW242-AX242</f>
        <v/>
      </c>
      <c r="AZ242" s="227" t="n">
        <v>0</v>
      </c>
      <c r="BA242" s="461">
        <f>K242*AZ242</f>
        <v/>
      </c>
      <c r="BB242" s="461" t="n"/>
      <c r="BC242" s="461">
        <f>BA242-BB242</f>
        <v/>
      </c>
      <c r="BD242" s="461" t="n"/>
      <c r="BE242" s="461">
        <f>K242*BD242</f>
        <v/>
      </c>
      <c r="BF242" s="461" t="n"/>
      <c r="BG242" s="461">
        <f>BE242-BF242</f>
        <v/>
      </c>
      <c r="BH242" s="461" t="n"/>
      <c r="BI242" s="461">
        <f>K242*BH242</f>
        <v/>
      </c>
      <c r="BJ242" s="461" t="n"/>
      <c r="BK242" s="461">
        <f>BI242-BJ242</f>
        <v/>
      </c>
      <c r="BL242" s="461" t="n"/>
      <c r="BM242" s="220">
        <f>K242*BL242</f>
        <v/>
      </c>
      <c r="BN242" s="220" t="n"/>
      <c r="BO242" s="220">
        <f>BM242-BN242</f>
        <v/>
      </c>
      <c r="BP242" s="220">
        <f>N242+Q242+U242+Y242+AC242+AG242+AK242+AO242+AS242+AW242+BA242+BE242+BI242+BM242</f>
        <v/>
      </c>
      <c r="BQ242" s="220">
        <f>N242+R242+V242+Z242+AD242+AH242+AL242+AP242+AT242+AX242+BB242+BF242+BJ242+BN242</f>
        <v/>
      </c>
      <c r="BR242" s="220">
        <f>BP242-BQ242</f>
        <v/>
      </c>
      <c r="BS242" s="254" t="inlineStr">
        <is>
          <t>/</t>
        </is>
      </c>
      <c r="BT242" s="229" t="inlineStr">
        <is>
          <t>/</t>
        </is>
      </c>
      <c r="BU242"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2" s="230" t="inlineStr">
        <is>
          <t>1、签订期间：2026.3.1-2026.7.20；
2、指标按照全年换算；</t>
        </is>
      </c>
      <c r="BW242" s="534" t="n"/>
    </row>
    <row r="243" ht="24.75" customFormat="1" customHeight="1" s="209">
      <c r="A243" s="219" t="n">
        <v>280</v>
      </c>
      <c r="B243" s="220" t="inlineStr">
        <is>
          <t>KQCY0280</t>
        </is>
      </c>
      <c r="C243" s="221" t="inlineStr">
        <is>
          <t>餐饮五分部</t>
        </is>
      </c>
      <c r="D243" s="221" t="inlineStr">
        <is>
          <t>CF694</t>
        </is>
      </c>
      <c r="E243" s="221" t="inlineStr">
        <is>
          <t>兰理工彭家坪北村食堂</t>
        </is>
      </c>
      <c r="F243" s="219" t="inlineStr">
        <is>
          <t>分组作业</t>
        </is>
      </c>
      <c r="G243" s="222" t="inlineStr">
        <is>
          <t>徐敏捷</t>
        </is>
      </c>
      <c r="H243" s="503" t="inlineStr">
        <is>
          <t>/</t>
        </is>
      </c>
      <c r="I243" s="237" t="inlineStr">
        <is>
          <t>饸饹面</t>
        </is>
      </c>
      <c r="J243" s="503" t="inlineStr">
        <is>
          <t>高维秦</t>
        </is>
      </c>
      <c r="K243" s="545">
        <f>LET(k,D243&amp;"|"&amp;E243&amp;"|"&amp;H243&amp;"|"&amp;I243&amp;"|"&amp;J243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43" s="546" t="n"/>
      <c r="M243" s="224" t="n"/>
      <c r="N243" s="253" t="n"/>
      <c r="O243" s="548" t="n">
        <v>626400</v>
      </c>
      <c r="P243" s="276" t="n">
        <v>0.2</v>
      </c>
      <c r="Q243" s="461">
        <f>K243*P243</f>
        <v/>
      </c>
      <c r="R243" s="227" t="n"/>
      <c r="S243" s="461">
        <f>Q243-R243</f>
        <v/>
      </c>
      <c r="T243" s="227" t="n">
        <v>0</v>
      </c>
      <c r="U243" s="461">
        <f>K243*T243</f>
        <v/>
      </c>
      <c r="V243" s="227" t="n"/>
      <c r="W243" s="461">
        <f>U243-V243</f>
        <v/>
      </c>
      <c r="X243" s="227" t="n">
        <v>0</v>
      </c>
      <c r="Y243" s="461">
        <f>K243*X243</f>
        <v/>
      </c>
      <c r="Z243" s="227" t="n"/>
      <c r="AA243" s="461">
        <f>Y243-Z243</f>
        <v/>
      </c>
      <c r="AB243" s="227" t="n">
        <v>0</v>
      </c>
      <c r="AC243" s="461">
        <f>K243*AB243</f>
        <v/>
      </c>
      <c r="AD243" s="227" t="n"/>
      <c r="AE243" s="461">
        <f>AC243-AD243</f>
        <v/>
      </c>
      <c r="AF243" s="227" t="n">
        <v>0</v>
      </c>
      <c r="AG243" s="461">
        <f>K243*AF243</f>
        <v/>
      </c>
      <c r="AH243" s="227" t="n"/>
      <c r="AI243" s="461">
        <f>AG243-AH243</f>
        <v/>
      </c>
      <c r="AJ243" s="227" t="n">
        <v>0</v>
      </c>
      <c r="AK243" s="461">
        <f>K243*AJ243</f>
        <v/>
      </c>
      <c r="AL243" s="227" t="n"/>
      <c r="AM243" s="461">
        <f>AK243-AL243</f>
        <v/>
      </c>
      <c r="AN243" s="227" t="n">
        <v>0</v>
      </c>
      <c r="AO243" s="461">
        <f>K243*AN243</f>
        <v/>
      </c>
      <c r="AP243" s="461" t="n"/>
      <c r="AQ243" s="461">
        <f>AO243-AP243</f>
        <v/>
      </c>
      <c r="AR243" s="461" t="n">
        <v>0.03</v>
      </c>
      <c r="AS243" s="461">
        <f>K243*AR243</f>
        <v/>
      </c>
      <c r="AT243" s="227" t="n"/>
      <c r="AU243" s="461">
        <f>AS243-AT243</f>
        <v/>
      </c>
      <c r="AV243" s="276" t="n">
        <v>0.03</v>
      </c>
      <c r="AW243" s="461">
        <f>K243*AV243</f>
        <v/>
      </c>
      <c r="AX243" s="227" t="n"/>
      <c r="AY243" s="461">
        <f>AW243-AX243</f>
        <v/>
      </c>
      <c r="AZ243" s="227" t="n">
        <v>0</v>
      </c>
      <c r="BA243" s="461">
        <f>K243*AZ243</f>
        <v/>
      </c>
      <c r="BB243" s="461" t="n"/>
      <c r="BC243" s="461">
        <f>BA243-BB243</f>
        <v/>
      </c>
      <c r="BD243" s="461" t="n"/>
      <c r="BE243" s="461">
        <f>K243*BD243</f>
        <v/>
      </c>
      <c r="BF243" s="461" t="n"/>
      <c r="BG243" s="461">
        <f>BE243-BF243</f>
        <v/>
      </c>
      <c r="BH243" s="461" t="n"/>
      <c r="BI243" s="461">
        <f>K243*BH243</f>
        <v/>
      </c>
      <c r="BJ243" s="461" t="n"/>
      <c r="BK243" s="461">
        <f>BI243-BJ243</f>
        <v/>
      </c>
      <c r="BL243" s="461" t="n"/>
      <c r="BM243" s="220">
        <f>K243*BL243</f>
        <v/>
      </c>
      <c r="BN243" s="220" t="n"/>
      <c r="BO243" s="220">
        <f>BM243-BN243</f>
        <v/>
      </c>
      <c r="BP243" s="220">
        <f>N243+Q243+U243+Y243+AC243+AG243+AK243+AO243+AS243+AW243+BA243+BE243+BI243+BM243</f>
        <v/>
      </c>
      <c r="BQ243" s="220">
        <f>N243+R243+V243+Z243+AD243+AH243+AL243+AP243+AT243+AX243+BB243+BF243+BJ243+BN243</f>
        <v/>
      </c>
      <c r="BR243" s="220">
        <f>BP243-BQ243</f>
        <v/>
      </c>
      <c r="BS243" s="254" t="inlineStr">
        <is>
          <t>/</t>
        </is>
      </c>
      <c r="BT243" s="229" t="inlineStr">
        <is>
          <t>/</t>
        </is>
      </c>
      <c r="BU243"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3" s="230" t="inlineStr">
        <is>
          <t>1、签订期间：2026.3.1-2026.7.20；
2、指标按照全年换算；</t>
        </is>
      </c>
      <c r="BW243" s="534" t="n"/>
    </row>
    <row r="244" ht="24.75" customFormat="1" customHeight="1" s="209">
      <c r="A244" s="219" t="n">
        <v>281</v>
      </c>
      <c r="B244" s="220" t="inlineStr">
        <is>
          <t>KQCY0281</t>
        </is>
      </c>
      <c r="C244" s="221" t="inlineStr">
        <is>
          <t>餐饮五分部</t>
        </is>
      </c>
      <c r="D244" s="221" t="inlineStr">
        <is>
          <t>CF694</t>
        </is>
      </c>
      <c r="E244" s="221" t="inlineStr">
        <is>
          <t>兰理工彭家坪北村食堂</t>
        </is>
      </c>
      <c r="F244" s="219" t="inlineStr">
        <is>
          <t>分组作业</t>
        </is>
      </c>
      <c r="G244" s="222" t="inlineStr">
        <is>
          <t>徐敏捷</t>
        </is>
      </c>
      <c r="H244" s="503" t="inlineStr">
        <is>
          <t>/</t>
        </is>
      </c>
      <c r="I244" s="237" t="inlineStr">
        <is>
          <t>石锅饭</t>
        </is>
      </c>
      <c r="J244" s="503" t="inlineStr">
        <is>
          <t>杨方红</t>
        </is>
      </c>
      <c r="K244" s="545">
        <f>LET(k,D244&amp;"|"&amp;E244&amp;"|"&amp;H244&amp;"|"&amp;I244&amp;"|"&amp;J244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44" s="546" t="n"/>
      <c r="M244" s="224" t="n"/>
      <c r="N244" s="253" t="n"/>
      <c r="O244" s="548" t="n">
        <v>408000</v>
      </c>
      <c r="P244" s="276" t="n">
        <v>0.18</v>
      </c>
      <c r="Q244" s="461">
        <f>K244*P244</f>
        <v/>
      </c>
      <c r="R244" s="227" t="n"/>
      <c r="S244" s="461">
        <f>Q244-R244</f>
        <v/>
      </c>
      <c r="T244" s="227" t="n">
        <v>0</v>
      </c>
      <c r="U244" s="461">
        <f>K244*T244</f>
        <v/>
      </c>
      <c r="V244" s="227" t="n"/>
      <c r="W244" s="461">
        <f>U244-V244</f>
        <v/>
      </c>
      <c r="X244" s="227" t="n">
        <v>0</v>
      </c>
      <c r="Y244" s="461">
        <f>K244*X244</f>
        <v/>
      </c>
      <c r="Z244" s="227" t="n"/>
      <c r="AA244" s="461">
        <f>Y244-Z244</f>
        <v/>
      </c>
      <c r="AB244" s="227" t="n">
        <v>0</v>
      </c>
      <c r="AC244" s="461">
        <f>K244*AB244</f>
        <v/>
      </c>
      <c r="AD244" s="227" t="n"/>
      <c r="AE244" s="461">
        <f>AC244-AD244</f>
        <v/>
      </c>
      <c r="AF244" s="227" t="n">
        <v>0</v>
      </c>
      <c r="AG244" s="461">
        <f>K244*AF244</f>
        <v/>
      </c>
      <c r="AH244" s="227" t="n"/>
      <c r="AI244" s="461">
        <f>AG244-AH244</f>
        <v/>
      </c>
      <c r="AJ244" s="227" t="n">
        <v>0</v>
      </c>
      <c r="AK244" s="461">
        <f>K244*AJ244</f>
        <v/>
      </c>
      <c r="AL244" s="227" t="n"/>
      <c r="AM244" s="461">
        <f>AK244-AL244</f>
        <v/>
      </c>
      <c r="AN244" s="227" t="n">
        <v>0</v>
      </c>
      <c r="AO244" s="461">
        <f>K244*AN244</f>
        <v/>
      </c>
      <c r="AP244" s="461" t="n"/>
      <c r="AQ244" s="461">
        <f>AO244-AP244</f>
        <v/>
      </c>
      <c r="AR244" s="461" t="n">
        <v>0.03</v>
      </c>
      <c r="AS244" s="461">
        <f>K244*AR244</f>
        <v/>
      </c>
      <c r="AT244" s="227" t="n"/>
      <c r="AU244" s="461">
        <f>AS244-AT244</f>
        <v/>
      </c>
      <c r="AV244" s="276" t="n">
        <v>0.03</v>
      </c>
      <c r="AW244" s="461">
        <f>K244*AV244</f>
        <v/>
      </c>
      <c r="AX244" s="227" t="n"/>
      <c r="AY244" s="461">
        <f>AW244-AX244</f>
        <v/>
      </c>
      <c r="AZ244" s="227" t="n">
        <v>0</v>
      </c>
      <c r="BA244" s="461">
        <f>K244*AZ244</f>
        <v/>
      </c>
      <c r="BB244" s="461" t="n"/>
      <c r="BC244" s="461">
        <f>BA244-BB244</f>
        <v/>
      </c>
      <c r="BD244" s="461" t="n"/>
      <c r="BE244" s="461">
        <f>K244*BD244</f>
        <v/>
      </c>
      <c r="BF244" s="461" t="n"/>
      <c r="BG244" s="461">
        <f>BE244-BF244</f>
        <v/>
      </c>
      <c r="BH244" s="461" t="n"/>
      <c r="BI244" s="461">
        <f>K244*BH244</f>
        <v/>
      </c>
      <c r="BJ244" s="461" t="n"/>
      <c r="BK244" s="461">
        <f>BI244-BJ244</f>
        <v/>
      </c>
      <c r="BL244" s="461" t="n"/>
      <c r="BM244" s="220">
        <f>K244*BL244</f>
        <v/>
      </c>
      <c r="BN244" s="220" t="n"/>
      <c r="BO244" s="220">
        <f>BM244-BN244</f>
        <v/>
      </c>
      <c r="BP244" s="220">
        <f>N244+Q244+U244+Y244+AC244+AG244+AK244+AO244+AS244+AW244+BA244+BE244+BI244+BM244</f>
        <v/>
      </c>
      <c r="BQ244" s="220">
        <f>N244+R244+V244+Z244+AD244+AH244+AL244+AP244+AT244+AX244+BB244+BF244+BJ244+BN244</f>
        <v/>
      </c>
      <c r="BR244" s="220">
        <f>BP244-BQ244</f>
        <v/>
      </c>
      <c r="BS244" s="254" t="inlineStr">
        <is>
          <t>/</t>
        </is>
      </c>
      <c r="BT244" s="229" t="inlineStr">
        <is>
          <t>/</t>
        </is>
      </c>
      <c r="BU244"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4" s="230" t="inlineStr">
        <is>
          <t>1、签订期间：2026.3.1-2026.7.20；
2、指标按照全年换算；</t>
        </is>
      </c>
      <c r="BW244" s="534" t="n"/>
    </row>
    <row r="245" ht="24.75" customFormat="1" customHeight="1" s="209">
      <c r="A245" s="219" t="n">
        <v>282</v>
      </c>
      <c r="B245" s="220" t="inlineStr">
        <is>
          <t>KQCY0282</t>
        </is>
      </c>
      <c r="C245" s="221" t="inlineStr">
        <is>
          <t>餐饮五分部</t>
        </is>
      </c>
      <c r="D245" s="221" t="inlineStr">
        <is>
          <t>CF694</t>
        </is>
      </c>
      <c r="E245" s="221" t="inlineStr">
        <is>
          <t>兰理工彭家坪北村食堂</t>
        </is>
      </c>
      <c r="F245" s="219" t="inlineStr">
        <is>
          <t>分组作业</t>
        </is>
      </c>
      <c r="G245" s="222" t="inlineStr">
        <is>
          <t>徐敏捷</t>
        </is>
      </c>
      <c r="H245" s="503" t="inlineStr">
        <is>
          <t>/</t>
        </is>
      </c>
      <c r="I245" s="237" t="inlineStr">
        <is>
          <t>猪脚饭</t>
        </is>
      </c>
      <c r="J245" s="503" t="inlineStr">
        <is>
          <t>陈发全</t>
        </is>
      </c>
      <c r="K245" s="545">
        <f>LET(k,D245&amp;"|"&amp;E245&amp;"|"&amp;H245&amp;"|"&amp;I245&amp;"|"&amp;J245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45" s="546" t="n"/>
      <c r="M245" s="224" t="n"/>
      <c r="N245" s="253" t="n"/>
      <c r="O245" s="548" t="n">
        <v>626400</v>
      </c>
      <c r="P245" s="276" t="n">
        <v>0.13</v>
      </c>
      <c r="Q245" s="461">
        <f>K245*P245</f>
        <v/>
      </c>
      <c r="R245" s="227" t="n"/>
      <c r="S245" s="461">
        <f>Q245-R245</f>
        <v/>
      </c>
      <c r="T245" s="227" t="n">
        <v>0</v>
      </c>
      <c r="U245" s="461">
        <f>K245*T245</f>
        <v/>
      </c>
      <c r="V245" s="227" t="n"/>
      <c r="W245" s="461">
        <f>U245-V245</f>
        <v/>
      </c>
      <c r="X245" s="227" t="n">
        <v>0</v>
      </c>
      <c r="Y245" s="461">
        <f>K245*X245</f>
        <v/>
      </c>
      <c r="Z245" s="227" t="n"/>
      <c r="AA245" s="461">
        <f>Y245-Z245</f>
        <v/>
      </c>
      <c r="AB245" s="227" t="n">
        <v>0</v>
      </c>
      <c r="AC245" s="461">
        <f>K245*AB245</f>
        <v/>
      </c>
      <c r="AD245" s="227" t="n"/>
      <c r="AE245" s="461">
        <f>AC245-AD245</f>
        <v/>
      </c>
      <c r="AF245" s="227" t="n">
        <v>0</v>
      </c>
      <c r="AG245" s="461">
        <f>K245*AF245</f>
        <v/>
      </c>
      <c r="AH245" s="227" t="n"/>
      <c r="AI245" s="461">
        <f>AG245-AH245</f>
        <v/>
      </c>
      <c r="AJ245" s="227" t="n">
        <v>0</v>
      </c>
      <c r="AK245" s="461">
        <f>K245*AJ245</f>
        <v/>
      </c>
      <c r="AL245" s="227" t="n"/>
      <c r="AM245" s="461">
        <f>AK245-AL245</f>
        <v/>
      </c>
      <c r="AN245" s="227" t="n">
        <v>0</v>
      </c>
      <c r="AO245" s="461">
        <f>K245*AN245</f>
        <v/>
      </c>
      <c r="AP245" s="461" t="n"/>
      <c r="AQ245" s="461">
        <f>AO245-AP245</f>
        <v/>
      </c>
      <c r="AR245" s="461" t="n">
        <v>0.01</v>
      </c>
      <c r="AS245" s="461">
        <f>K245*AR245</f>
        <v/>
      </c>
      <c r="AT245" s="227" t="n"/>
      <c r="AU245" s="461">
        <f>AS245-AT245</f>
        <v/>
      </c>
      <c r="AV245" s="276" t="n">
        <v>0.01</v>
      </c>
      <c r="AW245" s="461">
        <f>K245*AV245</f>
        <v/>
      </c>
      <c r="AX245" s="227" t="n"/>
      <c r="AY245" s="461">
        <f>AW245-AX245</f>
        <v/>
      </c>
      <c r="AZ245" s="227" t="n">
        <v>0</v>
      </c>
      <c r="BA245" s="461">
        <f>K245*AZ245</f>
        <v/>
      </c>
      <c r="BB245" s="461" t="n"/>
      <c r="BC245" s="461">
        <f>BA245-BB245</f>
        <v/>
      </c>
      <c r="BD245" s="461" t="n"/>
      <c r="BE245" s="461">
        <f>K245*BD245</f>
        <v/>
      </c>
      <c r="BF245" s="461" t="n"/>
      <c r="BG245" s="461">
        <f>BE245-BF245</f>
        <v/>
      </c>
      <c r="BH245" s="461" t="n"/>
      <c r="BI245" s="461">
        <f>K245*BH245</f>
        <v/>
      </c>
      <c r="BJ245" s="461" t="n"/>
      <c r="BK245" s="461">
        <f>BI245-BJ245</f>
        <v/>
      </c>
      <c r="BL245" s="461" t="n"/>
      <c r="BM245" s="220">
        <f>K245*BL245</f>
        <v/>
      </c>
      <c r="BN245" s="220" t="n"/>
      <c r="BO245" s="220">
        <f>BM245-BN245</f>
        <v/>
      </c>
      <c r="BP245" s="220">
        <f>N245+Q245+U245+Y245+AC245+AG245+AK245+AO245+AS245+AW245+BA245+BE245+BI245+BM245</f>
        <v/>
      </c>
      <c r="BQ245" s="220">
        <f>N245+R245+V245+Z245+AD245+AH245+AL245+AP245+AT245+AX245+BB245+BF245+BJ245+BN245</f>
        <v/>
      </c>
      <c r="BR245" s="220">
        <f>BP245-BQ245</f>
        <v/>
      </c>
      <c r="BS245" s="254" t="inlineStr">
        <is>
          <t>/</t>
        </is>
      </c>
      <c r="BT245" s="229" t="inlineStr">
        <is>
          <t>/</t>
        </is>
      </c>
      <c r="BU245"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5" s="230" t="inlineStr">
        <is>
          <t>1、签订期间：2026.3.1-2026.7.20；
2、指标按照全年换算；</t>
        </is>
      </c>
      <c r="BW245" s="534" t="n"/>
    </row>
    <row r="246" ht="24.75" customFormat="1" customHeight="1" s="209">
      <c r="A246" s="219" t="n">
        <v>283</v>
      </c>
      <c r="B246" s="220" t="inlineStr">
        <is>
          <t>KQCY0283</t>
        </is>
      </c>
      <c r="C246" s="221" t="inlineStr">
        <is>
          <t>餐饮五分部</t>
        </is>
      </c>
      <c r="D246" s="221" t="inlineStr">
        <is>
          <t>CF694</t>
        </is>
      </c>
      <c r="E246" s="221" t="inlineStr">
        <is>
          <t>兰理工彭家坪北村食堂</t>
        </is>
      </c>
      <c r="F246" s="219" t="inlineStr">
        <is>
          <t>分组作业</t>
        </is>
      </c>
      <c r="G246" s="222" t="inlineStr">
        <is>
          <t>徐敏捷</t>
        </is>
      </c>
      <c r="H246" s="503" t="inlineStr">
        <is>
          <t>/</t>
        </is>
      </c>
      <c r="I246" s="237" t="inlineStr">
        <is>
          <t>水吧</t>
        </is>
      </c>
      <c r="J246" s="503" t="inlineStr">
        <is>
          <t>陈发全</t>
        </is>
      </c>
      <c r="K246" s="545">
        <f>LET(k,D246&amp;"|"&amp;E246&amp;"|"&amp;H246&amp;"|"&amp;I246&amp;"|"&amp;J246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46" s="546" t="n"/>
      <c r="M246" s="224" t="n"/>
      <c r="N246" s="253" t="n"/>
      <c r="O246" s="548" t="n">
        <v>319200</v>
      </c>
      <c r="P246" s="276" t="n">
        <v>0.12</v>
      </c>
      <c r="Q246" s="461">
        <f>K246*P246</f>
        <v/>
      </c>
      <c r="R246" s="227" t="n"/>
      <c r="S246" s="461">
        <f>Q246-R246</f>
        <v/>
      </c>
      <c r="T246" s="227" t="n">
        <v>0</v>
      </c>
      <c r="U246" s="461">
        <f>K246*T246</f>
        <v/>
      </c>
      <c r="V246" s="227" t="n"/>
      <c r="W246" s="461">
        <f>U246-V246</f>
        <v/>
      </c>
      <c r="X246" s="227" t="n">
        <v>0</v>
      </c>
      <c r="Y246" s="461">
        <f>K246*X246</f>
        <v/>
      </c>
      <c r="Z246" s="227" t="n"/>
      <c r="AA246" s="461">
        <f>Y246-Z246</f>
        <v/>
      </c>
      <c r="AB246" s="227" t="n">
        <v>0</v>
      </c>
      <c r="AC246" s="461">
        <f>K246*AB246</f>
        <v/>
      </c>
      <c r="AD246" s="227" t="n"/>
      <c r="AE246" s="461">
        <f>AC246-AD246</f>
        <v/>
      </c>
      <c r="AF246" s="227" t="n">
        <v>0</v>
      </c>
      <c r="AG246" s="461">
        <f>K246*AF246</f>
        <v/>
      </c>
      <c r="AH246" s="227" t="n"/>
      <c r="AI246" s="461">
        <f>AG246-AH246</f>
        <v/>
      </c>
      <c r="AJ246" s="227" t="n">
        <v>0</v>
      </c>
      <c r="AK246" s="461">
        <f>K246*AJ246</f>
        <v/>
      </c>
      <c r="AL246" s="227" t="n"/>
      <c r="AM246" s="461">
        <f>AK246-AL246</f>
        <v/>
      </c>
      <c r="AN246" s="227" t="n">
        <v>0</v>
      </c>
      <c r="AO246" s="461">
        <f>K246*AN246</f>
        <v/>
      </c>
      <c r="AP246" s="227" t="n"/>
      <c r="AQ246" s="461">
        <f>AO246-AP246</f>
        <v/>
      </c>
      <c r="AR246" s="461" t="n">
        <v>0</v>
      </c>
      <c r="AS246" s="461">
        <f>K246*AR246</f>
        <v/>
      </c>
      <c r="AT246" s="227" t="n"/>
      <c r="AU246" s="461">
        <f>AS246-AT246</f>
        <v/>
      </c>
      <c r="AV246" s="276" t="n">
        <v>0</v>
      </c>
      <c r="AW246" s="461">
        <f>K246*AV246</f>
        <v/>
      </c>
      <c r="AX246" s="227" t="n"/>
      <c r="AY246" s="461">
        <f>AW246-AX246</f>
        <v/>
      </c>
      <c r="AZ246" s="227" t="n">
        <v>0</v>
      </c>
      <c r="BA246" s="461">
        <f>K246*AZ246</f>
        <v/>
      </c>
      <c r="BB246" s="461" t="n"/>
      <c r="BC246" s="461">
        <f>BA246-BB246</f>
        <v/>
      </c>
      <c r="BD246" s="461" t="n"/>
      <c r="BE246" s="461">
        <f>K246*BD246</f>
        <v/>
      </c>
      <c r="BF246" s="461" t="n"/>
      <c r="BG246" s="461">
        <f>BE246-BF246</f>
        <v/>
      </c>
      <c r="BH246" s="461" t="n"/>
      <c r="BI246" s="461">
        <f>K246*BH246</f>
        <v/>
      </c>
      <c r="BJ246" s="461" t="n"/>
      <c r="BK246" s="461">
        <f>BI246-BJ246</f>
        <v/>
      </c>
      <c r="BL246" s="461" t="n"/>
      <c r="BM246" s="220">
        <f>K246*BL246</f>
        <v/>
      </c>
      <c r="BN246" s="220" t="n"/>
      <c r="BO246" s="220">
        <f>BM246-BN246</f>
        <v/>
      </c>
      <c r="BP246" s="220">
        <f>N246+Q246+U246+Y246+AC246+AG246+AK246+AO246+AS246+AW246+BA246+BE246+BI246+BM246</f>
        <v/>
      </c>
      <c r="BQ246" s="220">
        <f>N246+R246+V246+Z246+AD246+AH246+AL246+AP246+AT246+AX246+BB246+BF246+BJ246+BN246</f>
        <v/>
      </c>
      <c r="BR246" s="220">
        <f>BP246-BQ246</f>
        <v/>
      </c>
      <c r="BS246" s="254" t="inlineStr">
        <is>
          <t>/</t>
        </is>
      </c>
      <c r="BT246" s="229" t="inlineStr">
        <is>
          <t>/</t>
        </is>
      </c>
      <c r="BU246"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6" s="230" t="inlineStr">
        <is>
          <t>1、签订期间：2026.3.1-2026.7.20；
2、指标按照全年换算；</t>
        </is>
      </c>
      <c r="BW246" s="534" t="n"/>
    </row>
    <row r="247" ht="24.75" customFormat="1" customHeight="1" s="209">
      <c r="A247" s="219" t="n">
        <v>284</v>
      </c>
      <c r="B247" s="220" t="inlineStr">
        <is>
          <t>KQCY0284</t>
        </is>
      </c>
      <c r="C247" s="221" t="inlineStr">
        <is>
          <t>餐饮五分部</t>
        </is>
      </c>
      <c r="D247" s="221" t="inlineStr">
        <is>
          <t>CF694</t>
        </is>
      </c>
      <c r="E247" s="221" t="inlineStr">
        <is>
          <t>兰理工彭家坪北村食堂</t>
        </is>
      </c>
      <c r="F247" s="219" t="inlineStr">
        <is>
          <t>分组作业</t>
        </is>
      </c>
      <c r="G247" s="222" t="inlineStr">
        <is>
          <t>徐敏捷</t>
        </is>
      </c>
      <c r="H247" s="503" t="inlineStr">
        <is>
          <t>/</t>
        </is>
      </c>
      <c r="I247" s="237" t="inlineStr">
        <is>
          <t>小火锅</t>
        </is>
      </c>
      <c r="J247" s="503" t="inlineStr">
        <is>
          <t>韩玉红</t>
        </is>
      </c>
      <c r="K247" s="545">
        <f>LET(k,D247&amp;"|"&amp;E247&amp;"|"&amp;H247&amp;"|"&amp;I247&amp;"|"&amp;J247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47" s="546" t="n"/>
      <c r="M247" s="224" t="n"/>
      <c r="N247" s="253" t="n"/>
      <c r="O247" s="548" t="n">
        <v>592800</v>
      </c>
      <c r="P247" s="276" t="n">
        <v>0.18</v>
      </c>
      <c r="Q247" s="461">
        <f>K247*P247</f>
        <v/>
      </c>
      <c r="R247" s="227" t="n"/>
      <c r="S247" s="461">
        <f>Q247-R247</f>
        <v/>
      </c>
      <c r="T247" s="227" t="n">
        <v>0</v>
      </c>
      <c r="U247" s="461">
        <f>K247*T247</f>
        <v/>
      </c>
      <c r="V247" s="227" t="n"/>
      <c r="W247" s="461">
        <f>U247-V247</f>
        <v/>
      </c>
      <c r="X247" s="227" t="n">
        <v>0</v>
      </c>
      <c r="Y247" s="461">
        <f>K247*X247</f>
        <v/>
      </c>
      <c r="Z247" s="227" t="n"/>
      <c r="AA247" s="461">
        <f>Y247-Z247</f>
        <v/>
      </c>
      <c r="AB247" s="227" t="n">
        <v>0</v>
      </c>
      <c r="AC247" s="461">
        <f>K247*AB247</f>
        <v/>
      </c>
      <c r="AD247" s="227" t="n"/>
      <c r="AE247" s="461">
        <f>AC247-AD247</f>
        <v/>
      </c>
      <c r="AF247" s="227" t="n">
        <v>0</v>
      </c>
      <c r="AG247" s="461">
        <f>K247*AF247</f>
        <v/>
      </c>
      <c r="AH247" s="227" t="n"/>
      <c r="AI247" s="461">
        <f>AG247-AH247</f>
        <v/>
      </c>
      <c r="AJ247" s="227" t="n">
        <v>0</v>
      </c>
      <c r="AK247" s="461">
        <f>K247*AJ247</f>
        <v/>
      </c>
      <c r="AL247" s="227" t="n"/>
      <c r="AM247" s="461">
        <f>AK247-AL247</f>
        <v/>
      </c>
      <c r="AN247" s="227" t="n">
        <v>0</v>
      </c>
      <c r="AO247" s="461">
        <f>K247*AN247</f>
        <v/>
      </c>
      <c r="AP247" s="461" t="n"/>
      <c r="AQ247" s="461">
        <f>AO247-AP247</f>
        <v/>
      </c>
      <c r="AR247" s="461" t="n">
        <v>0.03</v>
      </c>
      <c r="AS247" s="461">
        <f>K247*AR247</f>
        <v/>
      </c>
      <c r="AT247" s="227" t="n"/>
      <c r="AU247" s="461">
        <f>AS247-AT247</f>
        <v/>
      </c>
      <c r="AV247" s="276" t="n">
        <v>0.03</v>
      </c>
      <c r="AW247" s="461">
        <f>K247*AV247</f>
        <v/>
      </c>
      <c r="AX247" s="227" t="n"/>
      <c r="AY247" s="461">
        <f>AW247-AX247</f>
        <v/>
      </c>
      <c r="AZ247" s="227" t="n">
        <v>0</v>
      </c>
      <c r="BA247" s="461">
        <f>K247*AZ247</f>
        <v/>
      </c>
      <c r="BB247" s="461" t="n"/>
      <c r="BC247" s="461">
        <f>BA247-BB247</f>
        <v/>
      </c>
      <c r="BD247" s="461" t="n"/>
      <c r="BE247" s="461">
        <f>K247*BD247</f>
        <v/>
      </c>
      <c r="BF247" s="461" t="n"/>
      <c r="BG247" s="461">
        <f>BE247-BF247</f>
        <v/>
      </c>
      <c r="BH247" s="461" t="n"/>
      <c r="BI247" s="461">
        <f>K247*BH247</f>
        <v/>
      </c>
      <c r="BJ247" s="461" t="n"/>
      <c r="BK247" s="461">
        <f>BI247-BJ247</f>
        <v/>
      </c>
      <c r="BL247" s="461" t="n"/>
      <c r="BM247" s="220">
        <f>K247*BL247</f>
        <v/>
      </c>
      <c r="BN247" s="220" t="n"/>
      <c r="BO247" s="220">
        <f>BM247-BN247</f>
        <v/>
      </c>
      <c r="BP247" s="220">
        <f>N247+Q247+U247+Y247+AC247+AG247+AK247+AO247+AS247+AW247+BA247+BE247+BI247+BM247</f>
        <v/>
      </c>
      <c r="BQ247" s="220">
        <f>N247+R247+V247+Z247+AD247+AH247+AL247+AP247+AT247+AX247+BB247+BF247+BJ247+BN247</f>
        <v/>
      </c>
      <c r="BR247" s="220">
        <f>BP247-BQ247</f>
        <v/>
      </c>
      <c r="BS247" s="254" t="inlineStr">
        <is>
          <t>/</t>
        </is>
      </c>
      <c r="BT247" s="229" t="inlineStr">
        <is>
          <t>/</t>
        </is>
      </c>
      <c r="BU247"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7" s="230" t="inlineStr">
        <is>
          <t>1、签订期间：2026.3.1-2026.7.20；
2、指标按照全年换算；</t>
        </is>
      </c>
      <c r="BW247" s="534" t="n"/>
    </row>
    <row r="248" ht="24.75" customFormat="1" customHeight="1" s="209">
      <c r="A248" s="219" t="n">
        <v>285</v>
      </c>
      <c r="B248" s="220" t="inlineStr">
        <is>
          <t>KQCY0285</t>
        </is>
      </c>
      <c r="C248" s="221" t="inlineStr">
        <is>
          <t>餐饮五分部</t>
        </is>
      </c>
      <c r="D248" s="221" t="inlineStr">
        <is>
          <t>CF694</t>
        </is>
      </c>
      <c r="E248" s="221" t="inlineStr">
        <is>
          <t>兰理工彭家坪北村食堂</t>
        </is>
      </c>
      <c r="F248" s="219" t="inlineStr">
        <is>
          <t>分组作业</t>
        </is>
      </c>
      <c r="G248" s="222" t="inlineStr">
        <is>
          <t>徐敏捷</t>
        </is>
      </c>
      <c r="H248" s="239" t="inlineStr">
        <is>
          <t>/</t>
        </is>
      </c>
      <c r="I248" s="232" t="inlineStr">
        <is>
          <t>牛肉面</t>
        </is>
      </c>
      <c r="J248" s="503" t="inlineStr">
        <is>
          <t>石磊</t>
        </is>
      </c>
      <c r="K248" s="545">
        <f>LET(k,D248&amp;"|"&amp;E248&amp;"|"&amp;H248&amp;"|"&amp;I248&amp;"|"&amp;J248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48" s="546" t="n"/>
      <c r="M248" s="224" t="n"/>
      <c r="N248" s="253" t="n"/>
      <c r="O248" s="548" t="n"/>
      <c r="P248" s="227" t="n"/>
      <c r="Q248" s="461">
        <f>K248*P248</f>
        <v/>
      </c>
      <c r="R248" s="227" t="n"/>
      <c r="S248" s="461">
        <f>Q248-R248</f>
        <v/>
      </c>
      <c r="T248" s="227" t="n"/>
      <c r="U248" s="461">
        <f>K248*T248</f>
        <v/>
      </c>
      <c r="V248" s="227" t="n"/>
      <c r="W248" s="461">
        <f>U248-V248</f>
        <v/>
      </c>
      <c r="X248" s="227" t="n"/>
      <c r="Y248" s="461">
        <f>K248*X248</f>
        <v/>
      </c>
      <c r="Z248" s="227" t="n"/>
      <c r="AA248" s="461">
        <f>Y248-Z248</f>
        <v/>
      </c>
      <c r="AB248" s="227" t="n"/>
      <c r="AC248" s="461">
        <f>K248*AB248</f>
        <v/>
      </c>
      <c r="AD248" s="227" t="n"/>
      <c r="AE248" s="461">
        <f>AC248-AD248</f>
        <v/>
      </c>
      <c r="AF248" s="227" t="n"/>
      <c r="AG248" s="461">
        <f>K248*AF248</f>
        <v/>
      </c>
      <c r="AH248" s="227" t="n"/>
      <c r="AI248" s="461">
        <f>AG248-AH248</f>
        <v/>
      </c>
      <c r="AJ248" s="227" t="n"/>
      <c r="AK248" s="461">
        <f>K248*AJ248</f>
        <v/>
      </c>
      <c r="AL248" s="227" t="n"/>
      <c r="AM248" s="461">
        <f>AK248-AL248</f>
        <v/>
      </c>
      <c r="AN248" s="227" t="n"/>
      <c r="AO248" s="461">
        <f>K248*AN248</f>
        <v/>
      </c>
      <c r="AP248" s="461" t="n"/>
      <c r="AQ248" s="461">
        <f>AO248-AP248</f>
        <v/>
      </c>
      <c r="AR248" s="461" t="n"/>
      <c r="AS248" s="461">
        <f>K248*AR248</f>
        <v/>
      </c>
      <c r="AT248" s="227" t="n"/>
      <c r="AU248" s="461">
        <f>AS248-AT248</f>
        <v/>
      </c>
      <c r="AV248" s="227" t="n"/>
      <c r="AW248" s="461">
        <f>K248*AV248</f>
        <v/>
      </c>
      <c r="AX248" s="227" t="n"/>
      <c r="AY248" s="461">
        <f>AW248-AX248</f>
        <v/>
      </c>
      <c r="AZ248" s="227" t="n"/>
      <c r="BA248" s="461">
        <f>K248*AZ248</f>
        <v/>
      </c>
      <c r="BB248" s="461" t="n"/>
      <c r="BC248" s="461">
        <f>BA248-BB248</f>
        <v/>
      </c>
      <c r="BD248" s="461" t="n"/>
      <c r="BE248" s="461">
        <f>K248*BD248</f>
        <v/>
      </c>
      <c r="BF248" s="461" t="n"/>
      <c r="BG248" s="461">
        <f>BE248-BF248</f>
        <v/>
      </c>
      <c r="BH248" s="461" t="n"/>
      <c r="BI248" s="461">
        <f>K248*BH248</f>
        <v/>
      </c>
      <c r="BJ248" s="461" t="n"/>
      <c r="BK248" s="461">
        <f>BI248-BJ248</f>
        <v/>
      </c>
      <c r="BL248" s="461" t="n"/>
      <c r="BM248" s="220">
        <f>K248*BL248</f>
        <v/>
      </c>
      <c r="BN248" s="220" t="n"/>
      <c r="BO248" s="220">
        <f>BM248-BN248</f>
        <v/>
      </c>
      <c r="BP248" s="220">
        <f>N248+Q248+U248+Y248+AC248+AG248+AK248+AO248+AS248+AW248+BA248+BE248+BI248+BM248</f>
        <v/>
      </c>
      <c r="BQ248" s="220">
        <f>N248+R248+V248+Z248+AD248+AH248+AL248+AP248+AT248+AX248+BB248+BF248+BJ248+BN248</f>
        <v/>
      </c>
      <c r="BR248" s="220">
        <f>BP248-BQ248</f>
        <v/>
      </c>
      <c r="BS248" s="229" t="n"/>
      <c r="BT248" s="229" t="n"/>
      <c r="BU248" s="230" t="n"/>
      <c r="BV248" s="230" t="n"/>
      <c r="BW248" s="534" t="n"/>
    </row>
    <row r="249" ht="30" customFormat="1" customHeight="1" s="209">
      <c r="A249" s="219" t="n">
        <v>286</v>
      </c>
      <c r="B249" s="220" t="inlineStr">
        <is>
          <t>KQCY0286</t>
        </is>
      </c>
      <c r="C249" s="221" t="inlineStr">
        <is>
          <t>餐饮五分部</t>
        </is>
      </c>
      <c r="D249" s="221" t="inlineStr">
        <is>
          <t>CF696</t>
        </is>
      </c>
      <c r="E249" s="221" t="inlineStr">
        <is>
          <t>甘肃省气象局</t>
        </is>
      </c>
      <c r="F249" s="219" t="inlineStr">
        <is>
          <t>人员服务外包</t>
        </is>
      </c>
      <c r="G249" s="222" t="inlineStr">
        <is>
          <t>徐敏捷</t>
        </is>
      </c>
      <c r="H249" s="219" t="inlineStr">
        <is>
          <t>/</t>
        </is>
      </c>
      <c r="I249" s="232" t="inlineStr">
        <is>
          <t>/</t>
        </is>
      </c>
      <c r="J249" s="503" t="inlineStr">
        <is>
          <t>/</t>
        </is>
      </c>
      <c r="K249" s="545">
        <f>LET(k,D249&amp;"|"&amp;E249&amp;"|"&amp;H249&amp;"|"&amp;I249&amp;"|"&amp;J249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49" s="546" t="n"/>
      <c r="M249" s="224" t="n"/>
      <c r="N249" s="547" t="n"/>
      <c r="O249" s="548" t="n">
        <v>908000</v>
      </c>
      <c r="P249" s="227" t="n">
        <v>0</v>
      </c>
      <c r="Q249" s="461">
        <f>K249*P249</f>
        <v/>
      </c>
      <c r="R249" s="227" t="n"/>
      <c r="S249" s="461">
        <f>Q249-R249</f>
        <v/>
      </c>
      <c r="T249" s="227" t="n">
        <v>0</v>
      </c>
      <c r="U249" s="461">
        <f>K249*T249</f>
        <v/>
      </c>
      <c r="V249" s="227" t="n"/>
      <c r="W249" s="461">
        <f>U249-V249</f>
        <v/>
      </c>
      <c r="X249" s="227" t="n">
        <v>0</v>
      </c>
      <c r="Y249" s="461">
        <f>K249*X249</f>
        <v/>
      </c>
      <c r="Z249" s="227" t="n"/>
      <c r="AA249" s="461">
        <f>Y249-Z249</f>
        <v/>
      </c>
      <c r="AB249" s="227" t="n">
        <v>0</v>
      </c>
      <c r="AC249" s="461">
        <f>K249*AB249</f>
        <v/>
      </c>
      <c r="AD249" s="227" t="n"/>
      <c r="AE249" s="461">
        <f>AC249-AD249</f>
        <v/>
      </c>
      <c r="AF249" s="227" t="n">
        <v>0</v>
      </c>
      <c r="AG249" s="461">
        <f>K249*AF249</f>
        <v/>
      </c>
      <c r="AH249" s="227" t="n"/>
      <c r="AI249" s="461">
        <f>AG249-AH249</f>
        <v/>
      </c>
      <c r="AJ249" s="227" t="n">
        <v>0</v>
      </c>
      <c r="AK249" s="461">
        <f>K249*AJ249</f>
        <v/>
      </c>
      <c r="AL249" s="227" t="n"/>
      <c r="AM249" s="461">
        <f>AK249-AL249</f>
        <v/>
      </c>
      <c r="AN249" s="227" t="n">
        <v>0</v>
      </c>
      <c r="AO249" s="461">
        <f>K249*AN249</f>
        <v/>
      </c>
      <c r="AP249" s="461" t="n"/>
      <c r="AQ249" s="461">
        <f>AO249-AP249</f>
        <v/>
      </c>
      <c r="AR249" s="461" t="n">
        <v>0</v>
      </c>
      <c r="AS249" s="461">
        <f>K249*AR249</f>
        <v/>
      </c>
      <c r="AT249" s="227" t="n"/>
      <c r="AU249" s="461">
        <f>AS249-AT249</f>
        <v/>
      </c>
      <c r="AV249" s="227" t="n">
        <v>0</v>
      </c>
      <c r="AW249" s="461">
        <f>K249*AV249</f>
        <v/>
      </c>
      <c r="AX249" s="227" t="n"/>
      <c r="AY249" s="461">
        <f>AW249-AX249</f>
        <v/>
      </c>
      <c r="AZ249" s="227" t="n">
        <v>0</v>
      </c>
      <c r="BA249" s="461">
        <f>K249*AZ249</f>
        <v/>
      </c>
      <c r="BB249" s="461" t="n"/>
      <c r="BC249" s="461">
        <f>BA249-BB249</f>
        <v/>
      </c>
      <c r="BD249" s="461" t="n"/>
      <c r="BE249" s="461">
        <f>K249*BD249</f>
        <v/>
      </c>
      <c r="BF249" s="461" t="n"/>
      <c r="BG249" s="461">
        <f>BE249-BF249</f>
        <v/>
      </c>
      <c r="BH249" s="461" t="n"/>
      <c r="BI249" s="461">
        <f>K249*BH249</f>
        <v/>
      </c>
      <c r="BJ249" s="461" t="n"/>
      <c r="BK249" s="461">
        <f>BI249-BJ249</f>
        <v/>
      </c>
      <c r="BL249" s="461" t="n">
        <v>0</v>
      </c>
      <c r="BM249" s="220">
        <f>K249*BL249</f>
        <v/>
      </c>
      <c r="BN249" s="220" t="n"/>
      <c r="BO249" s="220">
        <f>BM249-BN249</f>
        <v/>
      </c>
      <c r="BP249" s="220">
        <f>N249+Q249+U249+Y249+AC249+AG249+AK249+AO249+AS249+AW249+BA249+BE249+BI249+BM249</f>
        <v/>
      </c>
      <c r="BQ249" s="220">
        <f>N249+R249+V249+Z249+AD249+AH249+AL249+AP249+AT249+AX249+BB249+BF249+BJ249+BN249</f>
        <v/>
      </c>
      <c r="BR249" s="220">
        <f>BP249-BQ249</f>
        <v/>
      </c>
      <c r="BS249" s="229" t="n">
        <v>0.11</v>
      </c>
      <c r="BT249" s="229" t="inlineStr">
        <is>
          <t>/</t>
        </is>
      </c>
      <c r="BU249" s="230" t="n"/>
      <c r="BV249" s="230" t="n"/>
      <c r="BW249" s="534" t="n"/>
    </row>
    <row r="250" ht="36" customFormat="1" customHeight="1" s="209">
      <c r="A250" s="219" t="n">
        <v>291</v>
      </c>
      <c r="B250" s="220" t="inlineStr">
        <is>
          <t>KQCY0291</t>
        </is>
      </c>
      <c r="C250" s="221" t="inlineStr">
        <is>
          <t>餐饮五分部</t>
        </is>
      </c>
      <c r="D250" s="221" t="inlineStr">
        <is>
          <t>CF620</t>
        </is>
      </c>
      <c r="E250" s="221" t="inlineStr">
        <is>
          <t>山西大学B6食堂三层</t>
        </is>
      </c>
      <c r="F250" s="335" t="inlineStr">
        <is>
          <t>分组作业</t>
        </is>
      </c>
      <c r="G250" s="222" t="inlineStr">
        <is>
          <t>徐敏捷</t>
        </is>
      </c>
      <c r="H250" s="503" t="inlineStr">
        <is>
          <t>第一班组</t>
        </is>
      </c>
      <c r="I250" s="237" t="inlineStr">
        <is>
          <t>辣椒炒肉汉堡</t>
        </is>
      </c>
      <c r="J250" s="503" t="inlineStr">
        <is>
          <t>胡星丽</t>
        </is>
      </c>
      <c r="K250" s="545">
        <f>LET(k,D250&amp;"|"&amp;E250&amp;"|"&amp;H250&amp;"|"&amp;I250&amp;"|"&amp;J250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50" s="546" t="n"/>
      <c r="M250" s="224" t="n"/>
      <c r="N250" s="547" t="n">
        <v>615</v>
      </c>
      <c r="O250" s="548" t="n">
        <v>1200000</v>
      </c>
      <c r="P250" s="284" t="n">
        <v>0.125</v>
      </c>
      <c r="Q250" s="461">
        <f>K250*P250</f>
        <v/>
      </c>
      <c r="R250" s="227" t="n">
        <v>0</v>
      </c>
      <c r="S250" s="461">
        <f>Q250-R250</f>
        <v/>
      </c>
      <c r="T250" s="227" t="n">
        <v>0</v>
      </c>
      <c r="U250" s="461">
        <f>K250*T250</f>
        <v/>
      </c>
      <c r="V250" s="227" t="n">
        <v>0</v>
      </c>
      <c r="W250" s="461">
        <f>U250-V250</f>
        <v/>
      </c>
      <c r="X250" s="227" t="n">
        <v>0</v>
      </c>
      <c r="Y250" s="461">
        <f>K250*X250</f>
        <v/>
      </c>
      <c r="Z250" s="227" t="n">
        <v>0</v>
      </c>
      <c r="AA250" s="461">
        <f>Y250-Z250</f>
        <v/>
      </c>
      <c r="AB250" s="227" t="n">
        <v>0</v>
      </c>
      <c r="AC250" s="461">
        <f>K250*AB250</f>
        <v/>
      </c>
      <c r="AD250" s="227" t="n">
        <v>0</v>
      </c>
      <c r="AE250" s="461">
        <f>AC250-AD250</f>
        <v/>
      </c>
      <c r="AF250" s="227" t="n">
        <v>0</v>
      </c>
      <c r="AG250" s="461">
        <f>K250*AF250</f>
        <v/>
      </c>
      <c r="AH250" s="227" t="n">
        <v>0</v>
      </c>
      <c r="AI250" s="461">
        <f>AG250-AH250</f>
        <v/>
      </c>
      <c r="AJ250" s="227" t="n">
        <v>0</v>
      </c>
      <c r="AK250" s="461">
        <f>K250*AJ250</f>
        <v/>
      </c>
      <c r="AL250" s="227" t="n">
        <v>0</v>
      </c>
      <c r="AM250" s="461">
        <f>AK250-AL250</f>
        <v/>
      </c>
      <c r="AN250" s="227" t="n">
        <v>0</v>
      </c>
      <c r="AO250" s="461">
        <f>K250*AN250</f>
        <v/>
      </c>
      <c r="AP250" s="461" t="n">
        <v>0</v>
      </c>
      <c r="AQ250" s="461">
        <f>AO250-AP250</f>
        <v/>
      </c>
      <c r="AR250" s="461" t="n">
        <v>0</v>
      </c>
      <c r="AS250" s="461">
        <f>AR250</f>
        <v/>
      </c>
      <c r="AT250" s="227" t="n">
        <v>0</v>
      </c>
      <c r="AU250" s="461">
        <f>AS250-AT250</f>
        <v/>
      </c>
      <c r="AV250" s="227" t="n">
        <v>0</v>
      </c>
      <c r="AW250" s="461">
        <f>AV250</f>
        <v/>
      </c>
      <c r="AX250" s="227" t="n">
        <v>0</v>
      </c>
      <c r="AY250" s="461">
        <f>AW250-AX250</f>
        <v/>
      </c>
      <c r="AZ250" s="227" t="n">
        <v>0</v>
      </c>
      <c r="BA250" s="461">
        <f>K250*AZ250</f>
        <v/>
      </c>
      <c r="BB250" s="461" t="n">
        <v>0</v>
      </c>
      <c r="BC250" s="461">
        <f>BA250-BB250</f>
        <v/>
      </c>
      <c r="BD250" s="461" t="n"/>
      <c r="BE250" s="461">
        <f>K250*BD250</f>
        <v/>
      </c>
      <c r="BF250" s="461" t="n">
        <v>0</v>
      </c>
      <c r="BG250" s="461">
        <f>BE250-BF250</f>
        <v/>
      </c>
      <c r="BH250" s="461" t="n"/>
      <c r="BI250" s="461">
        <f>K250*BH250</f>
        <v/>
      </c>
      <c r="BJ250" s="461" t="n">
        <v>0</v>
      </c>
      <c r="BK250" s="461">
        <f>BI250-BJ250</f>
        <v/>
      </c>
      <c r="BL250" s="461" t="inlineStr">
        <is>
          <t>按实</t>
        </is>
      </c>
      <c r="BM250" s="220">
        <f>BN250</f>
        <v/>
      </c>
      <c r="BN250" s="220" t="n">
        <v>0</v>
      </c>
      <c r="BO250" s="220">
        <f>BM250-BN250</f>
        <v/>
      </c>
      <c r="BP250" s="220">
        <f>N250+Q250+U250+Y250+AC250+AG250+AK250+AO250+AS250+AW250+BA250+BE250+BI250+BM250</f>
        <v/>
      </c>
      <c r="BQ250" s="220">
        <f>N250+R250+V250+Z250+AD250+AH250+AL250+AP250+AT250+AX250+BB250+BF250+BJ250+BN250</f>
        <v/>
      </c>
      <c r="BR250" s="220">
        <f>BP250-BQ250</f>
        <v/>
      </c>
      <c r="BS250" s="254" t="inlineStr">
        <is>
          <t>/</t>
        </is>
      </c>
      <c r="BT250" s="229" t="inlineStr">
        <is>
          <t>/</t>
        </is>
      </c>
      <c r="BU250" s="230" t="n"/>
      <c r="BV250" s="230" t="inlineStr">
        <is>
          <t xml:space="preserve">
1、签订期间：2026.2.1-2026.7.15；
2、指标按照全年换算；</t>
        </is>
      </c>
      <c r="BW250" s="534" t="n"/>
    </row>
    <row r="251" ht="36" customFormat="1" customHeight="1" s="209">
      <c r="A251" s="219" t="n">
        <v>292</v>
      </c>
      <c r="B251" s="220" t="inlineStr">
        <is>
          <t>KQCY0292</t>
        </is>
      </c>
      <c r="C251" s="221" t="inlineStr">
        <is>
          <t>餐饮五分部</t>
        </is>
      </c>
      <c r="D251" s="221" t="inlineStr">
        <is>
          <t>CF620</t>
        </is>
      </c>
      <c r="E251" s="221" t="inlineStr">
        <is>
          <t>山西大学B6食堂三层</t>
        </is>
      </c>
      <c r="F251" s="335" t="inlineStr">
        <is>
          <t>分组作业</t>
        </is>
      </c>
      <c r="G251" s="222" t="inlineStr">
        <is>
          <t>徐敏捷</t>
        </is>
      </c>
      <c r="H251" s="503" t="inlineStr">
        <is>
          <t>第二班组</t>
        </is>
      </c>
      <c r="I251" s="237" t="inlineStr">
        <is>
          <t>石锅菜</t>
        </is>
      </c>
      <c r="J251" s="503" t="inlineStr">
        <is>
          <t>穆瑞霞</t>
        </is>
      </c>
      <c r="K251" s="545">
        <f>LET(k,D251&amp;"|"&amp;E251&amp;"|"&amp;H251&amp;"|"&amp;I251&amp;"|"&amp;J251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51" s="546" t="n"/>
      <c r="M251" s="224" t="n"/>
      <c r="N251" s="547" t="n"/>
      <c r="O251" s="548" t="n">
        <v>540000</v>
      </c>
      <c r="P251" s="276" t="n">
        <v>0.23</v>
      </c>
      <c r="Q251" s="461">
        <f>K251*P251</f>
        <v/>
      </c>
      <c r="R251" s="227" t="n"/>
      <c r="S251" s="461">
        <f>Q251-R251</f>
        <v/>
      </c>
      <c r="T251" s="227" t="n">
        <v>0</v>
      </c>
      <c r="U251" s="461">
        <f>K251*T251</f>
        <v/>
      </c>
      <c r="V251" s="227" t="n"/>
      <c r="W251" s="461">
        <f>U251-V251</f>
        <v/>
      </c>
      <c r="X251" s="227" t="n">
        <v>0</v>
      </c>
      <c r="Y251" s="461">
        <f>K251*X251</f>
        <v/>
      </c>
      <c r="Z251" s="227" t="n"/>
      <c r="AA251" s="461">
        <f>Y251-Z251</f>
        <v/>
      </c>
      <c r="AB251" s="227" t="n">
        <v>0</v>
      </c>
      <c r="AC251" s="461">
        <f>K251*AB251</f>
        <v/>
      </c>
      <c r="AD251" s="227" t="n"/>
      <c r="AE251" s="461">
        <f>AC251-AD251</f>
        <v/>
      </c>
      <c r="AF251" s="227" t="n">
        <v>0</v>
      </c>
      <c r="AG251" s="461">
        <f>K251*AF251</f>
        <v/>
      </c>
      <c r="AH251" s="227" t="n"/>
      <c r="AI251" s="461">
        <f>AG251-AH251</f>
        <v/>
      </c>
      <c r="AJ251" s="227" t="n">
        <v>0</v>
      </c>
      <c r="AK251" s="461">
        <f>K251*AJ251</f>
        <v/>
      </c>
      <c r="AL251" s="227" t="n"/>
      <c r="AM251" s="461">
        <f>AK251-AL251</f>
        <v/>
      </c>
      <c r="AN251" s="227" t="n">
        <v>0</v>
      </c>
      <c r="AO251" s="461">
        <f>K251*AN251</f>
        <v/>
      </c>
      <c r="AP251" s="227" t="n"/>
      <c r="AQ251" s="461">
        <f>AO251-AP251</f>
        <v/>
      </c>
      <c r="AR251" s="461" t="n">
        <v>0</v>
      </c>
      <c r="AS251" s="461">
        <f>K251*AR251</f>
        <v/>
      </c>
      <c r="AT251" s="227" t="n"/>
      <c r="AU251" s="461">
        <f>AS251-AT251</f>
        <v/>
      </c>
      <c r="AV251" s="227" t="n">
        <v>0</v>
      </c>
      <c r="AW251" s="461">
        <f>K251*AV251</f>
        <v/>
      </c>
      <c r="AX251" s="227" t="n"/>
      <c r="AY251" s="461">
        <f>AW251-AX251</f>
        <v/>
      </c>
      <c r="AZ251" s="227" t="n">
        <v>0</v>
      </c>
      <c r="BA251" s="461">
        <f>K251*AZ251</f>
        <v/>
      </c>
      <c r="BB251" s="461" t="n"/>
      <c r="BC251" s="461">
        <f>BA251-BB251</f>
        <v/>
      </c>
      <c r="BD251" s="461" t="n"/>
      <c r="BE251" s="461">
        <f>K251*BD251</f>
        <v/>
      </c>
      <c r="BF251" s="461" t="n"/>
      <c r="BG251" s="461">
        <f>BE251-BF251</f>
        <v/>
      </c>
      <c r="BH251" s="461" t="n"/>
      <c r="BI251" s="461">
        <f>K251*BH251</f>
        <v/>
      </c>
      <c r="BJ251" s="461" t="n"/>
      <c r="BK251" s="461">
        <f>BI251-BJ251</f>
        <v/>
      </c>
      <c r="BL251" s="461" t="inlineStr">
        <is>
          <t>按实</t>
        </is>
      </c>
      <c r="BM251" s="220">
        <f>BN251</f>
        <v/>
      </c>
      <c r="BN251" s="220" t="n"/>
      <c r="BO251" s="220">
        <f>BM251-BN251</f>
        <v/>
      </c>
      <c r="BP251" s="220">
        <f>N251+Q251+U251+Y251+AC251+AG251+AK251+AO251+AS251+AW251+BA251+BE251+BI251+BM251</f>
        <v/>
      </c>
      <c r="BQ251" s="220">
        <f>N251+R251+V251+Z251+AD251+AH251+AL251+AP251+AT251+AX251+BB251+BF251+BJ251+BN251</f>
        <v/>
      </c>
      <c r="BR251" s="220">
        <f>BP251-BQ251</f>
        <v/>
      </c>
      <c r="BS251" s="254" t="inlineStr">
        <is>
          <t>/</t>
        </is>
      </c>
      <c r="BT251" s="229" t="inlineStr">
        <is>
          <t>/</t>
        </is>
      </c>
      <c r="BU251" s="230" t="n"/>
      <c r="BV251" s="230" t="inlineStr">
        <is>
          <t xml:space="preserve">
1、签订期间：2026.2.1-2026.7.15；
2、指标按照全年换算；</t>
        </is>
      </c>
      <c r="BW251" s="534" t="n"/>
    </row>
    <row r="252" ht="36" customFormat="1" customHeight="1" s="209">
      <c r="A252" s="219" t="n">
        <v>293</v>
      </c>
      <c r="B252" s="220" t="inlineStr">
        <is>
          <t>KQCY0293</t>
        </is>
      </c>
      <c r="C252" s="221" t="inlineStr">
        <is>
          <t>餐饮五分部</t>
        </is>
      </c>
      <c r="D252" s="221" t="inlineStr">
        <is>
          <t>CF620</t>
        </is>
      </c>
      <c r="E252" s="221" t="inlineStr">
        <is>
          <t>山西大学B6食堂三层</t>
        </is>
      </c>
      <c r="F252" s="335" t="inlineStr">
        <is>
          <t>分组作业</t>
        </is>
      </c>
      <c r="G252" s="222" t="inlineStr">
        <is>
          <t>徐敏捷</t>
        </is>
      </c>
      <c r="H252" s="503" t="inlineStr">
        <is>
          <t>第三班组</t>
        </is>
      </c>
      <c r="I252" s="237" t="inlineStr">
        <is>
          <t>方圆便利</t>
        </is>
      </c>
      <c r="J252" s="503" t="inlineStr">
        <is>
          <t>张志洁</t>
        </is>
      </c>
      <c r="K252" s="545">
        <f>LET(k,D252&amp;"|"&amp;E252&amp;"|"&amp;H252&amp;"|"&amp;I252&amp;"|"&amp;J252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52" s="546" t="n"/>
      <c r="M252" s="224" t="n"/>
      <c r="N252" s="547" t="n"/>
      <c r="O252" s="548" t="n">
        <v>720000</v>
      </c>
      <c r="P252" s="276" t="n">
        <v>0.05</v>
      </c>
      <c r="Q252" s="461">
        <f>K252*P252</f>
        <v/>
      </c>
      <c r="R252" s="227" t="n"/>
      <c r="S252" s="461">
        <f>Q252-R252</f>
        <v/>
      </c>
      <c r="T252" s="227" t="n">
        <v>0</v>
      </c>
      <c r="U252" s="461">
        <f>K252*T252</f>
        <v/>
      </c>
      <c r="V252" s="227" t="n"/>
      <c r="W252" s="461">
        <f>U252-V252</f>
        <v/>
      </c>
      <c r="X252" s="227" t="n">
        <v>0</v>
      </c>
      <c r="Y252" s="461">
        <f>K252*X252</f>
        <v/>
      </c>
      <c r="Z252" s="227" t="n"/>
      <c r="AA252" s="461">
        <f>Y252-Z252</f>
        <v/>
      </c>
      <c r="AB252" s="227" t="n">
        <v>0</v>
      </c>
      <c r="AC252" s="461">
        <f>K252*AB252</f>
        <v/>
      </c>
      <c r="AD252" s="227" t="n"/>
      <c r="AE252" s="461">
        <f>AC252-AD252</f>
        <v/>
      </c>
      <c r="AF252" s="227" t="n">
        <v>0</v>
      </c>
      <c r="AG252" s="461">
        <f>K252*AF252</f>
        <v/>
      </c>
      <c r="AH252" s="227" t="n"/>
      <c r="AI252" s="461">
        <f>AG252-AH252</f>
        <v/>
      </c>
      <c r="AJ252" s="227" t="n">
        <v>0</v>
      </c>
      <c r="AK252" s="461">
        <f>K252*AJ252</f>
        <v/>
      </c>
      <c r="AL252" s="227" t="n"/>
      <c r="AM252" s="461">
        <f>AK252-AL252</f>
        <v/>
      </c>
      <c r="AN252" s="227" t="n">
        <v>0</v>
      </c>
      <c r="AO252" s="461">
        <f>K252*AN252</f>
        <v/>
      </c>
      <c r="AP252" s="227" t="n"/>
      <c r="AQ252" s="461">
        <f>AO252-AP252</f>
        <v/>
      </c>
      <c r="AR252" s="461" t="n">
        <v>0</v>
      </c>
      <c r="AS252" s="461">
        <f>K252*AR252</f>
        <v/>
      </c>
      <c r="AT252" s="227" t="n"/>
      <c r="AU252" s="461">
        <f>AS252-AT252</f>
        <v/>
      </c>
      <c r="AV252" s="227" t="n">
        <v>0</v>
      </c>
      <c r="AW252" s="461">
        <f>K252*AV252</f>
        <v/>
      </c>
      <c r="AX252" s="227" t="n"/>
      <c r="AY252" s="461">
        <f>AW252-AX252</f>
        <v/>
      </c>
      <c r="AZ252" s="227" t="n">
        <v>0</v>
      </c>
      <c r="BA252" s="461">
        <f>K252*AZ252</f>
        <v/>
      </c>
      <c r="BB252" s="461" t="n"/>
      <c r="BC252" s="461">
        <f>BA252-BB252</f>
        <v/>
      </c>
      <c r="BD252" s="461" t="n"/>
      <c r="BE252" s="461">
        <f>K252*BD252</f>
        <v/>
      </c>
      <c r="BF252" s="461" t="n"/>
      <c r="BG252" s="461">
        <f>BE252-BF252</f>
        <v/>
      </c>
      <c r="BH252" s="461" t="n"/>
      <c r="BI252" s="461">
        <f>K252*BH252</f>
        <v/>
      </c>
      <c r="BJ252" s="461" t="n"/>
      <c r="BK252" s="461">
        <f>BI252-BJ252</f>
        <v/>
      </c>
      <c r="BL252" s="461" t="inlineStr">
        <is>
          <t>按实</t>
        </is>
      </c>
      <c r="BM252" s="220">
        <f>BN252</f>
        <v/>
      </c>
      <c r="BN252" s="220" t="n"/>
      <c r="BO252" s="220">
        <f>BM252-BN252</f>
        <v/>
      </c>
      <c r="BP252" s="220">
        <f>N252+Q252+U252+Y252+AC252+AG252+AK252+AO252+AS252+AW252+BA252+BE252+BI252+BM252</f>
        <v/>
      </c>
      <c r="BQ252" s="220">
        <f>N252+R252+V252+Z252+AD252+AH252+AL252+AP252+AT252+AX252+BB252+BF252+BJ252+BN252</f>
        <v/>
      </c>
      <c r="BR252" s="220">
        <f>BP252-BQ252</f>
        <v/>
      </c>
      <c r="BS252" s="254" t="inlineStr">
        <is>
          <t>/</t>
        </is>
      </c>
      <c r="BT252" s="229" t="inlineStr">
        <is>
          <t>/</t>
        </is>
      </c>
      <c r="BU252" s="230" t="n"/>
      <c r="BV252" s="230" t="inlineStr">
        <is>
          <t xml:space="preserve">
1、签订期间：2026.2.1-2026.7.15；
2、指标按照全年换算；</t>
        </is>
      </c>
      <c r="BW252" s="534" t="n"/>
    </row>
    <row r="253" ht="36" customFormat="1" customHeight="1" s="209">
      <c r="A253" s="219" t="n">
        <v>294</v>
      </c>
      <c r="B253" s="220" t="inlineStr">
        <is>
          <t>KQCY0294</t>
        </is>
      </c>
      <c r="C253" s="221" t="inlineStr">
        <is>
          <t>餐饮五分部</t>
        </is>
      </c>
      <c r="D253" s="221" t="inlineStr">
        <is>
          <t>CF620</t>
        </is>
      </c>
      <c r="E253" s="221" t="inlineStr">
        <is>
          <t>山西大学B6食堂三层</t>
        </is>
      </c>
      <c r="F253" s="335" t="inlineStr">
        <is>
          <t>分组作业</t>
        </is>
      </c>
      <c r="G253" s="222" t="inlineStr">
        <is>
          <t>徐敏捷</t>
        </is>
      </c>
      <c r="H253" s="503" t="inlineStr">
        <is>
          <t>第四班组</t>
        </is>
      </c>
      <c r="I253" s="237" t="inlineStr">
        <is>
          <t>私抹制茶</t>
        </is>
      </c>
      <c r="J253" s="503" t="inlineStr">
        <is>
          <t>韩美珍</t>
        </is>
      </c>
      <c r="K253" s="545">
        <f>LET(k,D253&amp;"|"&amp;E253&amp;"|"&amp;H253&amp;"|"&amp;I253&amp;"|"&amp;J253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53" s="546" t="n"/>
      <c r="M253" s="224" t="n"/>
      <c r="N253" s="547" t="n"/>
      <c r="O253" s="548" t="n">
        <v>360000</v>
      </c>
      <c r="P253" s="276" t="n">
        <v>0.1</v>
      </c>
      <c r="Q253" s="461">
        <f>K253*P253</f>
        <v/>
      </c>
      <c r="R253" s="227" t="n"/>
      <c r="S253" s="461">
        <f>Q253-R253</f>
        <v/>
      </c>
      <c r="T253" s="227" t="n">
        <v>0</v>
      </c>
      <c r="U253" s="461">
        <f>K253*T253</f>
        <v/>
      </c>
      <c r="V253" s="227" t="n"/>
      <c r="W253" s="461">
        <f>U253-V253</f>
        <v/>
      </c>
      <c r="X253" s="227" t="n">
        <v>0</v>
      </c>
      <c r="Y253" s="461">
        <f>K253*X253</f>
        <v/>
      </c>
      <c r="Z253" s="227" t="n"/>
      <c r="AA253" s="461">
        <f>Y253-Z253</f>
        <v/>
      </c>
      <c r="AB253" s="227" t="n">
        <v>0</v>
      </c>
      <c r="AC253" s="461">
        <f>K253*AB253</f>
        <v/>
      </c>
      <c r="AD253" s="227" t="n"/>
      <c r="AE253" s="461">
        <f>AC253-AD253</f>
        <v/>
      </c>
      <c r="AF253" s="227" t="n">
        <v>0</v>
      </c>
      <c r="AG253" s="461">
        <f>K253*AF253</f>
        <v/>
      </c>
      <c r="AH253" s="227" t="n"/>
      <c r="AI253" s="461">
        <f>AG253-AH253</f>
        <v/>
      </c>
      <c r="AJ253" s="227" t="n">
        <v>0</v>
      </c>
      <c r="AK253" s="461">
        <f>K253*AJ253</f>
        <v/>
      </c>
      <c r="AL253" s="227" t="n"/>
      <c r="AM253" s="461">
        <f>AK253-AL253</f>
        <v/>
      </c>
      <c r="AN253" s="227" t="n">
        <v>0</v>
      </c>
      <c r="AO253" s="461">
        <f>K253*AN253</f>
        <v/>
      </c>
      <c r="AP253" s="227" t="n"/>
      <c r="AQ253" s="461">
        <f>AO253-AP253</f>
        <v/>
      </c>
      <c r="AR253" s="461" t="n">
        <v>0</v>
      </c>
      <c r="AS253" s="461">
        <f>K253*AR253</f>
        <v/>
      </c>
      <c r="AT253" s="227" t="n"/>
      <c r="AU253" s="461">
        <f>AS253-AT253</f>
        <v/>
      </c>
      <c r="AV253" s="227" t="n">
        <v>0</v>
      </c>
      <c r="AW253" s="461">
        <f>K253*AV253</f>
        <v/>
      </c>
      <c r="AX253" s="227" t="n"/>
      <c r="AY253" s="461">
        <f>AW253-AX253</f>
        <v/>
      </c>
      <c r="AZ253" s="227" t="n">
        <v>0</v>
      </c>
      <c r="BA253" s="461">
        <f>K253*AZ253</f>
        <v/>
      </c>
      <c r="BB253" s="461" t="n"/>
      <c r="BC253" s="461">
        <f>BA253-BB253</f>
        <v/>
      </c>
      <c r="BD253" s="461" t="n"/>
      <c r="BE253" s="461">
        <f>K253*BD253</f>
        <v/>
      </c>
      <c r="BF253" s="461" t="n"/>
      <c r="BG253" s="461">
        <f>BE253-BF253</f>
        <v/>
      </c>
      <c r="BH253" s="461" t="n"/>
      <c r="BI253" s="461">
        <f>K253*BH253</f>
        <v/>
      </c>
      <c r="BJ253" s="461" t="n"/>
      <c r="BK253" s="461">
        <f>BI253-BJ253</f>
        <v/>
      </c>
      <c r="BL253" s="461" t="inlineStr">
        <is>
          <t>按实</t>
        </is>
      </c>
      <c r="BM253" s="220">
        <f>BN253</f>
        <v/>
      </c>
      <c r="BN253" s="220" t="n"/>
      <c r="BO253" s="220">
        <f>BM253-BN253</f>
        <v/>
      </c>
      <c r="BP253" s="220">
        <f>N253+Q253+U253+Y253+AC253+AG253+AK253+AO253+AS253+AW253+BA253+BE253+BI253+BM253</f>
        <v/>
      </c>
      <c r="BQ253" s="220">
        <f>N253+R253+V253+Z253+AD253+AH253+AL253+AP253+AT253+AX253+BB253+BF253+BJ253+BN253</f>
        <v/>
      </c>
      <c r="BR253" s="220">
        <f>BP253-BQ253</f>
        <v/>
      </c>
      <c r="BS253" s="254" t="inlineStr">
        <is>
          <t>/</t>
        </is>
      </c>
      <c r="BT253" s="229" t="inlineStr">
        <is>
          <t>/</t>
        </is>
      </c>
      <c r="BU253" s="230" t="n"/>
      <c r="BV253" s="230" t="inlineStr">
        <is>
          <t xml:space="preserve">
1、签订期间：2026.2.1-2026.7.15；
2、指标按照全年换算；</t>
        </is>
      </c>
      <c r="BW253" s="534" t="n"/>
    </row>
    <row r="254" ht="24" customFormat="1" customHeight="1" s="209">
      <c r="A254" s="219" t="n">
        <v>296</v>
      </c>
      <c r="B254" s="220" t="inlineStr">
        <is>
          <t>KQCY0296</t>
        </is>
      </c>
      <c r="C254" s="221" t="inlineStr">
        <is>
          <t>餐饮五分部</t>
        </is>
      </c>
      <c r="D254" s="221" t="inlineStr">
        <is>
          <t>CF697</t>
        </is>
      </c>
      <c r="E254" s="221" t="inlineStr">
        <is>
          <t>兰交大百苑二楼食堂</t>
        </is>
      </c>
      <c r="F254" s="219" t="inlineStr">
        <is>
          <t>分组作业</t>
        </is>
      </c>
      <c r="G254" s="222" t="inlineStr">
        <is>
          <t>徐敏捷</t>
        </is>
      </c>
      <c r="H254" s="503" t="inlineStr">
        <is>
          <t>/</t>
        </is>
      </c>
      <c r="I254" s="237" t="inlineStr">
        <is>
          <t>快餐</t>
        </is>
      </c>
      <c r="J254" s="503" t="inlineStr">
        <is>
          <t>胡小娟</t>
        </is>
      </c>
      <c r="K254" s="545">
        <f>LET(k,D254&amp;"|"&amp;E254&amp;"|"&amp;H254&amp;"|"&amp;I254&amp;"|"&amp;J254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54" s="546" t="n"/>
      <c r="M254" s="224" t="n"/>
      <c r="N254" s="336" t="n">
        <v>22144.5</v>
      </c>
      <c r="O254" s="548" t="n">
        <v>1488000</v>
      </c>
      <c r="P254" s="276" t="n">
        <v>0.11</v>
      </c>
      <c r="Q254" s="461">
        <f>K254*P254</f>
        <v/>
      </c>
      <c r="R254" s="227" t="n">
        <v>0</v>
      </c>
      <c r="S254" s="461">
        <f>Q254-R254</f>
        <v/>
      </c>
      <c r="T254" s="276" t="n">
        <v>0.01</v>
      </c>
      <c r="U254" s="461">
        <f>K254*T254</f>
        <v/>
      </c>
      <c r="V254" s="337" t="n">
        <v>0</v>
      </c>
      <c r="W254" s="461">
        <f>U254-Z254</f>
        <v/>
      </c>
      <c r="X254" s="227" t="n">
        <v>0</v>
      </c>
      <c r="Y254" s="461">
        <f>K254*X254</f>
        <v/>
      </c>
      <c r="Z254" s="227" t="n">
        <v>0</v>
      </c>
      <c r="AA254" s="461">
        <f>Y254-Z254</f>
        <v/>
      </c>
      <c r="AB254" s="276" t="n">
        <v>0.02</v>
      </c>
      <c r="AC254" s="461">
        <f>K254*AB254</f>
        <v/>
      </c>
      <c r="AD254" s="227" t="n">
        <v>0</v>
      </c>
      <c r="AE254" s="461">
        <f>AC254-AD254</f>
        <v/>
      </c>
      <c r="AF254" s="276" t="n">
        <v>0.01</v>
      </c>
      <c r="AG254" s="461">
        <f>K254*AF254</f>
        <v/>
      </c>
      <c r="AH254" s="227" t="n">
        <v>0</v>
      </c>
      <c r="AI254" s="461">
        <f>AG254-AH254</f>
        <v/>
      </c>
      <c r="AJ254" s="276" t="n">
        <v>0.01</v>
      </c>
      <c r="AK254" s="461">
        <f>K254*AJ254</f>
        <v/>
      </c>
      <c r="AL254" s="227" t="n">
        <v>0</v>
      </c>
      <c r="AM254" s="461">
        <f>AK254-AL254</f>
        <v/>
      </c>
      <c r="AN254" s="227" t="n">
        <v>0</v>
      </c>
      <c r="AO254" s="461">
        <f>K254*AN254</f>
        <v/>
      </c>
      <c r="AP254" s="227" t="n">
        <v>0</v>
      </c>
      <c r="AQ254" s="461">
        <f>AO254-AP254</f>
        <v/>
      </c>
      <c r="AR254" s="461" t="n"/>
      <c r="AS254" s="461">
        <f>AT254-AS262-AS255</f>
        <v/>
      </c>
      <c r="AT254" s="227" t="n">
        <v>0</v>
      </c>
      <c r="AU254" s="461">
        <f>AS254-AT254</f>
        <v/>
      </c>
      <c r="AV254" s="551" t="n"/>
      <c r="AW254" s="461">
        <f>AX254-AW262-AW255</f>
        <v/>
      </c>
      <c r="AX254" s="227" t="n">
        <v>0</v>
      </c>
      <c r="AY254" s="461">
        <f>AW254-AX254</f>
        <v/>
      </c>
      <c r="AZ254" s="227" t="n">
        <v>0</v>
      </c>
      <c r="BA254" s="461">
        <f>K254*AZ254</f>
        <v/>
      </c>
      <c r="BB254" s="227" t="n">
        <v>0</v>
      </c>
      <c r="BC254" s="461">
        <f>BA254-BB254</f>
        <v/>
      </c>
      <c r="BD254" s="235" t="n"/>
      <c r="BE254" s="461">
        <f>K254*BD254</f>
        <v/>
      </c>
      <c r="BF254" s="227" t="n">
        <v>0</v>
      </c>
      <c r="BG254" s="461">
        <f>BE254-BF254</f>
        <v/>
      </c>
      <c r="BH254" s="235" t="n"/>
      <c r="BI254" s="461">
        <f>BJ254</f>
        <v/>
      </c>
      <c r="BJ254" s="227" t="n">
        <v>0</v>
      </c>
      <c r="BK254" s="461">
        <f>BI254-BJ254</f>
        <v/>
      </c>
      <c r="BL254" s="461" t="inlineStr">
        <is>
          <t>按实</t>
        </is>
      </c>
      <c r="BM254" s="220">
        <f>BN254</f>
        <v/>
      </c>
      <c r="BN254" s="220" t="n">
        <v>0</v>
      </c>
      <c r="BO254" s="220">
        <f>BM254-BN254</f>
        <v/>
      </c>
      <c r="BP254" s="220">
        <f>N254+Q254+U254+Y254+AC254+AG254+AK254+AO254+AS254+AW254+BA254+BE254+BI254+BM254</f>
        <v/>
      </c>
      <c r="BQ254" s="220">
        <f>N254+R254+V254+Z254+AD254+AH254+AL254+AP254+AT254+AX254+BB254+BF254+BJ254+BN254</f>
        <v/>
      </c>
      <c r="BR254" s="220">
        <f>BP254-BQ254</f>
        <v/>
      </c>
      <c r="BS254" s="254" t="inlineStr">
        <is>
          <t>/</t>
        </is>
      </c>
      <c r="BT254" s="229" t="inlineStr">
        <is>
          <t>/</t>
        </is>
      </c>
      <c r="BU254" s="230" t="n"/>
      <c r="BV254" s="230" t="inlineStr">
        <is>
          <t>1、签订期间：2026.2.1-2026.7.31；
2、指标按照全年换算；</t>
        </is>
      </c>
      <c r="BW254" s="534" t="n"/>
    </row>
    <row r="255" ht="24" customFormat="1" customHeight="1" s="209">
      <c r="A255" s="219" t="n">
        <v>297</v>
      </c>
      <c r="B255" s="220" t="inlineStr">
        <is>
          <t>KQCY0297</t>
        </is>
      </c>
      <c r="C255" s="221" t="inlineStr">
        <is>
          <t>餐饮五分部</t>
        </is>
      </c>
      <c r="D255" s="221" t="inlineStr">
        <is>
          <t>CF697</t>
        </is>
      </c>
      <c r="E255" s="221" t="inlineStr">
        <is>
          <t>兰交大百苑二楼食堂</t>
        </is>
      </c>
      <c r="F255" s="219" t="inlineStr">
        <is>
          <t>分组作业</t>
        </is>
      </c>
      <c r="G255" s="222" t="inlineStr">
        <is>
          <t>徐敏捷</t>
        </is>
      </c>
      <c r="H255" s="503" t="inlineStr">
        <is>
          <t>/</t>
        </is>
      </c>
      <c r="I255" s="237" t="inlineStr">
        <is>
          <t>热卤饭</t>
        </is>
      </c>
      <c r="J255" s="503" t="inlineStr">
        <is>
          <t>郭建琴</t>
        </is>
      </c>
      <c r="K255" s="545">
        <f>LET(k,D255&amp;"|"&amp;E255&amp;"|"&amp;H255&amp;"|"&amp;I255&amp;"|"&amp;J255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55" s="546" t="n"/>
      <c r="M255" s="224" t="n"/>
      <c r="N255" s="338" t="n"/>
      <c r="O255" s="548" t="n">
        <v>510000</v>
      </c>
      <c r="P255" s="276" t="n">
        <v>0.13</v>
      </c>
      <c r="Q255" s="461">
        <f>K255*P255</f>
        <v/>
      </c>
      <c r="R255" s="227" t="n"/>
      <c r="S255" s="461">
        <f>Q255-R255</f>
        <v/>
      </c>
      <c r="T255" s="276" t="n">
        <v>0.01</v>
      </c>
      <c r="U255" s="461">
        <f>K255*T255</f>
        <v/>
      </c>
      <c r="V255" s="337" t="n"/>
      <c r="W255" s="461">
        <f>U255-Z255</f>
        <v/>
      </c>
      <c r="X255" s="227" t="n">
        <v>0</v>
      </c>
      <c r="Y255" s="461">
        <f>K255*X255</f>
        <v/>
      </c>
      <c r="Z255" s="227" t="n"/>
      <c r="AA255" s="461">
        <f>Y255-Z255</f>
        <v/>
      </c>
      <c r="AB255" s="276" t="n">
        <v>0.02</v>
      </c>
      <c r="AC255" s="461">
        <f>K255*AB255</f>
        <v/>
      </c>
      <c r="AD255" s="227" t="n"/>
      <c r="AE255" s="461">
        <f>AC255-AD255</f>
        <v/>
      </c>
      <c r="AF255" s="276" t="n">
        <v>0.01</v>
      </c>
      <c r="AG255" s="461">
        <f>K255*AF255</f>
        <v/>
      </c>
      <c r="AH255" s="227" t="n"/>
      <c r="AI255" s="461">
        <f>AG255-AH255</f>
        <v/>
      </c>
      <c r="AJ255" s="276" t="n">
        <v>0.01</v>
      </c>
      <c r="AK255" s="461">
        <f>K255*AJ255</f>
        <v/>
      </c>
      <c r="AL255" s="227" t="n"/>
      <c r="AM255" s="461">
        <f>AK255-AL255</f>
        <v/>
      </c>
      <c r="AN255" s="227" t="n">
        <v>0</v>
      </c>
      <c r="AO255" s="461">
        <f>K255*AN255</f>
        <v/>
      </c>
      <c r="AP255" s="227" t="n"/>
      <c r="AQ255" s="461">
        <f>AO255-AP255</f>
        <v/>
      </c>
      <c r="AR255" s="247" t="n">
        <v>0.04</v>
      </c>
      <c r="AS255" s="461">
        <f>K255*AR255</f>
        <v/>
      </c>
      <c r="AT255" s="227" t="n"/>
      <c r="AU255" s="461">
        <f>AS255-AT255</f>
        <v/>
      </c>
      <c r="AV255" s="276" t="n">
        <v>0.01</v>
      </c>
      <c r="AW255" s="461">
        <f>K255*AV255</f>
        <v/>
      </c>
      <c r="AX255" s="227" t="n"/>
      <c r="AY255" s="461">
        <f>AW255-AX255</f>
        <v/>
      </c>
      <c r="AZ255" s="227" t="n">
        <v>0</v>
      </c>
      <c r="BA255" s="461">
        <f>K255*AZ255</f>
        <v/>
      </c>
      <c r="BB255" s="227" t="n"/>
      <c r="BC255" s="461">
        <f>BA255-BB255</f>
        <v/>
      </c>
      <c r="BD255" s="235" t="n"/>
      <c r="BE255" s="461">
        <f>K255*BD255</f>
        <v/>
      </c>
      <c r="BF255" s="227" t="n"/>
      <c r="BG255" s="461">
        <f>BE255-BF255</f>
        <v/>
      </c>
      <c r="BH255" s="235" t="n"/>
      <c r="BI255" s="461">
        <f>K255*BH255</f>
        <v/>
      </c>
      <c r="BJ255" s="227" t="n"/>
      <c r="BK255" s="461">
        <f>BI255-BJ255</f>
        <v/>
      </c>
      <c r="BL255" s="461" t="inlineStr">
        <is>
          <t>按实</t>
        </is>
      </c>
      <c r="BM255" s="220">
        <f>BN255</f>
        <v/>
      </c>
      <c r="BN255" s="220" t="n"/>
      <c r="BO255" s="220">
        <f>BM255-BN255</f>
        <v/>
      </c>
      <c r="BP255" s="220">
        <f>N255+Q255+U255+Y255+AC255+AG255+AK255+AO255+AS255+AW255+BA255+BE255+BI255+BM255</f>
        <v/>
      </c>
      <c r="BQ255" s="220">
        <f>N255+R255+V255+Z255+AD255+AH255+AL255+AP255+AT255+AX255+BB255+BF255+BJ255+BN255</f>
        <v/>
      </c>
      <c r="BR255" s="220">
        <f>BP255-BQ255</f>
        <v/>
      </c>
      <c r="BS255" s="254" t="inlineStr">
        <is>
          <t>/</t>
        </is>
      </c>
      <c r="BT255" s="229" t="inlineStr">
        <is>
          <t>/</t>
        </is>
      </c>
      <c r="BU255" s="230" t="n"/>
      <c r="BV255" s="230" t="inlineStr">
        <is>
          <t>1、签订期间：2026.2.1-2026.7.31；
2、指标按照全年换算；</t>
        </is>
      </c>
      <c r="BW255" s="534" t="n"/>
    </row>
    <row r="256" ht="24" customFormat="1" customHeight="1" s="209">
      <c r="A256" s="219" t="n">
        <v>298</v>
      </c>
      <c r="B256" s="220" t="inlineStr">
        <is>
          <t>KQCY0298</t>
        </is>
      </c>
      <c r="C256" s="221" t="inlineStr">
        <is>
          <t>餐饮五分部</t>
        </is>
      </c>
      <c r="D256" s="221" t="inlineStr">
        <is>
          <t>CF697</t>
        </is>
      </c>
      <c r="E256" s="221" t="inlineStr">
        <is>
          <t>兰交大百苑二楼食堂</t>
        </is>
      </c>
      <c r="F256" s="219" t="inlineStr">
        <is>
          <t>分组作业</t>
        </is>
      </c>
      <c r="G256" s="222" t="inlineStr">
        <is>
          <t>徐敏捷</t>
        </is>
      </c>
      <c r="H256" s="503" t="inlineStr">
        <is>
          <t>/</t>
        </is>
      </c>
      <c r="I256" s="237" t="inlineStr">
        <is>
          <t>铁锅炖</t>
        </is>
      </c>
      <c r="J256" s="503" t="inlineStr">
        <is>
          <t>白小霞</t>
        </is>
      </c>
      <c r="K256" s="545">
        <f>LET(k,D256&amp;"|"&amp;E256&amp;"|"&amp;H256&amp;"|"&amp;I256&amp;"|"&amp;J256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56" s="546" t="n"/>
      <c r="M256" s="224" t="n"/>
      <c r="N256" s="338" t="n"/>
      <c r="O256" s="548" t="n">
        <v>510000</v>
      </c>
      <c r="P256" s="276" t="n">
        <v>0.14</v>
      </c>
      <c r="Q256" s="461">
        <f>K256*P256</f>
        <v/>
      </c>
      <c r="R256" s="227" t="n"/>
      <c r="S256" s="461">
        <f>Q256-R256</f>
        <v/>
      </c>
      <c r="T256" s="276" t="n">
        <v>0.01</v>
      </c>
      <c r="U256" s="461">
        <f>K256*T256</f>
        <v/>
      </c>
      <c r="V256" s="337" t="n"/>
      <c r="W256" s="461">
        <f>U256-Z256</f>
        <v/>
      </c>
      <c r="X256" s="227" t="n">
        <v>0</v>
      </c>
      <c r="Y256" s="461">
        <f>K256*X256</f>
        <v/>
      </c>
      <c r="Z256" s="227" t="n"/>
      <c r="AA256" s="461">
        <f>Y256-Z256</f>
        <v/>
      </c>
      <c r="AB256" s="276" t="n">
        <v>0.02</v>
      </c>
      <c r="AC256" s="461">
        <f>K256*AB256</f>
        <v/>
      </c>
      <c r="AD256" s="227" t="n"/>
      <c r="AE256" s="461">
        <f>AC256-AD256</f>
        <v/>
      </c>
      <c r="AF256" s="276" t="n">
        <v>0.01</v>
      </c>
      <c r="AG256" s="461">
        <f>K256*AF256</f>
        <v/>
      </c>
      <c r="AH256" s="227" t="n"/>
      <c r="AI256" s="461">
        <f>AG256-AH256</f>
        <v/>
      </c>
      <c r="AJ256" s="276" t="n">
        <v>0.01</v>
      </c>
      <c r="AK256" s="461">
        <f>K256*AJ256</f>
        <v/>
      </c>
      <c r="AL256" s="227" t="n"/>
      <c r="AM256" s="461">
        <f>AK256-AL256</f>
        <v/>
      </c>
      <c r="AN256" s="227" t="n">
        <v>0</v>
      </c>
      <c r="AO256" s="461">
        <f>K256*AN256</f>
        <v/>
      </c>
      <c r="AP256" s="227" t="n"/>
      <c r="AQ256" s="461">
        <f>AO256-AP256</f>
        <v/>
      </c>
      <c r="AR256" s="461" t="n"/>
      <c r="AS256" s="461">
        <f>K256*AR256</f>
        <v/>
      </c>
      <c r="AT256" s="227" t="n"/>
      <c r="AU256" s="461">
        <f>AS256-AT256</f>
        <v/>
      </c>
      <c r="AV256" s="551" t="n"/>
      <c r="AW256" s="461">
        <f>K256*AV256</f>
        <v/>
      </c>
      <c r="AX256" s="227" t="n"/>
      <c r="AY256" s="461">
        <f>AW256-AX256</f>
        <v/>
      </c>
      <c r="AZ256" s="227" t="n">
        <v>0</v>
      </c>
      <c r="BA256" s="461">
        <f>K256*AZ256</f>
        <v/>
      </c>
      <c r="BB256" s="227" t="n"/>
      <c r="BC256" s="461">
        <f>BA256-BB256</f>
        <v/>
      </c>
      <c r="BD256" s="235" t="n"/>
      <c r="BE256" s="461">
        <f>K256*BD256</f>
        <v/>
      </c>
      <c r="BF256" s="227" t="n"/>
      <c r="BG256" s="461">
        <f>BE256-BF256</f>
        <v/>
      </c>
      <c r="BH256" s="235" t="n"/>
      <c r="BI256" s="461">
        <f>K256*BH256</f>
        <v/>
      </c>
      <c r="BJ256" s="227" t="n"/>
      <c r="BK256" s="461">
        <f>BI256-BJ256</f>
        <v/>
      </c>
      <c r="BL256" s="461" t="inlineStr">
        <is>
          <t>按实</t>
        </is>
      </c>
      <c r="BM256" s="220">
        <f>BN256</f>
        <v/>
      </c>
      <c r="BN256" s="220" t="n"/>
      <c r="BO256" s="220">
        <f>BM256-BN256</f>
        <v/>
      </c>
      <c r="BP256" s="220">
        <f>N256+Q256+U256+Y256+AC256+AG256+AK256+AO256+AS256+AW256+BA256+BE256+BI256+BM256</f>
        <v/>
      </c>
      <c r="BQ256" s="220">
        <f>N256+R256+V256+Z256+AD256+AH256+AL256+AP256+AT256+AX256+BB256+BF256+BJ256+BN256</f>
        <v/>
      </c>
      <c r="BR256" s="220">
        <f>BP256-BQ256</f>
        <v/>
      </c>
      <c r="BS256" s="254" t="inlineStr">
        <is>
          <t>/</t>
        </is>
      </c>
      <c r="BT256" s="229" t="inlineStr">
        <is>
          <t>/</t>
        </is>
      </c>
      <c r="BU256" s="230" t="n"/>
      <c r="BV256" s="230" t="inlineStr">
        <is>
          <t>1、签订期间：2026.2.1-2026.7.31；
2、指标按照全年换算；</t>
        </is>
      </c>
      <c r="BW256" s="534" t="n"/>
    </row>
    <row r="257" ht="24" customFormat="1" customHeight="1" s="209">
      <c r="A257" s="219" t="n">
        <v>299</v>
      </c>
      <c r="B257" s="220" t="inlineStr">
        <is>
          <t>KQCY0299</t>
        </is>
      </c>
      <c r="C257" s="221" t="inlineStr">
        <is>
          <t>餐饮五分部</t>
        </is>
      </c>
      <c r="D257" s="221" t="inlineStr">
        <is>
          <t>CF697</t>
        </is>
      </c>
      <c r="E257" s="221" t="inlineStr">
        <is>
          <t>兰交大百苑二楼食堂</t>
        </is>
      </c>
      <c r="F257" s="219" t="inlineStr">
        <is>
          <t>分组作业</t>
        </is>
      </c>
      <c r="G257" s="222" t="inlineStr">
        <is>
          <t>徐敏捷</t>
        </is>
      </c>
      <c r="H257" s="503" t="inlineStr">
        <is>
          <t>/</t>
        </is>
      </c>
      <c r="I257" s="237" t="inlineStr">
        <is>
          <t>绝世皇鸭</t>
        </is>
      </c>
      <c r="J257" s="503" t="inlineStr">
        <is>
          <t>魏路虎</t>
        </is>
      </c>
      <c r="K257" s="545">
        <f>LET(k,D257&amp;"|"&amp;E257&amp;"|"&amp;H257&amp;"|"&amp;I257&amp;"|"&amp;J257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57" s="546" t="n"/>
      <c r="M257" s="224" t="n"/>
      <c r="N257" s="338" t="n"/>
      <c r="O257" s="548" t="n">
        <v>759428.571428571</v>
      </c>
      <c r="P257" s="276" t="n">
        <v>0.13</v>
      </c>
      <c r="Q257" s="461">
        <f>K257*P257</f>
        <v/>
      </c>
      <c r="R257" s="227" t="n"/>
      <c r="S257" s="461">
        <f>Q257-R257</f>
        <v/>
      </c>
      <c r="T257" s="276" t="n">
        <v>0.01</v>
      </c>
      <c r="U257" s="461">
        <f>K257*T257</f>
        <v/>
      </c>
      <c r="V257" s="337" t="n"/>
      <c r="W257" s="461">
        <f>U257-Z257</f>
        <v/>
      </c>
      <c r="X257" s="227" t="n">
        <v>0</v>
      </c>
      <c r="Y257" s="461">
        <f>K257*X257</f>
        <v/>
      </c>
      <c r="Z257" s="227" t="n"/>
      <c r="AA257" s="461">
        <f>Y257-Z257</f>
        <v/>
      </c>
      <c r="AB257" s="276" t="n">
        <v>0.02</v>
      </c>
      <c r="AC257" s="461">
        <f>K257*AB257</f>
        <v/>
      </c>
      <c r="AD257" s="227" t="n"/>
      <c r="AE257" s="461">
        <f>AC257-AD257</f>
        <v/>
      </c>
      <c r="AF257" s="276" t="n">
        <v>0.01</v>
      </c>
      <c r="AG257" s="461">
        <f>K257*AF257</f>
        <v/>
      </c>
      <c r="AH257" s="227" t="n"/>
      <c r="AI257" s="461">
        <f>AG257-AH257</f>
        <v/>
      </c>
      <c r="AJ257" s="276" t="n">
        <v>0.01</v>
      </c>
      <c r="AK257" s="461">
        <f>K257*AJ257</f>
        <v/>
      </c>
      <c r="AL257" s="227" t="n"/>
      <c r="AM257" s="461">
        <f>AK257-AL257</f>
        <v/>
      </c>
      <c r="AN257" s="227" t="n">
        <v>0</v>
      </c>
      <c r="AO257" s="461">
        <f>K257*AN257</f>
        <v/>
      </c>
      <c r="AP257" s="227" t="n"/>
      <c r="AQ257" s="461">
        <f>AO257-AP257</f>
        <v/>
      </c>
      <c r="AR257" s="461" t="n"/>
      <c r="AS257" s="461">
        <f>K257*AR257</f>
        <v/>
      </c>
      <c r="AT257" s="227" t="n"/>
      <c r="AU257" s="461">
        <f>AS257-AT257</f>
        <v/>
      </c>
      <c r="AV257" s="551" t="n"/>
      <c r="AW257" s="461">
        <f>K257*AV257</f>
        <v/>
      </c>
      <c r="AX257" s="227" t="n"/>
      <c r="AY257" s="461">
        <f>AW257-AX257</f>
        <v/>
      </c>
      <c r="AZ257" s="227" t="n">
        <v>0</v>
      </c>
      <c r="BA257" s="461">
        <f>K257*AZ257</f>
        <v/>
      </c>
      <c r="BB257" s="227" t="n"/>
      <c r="BC257" s="461">
        <f>BA257-BB257</f>
        <v/>
      </c>
      <c r="BD257" s="235" t="n"/>
      <c r="BE257" s="461">
        <f>K257*BD257</f>
        <v/>
      </c>
      <c r="BF257" s="227" t="n"/>
      <c r="BG257" s="461">
        <f>BE257-BF257</f>
        <v/>
      </c>
      <c r="BH257" s="235" t="n"/>
      <c r="BI257" s="461">
        <f>K257*BH257</f>
        <v/>
      </c>
      <c r="BJ257" s="227" t="n"/>
      <c r="BK257" s="461">
        <f>BI257-BJ257</f>
        <v/>
      </c>
      <c r="BL257" s="461" t="inlineStr">
        <is>
          <t>按实</t>
        </is>
      </c>
      <c r="BM257" s="220">
        <f>BN257</f>
        <v/>
      </c>
      <c r="BN257" s="220" t="n"/>
      <c r="BO257" s="220">
        <f>BM257-BN257</f>
        <v/>
      </c>
      <c r="BP257" s="220">
        <f>N257+Q257+U257+Y257+AC257+AG257+AK257+AO257+AS257+AW257+BA257+BE257+BI257+BM257</f>
        <v/>
      </c>
      <c r="BQ257" s="220">
        <f>N257+R257+V257+Z257+AD257+AH257+AL257+AP257+AT257+AX257+BB257+BF257+BJ257+BN257</f>
        <v/>
      </c>
      <c r="BR257" s="220">
        <f>BP257-BQ257</f>
        <v/>
      </c>
      <c r="BS257" s="254" t="inlineStr">
        <is>
          <t>/</t>
        </is>
      </c>
      <c r="BT257" s="229" t="inlineStr">
        <is>
          <t>/</t>
        </is>
      </c>
      <c r="BU257" s="230" t="n"/>
      <c r="BV257" s="230" t="inlineStr">
        <is>
          <t>1、签订期间：2026.2.1-2026.7.31；
2、指标按照全年换算；</t>
        </is>
      </c>
      <c r="BW257" s="534" t="n"/>
    </row>
    <row r="258" ht="24" customFormat="1" customHeight="1" s="209">
      <c r="A258" s="219" t="n">
        <v>300</v>
      </c>
      <c r="B258" s="220" t="inlineStr">
        <is>
          <t>KQCY0300</t>
        </is>
      </c>
      <c r="C258" s="221" t="inlineStr">
        <is>
          <t>餐饮五分部</t>
        </is>
      </c>
      <c r="D258" s="221" t="inlineStr">
        <is>
          <t>CF697</t>
        </is>
      </c>
      <c r="E258" s="221" t="inlineStr">
        <is>
          <t>兰交大百苑二楼食堂</t>
        </is>
      </c>
      <c r="F258" s="219" t="inlineStr">
        <is>
          <t>分组作业</t>
        </is>
      </c>
      <c r="G258" s="222" t="inlineStr">
        <is>
          <t>徐敏捷</t>
        </is>
      </c>
      <c r="H258" s="503" t="inlineStr">
        <is>
          <t>/</t>
        </is>
      </c>
      <c r="I258" s="237" t="inlineStr">
        <is>
          <t>螺蛳粉</t>
        </is>
      </c>
      <c r="J258" s="503" t="inlineStr">
        <is>
          <t>孟庆玲</t>
        </is>
      </c>
      <c r="K258" s="545">
        <f>LET(k,D258&amp;"|"&amp;E258&amp;"|"&amp;H258&amp;"|"&amp;I258&amp;"|"&amp;J258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58" s="546" t="n"/>
      <c r="M258" s="224" t="n"/>
      <c r="N258" s="338" t="n"/>
      <c r="O258" s="548" t="n">
        <v>807428.571428571</v>
      </c>
      <c r="P258" s="276" t="n">
        <v>0.13</v>
      </c>
      <c r="Q258" s="461">
        <f>K258*P258</f>
        <v/>
      </c>
      <c r="R258" s="227" t="n"/>
      <c r="S258" s="461">
        <f>Q258-R258</f>
        <v/>
      </c>
      <c r="T258" s="276" t="n">
        <v>0.01</v>
      </c>
      <c r="U258" s="461">
        <f>K258*T258</f>
        <v/>
      </c>
      <c r="V258" s="337" t="n"/>
      <c r="W258" s="461">
        <f>U258-Z258</f>
        <v/>
      </c>
      <c r="X258" s="227" t="n">
        <v>0</v>
      </c>
      <c r="Y258" s="461">
        <f>K258*X258</f>
        <v/>
      </c>
      <c r="Z258" s="227" t="n"/>
      <c r="AA258" s="461">
        <f>Y258-Z258</f>
        <v/>
      </c>
      <c r="AB258" s="276" t="n">
        <v>0.02</v>
      </c>
      <c r="AC258" s="461">
        <f>K258*AB258</f>
        <v/>
      </c>
      <c r="AD258" s="227" t="n"/>
      <c r="AE258" s="461">
        <f>AC258-AD258</f>
        <v/>
      </c>
      <c r="AF258" s="276" t="n">
        <v>0.01</v>
      </c>
      <c r="AG258" s="461">
        <f>K258*AF258</f>
        <v/>
      </c>
      <c r="AH258" s="227" t="n"/>
      <c r="AI258" s="461">
        <f>AG258-AH258</f>
        <v/>
      </c>
      <c r="AJ258" s="276" t="n">
        <v>0.01</v>
      </c>
      <c r="AK258" s="461">
        <f>K258*AJ258</f>
        <v/>
      </c>
      <c r="AL258" s="227" t="n"/>
      <c r="AM258" s="461">
        <f>AK258-AL258</f>
        <v/>
      </c>
      <c r="AN258" s="227" t="n">
        <v>0</v>
      </c>
      <c r="AO258" s="461">
        <f>K258*AN258</f>
        <v/>
      </c>
      <c r="AP258" s="227" t="n"/>
      <c r="AQ258" s="461">
        <f>AO258-AP258</f>
        <v/>
      </c>
      <c r="AR258" s="461" t="n"/>
      <c r="AS258" s="461">
        <f>K258*AR258</f>
        <v/>
      </c>
      <c r="AT258" s="227" t="n"/>
      <c r="AU258" s="461">
        <f>AS258-AT258</f>
        <v/>
      </c>
      <c r="AV258" s="551" t="n"/>
      <c r="AW258" s="461">
        <f>K258*AV258</f>
        <v/>
      </c>
      <c r="AX258" s="227" t="n"/>
      <c r="AY258" s="461">
        <f>AW258-AX258</f>
        <v/>
      </c>
      <c r="AZ258" s="227" t="n">
        <v>0</v>
      </c>
      <c r="BA258" s="461">
        <f>K258*AZ258</f>
        <v/>
      </c>
      <c r="BB258" s="227" t="n"/>
      <c r="BC258" s="461">
        <f>BA258-BB258</f>
        <v/>
      </c>
      <c r="BD258" s="235" t="n"/>
      <c r="BE258" s="461">
        <f>K258*BD258</f>
        <v/>
      </c>
      <c r="BF258" s="227" t="n"/>
      <c r="BG258" s="461">
        <f>BE258-BF258</f>
        <v/>
      </c>
      <c r="BH258" s="235" t="n"/>
      <c r="BI258" s="461">
        <f>K258*BH258</f>
        <v/>
      </c>
      <c r="BJ258" s="227" t="n"/>
      <c r="BK258" s="461">
        <f>BI258-BJ258</f>
        <v/>
      </c>
      <c r="BL258" s="461" t="inlineStr">
        <is>
          <t>按实</t>
        </is>
      </c>
      <c r="BM258" s="220">
        <f>BN258</f>
        <v/>
      </c>
      <c r="BN258" s="220" t="n"/>
      <c r="BO258" s="220">
        <f>BM258-BN258</f>
        <v/>
      </c>
      <c r="BP258" s="220">
        <f>N258+Q258+U258+Y258+AC258+AG258+AK258+AO258+AS258+AW258+BA258+BE258+BI258+BM258</f>
        <v/>
      </c>
      <c r="BQ258" s="220">
        <f>N258+R258+V258+Z258+AD258+AH258+AL258+AP258+AT258+AX258+BB258+BF258+BJ258+BN258</f>
        <v/>
      </c>
      <c r="BR258" s="220">
        <f>BP258-BQ258</f>
        <v/>
      </c>
      <c r="BS258" s="254" t="inlineStr">
        <is>
          <t>/</t>
        </is>
      </c>
      <c r="BT258" s="229" t="inlineStr">
        <is>
          <t>/</t>
        </is>
      </c>
      <c r="BU258" s="230" t="n"/>
      <c r="BV258" s="230" t="inlineStr">
        <is>
          <t>1、签订期间：2026.2.1-2026.7.31；
2、指标按照全年换算；</t>
        </is>
      </c>
      <c r="BW258" s="534" t="n"/>
    </row>
    <row r="259" ht="24" customFormat="1" customHeight="1" s="209">
      <c r="A259" s="219" t="n">
        <v>301</v>
      </c>
      <c r="B259" s="220" t="inlineStr">
        <is>
          <t>KQCY0301</t>
        </is>
      </c>
      <c r="C259" s="221" t="inlineStr">
        <is>
          <t>餐饮五分部</t>
        </is>
      </c>
      <c r="D259" s="221" t="inlineStr">
        <is>
          <t>CF697</t>
        </is>
      </c>
      <c r="E259" s="221" t="inlineStr">
        <is>
          <t>兰交大百苑二楼食堂</t>
        </is>
      </c>
      <c r="F259" s="219" t="inlineStr">
        <is>
          <t>分组作业</t>
        </is>
      </c>
      <c r="G259" s="222" t="inlineStr">
        <is>
          <t>徐敏捷</t>
        </is>
      </c>
      <c r="H259" s="503" t="inlineStr">
        <is>
          <t>/</t>
        </is>
      </c>
      <c r="I259" s="237" t="inlineStr">
        <is>
          <t>麻辣烫</t>
        </is>
      </c>
      <c r="J259" s="503" t="inlineStr">
        <is>
          <t>姚春</t>
        </is>
      </c>
      <c r="K259" s="545">
        <f>LET(k,D259&amp;"|"&amp;E259&amp;"|"&amp;H259&amp;"|"&amp;I259&amp;"|"&amp;J259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59" s="546" t="n"/>
      <c r="M259" s="224" t="n"/>
      <c r="N259" s="338" t="n"/>
      <c r="O259" s="548" t="n">
        <v>1014857.14285714</v>
      </c>
      <c r="P259" s="276" t="n">
        <v>0.12</v>
      </c>
      <c r="Q259" s="461">
        <f>K259*P259</f>
        <v/>
      </c>
      <c r="R259" s="227" t="n"/>
      <c r="S259" s="461">
        <f>Q259-R259</f>
        <v/>
      </c>
      <c r="T259" s="276" t="n">
        <v>0.01</v>
      </c>
      <c r="U259" s="461">
        <f>K259*T259</f>
        <v/>
      </c>
      <c r="V259" s="337" t="n"/>
      <c r="W259" s="461">
        <f>U259-Z259</f>
        <v/>
      </c>
      <c r="X259" s="227" t="n">
        <v>0</v>
      </c>
      <c r="Y259" s="461">
        <f>K259*X259</f>
        <v/>
      </c>
      <c r="Z259" s="227" t="n"/>
      <c r="AA259" s="461">
        <f>Y259-Z259</f>
        <v/>
      </c>
      <c r="AB259" s="276" t="n">
        <v>0.02</v>
      </c>
      <c r="AC259" s="461">
        <f>K259*AB259</f>
        <v/>
      </c>
      <c r="AD259" s="227" t="n"/>
      <c r="AE259" s="461">
        <f>AC259-AD259</f>
        <v/>
      </c>
      <c r="AF259" s="276" t="n">
        <v>0.01</v>
      </c>
      <c r="AG259" s="461">
        <f>K259*AF259</f>
        <v/>
      </c>
      <c r="AH259" s="227" t="n"/>
      <c r="AI259" s="461">
        <f>AG259-AH259</f>
        <v/>
      </c>
      <c r="AJ259" s="276" t="n">
        <v>0.01</v>
      </c>
      <c r="AK259" s="461">
        <f>K259*AJ259</f>
        <v/>
      </c>
      <c r="AL259" s="227" t="n"/>
      <c r="AM259" s="461">
        <f>AK259-AL259</f>
        <v/>
      </c>
      <c r="AN259" s="227" t="n">
        <v>0</v>
      </c>
      <c r="AO259" s="461">
        <f>K259*AN259</f>
        <v/>
      </c>
      <c r="AP259" s="227" t="n"/>
      <c r="AQ259" s="461">
        <f>AO259-AP259</f>
        <v/>
      </c>
      <c r="AR259" s="461" t="n"/>
      <c r="AS259" s="461">
        <f>K259*AR259</f>
        <v/>
      </c>
      <c r="AT259" s="227" t="n"/>
      <c r="AU259" s="461">
        <f>AS259-AT259</f>
        <v/>
      </c>
      <c r="AV259" s="551" t="n"/>
      <c r="AW259" s="461">
        <f>K259*AV259</f>
        <v/>
      </c>
      <c r="AX259" s="227" t="n"/>
      <c r="AY259" s="461">
        <f>AW259-AX259</f>
        <v/>
      </c>
      <c r="AZ259" s="227" t="n">
        <v>0</v>
      </c>
      <c r="BA259" s="461">
        <f>K259*AZ259</f>
        <v/>
      </c>
      <c r="BB259" s="227" t="n"/>
      <c r="BC259" s="461">
        <f>BA259-BB259</f>
        <v/>
      </c>
      <c r="BD259" s="235" t="n"/>
      <c r="BE259" s="461">
        <f>K259*BD259</f>
        <v/>
      </c>
      <c r="BF259" s="227" t="n"/>
      <c r="BG259" s="461">
        <f>BE259-BF259</f>
        <v/>
      </c>
      <c r="BH259" s="235" t="n"/>
      <c r="BI259" s="461">
        <f>K259*BH259</f>
        <v/>
      </c>
      <c r="BJ259" s="227" t="n"/>
      <c r="BK259" s="461">
        <f>BI259-BJ259</f>
        <v/>
      </c>
      <c r="BL259" s="461" t="inlineStr">
        <is>
          <t>按实</t>
        </is>
      </c>
      <c r="BM259" s="220">
        <f>BN259</f>
        <v/>
      </c>
      <c r="BN259" s="220" t="n"/>
      <c r="BO259" s="220">
        <f>BM259-BN259</f>
        <v/>
      </c>
      <c r="BP259" s="220">
        <f>N259+Q259+U259+Y259+AC259+AG259+AK259+AO259+AS259+AW259+BA259+BE259+BI259+BM259</f>
        <v/>
      </c>
      <c r="BQ259" s="220">
        <f>N259+R259+V259+Z259+AD259+AH259+AL259+AP259+AT259+AX259+BB259+BF259+BJ259+BN259</f>
        <v/>
      </c>
      <c r="BR259" s="220">
        <f>BP259-BQ259</f>
        <v/>
      </c>
      <c r="BS259" s="254" t="inlineStr">
        <is>
          <t>/</t>
        </is>
      </c>
      <c r="BT259" s="229" t="inlineStr">
        <is>
          <t>/</t>
        </is>
      </c>
      <c r="BU259" s="230" t="n"/>
      <c r="BV259" s="230" t="inlineStr">
        <is>
          <t>1、签订期间：2026.2.1-2026.7.31；
2、指标按照全年换算；</t>
        </is>
      </c>
      <c r="BW259" s="534" t="n"/>
    </row>
    <row r="260" ht="24" customFormat="1" customHeight="1" s="209">
      <c r="A260" s="219" t="n">
        <v>302</v>
      </c>
      <c r="B260" s="220" t="inlineStr">
        <is>
          <t>KQCY0302</t>
        </is>
      </c>
      <c r="C260" s="221" t="inlineStr">
        <is>
          <t>餐饮五分部</t>
        </is>
      </c>
      <c r="D260" s="221" t="inlineStr">
        <is>
          <t>CF697</t>
        </is>
      </c>
      <c r="E260" s="221" t="inlineStr">
        <is>
          <t>兰交大百苑二楼食堂</t>
        </is>
      </c>
      <c r="F260" s="219" t="inlineStr">
        <is>
          <t>分组作业</t>
        </is>
      </c>
      <c r="G260" s="222" t="inlineStr">
        <is>
          <t>徐敏捷</t>
        </is>
      </c>
      <c r="H260" s="503" t="inlineStr">
        <is>
          <t>/</t>
        </is>
      </c>
      <c r="I260" s="237" t="inlineStr">
        <is>
          <t>脆皮鸡米饭</t>
        </is>
      </c>
      <c r="J260" s="503" t="inlineStr">
        <is>
          <t>王燕</t>
        </is>
      </c>
      <c r="K260" s="545">
        <f>LET(k,D260&amp;"|"&amp;E260&amp;"|"&amp;H260&amp;"|"&amp;I260&amp;"|"&amp;J260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60" s="546" t="n"/>
      <c r="M260" s="224" t="n"/>
      <c r="N260" s="338" t="n"/>
      <c r="O260" s="548" t="n">
        <v>750857.142857143</v>
      </c>
      <c r="P260" s="276" t="n">
        <v>0.15</v>
      </c>
      <c r="Q260" s="461">
        <f>K260*P260</f>
        <v/>
      </c>
      <c r="R260" s="227" t="n"/>
      <c r="S260" s="461">
        <f>Q260-R260</f>
        <v/>
      </c>
      <c r="T260" s="276" t="n">
        <v>0.01</v>
      </c>
      <c r="U260" s="461">
        <f>K260*T260</f>
        <v/>
      </c>
      <c r="V260" s="337" t="n"/>
      <c r="W260" s="461">
        <f>U260-Z260</f>
        <v/>
      </c>
      <c r="X260" s="227" t="n">
        <v>0</v>
      </c>
      <c r="Y260" s="461">
        <f>K260*X260</f>
        <v/>
      </c>
      <c r="Z260" s="227" t="n"/>
      <c r="AA260" s="461">
        <f>Y260-Z260</f>
        <v/>
      </c>
      <c r="AB260" s="276" t="n">
        <v>0.02</v>
      </c>
      <c r="AC260" s="461">
        <f>K260*AB260</f>
        <v/>
      </c>
      <c r="AD260" s="227" t="n"/>
      <c r="AE260" s="461">
        <f>AC260-AD260</f>
        <v/>
      </c>
      <c r="AF260" s="276" t="n">
        <v>0.01</v>
      </c>
      <c r="AG260" s="461">
        <f>K260*AF260</f>
        <v/>
      </c>
      <c r="AH260" s="227" t="n"/>
      <c r="AI260" s="461">
        <f>AG260-AH260</f>
        <v/>
      </c>
      <c r="AJ260" s="276" t="n">
        <v>0.01</v>
      </c>
      <c r="AK260" s="461">
        <f>K260*AJ260</f>
        <v/>
      </c>
      <c r="AL260" s="227" t="n"/>
      <c r="AM260" s="461">
        <f>AK260-AL260</f>
        <v/>
      </c>
      <c r="AN260" s="227" t="n">
        <v>0</v>
      </c>
      <c r="AO260" s="461">
        <f>K260*AN260</f>
        <v/>
      </c>
      <c r="AP260" s="227" t="n"/>
      <c r="AQ260" s="461">
        <f>AO260-AP260</f>
        <v/>
      </c>
      <c r="AR260" s="461" t="n"/>
      <c r="AS260" s="461">
        <f>K260*AR260</f>
        <v/>
      </c>
      <c r="AT260" s="227" t="n"/>
      <c r="AU260" s="461">
        <f>AS260-AT260</f>
        <v/>
      </c>
      <c r="AV260" s="551" t="n"/>
      <c r="AW260" s="461">
        <f>K260*AV260</f>
        <v/>
      </c>
      <c r="AX260" s="227" t="n"/>
      <c r="AY260" s="461">
        <f>AW260-AX260</f>
        <v/>
      </c>
      <c r="AZ260" s="227" t="n">
        <v>0</v>
      </c>
      <c r="BA260" s="461">
        <f>K260*AZ260</f>
        <v/>
      </c>
      <c r="BB260" s="227" t="n"/>
      <c r="BC260" s="461">
        <f>BA260-BB260</f>
        <v/>
      </c>
      <c r="BD260" s="235" t="n"/>
      <c r="BE260" s="461">
        <f>K260*BD260</f>
        <v/>
      </c>
      <c r="BF260" s="227" t="n"/>
      <c r="BG260" s="461">
        <f>BE260-BF260</f>
        <v/>
      </c>
      <c r="BH260" s="235" t="n"/>
      <c r="BI260" s="461">
        <f>K260*BH260</f>
        <v/>
      </c>
      <c r="BJ260" s="227" t="n"/>
      <c r="BK260" s="461">
        <f>BI260-BJ260</f>
        <v/>
      </c>
      <c r="BL260" s="461" t="inlineStr">
        <is>
          <t>按实</t>
        </is>
      </c>
      <c r="BM260" s="220">
        <f>BN260</f>
        <v/>
      </c>
      <c r="BN260" s="220" t="n"/>
      <c r="BO260" s="220">
        <f>BM260-BN260</f>
        <v/>
      </c>
      <c r="BP260" s="220">
        <f>N260+Q260+U260+Y260+AC260+AG260+AK260+AO260+AS260+AW260+BA260+BE260+BI260+BM260</f>
        <v/>
      </c>
      <c r="BQ260" s="220">
        <f>N260+R260+V260+Z260+AD260+AH260+AL260+AP260+AT260+AX260+BB260+BF260+BJ260+BN260</f>
        <v/>
      </c>
      <c r="BR260" s="220">
        <f>BP260-BQ260</f>
        <v/>
      </c>
      <c r="BS260" s="254" t="inlineStr">
        <is>
          <t>/</t>
        </is>
      </c>
      <c r="BT260" s="229" t="inlineStr">
        <is>
          <t>/</t>
        </is>
      </c>
      <c r="BU260" s="230" t="n"/>
      <c r="BV260" s="230" t="inlineStr">
        <is>
          <t>1、签订期间：2026.2.1-2026.7.31；
2、指标按照全年换算；</t>
        </is>
      </c>
      <c r="BW260" s="534" t="n"/>
    </row>
    <row r="261" ht="24" customFormat="1" customHeight="1" s="209">
      <c r="A261" s="219" t="n">
        <v>303</v>
      </c>
      <c r="B261" s="220" t="inlineStr">
        <is>
          <t>KQCY0303</t>
        </is>
      </c>
      <c r="C261" s="221" t="inlineStr">
        <is>
          <t>餐饮五分部</t>
        </is>
      </c>
      <c r="D261" s="221" t="inlineStr">
        <is>
          <t>CF697</t>
        </is>
      </c>
      <c r="E261" s="221" t="inlineStr">
        <is>
          <t>兰交大百苑二楼食堂</t>
        </is>
      </c>
      <c r="F261" s="219" t="inlineStr">
        <is>
          <t>分组作业</t>
        </is>
      </c>
      <c r="G261" s="222" t="inlineStr">
        <is>
          <t>徐敏捷</t>
        </is>
      </c>
      <c r="H261" s="503" t="inlineStr">
        <is>
          <t>/</t>
        </is>
      </c>
      <c r="I261" s="237" t="inlineStr">
        <is>
          <t>羊杂面</t>
        </is>
      </c>
      <c r="J261" s="503" t="inlineStr">
        <is>
          <t>裴晓文</t>
        </is>
      </c>
      <c r="K261" s="545">
        <f>LET(k,D261&amp;"|"&amp;E261&amp;"|"&amp;H261&amp;"|"&amp;I261&amp;"|"&amp;J261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61" s="546" t="n"/>
      <c r="M261" s="224" t="n"/>
      <c r="N261" s="338" t="n"/>
      <c r="O261" s="548" t="n">
        <v>992571.4285714281</v>
      </c>
      <c r="P261" s="276" t="n">
        <v>0.11</v>
      </c>
      <c r="Q261" s="461">
        <f>K261*P261</f>
        <v/>
      </c>
      <c r="R261" s="227" t="n"/>
      <c r="S261" s="461">
        <f>Q261-R261</f>
        <v/>
      </c>
      <c r="T261" s="276" t="n">
        <v>0.01</v>
      </c>
      <c r="U261" s="461">
        <f>K261*T261</f>
        <v/>
      </c>
      <c r="V261" s="337" t="n"/>
      <c r="W261" s="461">
        <f>U261-Z261</f>
        <v/>
      </c>
      <c r="X261" s="227" t="n">
        <v>0</v>
      </c>
      <c r="Y261" s="461">
        <f>K261*X261</f>
        <v/>
      </c>
      <c r="Z261" s="227" t="n"/>
      <c r="AA261" s="461">
        <f>Y261-Z261</f>
        <v/>
      </c>
      <c r="AB261" s="276" t="n">
        <v>0.02</v>
      </c>
      <c r="AC261" s="461">
        <f>K261*AB261</f>
        <v/>
      </c>
      <c r="AD261" s="227" t="n"/>
      <c r="AE261" s="461">
        <f>AC261-AD261</f>
        <v/>
      </c>
      <c r="AF261" s="276" t="n">
        <v>0.01</v>
      </c>
      <c r="AG261" s="461">
        <f>K261*AF261</f>
        <v/>
      </c>
      <c r="AH261" s="227" t="n"/>
      <c r="AI261" s="461">
        <f>AG261-AH261</f>
        <v/>
      </c>
      <c r="AJ261" s="276" t="n">
        <v>0.01</v>
      </c>
      <c r="AK261" s="461">
        <f>K261*AJ261</f>
        <v/>
      </c>
      <c r="AL261" s="227" t="n"/>
      <c r="AM261" s="461">
        <f>AK261-AL261</f>
        <v/>
      </c>
      <c r="AN261" s="227" t="n">
        <v>0</v>
      </c>
      <c r="AO261" s="461">
        <f>K261*AN261</f>
        <v/>
      </c>
      <c r="AP261" s="227" t="n"/>
      <c r="AQ261" s="461">
        <f>AO261-AP261</f>
        <v/>
      </c>
      <c r="AR261" s="461" t="n"/>
      <c r="AS261" s="461">
        <f>K261*AR261</f>
        <v/>
      </c>
      <c r="AT261" s="227" t="n"/>
      <c r="AU261" s="461">
        <f>AS261-AT261</f>
        <v/>
      </c>
      <c r="AV261" s="551" t="n"/>
      <c r="AW261" s="461">
        <f>K261*AV261</f>
        <v/>
      </c>
      <c r="AX261" s="227" t="n"/>
      <c r="AY261" s="461">
        <f>AW261-AX261</f>
        <v/>
      </c>
      <c r="AZ261" s="227" t="n">
        <v>0</v>
      </c>
      <c r="BA261" s="461">
        <f>K261*AZ261</f>
        <v/>
      </c>
      <c r="BB261" s="227" t="n"/>
      <c r="BC261" s="461">
        <f>BA261-BB261</f>
        <v/>
      </c>
      <c r="BD261" s="235" t="n"/>
      <c r="BE261" s="461">
        <f>K261*BD261</f>
        <v/>
      </c>
      <c r="BF261" s="227" t="n"/>
      <c r="BG261" s="461">
        <f>BE261-BF261</f>
        <v/>
      </c>
      <c r="BH261" s="235" t="n"/>
      <c r="BI261" s="461">
        <f>K261*BH261</f>
        <v/>
      </c>
      <c r="BJ261" s="227" t="n"/>
      <c r="BK261" s="461">
        <f>BI261-BJ261</f>
        <v/>
      </c>
      <c r="BL261" s="461" t="inlineStr">
        <is>
          <t>按实</t>
        </is>
      </c>
      <c r="BM261" s="220">
        <f>BN261</f>
        <v/>
      </c>
      <c r="BN261" s="220" t="n"/>
      <c r="BO261" s="220">
        <f>BM261-BN261</f>
        <v/>
      </c>
      <c r="BP261" s="220">
        <f>N261+Q261+U261+Y261+AC261+AG261+AK261+AO261+AS261+AW261+BA261+BE261+BI261+BM261</f>
        <v/>
      </c>
      <c r="BQ261" s="220">
        <f>N261+R261+V261+Z261+AD261+AH261+AL261+AP261+AT261+AX261+BB261+BF261+BJ261+BN261</f>
        <v/>
      </c>
      <c r="BR261" s="220">
        <f>BP261-BQ261</f>
        <v/>
      </c>
      <c r="BS261" s="254" t="inlineStr">
        <is>
          <t>/</t>
        </is>
      </c>
      <c r="BT261" s="229" t="inlineStr">
        <is>
          <t>/</t>
        </is>
      </c>
      <c r="BU261" s="230" t="n"/>
      <c r="BV261" s="230" t="inlineStr">
        <is>
          <t>1、签订期间：2026.2.1-2026.7.31；
2、指标按照全年换算；</t>
        </is>
      </c>
      <c r="BW261" s="534" t="n"/>
    </row>
    <row r="262" ht="24" customFormat="1" customHeight="1" s="209">
      <c r="A262" s="219" t="n">
        <v>304</v>
      </c>
      <c r="B262" s="220" t="inlineStr">
        <is>
          <t>KQCY0304</t>
        </is>
      </c>
      <c r="C262" s="221" t="inlineStr">
        <is>
          <t>餐饮五分部</t>
        </is>
      </c>
      <c r="D262" s="221" t="inlineStr">
        <is>
          <t>CF697</t>
        </is>
      </c>
      <c r="E262" s="221" t="inlineStr">
        <is>
          <t>兰交大百苑二楼食堂</t>
        </is>
      </c>
      <c r="F262" s="219" t="inlineStr">
        <is>
          <t>分组作业</t>
        </is>
      </c>
      <c r="G262" s="222" t="inlineStr">
        <is>
          <t>徐敏捷</t>
        </is>
      </c>
      <c r="H262" s="503" t="inlineStr">
        <is>
          <t>/</t>
        </is>
      </c>
      <c r="I262" s="237" t="inlineStr">
        <is>
          <t>快餐</t>
        </is>
      </c>
      <c r="J262" s="503" t="inlineStr">
        <is>
          <t>闫焕平</t>
        </is>
      </c>
      <c r="K262" s="545">
        <f>LET(k,D262&amp;"|"&amp;E262&amp;"|"&amp;H262&amp;"|"&amp;I262&amp;"|"&amp;J262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62" s="546" t="n"/>
      <c r="M262" s="224" t="n"/>
      <c r="N262" s="338" t="n"/>
      <c r="O262" s="548" t="n">
        <v>480000</v>
      </c>
      <c r="P262" s="276" t="n">
        <v>0.06</v>
      </c>
      <c r="Q262" s="461">
        <f>K262*P262</f>
        <v/>
      </c>
      <c r="R262" s="227" t="n"/>
      <c r="S262" s="461">
        <f>Q262-R262</f>
        <v/>
      </c>
      <c r="T262" s="276" t="n">
        <v>0.01</v>
      </c>
      <c r="U262" s="461">
        <f>K262*T262</f>
        <v/>
      </c>
      <c r="V262" s="337" t="n"/>
      <c r="W262" s="461">
        <f>U262-Z262</f>
        <v/>
      </c>
      <c r="X262" s="227" t="n">
        <v>0</v>
      </c>
      <c r="Y262" s="461">
        <f>K262*X262</f>
        <v/>
      </c>
      <c r="Z262" s="227" t="n"/>
      <c r="AA262" s="461">
        <f>Y262-Z262</f>
        <v/>
      </c>
      <c r="AB262" s="276" t="n">
        <v>0.02</v>
      </c>
      <c r="AC262" s="461">
        <f>K262*AB262</f>
        <v/>
      </c>
      <c r="AD262" s="227" t="n"/>
      <c r="AE262" s="461">
        <f>AC262-AD262</f>
        <v/>
      </c>
      <c r="AF262" s="276" t="n">
        <v>0.01</v>
      </c>
      <c r="AG262" s="461">
        <f>K262*AF262</f>
        <v/>
      </c>
      <c r="AH262" s="227" t="n"/>
      <c r="AI262" s="461">
        <f>AG262-AH262</f>
        <v/>
      </c>
      <c r="AJ262" s="276" t="n">
        <v>0.01</v>
      </c>
      <c r="AK262" s="461">
        <f>K262*AJ262</f>
        <v/>
      </c>
      <c r="AL262" s="227" t="n"/>
      <c r="AM262" s="461">
        <f>AK262-AL262</f>
        <v/>
      </c>
      <c r="AN262" s="227" t="n">
        <v>0</v>
      </c>
      <c r="AO262" s="461">
        <f>K262*AN262</f>
        <v/>
      </c>
      <c r="AP262" s="227" t="n"/>
      <c r="AQ262" s="461">
        <f>AO262-AP262</f>
        <v/>
      </c>
      <c r="AR262" s="247" t="n">
        <v>0.04</v>
      </c>
      <c r="AS262" s="461">
        <f>K262*AR262</f>
        <v/>
      </c>
      <c r="AT262" s="227" t="n"/>
      <c r="AU262" s="461">
        <f>AS262-AT262</f>
        <v/>
      </c>
      <c r="AV262" s="276" t="n">
        <v>0.01</v>
      </c>
      <c r="AW262" s="461">
        <f>K262*AV262</f>
        <v/>
      </c>
      <c r="AX262" s="227" t="n"/>
      <c r="AY262" s="461">
        <f>AW262-AX262</f>
        <v/>
      </c>
      <c r="AZ262" s="227" t="n">
        <v>0</v>
      </c>
      <c r="BA262" s="461">
        <f>K262*AZ262</f>
        <v/>
      </c>
      <c r="BB262" s="227" t="n"/>
      <c r="BC262" s="461">
        <f>BA262-BB262</f>
        <v/>
      </c>
      <c r="BD262" s="235" t="n"/>
      <c r="BE262" s="461">
        <f>K262*BD262</f>
        <v/>
      </c>
      <c r="BF262" s="227" t="n"/>
      <c r="BG262" s="461">
        <f>BE262-BF262</f>
        <v/>
      </c>
      <c r="BH262" s="235" t="n"/>
      <c r="BI262" s="461">
        <f>K262*BH262</f>
        <v/>
      </c>
      <c r="BJ262" s="227" t="n"/>
      <c r="BK262" s="461">
        <f>BI262-BJ262</f>
        <v/>
      </c>
      <c r="BL262" s="461" t="inlineStr">
        <is>
          <t>按实</t>
        </is>
      </c>
      <c r="BM262" s="220">
        <f>BN262</f>
        <v/>
      </c>
      <c r="BN262" s="220" t="n"/>
      <c r="BO262" s="220">
        <f>BM262-BN262</f>
        <v/>
      </c>
      <c r="BP262" s="220">
        <f>N262+Q262+U262+Y262+AC262+AG262+AK262+AO262+AS262+AW262+BA262+BE262+BI262+BM262</f>
        <v/>
      </c>
      <c r="BQ262" s="220">
        <f>N262+R262+V262+Z262+AD262+AH262+AL262+AP262+AT262+AX262+BB262+BF262+BJ262+BN262</f>
        <v/>
      </c>
      <c r="BR262" s="220">
        <f>BP262-BQ262</f>
        <v/>
      </c>
      <c r="BS262" s="254" t="inlineStr">
        <is>
          <t>/</t>
        </is>
      </c>
      <c r="BT262" s="229" t="inlineStr">
        <is>
          <t>/</t>
        </is>
      </c>
      <c r="BU262" s="230" t="n"/>
      <c r="BV262" s="230" t="inlineStr">
        <is>
          <t>1、签订期间：2026.2.1-2026.7.31；
2、指标按照全年换算；</t>
        </is>
      </c>
      <c r="BW262" s="534" t="n"/>
    </row>
    <row r="263" ht="24" customFormat="1" customHeight="1" s="209">
      <c r="A263" s="219" t="n">
        <v>305</v>
      </c>
      <c r="B263" s="220" t="inlineStr">
        <is>
          <t>KQCY0305</t>
        </is>
      </c>
      <c r="C263" s="221" t="inlineStr">
        <is>
          <t>餐饮五分部</t>
        </is>
      </c>
      <c r="D263" s="221" t="inlineStr">
        <is>
          <t>CF697</t>
        </is>
      </c>
      <c r="E263" s="221" t="inlineStr">
        <is>
          <t>兰交大百苑二楼食堂</t>
        </is>
      </c>
      <c r="F263" s="219" t="inlineStr">
        <is>
          <t>分组作业</t>
        </is>
      </c>
      <c r="G263" s="222" t="inlineStr">
        <is>
          <t>徐敏捷</t>
        </is>
      </c>
      <c r="H263" s="503" t="inlineStr">
        <is>
          <t>/</t>
        </is>
      </c>
      <c r="I263" s="237" t="inlineStr">
        <is>
          <t>石锅菜</t>
        </is>
      </c>
      <c r="J263" s="503" t="inlineStr">
        <is>
          <t>李雄飞</t>
        </is>
      </c>
      <c r="K263" s="545">
        <f>LET(k,D263&amp;"|"&amp;E263&amp;"|"&amp;H263&amp;"|"&amp;I263&amp;"|"&amp;J263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63" s="546" t="n"/>
      <c r="M263" s="224" t="n"/>
      <c r="N263" s="338" t="n"/>
      <c r="O263" s="548" t="n">
        <v>510000</v>
      </c>
      <c r="P263" s="276" t="n">
        <v>0.14</v>
      </c>
      <c r="Q263" s="461">
        <f>K263*P263</f>
        <v/>
      </c>
      <c r="R263" s="227" t="n"/>
      <c r="S263" s="461">
        <f>Q263-R263</f>
        <v/>
      </c>
      <c r="T263" s="276" t="n">
        <v>0.01</v>
      </c>
      <c r="U263" s="461">
        <f>K263*T263</f>
        <v/>
      </c>
      <c r="V263" s="337" t="n"/>
      <c r="W263" s="461">
        <f>U263-Z263</f>
        <v/>
      </c>
      <c r="X263" s="227" t="n">
        <v>0</v>
      </c>
      <c r="Y263" s="461">
        <f>K263*X263</f>
        <v/>
      </c>
      <c r="Z263" s="227" t="n"/>
      <c r="AA263" s="461">
        <f>Y263-Z263</f>
        <v/>
      </c>
      <c r="AB263" s="276" t="n">
        <v>0.02</v>
      </c>
      <c r="AC263" s="461">
        <f>K263*AB263</f>
        <v/>
      </c>
      <c r="AD263" s="227" t="n"/>
      <c r="AE263" s="461">
        <f>AC263-AD263</f>
        <v/>
      </c>
      <c r="AF263" s="276" t="n">
        <v>0.01</v>
      </c>
      <c r="AG263" s="461">
        <f>K263*AF263</f>
        <v/>
      </c>
      <c r="AH263" s="227" t="n"/>
      <c r="AI263" s="461">
        <f>AG263-AH263</f>
        <v/>
      </c>
      <c r="AJ263" s="276" t="n">
        <v>0.01</v>
      </c>
      <c r="AK263" s="461">
        <f>K263*AJ263</f>
        <v/>
      </c>
      <c r="AL263" s="227" t="n"/>
      <c r="AM263" s="461">
        <f>AK263-AL263</f>
        <v/>
      </c>
      <c r="AN263" s="227" t="n">
        <v>0</v>
      </c>
      <c r="AO263" s="461">
        <f>K263*AN263</f>
        <v/>
      </c>
      <c r="AP263" s="227" t="n"/>
      <c r="AQ263" s="461">
        <f>AO263-AP263</f>
        <v/>
      </c>
      <c r="AR263" s="461" t="n"/>
      <c r="AS263" s="461">
        <f>K263*AR263</f>
        <v/>
      </c>
      <c r="AT263" s="227" t="n"/>
      <c r="AU263" s="461">
        <f>AS263-AT263</f>
        <v/>
      </c>
      <c r="AV263" s="551" t="n"/>
      <c r="AW263" s="461">
        <f>K263*AV263</f>
        <v/>
      </c>
      <c r="AX263" s="227" t="n"/>
      <c r="AY263" s="461">
        <f>AW263-AX263</f>
        <v/>
      </c>
      <c r="AZ263" s="227" t="n">
        <v>0</v>
      </c>
      <c r="BA263" s="461">
        <f>K263*AZ263</f>
        <v/>
      </c>
      <c r="BB263" s="227" t="n"/>
      <c r="BC263" s="461">
        <f>BA263-BB263</f>
        <v/>
      </c>
      <c r="BD263" s="235" t="n"/>
      <c r="BE263" s="461">
        <f>K263*BD263</f>
        <v/>
      </c>
      <c r="BF263" s="227" t="n"/>
      <c r="BG263" s="461">
        <f>BE263-BF263</f>
        <v/>
      </c>
      <c r="BH263" s="235" t="n"/>
      <c r="BI263" s="461">
        <f>K263*BH263</f>
        <v/>
      </c>
      <c r="BJ263" s="227" t="n"/>
      <c r="BK263" s="461">
        <f>BI263-BJ263</f>
        <v/>
      </c>
      <c r="BL263" s="461" t="inlineStr">
        <is>
          <t>按实</t>
        </is>
      </c>
      <c r="BM263" s="220">
        <f>BN263</f>
        <v/>
      </c>
      <c r="BN263" s="220" t="n"/>
      <c r="BO263" s="220">
        <f>BM263-BN263</f>
        <v/>
      </c>
      <c r="BP263" s="220">
        <f>N263+Q263+U263+Y263+AC263+AG263+AK263+AO263+AS263+AW263+BA263+BE263+BI263+BM263</f>
        <v/>
      </c>
      <c r="BQ263" s="220">
        <f>N263+R263+V263+Z263+AD263+AH263+AL263+AP263+AT263+AX263+BB263+BF263+BJ263+BN263</f>
        <v/>
      </c>
      <c r="BR263" s="220">
        <f>BP263-BQ263</f>
        <v/>
      </c>
      <c r="BS263" s="254" t="inlineStr">
        <is>
          <t>/</t>
        </is>
      </c>
      <c r="BT263" s="229" t="inlineStr">
        <is>
          <t>/</t>
        </is>
      </c>
      <c r="BU263" s="230" t="n"/>
      <c r="BV263" s="230" t="inlineStr">
        <is>
          <t>1、签订期间：2026.2.1-2026.7.31；
2、指标按照全年换算；</t>
        </is>
      </c>
      <c r="BW263" s="534" t="n"/>
    </row>
    <row r="264" ht="24" customFormat="1" customHeight="1" s="209">
      <c r="A264" s="219" t="n">
        <v>306</v>
      </c>
      <c r="B264" s="220" t="inlineStr">
        <is>
          <t>KQCY0306</t>
        </is>
      </c>
      <c r="C264" s="221" t="inlineStr">
        <is>
          <t>餐饮五分部</t>
        </is>
      </c>
      <c r="D264" s="221" t="inlineStr">
        <is>
          <t>CF697</t>
        </is>
      </c>
      <c r="E264" s="221" t="inlineStr">
        <is>
          <t>兰交大百苑二楼食堂</t>
        </is>
      </c>
      <c r="F264" s="219" t="inlineStr">
        <is>
          <t>分组作业</t>
        </is>
      </c>
      <c r="G264" s="222" t="inlineStr">
        <is>
          <t>徐敏捷</t>
        </is>
      </c>
      <c r="H264" s="503" t="inlineStr">
        <is>
          <t>/</t>
        </is>
      </c>
      <c r="I264" s="237" t="inlineStr">
        <is>
          <t>米粉</t>
        </is>
      </c>
      <c r="J264" s="503" t="inlineStr">
        <is>
          <t>安平</t>
        </is>
      </c>
      <c r="K264" s="545">
        <f>LET(k,D264&amp;"|"&amp;E264&amp;"|"&amp;H264&amp;"|"&amp;I264&amp;"|"&amp;J264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64" s="546" t="n"/>
      <c r="M264" s="224" t="n"/>
      <c r="N264" s="338" t="n"/>
      <c r="O264" s="548" t="n">
        <v>396000</v>
      </c>
      <c r="P264" s="276" t="n">
        <v>0.15</v>
      </c>
      <c r="Q264" s="461">
        <f>K264*P264</f>
        <v/>
      </c>
      <c r="R264" s="227" t="n"/>
      <c r="S264" s="461">
        <f>Q264-R264</f>
        <v/>
      </c>
      <c r="T264" s="276" t="n">
        <v>0.01</v>
      </c>
      <c r="U264" s="461">
        <f>K264*T264</f>
        <v/>
      </c>
      <c r="V264" s="337" t="n"/>
      <c r="W264" s="461">
        <f>U264-Z264</f>
        <v/>
      </c>
      <c r="X264" s="227" t="n">
        <v>0</v>
      </c>
      <c r="Y264" s="461">
        <f>K264*X264</f>
        <v/>
      </c>
      <c r="Z264" s="227" t="n"/>
      <c r="AA264" s="461">
        <f>Y264-Z264</f>
        <v/>
      </c>
      <c r="AB264" s="276" t="n">
        <v>0.02</v>
      </c>
      <c r="AC264" s="461">
        <f>K264*AB264</f>
        <v/>
      </c>
      <c r="AD264" s="227" t="n"/>
      <c r="AE264" s="461">
        <f>AC264-AD264</f>
        <v/>
      </c>
      <c r="AF264" s="276" t="n">
        <v>0.01</v>
      </c>
      <c r="AG264" s="461">
        <f>K264*AF264</f>
        <v/>
      </c>
      <c r="AH264" s="227" t="n"/>
      <c r="AI264" s="461">
        <f>AG264-AH264</f>
        <v/>
      </c>
      <c r="AJ264" s="276" t="n">
        <v>0.01</v>
      </c>
      <c r="AK264" s="461">
        <f>K264*AJ264</f>
        <v/>
      </c>
      <c r="AL264" s="227" t="n"/>
      <c r="AM264" s="461">
        <f>AK264-AL264</f>
        <v/>
      </c>
      <c r="AN264" s="227" t="n">
        <v>0</v>
      </c>
      <c r="AO264" s="461">
        <f>K264*AN264</f>
        <v/>
      </c>
      <c r="AP264" s="227" t="n"/>
      <c r="AQ264" s="461">
        <f>AO264-AP264</f>
        <v/>
      </c>
      <c r="AR264" s="461" t="n"/>
      <c r="AS264" s="461">
        <f>K264*AR264</f>
        <v/>
      </c>
      <c r="AT264" s="227" t="n"/>
      <c r="AU264" s="461">
        <f>AS264-AT264</f>
        <v/>
      </c>
      <c r="AV264" s="551" t="n"/>
      <c r="AW264" s="461">
        <f>K264*AV264</f>
        <v/>
      </c>
      <c r="AX264" s="227" t="n"/>
      <c r="AY264" s="461">
        <f>AW264-AX264</f>
        <v/>
      </c>
      <c r="AZ264" s="227" t="n">
        <v>0</v>
      </c>
      <c r="BA264" s="461">
        <f>K264*AZ264</f>
        <v/>
      </c>
      <c r="BB264" s="227" t="n"/>
      <c r="BC264" s="461">
        <f>BA264-BB264</f>
        <v/>
      </c>
      <c r="BD264" s="235" t="n"/>
      <c r="BE264" s="461">
        <f>K264*BD264</f>
        <v/>
      </c>
      <c r="BF264" s="227" t="n"/>
      <c r="BG264" s="461">
        <f>BE264-BF264</f>
        <v/>
      </c>
      <c r="BH264" s="235" t="n"/>
      <c r="BI264" s="461">
        <f>K264*BH264</f>
        <v/>
      </c>
      <c r="BJ264" s="227" t="n"/>
      <c r="BK264" s="461">
        <f>BI264-BJ264</f>
        <v/>
      </c>
      <c r="BL264" s="461" t="inlineStr">
        <is>
          <t>按实</t>
        </is>
      </c>
      <c r="BM264" s="220">
        <f>BN264</f>
        <v/>
      </c>
      <c r="BN264" s="220" t="n"/>
      <c r="BO264" s="220">
        <f>BM264-BN264</f>
        <v/>
      </c>
      <c r="BP264" s="220">
        <f>N264+Q264+U264+Y264+AC264+AG264+AK264+AO264+AS264+AW264+BA264+BE264+BI264+BM264</f>
        <v/>
      </c>
      <c r="BQ264" s="220">
        <f>N264+R264+V264+Z264+AD264+AH264+AL264+AP264+AT264+AX264+BB264+BF264+BJ264+BN264</f>
        <v/>
      </c>
      <c r="BR264" s="220">
        <f>BP264-BQ264</f>
        <v/>
      </c>
      <c r="BS264" s="254" t="inlineStr">
        <is>
          <t>/</t>
        </is>
      </c>
      <c r="BT264" s="229" t="inlineStr">
        <is>
          <t>/</t>
        </is>
      </c>
      <c r="BU264" s="230" t="n"/>
      <c r="BV264" s="230" t="inlineStr">
        <is>
          <t>1、签订期间：2026.2.1-2026.7.31；
2、指标按照全年换算；</t>
        </is>
      </c>
      <c r="BW264" s="534" t="n"/>
    </row>
    <row r="265" ht="24" customFormat="1" customHeight="1" s="209">
      <c r="A265" s="219" t="n">
        <v>307</v>
      </c>
      <c r="B265" s="220" t="inlineStr">
        <is>
          <t>KQCY0307</t>
        </is>
      </c>
      <c r="C265" s="221" t="inlineStr">
        <is>
          <t>餐饮五分部</t>
        </is>
      </c>
      <c r="D265" s="221" t="inlineStr">
        <is>
          <t>CF697</t>
        </is>
      </c>
      <c r="E265" s="221" t="inlineStr">
        <is>
          <t>兰交大百苑二楼食堂</t>
        </is>
      </c>
      <c r="F265" s="219" t="inlineStr">
        <is>
          <t>分组作业</t>
        </is>
      </c>
      <c r="G265" s="222" t="inlineStr">
        <is>
          <t>徐敏捷</t>
        </is>
      </c>
      <c r="H265" s="503" t="inlineStr">
        <is>
          <t>/</t>
        </is>
      </c>
      <c r="I265" s="237" t="inlineStr">
        <is>
          <t>猪脚饭</t>
        </is>
      </c>
      <c r="J265" s="503" t="inlineStr">
        <is>
          <t>张文权</t>
        </is>
      </c>
      <c r="K265" s="545">
        <f>LET(k,D265&amp;"|"&amp;E265&amp;"|"&amp;H265&amp;"|"&amp;I265&amp;"|"&amp;J265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65" s="546" t="n"/>
      <c r="M265" s="224" t="n"/>
      <c r="N265" s="338" t="n"/>
      <c r="O265" s="548" t="n">
        <v>466285.714285714</v>
      </c>
      <c r="P265" s="276" t="n">
        <v>0.15</v>
      </c>
      <c r="Q265" s="461">
        <f>K265*P265</f>
        <v/>
      </c>
      <c r="R265" s="227" t="n"/>
      <c r="S265" s="461">
        <f>Q265-R265</f>
        <v/>
      </c>
      <c r="T265" s="276" t="n">
        <v>0.01</v>
      </c>
      <c r="U265" s="461">
        <f>K265*T265</f>
        <v/>
      </c>
      <c r="V265" s="337" t="n"/>
      <c r="W265" s="461">
        <f>U265-Z265</f>
        <v/>
      </c>
      <c r="X265" s="227" t="n">
        <v>0</v>
      </c>
      <c r="Y265" s="461">
        <f>K265*X265</f>
        <v/>
      </c>
      <c r="Z265" s="227" t="n"/>
      <c r="AA265" s="461">
        <f>Y265-Z265</f>
        <v/>
      </c>
      <c r="AB265" s="276" t="n">
        <v>0.02</v>
      </c>
      <c r="AC265" s="461">
        <f>K265*AB265</f>
        <v/>
      </c>
      <c r="AD265" s="227" t="n"/>
      <c r="AE265" s="461">
        <f>AC265-AD265</f>
        <v/>
      </c>
      <c r="AF265" s="276" t="n">
        <v>0.01</v>
      </c>
      <c r="AG265" s="461">
        <f>K265*AF265</f>
        <v/>
      </c>
      <c r="AH265" s="227" t="n"/>
      <c r="AI265" s="461">
        <f>AG265-AH265</f>
        <v/>
      </c>
      <c r="AJ265" s="276" t="n">
        <v>0.01</v>
      </c>
      <c r="AK265" s="461">
        <f>K265*AJ265</f>
        <v/>
      </c>
      <c r="AL265" s="227" t="n"/>
      <c r="AM265" s="461">
        <f>AK265-AL265</f>
        <v/>
      </c>
      <c r="AN265" s="227" t="n">
        <v>0</v>
      </c>
      <c r="AO265" s="461">
        <f>K265*AN265</f>
        <v/>
      </c>
      <c r="AP265" s="227" t="n"/>
      <c r="AQ265" s="461">
        <f>AO265-AP265</f>
        <v/>
      </c>
      <c r="AR265" s="461" t="n"/>
      <c r="AS265" s="461">
        <f>K265*AR265</f>
        <v/>
      </c>
      <c r="AT265" s="227" t="n"/>
      <c r="AU265" s="461">
        <f>AS265-AT265</f>
        <v/>
      </c>
      <c r="AV265" s="551" t="n"/>
      <c r="AW265" s="461">
        <f>K265*AV265</f>
        <v/>
      </c>
      <c r="AX265" s="227" t="n"/>
      <c r="AY265" s="461">
        <f>AW265-AX265</f>
        <v/>
      </c>
      <c r="AZ265" s="227" t="n">
        <v>0</v>
      </c>
      <c r="BA265" s="461">
        <f>K265*AZ265</f>
        <v/>
      </c>
      <c r="BB265" s="227" t="n"/>
      <c r="BC265" s="461">
        <f>BA265-BB265</f>
        <v/>
      </c>
      <c r="BD265" s="235" t="n"/>
      <c r="BE265" s="461">
        <f>K265*BD265</f>
        <v/>
      </c>
      <c r="BF265" s="227" t="n"/>
      <c r="BG265" s="461">
        <f>BE265-BF265</f>
        <v/>
      </c>
      <c r="BH265" s="235" t="n"/>
      <c r="BI265" s="461">
        <f>K265*BH265</f>
        <v/>
      </c>
      <c r="BJ265" s="227" t="n"/>
      <c r="BK265" s="461">
        <f>BI265-BJ265</f>
        <v/>
      </c>
      <c r="BL265" s="461" t="inlineStr">
        <is>
          <t>按实</t>
        </is>
      </c>
      <c r="BM265" s="220">
        <f>BN265</f>
        <v/>
      </c>
      <c r="BN265" s="220" t="n"/>
      <c r="BO265" s="220">
        <f>BM265-BN265</f>
        <v/>
      </c>
      <c r="BP265" s="220">
        <f>N265+Q265+U265+Y265+AC265+AG265+AK265+AO265+AS265+AW265+BA265+BE265+BI265+BM265</f>
        <v/>
      </c>
      <c r="BQ265" s="220">
        <f>N265+R265+V265+Z265+AD265+AH265+AL265+AP265+AT265+AX265+BB265+BF265+BJ265+BN265</f>
        <v/>
      </c>
      <c r="BR265" s="220">
        <f>BP265-BQ265</f>
        <v/>
      </c>
      <c r="BS265" s="254" t="inlineStr">
        <is>
          <t>/</t>
        </is>
      </c>
      <c r="BT265" s="229" t="inlineStr">
        <is>
          <t>/</t>
        </is>
      </c>
      <c r="BU265" s="230" t="n"/>
      <c r="BV265" s="230" t="inlineStr">
        <is>
          <t>1、签订期间：2026.2.1-2026.7.31；
2、指标按照全年换算；</t>
        </is>
      </c>
      <c r="BW265" s="534" t="n"/>
    </row>
    <row r="266" ht="24" customFormat="1" customHeight="1" s="209">
      <c r="A266" s="219" t="n">
        <v>308</v>
      </c>
      <c r="B266" s="220" t="inlineStr">
        <is>
          <t>KQCY0308</t>
        </is>
      </c>
      <c r="C266" s="221" t="inlineStr">
        <is>
          <t>餐饮五分部</t>
        </is>
      </c>
      <c r="D266" s="221" t="inlineStr">
        <is>
          <t>CF697</t>
        </is>
      </c>
      <c r="E266" s="221" t="inlineStr">
        <is>
          <t>兰交大百苑二楼食堂</t>
        </is>
      </c>
      <c r="F266" s="219" t="inlineStr">
        <is>
          <t>分组作业</t>
        </is>
      </c>
      <c r="G266" s="222" t="inlineStr">
        <is>
          <t>徐敏捷</t>
        </is>
      </c>
      <c r="H266" s="503" t="inlineStr">
        <is>
          <t>/</t>
        </is>
      </c>
      <c r="I266" s="237" t="inlineStr">
        <is>
          <t>宋曼烤串</t>
        </is>
      </c>
      <c r="J266" s="503" t="inlineStr">
        <is>
          <t>于金梅</t>
        </is>
      </c>
      <c r="K266" s="545">
        <f>LET(k,D266&amp;"|"&amp;E266&amp;"|"&amp;H266&amp;"|"&amp;I266&amp;"|"&amp;J266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66" s="546" t="n"/>
      <c r="M266" s="224" t="n"/>
      <c r="N266" s="338" t="n"/>
      <c r="O266" s="548" t="n">
        <v>690857.142857143</v>
      </c>
      <c r="P266" s="276" t="n">
        <v>0.13</v>
      </c>
      <c r="Q266" s="461">
        <f>K266*P266</f>
        <v/>
      </c>
      <c r="R266" s="227" t="n"/>
      <c r="S266" s="461">
        <f>Q266-R266</f>
        <v/>
      </c>
      <c r="T266" s="276" t="n">
        <v>0.01</v>
      </c>
      <c r="U266" s="461">
        <f>K266*T266</f>
        <v/>
      </c>
      <c r="V266" s="337" t="n"/>
      <c r="W266" s="461">
        <f>U266-Z266</f>
        <v/>
      </c>
      <c r="X266" s="227" t="n">
        <v>0</v>
      </c>
      <c r="Y266" s="461">
        <f>K266*X266</f>
        <v/>
      </c>
      <c r="Z266" s="227" t="n"/>
      <c r="AA266" s="461">
        <f>Y266-Z266</f>
        <v/>
      </c>
      <c r="AB266" s="276" t="n">
        <v>0.02</v>
      </c>
      <c r="AC266" s="461">
        <f>K266*AB266</f>
        <v/>
      </c>
      <c r="AD266" s="227" t="n"/>
      <c r="AE266" s="461">
        <f>AC266-AD266</f>
        <v/>
      </c>
      <c r="AF266" s="276" t="n">
        <v>0.01</v>
      </c>
      <c r="AG266" s="461">
        <f>K266*AF266</f>
        <v/>
      </c>
      <c r="AH266" s="227" t="n"/>
      <c r="AI266" s="461">
        <f>AG266-AH266</f>
        <v/>
      </c>
      <c r="AJ266" s="276" t="n">
        <v>0.01</v>
      </c>
      <c r="AK266" s="461">
        <f>K266*AJ266</f>
        <v/>
      </c>
      <c r="AL266" s="227" t="n"/>
      <c r="AM266" s="461">
        <f>AK266-AL266</f>
        <v/>
      </c>
      <c r="AN266" s="227" t="n">
        <v>0</v>
      </c>
      <c r="AO266" s="461">
        <f>K266*AN266</f>
        <v/>
      </c>
      <c r="AP266" s="227" t="n"/>
      <c r="AQ266" s="461">
        <f>AO266-AP266</f>
        <v/>
      </c>
      <c r="AR266" s="461" t="n"/>
      <c r="AS266" s="461">
        <f>K266*AR266</f>
        <v/>
      </c>
      <c r="AT266" s="227" t="n"/>
      <c r="AU266" s="461">
        <f>AS266-AT266</f>
        <v/>
      </c>
      <c r="AV266" s="551" t="n"/>
      <c r="AW266" s="461">
        <f>K266*AV266</f>
        <v/>
      </c>
      <c r="AX266" s="227" t="n"/>
      <c r="AY266" s="461">
        <f>AW266-AX266</f>
        <v/>
      </c>
      <c r="AZ266" s="227" t="n">
        <v>0</v>
      </c>
      <c r="BA266" s="461">
        <f>K266*AZ266</f>
        <v/>
      </c>
      <c r="BB266" s="227" t="n"/>
      <c r="BC266" s="461">
        <f>BA266-BB266</f>
        <v/>
      </c>
      <c r="BD266" s="235" t="n"/>
      <c r="BE266" s="461">
        <f>K266*BD266</f>
        <v/>
      </c>
      <c r="BF266" s="227" t="n"/>
      <c r="BG266" s="461">
        <f>BE266-BF266</f>
        <v/>
      </c>
      <c r="BH266" s="235" t="n"/>
      <c r="BI266" s="461">
        <f>K266*BH266</f>
        <v/>
      </c>
      <c r="BJ266" s="227" t="n"/>
      <c r="BK266" s="461">
        <f>BI266-BJ266</f>
        <v/>
      </c>
      <c r="BL266" s="461" t="inlineStr">
        <is>
          <t>按实</t>
        </is>
      </c>
      <c r="BM266" s="220">
        <f>BN266</f>
        <v/>
      </c>
      <c r="BN266" s="220" t="n"/>
      <c r="BO266" s="220">
        <f>BM266-BN266</f>
        <v/>
      </c>
      <c r="BP266" s="220">
        <f>N266+Q266+U266+Y266+AC266+AG266+AK266+AO266+AS266+AW266+BA266+BE266+BI266+BM266</f>
        <v/>
      </c>
      <c r="BQ266" s="220">
        <f>N266+R266+V266+Z266+AD266+AH266+AL266+AP266+AT266+AX266+BB266+BF266+BJ266+BN266</f>
        <v/>
      </c>
      <c r="BR266" s="220">
        <f>BP266-BQ266</f>
        <v/>
      </c>
      <c r="BS266" s="254" t="inlineStr">
        <is>
          <t>/</t>
        </is>
      </c>
      <c r="BT266" s="229" t="inlineStr">
        <is>
          <t>/</t>
        </is>
      </c>
      <c r="BU266" s="230" t="n"/>
      <c r="BV266" s="230" t="inlineStr">
        <is>
          <t>1、签订期间：2026.2.1-2026.7.31；
2、指标按照全年换算；</t>
        </is>
      </c>
      <c r="BW266" s="534" t="n"/>
    </row>
    <row r="267" ht="24" customFormat="1" customHeight="1" s="209">
      <c r="A267" s="219" t="n">
        <v>309</v>
      </c>
      <c r="B267" s="220" t="inlineStr">
        <is>
          <t>KQCY0309</t>
        </is>
      </c>
      <c r="C267" s="221" t="inlineStr">
        <is>
          <t>餐饮五分部</t>
        </is>
      </c>
      <c r="D267" s="221" t="inlineStr">
        <is>
          <t>CF697</t>
        </is>
      </c>
      <c r="E267" s="221" t="inlineStr">
        <is>
          <t>兰交大百苑二楼食堂</t>
        </is>
      </c>
      <c r="F267" s="219" t="inlineStr">
        <is>
          <t>分组作业</t>
        </is>
      </c>
      <c r="G267" s="222" t="inlineStr">
        <is>
          <t>徐敏捷</t>
        </is>
      </c>
      <c r="H267" s="503" t="inlineStr">
        <is>
          <t>/</t>
        </is>
      </c>
      <c r="I267" s="237" t="inlineStr">
        <is>
          <t>汉堡</t>
        </is>
      </c>
      <c r="J267" s="503" t="inlineStr">
        <is>
          <t>陈发权</t>
        </is>
      </c>
      <c r="K267" s="545">
        <f>LET(k,D267&amp;"|"&amp;E267&amp;"|"&amp;H267&amp;"|"&amp;I267&amp;"|"&amp;J267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67" s="546" t="n"/>
      <c r="M267" s="224" t="n"/>
      <c r="N267" s="338" t="n"/>
      <c r="O267" s="548" t="n">
        <v>459428.571428571</v>
      </c>
      <c r="P267" s="276" t="n">
        <v>0.07000000000000001</v>
      </c>
      <c r="Q267" s="461">
        <f>K267*P267</f>
        <v/>
      </c>
      <c r="R267" s="227" t="n"/>
      <c r="S267" s="461">
        <f>Q267-R267</f>
        <v/>
      </c>
      <c r="T267" s="276" t="n">
        <v>0.01</v>
      </c>
      <c r="U267" s="461">
        <f>K267*T267</f>
        <v/>
      </c>
      <c r="V267" s="337" t="n"/>
      <c r="W267" s="461">
        <f>U267-Z267</f>
        <v/>
      </c>
      <c r="X267" s="227" t="n">
        <v>0</v>
      </c>
      <c r="Y267" s="461">
        <f>K267*X267</f>
        <v/>
      </c>
      <c r="Z267" s="227" t="n"/>
      <c r="AA267" s="461">
        <f>Y267-Z267</f>
        <v/>
      </c>
      <c r="AB267" s="227" t="n">
        <v>0</v>
      </c>
      <c r="AC267" s="461">
        <f>K267*AB267</f>
        <v/>
      </c>
      <c r="AD267" s="227" t="n"/>
      <c r="AE267" s="461">
        <f>AC267-AD267</f>
        <v/>
      </c>
      <c r="AF267" s="276" t="n">
        <v>0.01</v>
      </c>
      <c r="AG267" s="461">
        <f>K267*AF267</f>
        <v/>
      </c>
      <c r="AH267" s="227" t="n"/>
      <c r="AI267" s="461">
        <f>AG267-AH267</f>
        <v/>
      </c>
      <c r="AJ267" s="276" t="n">
        <v>0.01</v>
      </c>
      <c r="AK267" s="461">
        <f>K267*AJ267</f>
        <v/>
      </c>
      <c r="AL267" s="227" t="n"/>
      <c r="AM267" s="461">
        <f>AK267-AL267</f>
        <v/>
      </c>
      <c r="AN267" s="227" t="n">
        <v>0</v>
      </c>
      <c r="AO267" s="461">
        <f>K267*AN267</f>
        <v/>
      </c>
      <c r="AP267" s="227" t="n"/>
      <c r="AQ267" s="461">
        <f>AO267-AP267</f>
        <v/>
      </c>
      <c r="AR267" s="461" t="n"/>
      <c r="AS267" s="461">
        <f>K267*AR267</f>
        <v/>
      </c>
      <c r="AT267" s="227" t="n"/>
      <c r="AU267" s="461">
        <f>AS267-AT267</f>
        <v/>
      </c>
      <c r="AV267" s="551" t="n"/>
      <c r="AW267" s="461">
        <f>K267*AV267</f>
        <v/>
      </c>
      <c r="AX267" s="227" t="n"/>
      <c r="AY267" s="461">
        <f>AW267-AX267</f>
        <v/>
      </c>
      <c r="AZ267" s="227" t="n">
        <v>0</v>
      </c>
      <c r="BA267" s="461">
        <f>K267*AZ267</f>
        <v/>
      </c>
      <c r="BB267" s="227" t="n"/>
      <c r="BC267" s="461">
        <f>BA267-BB267</f>
        <v/>
      </c>
      <c r="BD267" s="235" t="n"/>
      <c r="BE267" s="461">
        <f>K267*BD267</f>
        <v/>
      </c>
      <c r="BF267" s="227" t="n"/>
      <c r="BG267" s="461">
        <f>BE267-BF267</f>
        <v/>
      </c>
      <c r="BH267" s="235" t="n"/>
      <c r="BI267" s="461">
        <f>K267*BH267</f>
        <v/>
      </c>
      <c r="BJ267" s="227" t="n"/>
      <c r="BK267" s="461">
        <f>BI267-BJ267</f>
        <v/>
      </c>
      <c r="BL267" s="461" t="inlineStr">
        <is>
          <t>按实</t>
        </is>
      </c>
      <c r="BM267" s="220">
        <f>BN267</f>
        <v/>
      </c>
      <c r="BN267" s="220" t="n"/>
      <c r="BO267" s="220">
        <f>BM267-BN267</f>
        <v/>
      </c>
      <c r="BP267" s="220">
        <f>N267+Q267+U267+Y267+AC267+AG267+AK267+AO267+AS267+AW267+BA267+BE267+BI267+BM267</f>
        <v/>
      </c>
      <c r="BQ267" s="220">
        <f>N267+R267+V267+Z267+AD267+AH267+AL267+AP267+AT267+AX267+BB267+BF267+BJ267+BN267</f>
        <v/>
      </c>
      <c r="BR267" s="220">
        <f>BP267-BQ267</f>
        <v/>
      </c>
      <c r="BS267" s="254" t="inlineStr">
        <is>
          <t>/</t>
        </is>
      </c>
      <c r="BT267" s="229" t="inlineStr">
        <is>
          <t>/</t>
        </is>
      </c>
      <c r="BU267" s="230" t="n"/>
      <c r="BV267" s="230" t="inlineStr">
        <is>
          <t>1、签订期间：2026.2.1-2026.7.31；
2、指标按照全年换算；</t>
        </is>
      </c>
      <c r="BW267" s="534" t="n"/>
    </row>
    <row r="268" ht="24" customFormat="1" customHeight="1" s="209">
      <c r="A268" s="219" t="n">
        <v>311</v>
      </c>
      <c r="B268" s="220" t="inlineStr">
        <is>
          <t>KQCY0311</t>
        </is>
      </c>
      <c r="C268" s="221" t="inlineStr">
        <is>
          <t>餐饮五分部</t>
        </is>
      </c>
      <c r="D268" s="221" t="inlineStr">
        <is>
          <t>CF698</t>
        </is>
      </c>
      <c r="E268" s="221" t="inlineStr">
        <is>
          <t>兰理工兰工坪校区一食堂</t>
        </is>
      </c>
      <c r="F268" s="219" t="inlineStr">
        <is>
          <t>分组作业</t>
        </is>
      </c>
      <c r="G268" s="222" t="inlineStr">
        <is>
          <t>徐敏捷</t>
        </is>
      </c>
      <c r="H268" s="503" t="inlineStr">
        <is>
          <t>/</t>
        </is>
      </c>
      <c r="I268" s="237" t="inlineStr">
        <is>
          <t>早餐（包子、粥、馅饼、饺子）</t>
        </is>
      </c>
      <c r="J268" s="503" t="inlineStr">
        <is>
          <t>杨文宏</t>
        </is>
      </c>
      <c r="K268" s="545">
        <f>LET(k,D268&amp;"|"&amp;E268&amp;"|"&amp;H268&amp;"|"&amp;I268&amp;"|"&amp;J268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68" s="339" t="n">
        <v>130000</v>
      </c>
      <c r="M268" s="224" t="n"/>
      <c r="N268" s="547" t="n">
        <v>56076</v>
      </c>
      <c r="O268" s="548" t="n">
        <v>1140000</v>
      </c>
      <c r="P268" s="276" t="n">
        <v>0.17</v>
      </c>
      <c r="Q268" s="461">
        <f>IF(K268&lt;=L268,K268*P268,L268*P268+(K268-L268)*(P268-2%))</f>
        <v/>
      </c>
      <c r="R268" s="566" t="n">
        <v>48862.07</v>
      </c>
      <c r="S268" s="461">
        <f>Q268-R268</f>
        <v/>
      </c>
      <c r="T268" s="227" t="n">
        <v>0</v>
      </c>
      <c r="U268" s="461">
        <f>K268*T268</f>
        <v/>
      </c>
      <c r="V268" s="227" t="n">
        <v>0</v>
      </c>
      <c r="W268" s="461">
        <f>U268-V268</f>
        <v/>
      </c>
      <c r="X268" s="227" t="n">
        <v>0</v>
      </c>
      <c r="Y268" s="461">
        <f>K268*X268</f>
        <v/>
      </c>
      <c r="Z268" s="227" t="n">
        <v>0</v>
      </c>
      <c r="AA268" s="461">
        <f>Y268-Z268</f>
        <v/>
      </c>
      <c r="AB268" s="227" t="n">
        <v>0</v>
      </c>
      <c r="AC268" s="461">
        <f>K268*AB268</f>
        <v/>
      </c>
      <c r="AD268" s="227" t="n"/>
      <c r="AE268" s="461">
        <f>AC268-AD268</f>
        <v/>
      </c>
      <c r="AF268" s="227" t="n">
        <v>0</v>
      </c>
      <c r="AG268" s="461">
        <f>K268*AF268</f>
        <v/>
      </c>
      <c r="AH268" s="227" t="n">
        <v>0</v>
      </c>
      <c r="AI268" s="461">
        <f>AG268-AH268</f>
        <v/>
      </c>
      <c r="AJ268" s="227" t="n">
        <v>0</v>
      </c>
      <c r="AK268" s="461">
        <f>K268*AJ268</f>
        <v/>
      </c>
      <c r="AL268" s="227" t="n">
        <v>0</v>
      </c>
      <c r="AM268" s="461">
        <f>AK268-AL268</f>
        <v/>
      </c>
      <c r="AN268" s="227" t="n">
        <v>0</v>
      </c>
      <c r="AO268" s="461">
        <f>K268*AN268</f>
        <v/>
      </c>
      <c r="AP268" s="461" t="n">
        <v>0</v>
      </c>
      <c r="AQ268" s="461">
        <f>AO268-AP268</f>
        <v/>
      </c>
      <c r="AR268" s="461" t="n"/>
      <c r="AS268" s="461">
        <f>AT268</f>
        <v/>
      </c>
      <c r="AT268" s="461" t="n">
        <v>6877.71</v>
      </c>
      <c r="AU268" s="461">
        <f>AS268-AT268</f>
        <v/>
      </c>
      <c r="AV268" s="551" t="n"/>
      <c r="AW268" s="461">
        <f>AX268</f>
        <v/>
      </c>
      <c r="AX268" s="227" t="n">
        <v>6088.08</v>
      </c>
      <c r="AY268" s="461">
        <f>AW268-AX268</f>
        <v/>
      </c>
      <c r="AZ268" s="227" t="n">
        <v>0</v>
      </c>
      <c r="BA268" s="461">
        <f>K268*AZ268</f>
        <v/>
      </c>
      <c r="BB268" s="461" t="n">
        <v>0</v>
      </c>
      <c r="BC268" s="461">
        <f>BA268-BB268</f>
        <v/>
      </c>
      <c r="BD268" s="235" t="n"/>
      <c r="BE268" s="461">
        <f>K268*BD268</f>
        <v/>
      </c>
      <c r="BF268" s="235" t="n">
        <v>0</v>
      </c>
      <c r="BG268" s="461">
        <f>BE268-BF268</f>
        <v/>
      </c>
      <c r="BH268" s="235" t="n"/>
      <c r="BI268" s="461">
        <f>K268*BH268</f>
        <v/>
      </c>
      <c r="BJ268" s="235" t="n">
        <v>0</v>
      </c>
      <c r="BK268" s="461">
        <f>BI268-BJ268</f>
        <v/>
      </c>
      <c r="BL268" s="461" t="inlineStr">
        <is>
          <t>按实</t>
        </is>
      </c>
      <c r="BM268" s="220">
        <f>BN268</f>
        <v/>
      </c>
      <c r="BN268" s="220" t="n">
        <v>139031</v>
      </c>
      <c r="BO268" s="220">
        <f>BM268-BN268</f>
        <v/>
      </c>
      <c r="BP268" s="220">
        <f>N268+Q268+U268+Y268+AC268+AG268+AK268+AO268+AS268+AW268+BA268+BE268+BI268+BM268</f>
        <v/>
      </c>
      <c r="BQ268" s="220">
        <f>N268+R268+V268+Z268+AD268+AH268+AL268+AP268+AT268+AX268+BB268+BF268+BJ268+BN268</f>
        <v/>
      </c>
      <c r="BR268" s="220">
        <f>BP268-BQ268</f>
        <v/>
      </c>
      <c r="BS268" s="254" t="inlineStr">
        <is>
          <t>/</t>
        </is>
      </c>
      <c r="BT268" s="229" t="inlineStr">
        <is>
          <t>/</t>
        </is>
      </c>
      <c r="BU268" s="230" t="n"/>
      <c r="BV268" s="230" t="inlineStr">
        <is>
          <t>1、签订期间：2026.2.1-2026.7.31；
2、指标按照全年换算；</t>
        </is>
      </c>
      <c r="BW268" s="534" t="n"/>
    </row>
    <row r="269" ht="24" customFormat="1" customHeight="1" s="209">
      <c r="A269" s="219" t="n">
        <v>312</v>
      </c>
      <c r="B269" s="220" t="inlineStr">
        <is>
          <t>KQCY0312</t>
        </is>
      </c>
      <c r="C269" s="221" t="inlineStr">
        <is>
          <t>餐饮五分部</t>
        </is>
      </c>
      <c r="D269" s="221" t="inlineStr">
        <is>
          <t>CF698</t>
        </is>
      </c>
      <c r="E269" s="221" t="inlineStr">
        <is>
          <t>兰理工兰工坪校区一食堂</t>
        </is>
      </c>
      <c r="F269" s="219" t="inlineStr">
        <is>
          <t>分组作业</t>
        </is>
      </c>
      <c r="G269" s="222" t="inlineStr">
        <is>
          <t>徐敏捷</t>
        </is>
      </c>
      <c r="H269" s="503" t="inlineStr">
        <is>
          <t>/</t>
        </is>
      </c>
      <c r="I269" s="237" t="inlineStr">
        <is>
          <t>快餐（盖浇饭、锅仔）</t>
        </is>
      </c>
      <c r="J269" s="503" t="inlineStr">
        <is>
          <t>宋玉琴</t>
        </is>
      </c>
      <c r="K269" s="545">
        <f>LET(k,D269&amp;"|"&amp;E269&amp;"|"&amp;H269&amp;"|"&amp;I269&amp;"|"&amp;J269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69" s="339" t="n">
        <v>130000</v>
      </c>
      <c r="M269" s="224" t="n"/>
      <c r="N269" s="547" t="n"/>
      <c r="O269" s="548" t="n">
        <v>1106000</v>
      </c>
      <c r="P269" s="276" t="n">
        <v>0.17</v>
      </c>
      <c r="Q269" s="461">
        <f>IF(K269&lt;=L269,K269*P269,L269*P269+(K269-L269)*(P269-2%))</f>
        <v/>
      </c>
      <c r="R269" s="227" t="n"/>
      <c r="S269" s="461">
        <f>Q269-R269</f>
        <v/>
      </c>
      <c r="T269" s="227" t="n">
        <v>0</v>
      </c>
      <c r="U269" s="461">
        <f>K269*T269</f>
        <v/>
      </c>
      <c r="V269" s="227" t="n"/>
      <c r="W269" s="461">
        <f>U269-V269</f>
        <v/>
      </c>
      <c r="X269" s="227" t="n">
        <v>0</v>
      </c>
      <c r="Y269" s="461">
        <f>K269*X269</f>
        <v/>
      </c>
      <c r="Z269" s="227" t="n"/>
      <c r="AA269" s="461">
        <f>Y269-Z269</f>
        <v/>
      </c>
      <c r="AB269" s="227" t="n">
        <v>0</v>
      </c>
      <c r="AC269" s="461">
        <f>K269*AB269</f>
        <v/>
      </c>
      <c r="AD269" s="227" t="n"/>
      <c r="AE269" s="461">
        <f>AC269-AD269</f>
        <v/>
      </c>
      <c r="AF269" s="227" t="n">
        <v>0</v>
      </c>
      <c r="AG269" s="461">
        <f>K269*AF269</f>
        <v/>
      </c>
      <c r="AH269" s="227" t="n"/>
      <c r="AI269" s="461">
        <f>AG269-AH269</f>
        <v/>
      </c>
      <c r="AJ269" s="227" t="n">
        <v>0</v>
      </c>
      <c r="AK269" s="461">
        <f>K269*AJ269</f>
        <v/>
      </c>
      <c r="AL269" s="227" t="n"/>
      <c r="AM269" s="461">
        <f>AK269-AL269</f>
        <v/>
      </c>
      <c r="AN269" s="227" t="n">
        <v>0</v>
      </c>
      <c r="AO269" s="461">
        <f>K269*AN269</f>
        <v/>
      </c>
      <c r="AP269" s="461" t="n"/>
      <c r="AQ269" s="461">
        <f>AO269-AP269</f>
        <v/>
      </c>
      <c r="AR269" s="461" t="n"/>
      <c r="AS269" s="461">
        <f>K269*AR269</f>
        <v/>
      </c>
      <c r="AT269" s="461" t="n"/>
      <c r="AU269" s="461">
        <f>AS269-AT269</f>
        <v/>
      </c>
      <c r="AV269" s="551" t="n"/>
      <c r="AW269" s="461">
        <f>K269*AV269</f>
        <v/>
      </c>
      <c r="AX269" s="227" t="n"/>
      <c r="AY269" s="461">
        <f>AW269-AX269</f>
        <v/>
      </c>
      <c r="AZ269" s="227" t="n">
        <v>0</v>
      </c>
      <c r="BA269" s="461">
        <f>K269*AZ269</f>
        <v/>
      </c>
      <c r="BB269" s="461" t="n"/>
      <c r="BC269" s="461">
        <f>BA269-BB269</f>
        <v/>
      </c>
      <c r="BD269" s="235" t="n"/>
      <c r="BE269" s="461">
        <f>K269*BD269</f>
        <v/>
      </c>
      <c r="BF269" s="235" t="n"/>
      <c r="BG269" s="461">
        <f>BE269-BF269</f>
        <v/>
      </c>
      <c r="BH269" s="235" t="n"/>
      <c r="BI269" s="461">
        <f>K269*BH269</f>
        <v/>
      </c>
      <c r="BJ269" s="235" t="n"/>
      <c r="BK269" s="461">
        <f>BI269-BJ269</f>
        <v/>
      </c>
      <c r="BL269" s="461" t="inlineStr">
        <is>
          <t>按实</t>
        </is>
      </c>
      <c r="BM269" s="220">
        <f>BN269</f>
        <v/>
      </c>
      <c r="BN269" s="220" t="n"/>
      <c r="BO269" s="220">
        <f>BM269-BN269</f>
        <v/>
      </c>
      <c r="BP269" s="220">
        <f>N269+Q269+U269+Y269+AC269+AG269+AK269+AO269+AS269+AW269+BA269+BE269+BI269+BM269</f>
        <v/>
      </c>
      <c r="BQ269" s="220">
        <f>N269+R269+V269+Z269+AD269+AH269+AL269+AP269+AT269+AX269+BB269+BF269+BJ269+BN269</f>
        <v/>
      </c>
      <c r="BR269" s="220">
        <f>BP269-BQ269</f>
        <v/>
      </c>
      <c r="BS269" s="254" t="inlineStr">
        <is>
          <t>/</t>
        </is>
      </c>
      <c r="BT269" s="229" t="inlineStr">
        <is>
          <t>/</t>
        </is>
      </c>
      <c r="BU269" s="230" t="n"/>
      <c r="BV269" s="230" t="inlineStr">
        <is>
          <t>1、签订期间：2026.2.1-2026.7.31；
2、指标按照全年换算；</t>
        </is>
      </c>
      <c r="BW269" s="534" t="n"/>
    </row>
    <row r="270" ht="24" customFormat="1" customHeight="1" s="209">
      <c r="A270" s="219" t="n">
        <v>313</v>
      </c>
      <c r="B270" s="220" t="inlineStr">
        <is>
          <t>KQCY0313</t>
        </is>
      </c>
      <c r="C270" s="221" t="inlineStr">
        <is>
          <t>餐饮五分部</t>
        </is>
      </c>
      <c r="D270" s="221" t="inlineStr">
        <is>
          <t>CF698</t>
        </is>
      </c>
      <c r="E270" s="221" t="inlineStr">
        <is>
          <t>兰理工兰工坪校区一食堂</t>
        </is>
      </c>
      <c r="F270" s="219" t="inlineStr">
        <is>
          <t>分组作业</t>
        </is>
      </c>
      <c r="G270" s="222" t="inlineStr">
        <is>
          <t>徐敏捷</t>
        </is>
      </c>
      <c r="H270" s="503" t="inlineStr">
        <is>
          <t>/</t>
        </is>
      </c>
      <c r="I270" s="237" t="inlineStr">
        <is>
          <t>米粉</t>
        </is>
      </c>
      <c r="J270" s="503" t="inlineStr">
        <is>
          <t>尚伟伟</t>
        </is>
      </c>
      <c r="K270" s="545">
        <f>LET(k,D270&amp;"|"&amp;E270&amp;"|"&amp;H270&amp;"|"&amp;I270&amp;"|"&amp;J270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70" s="339" t="n">
        <v>80000</v>
      </c>
      <c r="M270" s="224" t="n"/>
      <c r="N270" s="547" t="n"/>
      <c r="O270" s="548" t="n">
        <v>680000</v>
      </c>
      <c r="P270" s="276" t="n">
        <v>0.2</v>
      </c>
      <c r="Q270" s="461">
        <f>IF(K270&lt;=L270,K270*P270,L270*P270+(K270-L270)*(P270-2%))</f>
        <v/>
      </c>
      <c r="R270" s="227" t="n"/>
      <c r="S270" s="461">
        <f>Q270-R270</f>
        <v/>
      </c>
      <c r="T270" s="227" t="n">
        <v>0</v>
      </c>
      <c r="U270" s="461">
        <f>K270*T270</f>
        <v/>
      </c>
      <c r="V270" s="227" t="n"/>
      <c r="W270" s="461">
        <f>U270-V270</f>
        <v/>
      </c>
      <c r="X270" s="227" t="n">
        <v>0</v>
      </c>
      <c r="Y270" s="461">
        <f>K270*X270</f>
        <v/>
      </c>
      <c r="Z270" s="227" t="n"/>
      <c r="AA270" s="461">
        <f>Y270-Z270</f>
        <v/>
      </c>
      <c r="AB270" s="227" t="n">
        <v>0</v>
      </c>
      <c r="AC270" s="461">
        <f>K270*AB270</f>
        <v/>
      </c>
      <c r="AD270" s="227" t="n"/>
      <c r="AE270" s="461">
        <f>AC270-AD270</f>
        <v/>
      </c>
      <c r="AF270" s="227" t="n">
        <v>0</v>
      </c>
      <c r="AG270" s="461">
        <f>K270*AF270</f>
        <v/>
      </c>
      <c r="AH270" s="227" t="n"/>
      <c r="AI270" s="461">
        <f>AG270-AH270</f>
        <v/>
      </c>
      <c r="AJ270" s="227" t="n">
        <v>0</v>
      </c>
      <c r="AK270" s="461">
        <f>K270*AJ270</f>
        <v/>
      </c>
      <c r="AL270" s="227" t="n"/>
      <c r="AM270" s="461">
        <f>AK270-AL270</f>
        <v/>
      </c>
      <c r="AN270" s="227" t="n">
        <v>0</v>
      </c>
      <c r="AO270" s="461">
        <f>K270*AN270</f>
        <v/>
      </c>
      <c r="AP270" s="461" t="n"/>
      <c r="AQ270" s="461">
        <f>AO270-AP270</f>
        <v/>
      </c>
      <c r="AR270" s="461" t="n"/>
      <c r="AS270" s="461">
        <f>K270*AR270</f>
        <v/>
      </c>
      <c r="AT270" s="461" t="n"/>
      <c r="AU270" s="461">
        <f>AS270-AT270</f>
        <v/>
      </c>
      <c r="AV270" s="551" t="n"/>
      <c r="AW270" s="461">
        <f>K270*AV270</f>
        <v/>
      </c>
      <c r="AX270" s="227" t="n"/>
      <c r="AY270" s="461">
        <f>AW270-AX270</f>
        <v/>
      </c>
      <c r="AZ270" s="227" t="n">
        <v>0</v>
      </c>
      <c r="BA270" s="461">
        <f>K270*AZ270</f>
        <v/>
      </c>
      <c r="BB270" s="461" t="n"/>
      <c r="BC270" s="461">
        <f>BA270-BB270</f>
        <v/>
      </c>
      <c r="BD270" s="235" t="n"/>
      <c r="BE270" s="461">
        <f>K270*BD270</f>
        <v/>
      </c>
      <c r="BF270" s="235" t="n"/>
      <c r="BG270" s="461">
        <f>BE270-BF270</f>
        <v/>
      </c>
      <c r="BH270" s="235" t="n"/>
      <c r="BI270" s="461">
        <f>K270*BH270</f>
        <v/>
      </c>
      <c r="BJ270" s="235" t="n"/>
      <c r="BK270" s="461">
        <f>BI270-BJ270</f>
        <v/>
      </c>
      <c r="BL270" s="461" t="inlineStr">
        <is>
          <t>按实</t>
        </is>
      </c>
      <c r="BM270" s="220">
        <f>BN270</f>
        <v/>
      </c>
      <c r="BN270" s="220" t="n"/>
      <c r="BO270" s="220">
        <f>BM270-BN270</f>
        <v/>
      </c>
      <c r="BP270" s="220">
        <f>N270+Q270+U270+Y270+AC270+AG270+AK270+AO270+AS270+AW270+BA270+BE270+BI270+BM270</f>
        <v/>
      </c>
      <c r="BQ270" s="220">
        <f>N270+R270+V270+Z270+AD270+AH270+AL270+AP270+AT270+AX270+BB270+BF270+BJ270+BN270</f>
        <v/>
      </c>
      <c r="BR270" s="220">
        <f>BP270-BQ270</f>
        <v/>
      </c>
      <c r="BS270" s="254" t="inlineStr">
        <is>
          <t>/</t>
        </is>
      </c>
      <c r="BT270" s="229" t="inlineStr">
        <is>
          <t>/</t>
        </is>
      </c>
      <c r="BU270" s="230" t="n"/>
      <c r="BV270" s="230" t="inlineStr">
        <is>
          <t>1、签订期间：2026.2.1-2026.7.31；
2、指标按照全年换算；</t>
        </is>
      </c>
      <c r="BW270" s="534" t="n"/>
    </row>
    <row r="271" ht="24" customFormat="1" customHeight="1" s="209">
      <c r="A271" s="219" t="n">
        <v>314</v>
      </c>
      <c r="B271" s="220" t="inlineStr">
        <is>
          <t>KQCY0314</t>
        </is>
      </c>
      <c r="C271" s="221" t="inlineStr">
        <is>
          <t>餐饮五分部</t>
        </is>
      </c>
      <c r="D271" s="221" t="inlineStr">
        <is>
          <t>CF698</t>
        </is>
      </c>
      <c r="E271" s="221" t="inlineStr">
        <is>
          <t>兰理工兰工坪校区一食堂</t>
        </is>
      </c>
      <c r="F271" s="219" t="inlineStr">
        <is>
          <t>分组作业</t>
        </is>
      </c>
      <c r="G271" s="222" t="inlineStr">
        <is>
          <t>徐敏捷</t>
        </is>
      </c>
      <c r="H271" s="503" t="inlineStr">
        <is>
          <t>/</t>
        </is>
      </c>
      <c r="I271" s="237" t="inlineStr">
        <is>
          <t>烤鸭饭</t>
        </is>
      </c>
      <c r="J271" s="503" t="inlineStr">
        <is>
          <t>何启发</t>
        </is>
      </c>
      <c r="K271" s="545">
        <f>LET(k,D271&amp;"|"&amp;E271&amp;"|"&amp;H271&amp;"|"&amp;I271&amp;"|"&amp;J271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71" s="339" t="n">
        <v>90000</v>
      </c>
      <c r="M271" s="224" t="n"/>
      <c r="N271" s="547" t="n"/>
      <c r="O271" s="548" t="n">
        <v>780000</v>
      </c>
      <c r="P271" s="276" t="n">
        <v>0.2</v>
      </c>
      <c r="Q271" s="461">
        <f>IF(K271&lt;=L271,K271*P271,L271*P271+(K271-L271)*(P271-2%))</f>
        <v/>
      </c>
      <c r="R271" s="227" t="n"/>
      <c r="S271" s="461">
        <f>Q271-R271</f>
        <v/>
      </c>
      <c r="T271" s="227" t="n">
        <v>0</v>
      </c>
      <c r="U271" s="461">
        <f>K271*T271</f>
        <v/>
      </c>
      <c r="V271" s="227" t="n"/>
      <c r="W271" s="461">
        <f>U271-V271</f>
        <v/>
      </c>
      <c r="X271" s="227" t="n">
        <v>0</v>
      </c>
      <c r="Y271" s="461">
        <f>K271*X271</f>
        <v/>
      </c>
      <c r="Z271" s="227" t="n"/>
      <c r="AA271" s="461">
        <f>Y271-Z271</f>
        <v/>
      </c>
      <c r="AB271" s="227" t="n">
        <v>0</v>
      </c>
      <c r="AC271" s="461">
        <f>K271*AB271</f>
        <v/>
      </c>
      <c r="AD271" s="227" t="n"/>
      <c r="AE271" s="461">
        <f>AC271-AD271</f>
        <v/>
      </c>
      <c r="AF271" s="227" t="n">
        <v>0</v>
      </c>
      <c r="AG271" s="461">
        <f>K271*AF271</f>
        <v/>
      </c>
      <c r="AH271" s="227" t="n"/>
      <c r="AI271" s="461">
        <f>AG271-AH271</f>
        <v/>
      </c>
      <c r="AJ271" s="227" t="n">
        <v>0</v>
      </c>
      <c r="AK271" s="461">
        <f>K271*AJ271</f>
        <v/>
      </c>
      <c r="AL271" s="227" t="n"/>
      <c r="AM271" s="461">
        <f>AK271-AL271</f>
        <v/>
      </c>
      <c r="AN271" s="227" t="n">
        <v>0</v>
      </c>
      <c r="AO271" s="461">
        <f>K271*AN271</f>
        <v/>
      </c>
      <c r="AP271" s="461" t="n"/>
      <c r="AQ271" s="461">
        <f>AO271-AP271</f>
        <v/>
      </c>
      <c r="AR271" s="461" t="n"/>
      <c r="AS271" s="461">
        <f>K271*AR271</f>
        <v/>
      </c>
      <c r="AT271" s="461" t="n"/>
      <c r="AU271" s="461">
        <f>AS271-AT271</f>
        <v/>
      </c>
      <c r="AV271" s="551" t="n"/>
      <c r="AW271" s="461">
        <f>K271*AV271</f>
        <v/>
      </c>
      <c r="AX271" s="227" t="n"/>
      <c r="AY271" s="461">
        <f>AW271-AX271</f>
        <v/>
      </c>
      <c r="AZ271" s="227" t="n">
        <v>0</v>
      </c>
      <c r="BA271" s="461">
        <f>K271*AZ271</f>
        <v/>
      </c>
      <c r="BB271" s="461" t="n"/>
      <c r="BC271" s="461">
        <f>BA271-BB271</f>
        <v/>
      </c>
      <c r="BD271" s="235" t="n"/>
      <c r="BE271" s="461">
        <f>K271*BD271</f>
        <v/>
      </c>
      <c r="BF271" s="235" t="n"/>
      <c r="BG271" s="461">
        <f>BE271-BF271</f>
        <v/>
      </c>
      <c r="BH271" s="235" t="n"/>
      <c r="BI271" s="461">
        <f>K271*BH271</f>
        <v/>
      </c>
      <c r="BJ271" s="235" t="n"/>
      <c r="BK271" s="461">
        <f>BI271-BJ271</f>
        <v/>
      </c>
      <c r="BL271" s="461" t="inlineStr">
        <is>
          <t>按实</t>
        </is>
      </c>
      <c r="BM271" s="220">
        <f>BN271</f>
        <v/>
      </c>
      <c r="BN271" s="220" t="n"/>
      <c r="BO271" s="220">
        <f>BM271-BN271</f>
        <v/>
      </c>
      <c r="BP271" s="220">
        <f>N271+Q271+U271+Y271+AC271+AG271+AK271+AO271+AS271+AW271+BA271+BE271+BI271+BM271</f>
        <v/>
      </c>
      <c r="BQ271" s="220">
        <f>N271+R271+V271+Z271+AD271+AH271+AL271+AP271+AT271+AX271+BB271+BF271+BJ271+BN271</f>
        <v/>
      </c>
      <c r="BR271" s="220">
        <f>BP271-BQ271</f>
        <v/>
      </c>
      <c r="BS271" s="254" t="inlineStr">
        <is>
          <t>/</t>
        </is>
      </c>
      <c r="BT271" s="229" t="inlineStr">
        <is>
          <t>/</t>
        </is>
      </c>
      <c r="BU271" s="230" t="n"/>
      <c r="BV271" s="230" t="inlineStr">
        <is>
          <t>1、签订期间：2026.2.1-2026.7.31；
2、指标按照全年换算；</t>
        </is>
      </c>
      <c r="BW271" s="534" t="n"/>
    </row>
    <row r="272" ht="24" customFormat="1" customHeight="1" s="209">
      <c r="A272" s="219" t="n">
        <v>315</v>
      </c>
      <c r="B272" s="220" t="inlineStr">
        <is>
          <t>KQCY0315</t>
        </is>
      </c>
      <c r="C272" s="221" t="inlineStr">
        <is>
          <t>餐饮五分部</t>
        </is>
      </c>
      <c r="D272" s="221" t="inlineStr">
        <is>
          <t>CF698</t>
        </is>
      </c>
      <c r="E272" s="221" t="inlineStr">
        <is>
          <t>兰理工兰工坪校区一食堂</t>
        </is>
      </c>
      <c r="F272" s="219" t="inlineStr">
        <is>
          <t>分组作业</t>
        </is>
      </c>
      <c r="G272" s="222" t="inlineStr">
        <is>
          <t>徐敏捷</t>
        </is>
      </c>
      <c r="H272" s="503" t="inlineStr">
        <is>
          <t>/</t>
        </is>
      </c>
      <c r="I272" s="237" t="inlineStr">
        <is>
          <t>香肉拌饭</t>
        </is>
      </c>
      <c r="J272" s="503" t="inlineStr">
        <is>
          <t>尚晓强</t>
        </is>
      </c>
      <c r="K272" s="545">
        <f>LET(k,D272&amp;"|"&amp;E272&amp;"|"&amp;H272&amp;"|"&amp;I272&amp;"|"&amp;J272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72" s="339" t="n">
        <v>80000</v>
      </c>
      <c r="M272" s="224" t="n"/>
      <c r="N272" s="547" t="n"/>
      <c r="O272" s="548" t="n">
        <v>700000</v>
      </c>
      <c r="P272" s="276" t="n">
        <v>0.2</v>
      </c>
      <c r="Q272" s="461">
        <f>IF(K272&lt;=L272,K272*P272,L272*P272+(K272-L272)*(P272-2%))</f>
        <v/>
      </c>
      <c r="R272" s="227" t="n"/>
      <c r="S272" s="461">
        <f>Q272-R272</f>
        <v/>
      </c>
      <c r="T272" s="227" t="n">
        <v>0</v>
      </c>
      <c r="U272" s="461">
        <f>K272*T272</f>
        <v/>
      </c>
      <c r="V272" s="227" t="n"/>
      <c r="W272" s="461">
        <f>U272-V272</f>
        <v/>
      </c>
      <c r="X272" s="227" t="n">
        <v>0</v>
      </c>
      <c r="Y272" s="461">
        <f>K272*X272</f>
        <v/>
      </c>
      <c r="Z272" s="227" t="n"/>
      <c r="AA272" s="461">
        <f>Y272-Z272</f>
        <v/>
      </c>
      <c r="AB272" s="227" t="n">
        <v>0</v>
      </c>
      <c r="AC272" s="461">
        <f>K272*AB272</f>
        <v/>
      </c>
      <c r="AD272" s="227" t="n"/>
      <c r="AE272" s="461">
        <f>AC272-AD272</f>
        <v/>
      </c>
      <c r="AF272" s="227" t="n">
        <v>0</v>
      </c>
      <c r="AG272" s="461">
        <f>K272*AF272</f>
        <v/>
      </c>
      <c r="AH272" s="227" t="n"/>
      <c r="AI272" s="461">
        <f>AG272-AH272</f>
        <v/>
      </c>
      <c r="AJ272" s="227" t="n">
        <v>0</v>
      </c>
      <c r="AK272" s="461">
        <f>K272*AJ272</f>
        <v/>
      </c>
      <c r="AL272" s="227" t="n"/>
      <c r="AM272" s="461">
        <f>AK272-AL272</f>
        <v/>
      </c>
      <c r="AN272" s="227" t="n">
        <v>0</v>
      </c>
      <c r="AO272" s="461">
        <f>K272*AN272</f>
        <v/>
      </c>
      <c r="AP272" s="461" t="n"/>
      <c r="AQ272" s="461">
        <f>AO272-AP272</f>
        <v/>
      </c>
      <c r="AR272" s="461" t="n"/>
      <c r="AS272" s="461">
        <f>K272*AR272</f>
        <v/>
      </c>
      <c r="AT272" s="461" t="n"/>
      <c r="AU272" s="461">
        <f>AS272-AT272</f>
        <v/>
      </c>
      <c r="AV272" s="551" t="n"/>
      <c r="AW272" s="461">
        <f>K272*AV272</f>
        <v/>
      </c>
      <c r="AX272" s="227" t="n"/>
      <c r="AY272" s="461">
        <f>AW272-AX272</f>
        <v/>
      </c>
      <c r="AZ272" s="227" t="n">
        <v>0</v>
      </c>
      <c r="BA272" s="461">
        <f>K272*AZ272</f>
        <v/>
      </c>
      <c r="BB272" s="461" t="n"/>
      <c r="BC272" s="461">
        <f>BA272-BB272</f>
        <v/>
      </c>
      <c r="BD272" s="235" t="n"/>
      <c r="BE272" s="461">
        <f>K272*BD272</f>
        <v/>
      </c>
      <c r="BF272" s="235" t="n"/>
      <c r="BG272" s="461">
        <f>BE272-BF272</f>
        <v/>
      </c>
      <c r="BH272" s="235" t="n"/>
      <c r="BI272" s="461">
        <f>K272*BH272</f>
        <v/>
      </c>
      <c r="BJ272" s="235" t="n"/>
      <c r="BK272" s="461">
        <f>BI272-BJ272</f>
        <v/>
      </c>
      <c r="BL272" s="461" t="inlineStr">
        <is>
          <t>按实</t>
        </is>
      </c>
      <c r="BM272" s="220">
        <f>BN272</f>
        <v/>
      </c>
      <c r="BN272" s="220" t="n"/>
      <c r="BO272" s="220">
        <f>BM272-BN272</f>
        <v/>
      </c>
      <c r="BP272" s="220">
        <f>N272+Q272+U272+Y272+AC272+AG272+AK272+AO272+AS272+AW272+BA272+BE272+BI272+BM272</f>
        <v/>
      </c>
      <c r="BQ272" s="220">
        <f>N272+R272+V272+Z272+AD272+AH272+AL272+AP272+AT272+AX272+BB272+BF272+BJ272+BN272</f>
        <v/>
      </c>
      <c r="BR272" s="220">
        <f>BP272-BQ272</f>
        <v/>
      </c>
      <c r="BS272" s="254" t="inlineStr">
        <is>
          <t>/</t>
        </is>
      </c>
      <c r="BT272" s="229" t="inlineStr">
        <is>
          <t>/</t>
        </is>
      </c>
      <c r="BU272" s="230" t="n"/>
      <c r="BV272" s="230" t="inlineStr">
        <is>
          <t>1、签订期间：2026.2.1-2026.7.31；
2、指标按照全年换算；</t>
        </is>
      </c>
      <c r="BW272" s="534" t="n"/>
    </row>
    <row r="273" ht="24" customFormat="1" customHeight="1" s="209">
      <c r="A273" s="219" t="n">
        <v>316</v>
      </c>
      <c r="B273" s="220" t="inlineStr">
        <is>
          <t>KQCY0316</t>
        </is>
      </c>
      <c r="C273" s="221" t="inlineStr">
        <is>
          <t>餐饮五分部</t>
        </is>
      </c>
      <c r="D273" s="221" t="inlineStr">
        <is>
          <t>CF698</t>
        </is>
      </c>
      <c r="E273" s="221" t="inlineStr">
        <is>
          <t>兰理工兰工坪校区一食堂</t>
        </is>
      </c>
      <c r="F273" s="219" t="inlineStr">
        <is>
          <t>分组作业</t>
        </is>
      </c>
      <c r="G273" s="222" t="inlineStr">
        <is>
          <t>徐敏捷</t>
        </is>
      </c>
      <c r="H273" s="503" t="inlineStr">
        <is>
          <t>/</t>
        </is>
      </c>
      <c r="I273" s="237" t="inlineStr">
        <is>
          <t>面夫子包子（煎饺）</t>
        </is>
      </c>
      <c r="J273" s="503" t="inlineStr">
        <is>
          <t>景波波</t>
        </is>
      </c>
      <c r="K273" s="545">
        <f>LET(k,D273&amp;"|"&amp;E273&amp;"|"&amp;H273&amp;"|"&amp;I273&amp;"|"&amp;J273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73" s="339" t="n">
        <v>70000</v>
      </c>
      <c r="M273" s="224" t="n"/>
      <c r="N273" s="547" t="n"/>
      <c r="O273" s="548" t="n">
        <v>620000</v>
      </c>
      <c r="P273" s="276" t="n">
        <v>0.17</v>
      </c>
      <c r="Q273" s="461">
        <f>IF(K273&lt;=L273,K273*P273,L273*P273+(K273-L273)*(P273-2%))</f>
        <v/>
      </c>
      <c r="R273" s="227" t="n"/>
      <c r="S273" s="461">
        <f>Q273-R273</f>
        <v/>
      </c>
      <c r="T273" s="227" t="n">
        <v>0</v>
      </c>
      <c r="U273" s="461">
        <f>K273*T273</f>
        <v/>
      </c>
      <c r="V273" s="227" t="n"/>
      <c r="W273" s="461">
        <f>U273-V273</f>
        <v/>
      </c>
      <c r="X273" s="227" t="n">
        <v>0</v>
      </c>
      <c r="Y273" s="461">
        <f>K273*X273</f>
        <v/>
      </c>
      <c r="Z273" s="227" t="n"/>
      <c r="AA273" s="461">
        <f>Y273-Z273</f>
        <v/>
      </c>
      <c r="AB273" s="227" t="n">
        <v>0</v>
      </c>
      <c r="AC273" s="461">
        <f>K273*AB273</f>
        <v/>
      </c>
      <c r="AD273" s="227" t="n"/>
      <c r="AE273" s="461">
        <f>AC273-AD273</f>
        <v/>
      </c>
      <c r="AF273" s="227" t="n">
        <v>0</v>
      </c>
      <c r="AG273" s="461">
        <f>K273*AF273</f>
        <v/>
      </c>
      <c r="AH273" s="227" t="n"/>
      <c r="AI273" s="461">
        <f>AG273-AH273</f>
        <v/>
      </c>
      <c r="AJ273" s="227" t="n">
        <v>0</v>
      </c>
      <c r="AK273" s="461">
        <f>K273*AJ273</f>
        <v/>
      </c>
      <c r="AL273" s="227" t="n"/>
      <c r="AM273" s="461">
        <f>AK273-AL273</f>
        <v/>
      </c>
      <c r="AN273" s="227" t="n">
        <v>0</v>
      </c>
      <c r="AO273" s="461">
        <f>K273*AN273</f>
        <v/>
      </c>
      <c r="AP273" s="461" t="n"/>
      <c r="AQ273" s="461">
        <f>AO273-AP273</f>
        <v/>
      </c>
      <c r="AR273" s="461" t="n"/>
      <c r="AS273" s="461">
        <f>K273*AR273</f>
        <v/>
      </c>
      <c r="AT273" s="461" t="n"/>
      <c r="AU273" s="461">
        <f>AS273-AT273</f>
        <v/>
      </c>
      <c r="AV273" s="551" t="n"/>
      <c r="AW273" s="461">
        <f>K273*AV273</f>
        <v/>
      </c>
      <c r="AX273" s="227" t="n"/>
      <c r="AY273" s="461">
        <f>AW273-AX273</f>
        <v/>
      </c>
      <c r="AZ273" s="227" t="n">
        <v>0</v>
      </c>
      <c r="BA273" s="461">
        <f>K273*AZ273</f>
        <v/>
      </c>
      <c r="BB273" s="461" t="n"/>
      <c r="BC273" s="461">
        <f>BA273-BB273</f>
        <v/>
      </c>
      <c r="BD273" s="235" t="n"/>
      <c r="BE273" s="461">
        <f>K273*BD273</f>
        <v/>
      </c>
      <c r="BF273" s="235" t="n"/>
      <c r="BG273" s="461">
        <f>BE273-BF273</f>
        <v/>
      </c>
      <c r="BH273" s="235" t="n"/>
      <c r="BI273" s="461">
        <f>K273*BH273</f>
        <v/>
      </c>
      <c r="BJ273" s="235" t="n"/>
      <c r="BK273" s="461">
        <f>BI273-BJ273</f>
        <v/>
      </c>
      <c r="BL273" s="461" t="inlineStr">
        <is>
          <t>按实</t>
        </is>
      </c>
      <c r="BM273" s="220">
        <f>BN273</f>
        <v/>
      </c>
      <c r="BN273" s="220" t="n"/>
      <c r="BO273" s="220">
        <f>BM273-BN273</f>
        <v/>
      </c>
      <c r="BP273" s="220">
        <f>N273+Q273+U273+Y273+AC273+AG273+AK273+AO273+AS273+AW273+BA273+BE273+BI273+BM273</f>
        <v/>
      </c>
      <c r="BQ273" s="220">
        <f>N273+R273+V273+Z273+AD273+AH273+AL273+AP273+AT273+AX273+BB273+BF273+BJ273+BN273</f>
        <v/>
      </c>
      <c r="BR273" s="220">
        <f>BP273-BQ273</f>
        <v/>
      </c>
      <c r="BS273" s="254" t="inlineStr">
        <is>
          <t>/</t>
        </is>
      </c>
      <c r="BT273" s="229" t="inlineStr">
        <is>
          <t>/</t>
        </is>
      </c>
      <c r="BU273" s="230" t="n"/>
      <c r="BV273" s="230" t="inlineStr">
        <is>
          <t>1、签订期间：2026.2.1-2026.7.31；
2、指标按照全年换算；</t>
        </is>
      </c>
      <c r="BW273" s="534" t="n"/>
    </row>
    <row r="274" ht="24" customFormat="1" customHeight="1" s="209">
      <c r="A274" s="219" t="n">
        <v>317</v>
      </c>
      <c r="B274" s="220" t="inlineStr">
        <is>
          <t>KQCY0317</t>
        </is>
      </c>
      <c r="C274" s="221" t="inlineStr">
        <is>
          <t>餐饮五分部</t>
        </is>
      </c>
      <c r="D274" s="221" t="inlineStr">
        <is>
          <t>CF698</t>
        </is>
      </c>
      <c r="E274" s="221" t="inlineStr">
        <is>
          <t>兰理工兰工坪校区一食堂</t>
        </is>
      </c>
      <c r="F274" s="219" t="inlineStr">
        <is>
          <t>分组作业</t>
        </is>
      </c>
      <c r="G274" s="222" t="inlineStr">
        <is>
          <t>徐敏捷</t>
        </is>
      </c>
      <c r="H274" s="503" t="inlineStr">
        <is>
          <t>/</t>
        </is>
      </c>
      <c r="I274" s="237" t="inlineStr">
        <is>
          <t>面小福菜拌面</t>
        </is>
      </c>
      <c r="J274" s="503" t="inlineStr">
        <is>
          <t>蔡晓娟</t>
        </is>
      </c>
      <c r="K274" s="545">
        <f>LET(k,D274&amp;"|"&amp;E274&amp;"|"&amp;H274&amp;"|"&amp;I274&amp;"|"&amp;J274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74" s="339" t="n">
        <v>70000</v>
      </c>
      <c r="M274" s="224" t="n"/>
      <c r="N274" s="547" t="n"/>
      <c r="O274" s="548" t="n">
        <v>620000</v>
      </c>
      <c r="P274" s="276" t="n">
        <v>0.19</v>
      </c>
      <c r="Q274" s="461">
        <f>IF(K274&lt;=L274,K274*P274,L274*P274+(K274-L274)*(P274-2%))</f>
        <v/>
      </c>
      <c r="R274" s="227" t="n"/>
      <c r="S274" s="461">
        <f>Q274-R274</f>
        <v/>
      </c>
      <c r="T274" s="227" t="n">
        <v>0</v>
      </c>
      <c r="U274" s="461">
        <f>K274*T274</f>
        <v/>
      </c>
      <c r="V274" s="227" t="n"/>
      <c r="W274" s="461">
        <f>U274-V274</f>
        <v/>
      </c>
      <c r="X274" s="227" t="n">
        <v>0</v>
      </c>
      <c r="Y274" s="461">
        <f>K274*X274</f>
        <v/>
      </c>
      <c r="Z274" s="227" t="n"/>
      <c r="AA274" s="461">
        <f>Y274-Z274</f>
        <v/>
      </c>
      <c r="AB274" s="227" t="n">
        <v>0</v>
      </c>
      <c r="AC274" s="461">
        <f>K274*AB274</f>
        <v/>
      </c>
      <c r="AD274" s="227" t="n"/>
      <c r="AE274" s="461">
        <f>AC274-AD274</f>
        <v/>
      </c>
      <c r="AF274" s="227" t="n">
        <v>0</v>
      </c>
      <c r="AG274" s="461">
        <f>K274*AF274</f>
        <v/>
      </c>
      <c r="AH274" s="227" t="n"/>
      <c r="AI274" s="461">
        <f>AG274-AH274</f>
        <v/>
      </c>
      <c r="AJ274" s="227" t="n">
        <v>0</v>
      </c>
      <c r="AK274" s="461">
        <f>K274*AJ274</f>
        <v/>
      </c>
      <c r="AL274" s="227" t="n"/>
      <c r="AM274" s="461">
        <f>AK274-AL274</f>
        <v/>
      </c>
      <c r="AN274" s="227" t="n">
        <v>0</v>
      </c>
      <c r="AO274" s="461">
        <f>K274*AN274</f>
        <v/>
      </c>
      <c r="AP274" s="461" t="n"/>
      <c r="AQ274" s="461">
        <f>AO274-AP274</f>
        <v/>
      </c>
      <c r="AR274" s="461" t="n"/>
      <c r="AS274" s="461">
        <f>K274*AR274</f>
        <v/>
      </c>
      <c r="AT274" s="461" t="n"/>
      <c r="AU274" s="461">
        <f>AS274-AT274</f>
        <v/>
      </c>
      <c r="AV274" s="551" t="n"/>
      <c r="AW274" s="461">
        <f>K274*AV274</f>
        <v/>
      </c>
      <c r="AX274" s="227" t="n"/>
      <c r="AY274" s="461">
        <f>AW274-AX274</f>
        <v/>
      </c>
      <c r="AZ274" s="227" t="n">
        <v>0</v>
      </c>
      <c r="BA274" s="461">
        <f>K274*AZ274</f>
        <v/>
      </c>
      <c r="BB274" s="461" t="n"/>
      <c r="BC274" s="461">
        <f>BA274-BB274</f>
        <v/>
      </c>
      <c r="BD274" s="235" t="n"/>
      <c r="BE274" s="461">
        <f>K274*BD274</f>
        <v/>
      </c>
      <c r="BF274" s="235" t="n"/>
      <c r="BG274" s="461">
        <f>BE274-BF274</f>
        <v/>
      </c>
      <c r="BH274" s="235" t="n"/>
      <c r="BI274" s="461">
        <f>K274*BH274</f>
        <v/>
      </c>
      <c r="BJ274" s="235" t="n"/>
      <c r="BK274" s="461">
        <f>BI274-BJ274</f>
        <v/>
      </c>
      <c r="BL274" s="461" t="inlineStr">
        <is>
          <t>按实</t>
        </is>
      </c>
      <c r="BM274" s="220">
        <f>BN274</f>
        <v/>
      </c>
      <c r="BN274" s="220" t="n"/>
      <c r="BO274" s="220">
        <f>BM274-BN274</f>
        <v/>
      </c>
      <c r="BP274" s="220">
        <f>N274+Q274+U274+Y274+AC274+AG274+AK274+AO274+AS274+AW274+BA274+BE274+BI274+BM274</f>
        <v/>
      </c>
      <c r="BQ274" s="220">
        <f>N274+R274+V274+Z274+AD274+AH274+AL274+AP274+AT274+AX274+BB274+BF274+BJ274+BN274</f>
        <v/>
      </c>
      <c r="BR274" s="220">
        <f>BP274-BQ274</f>
        <v/>
      </c>
      <c r="BS274" s="254" t="inlineStr">
        <is>
          <t>/</t>
        </is>
      </c>
      <c r="BT274" s="229" t="inlineStr">
        <is>
          <t>/</t>
        </is>
      </c>
      <c r="BU274" s="230" t="n"/>
      <c r="BV274" s="230" t="inlineStr">
        <is>
          <t>1、签订期间：2026.2.1-2026.7.31；
2、指标按照全年换算；</t>
        </is>
      </c>
      <c r="BW274" s="534" t="n"/>
    </row>
    <row r="275" ht="24" customFormat="1" customHeight="1" s="209">
      <c r="A275" s="219" t="n">
        <v>318</v>
      </c>
      <c r="B275" s="220" t="inlineStr">
        <is>
          <t>KQCY0318</t>
        </is>
      </c>
      <c r="C275" s="221" t="inlineStr">
        <is>
          <t>餐饮五分部</t>
        </is>
      </c>
      <c r="D275" s="221" t="inlineStr">
        <is>
          <t>CF698</t>
        </is>
      </c>
      <c r="E275" s="221" t="inlineStr">
        <is>
          <t>兰理工兰工坪校区一食堂</t>
        </is>
      </c>
      <c r="F275" s="219" t="inlineStr">
        <is>
          <t>分组作业</t>
        </is>
      </c>
      <c r="G275" s="222" t="inlineStr">
        <is>
          <t>徐敏捷</t>
        </is>
      </c>
      <c r="H275" s="503" t="inlineStr">
        <is>
          <t>/</t>
        </is>
      </c>
      <c r="I275" s="237" t="inlineStr">
        <is>
          <t>饶城湘辣椒炒肉</t>
        </is>
      </c>
      <c r="J275" s="503" t="inlineStr">
        <is>
          <t>蔡晓娟</t>
        </is>
      </c>
      <c r="K275" s="545">
        <f>LET(k,D275&amp;"|"&amp;E275&amp;"|"&amp;H275&amp;"|"&amp;I275&amp;"|"&amp;J275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75" s="339" t="n">
        <v>70000</v>
      </c>
      <c r="M275" s="224" t="n"/>
      <c r="N275" s="547" t="n"/>
      <c r="O275" s="548" t="n">
        <v>640000</v>
      </c>
      <c r="P275" s="276" t="n">
        <v>0.19</v>
      </c>
      <c r="Q275" s="461">
        <f>IF(K275&lt;=L275,K275*P275,L275*P275+(K275-L275)*(P275-2%))</f>
        <v/>
      </c>
      <c r="R275" s="227" t="n"/>
      <c r="S275" s="461">
        <f>Q275-R275</f>
        <v/>
      </c>
      <c r="T275" s="227" t="n">
        <v>0</v>
      </c>
      <c r="U275" s="461">
        <f>K275*T275</f>
        <v/>
      </c>
      <c r="V275" s="227" t="n"/>
      <c r="W275" s="461">
        <f>U275-V275</f>
        <v/>
      </c>
      <c r="X275" s="227" t="n">
        <v>0</v>
      </c>
      <c r="Y275" s="461">
        <f>K275*X275</f>
        <v/>
      </c>
      <c r="Z275" s="227" t="n"/>
      <c r="AA275" s="461">
        <f>Y275-Z275</f>
        <v/>
      </c>
      <c r="AB275" s="227" t="n">
        <v>0</v>
      </c>
      <c r="AC275" s="461">
        <f>K275*AB275</f>
        <v/>
      </c>
      <c r="AD275" s="227" t="n"/>
      <c r="AE275" s="461">
        <f>AC275-AD275</f>
        <v/>
      </c>
      <c r="AF275" s="227" t="n">
        <v>0</v>
      </c>
      <c r="AG275" s="461">
        <f>K275*AF275</f>
        <v/>
      </c>
      <c r="AH275" s="227" t="n"/>
      <c r="AI275" s="461">
        <f>AG275-AH275</f>
        <v/>
      </c>
      <c r="AJ275" s="227" t="n">
        <v>0</v>
      </c>
      <c r="AK275" s="461">
        <f>K275*AJ275</f>
        <v/>
      </c>
      <c r="AL275" s="227" t="n"/>
      <c r="AM275" s="461">
        <f>AK275-AL275</f>
        <v/>
      </c>
      <c r="AN275" s="227" t="n">
        <v>0</v>
      </c>
      <c r="AO275" s="461">
        <f>K275*AN275</f>
        <v/>
      </c>
      <c r="AP275" s="461" t="n"/>
      <c r="AQ275" s="461">
        <f>AO275-AP275</f>
        <v/>
      </c>
      <c r="AR275" s="461" t="n"/>
      <c r="AS275" s="461">
        <f>K275*AR275</f>
        <v/>
      </c>
      <c r="AT275" s="461" t="n"/>
      <c r="AU275" s="461">
        <f>AS275-AT275</f>
        <v/>
      </c>
      <c r="AV275" s="551" t="n"/>
      <c r="AW275" s="461">
        <f>K275*AV275</f>
        <v/>
      </c>
      <c r="AX275" s="227" t="n"/>
      <c r="AY275" s="461">
        <f>AW275-AX275</f>
        <v/>
      </c>
      <c r="AZ275" s="227" t="n">
        <v>0</v>
      </c>
      <c r="BA275" s="461">
        <f>K275*AZ275</f>
        <v/>
      </c>
      <c r="BB275" s="461" t="n"/>
      <c r="BC275" s="461">
        <f>BA275-BB275</f>
        <v/>
      </c>
      <c r="BD275" s="235" t="n"/>
      <c r="BE275" s="461">
        <f>K275*BD275</f>
        <v/>
      </c>
      <c r="BF275" s="235" t="n"/>
      <c r="BG275" s="461">
        <f>BE275-BF275</f>
        <v/>
      </c>
      <c r="BH275" s="235" t="n"/>
      <c r="BI275" s="461">
        <f>K275*BH275</f>
        <v/>
      </c>
      <c r="BJ275" s="235" t="n"/>
      <c r="BK275" s="461">
        <f>BI275-BJ275</f>
        <v/>
      </c>
      <c r="BL275" s="461" t="inlineStr">
        <is>
          <t>按实</t>
        </is>
      </c>
      <c r="BM275" s="220">
        <f>BN275</f>
        <v/>
      </c>
      <c r="BN275" s="220" t="n"/>
      <c r="BO275" s="220">
        <f>BM275-BN275</f>
        <v/>
      </c>
      <c r="BP275" s="220">
        <f>N275+Q275+U275+Y275+AC275+AG275+AK275+AO275+AS275+AW275+BA275+BE275+BI275+BM275</f>
        <v/>
      </c>
      <c r="BQ275" s="220">
        <f>N275+R275+V275+Z275+AD275+AH275+AL275+AP275+AT275+AX275+BB275+BF275+BJ275+BN275</f>
        <v/>
      </c>
      <c r="BR275" s="220">
        <f>BP275-BQ275</f>
        <v/>
      </c>
      <c r="BS275" s="254" t="inlineStr">
        <is>
          <t>/</t>
        </is>
      </c>
      <c r="BT275" s="229" t="inlineStr">
        <is>
          <t>/</t>
        </is>
      </c>
      <c r="BU275" s="230" t="n"/>
      <c r="BV275" s="230" t="inlineStr">
        <is>
          <t>1、签订期间：2026.2.1-2026.7.31；
2、指标按照全年换算；</t>
        </is>
      </c>
      <c r="BW275" s="534" t="n"/>
    </row>
    <row r="276" ht="24" customFormat="1" customHeight="1" s="209">
      <c r="A276" s="219" t="n">
        <v>319</v>
      </c>
      <c r="B276" s="220" t="inlineStr">
        <is>
          <t>KQCY0319</t>
        </is>
      </c>
      <c r="C276" s="221" t="inlineStr">
        <is>
          <t>餐饮五分部</t>
        </is>
      </c>
      <c r="D276" s="221" t="inlineStr">
        <is>
          <t>CF698</t>
        </is>
      </c>
      <c r="E276" s="221" t="inlineStr">
        <is>
          <t>兰理工兰工坪校区一食堂</t>
        </is>
      </c>
      <c r="F276" s="219" t="inlineStr">
        <is>
          <t>分组作业</t>
        </is>
      </c>
      <c r="G276" s="222" t="inlineStr">
        <is>
          <t>徐敏捷</t>
        </is>
      </c>
      <c r="H276" s="503" t="inlineStr">
        <is>
          <t>/</t>
        </is>
      </c>
      <c r="I276" s="237" t="inlineStr">
        <is>
          <t>一纸鸡牛肉饭</t>
        </is>
      </c>
      <c r="J276" s="503" t="inlineStr">
        <is>
          <t>王燕</t>
        </is>
      </c>
      <c r="K276" s="545">
        <f>LET(k,D276&amp;"|"&amp;E276&amp;"|"&amp;H276&amp;"|"&amp;I276&amp;"|"&amp;J276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76" s="339" t="n">
        <v>60000</v>
      </c>
      <c r="M276" s="224" t="n"/>
      <c r="N276" s="547" t="n"/>
      <c r="O276" s="548" t="n">
        <v>560000</v>
      </c>
      <c r="P276" s="276" t="n">
        <v>0.2</v>
      </c>
      <c r="Q276" s="461">
        <f>IF(K276&lt;=L276,K276*P276,L276*P276+(K276-L276)*(P276-2%))</f>
        <v/>
      </c>
      <c r="R276" s="227" t="n"/>
      <c r="S276" s="461">
        <f>Q276-R276</f>
        <v/>
      </c>
      <c r="T276" s="227" t="n">
        <v>0</v>
      </c>
      <c r="U276" s="461">
        <f>K276*T276</f>
        <v/>
      </c>
      <c r="V276" s="227" t="n"/>
      <c r="W276" s="461">
        <f>U276-V276</f>
        <v/>
      </c>
      <c r="X276" s="227" t="n">
        <v>0</v>
      </c>
      <c r="Y276" s="461">
        <f>K276*X276</f>
        <v/>
      </c>
      <c r="Z276" s="227" t="n"/>
      <c r="AA276" s="461">
        <f>Y276-Z276</f>
        <v/>
      </c>
      <c r="AB276" s="227" t="n">
        <v>0</v>
      </c>
      <c r="AC276" s="461">
        <f>K276*AB276</f>
        <v/>
      </c>
      <c r="AD276" s="227" t="n"/>
      <c r="AE276" s="461">
        <f>AC276-AD276</f>
        <v/>
      </c>
      <c r="AF276" s="227" t="n">
        <v>0</v>
      </c>
      <c r="AG276" s="461">
        <f>K276*AF276</f>
        <v/>
      </c>
      <c r="AH276" s="227" t="n"/>
      <c r="AI276" s="461">
        <f>AG276-AH276</f>
        <v/>
      </c>
      <c r="AJ276" s="227" t="n">
        <v>0</v>
      </c>
      <c r="AK276" s="461">
        <f>K276*AJ276</f>
        <v/>
      </c>
      <c r="AL276" s="227" t="n"/>
      <c r="AM276" s="461">
        <f>AK276-AL276</f>
        <v/>
      </c>
      <c r="AN276" s="227" t="n">
        <v>0</v>
      </c>
      <c r="AO276" s="461">
        <f>K276*AN276</f>
        <v/>
      </c>
      <c r="AP276" s="461" t="n"/>
      <c r="AQ276" s="461">
        <f>AO276-AP276</f>
        <v/>
      </c>
      <c r="AR276" s="461" t="n"/>
      <c r="AS276" s="461">
        <f>K276*AR276</f>
        <v/>
      </c>
      <c r="AT276" s="461" t="n"/>
      <c r="AU276" s="461">
        <f>AS276-AT276</f>
        <v/>
      </c>
      <c r="AV276" s="551" t="n"/>
      <c r="AW276" s="461">
        <f>K276*AV276</f>
        <v/>
      </c>
      <c r="AX276" s="227" t="n"/>
      <c r="AY276" s="461">
        <f>AW276-AX276</f>
        <v/>
      </c>
      <c r="AZ276" s="227" t="n">
        <v>0</v>
      </c>
      <c r="BA276" s="461">
        <f>K276*AZ276</f>
        <v/>
      </c>
      <c r="BB276" s="461" t="n"/>
      <c r="BC276" s="461">
        <f>BA276-BB276</f>
        <v/>
      </c>
      <c r="BD276" s="235" t="n"/>
      <c r="BE276" s="461">
        <f>K276*BD276</f>
        <v/>
      </c>
      <c r="BF276" s="235" t="n"/>
      <c r="BG276" s="461">
        <f>BE276-BF276</f>
        <v/>
      </c>
      <c r="BH276" s="235" t="n"/>
      <c r="BI276" s="461">
        <f>K276*BH276</f>
        <v/>
      </c>
      <c r="BJ276" s="235" t="n"/>
      <c r="BK276" s="461">
        <f>BI276-BJ276</f>
        <v/>
      </c>
      <c r="BL276" s="461" t="inlineStr">
        <is>
          <t>按实</t>
        </is>
      </c>
      <c r="BM276" s="220">
        <f>BN276</f>
        <v/>
      </c>
      <c r="BN276" s="220" t="n"/>
      <c r="BO276" s="220">
        <f>BM276-BN276</f>
        <v/>
      </c>
      <c r="BP276" s="220">
        <f>N276+Q276+U276+Y276+AC276+AG276+AK276+AO276+AS276+AW276+BA276+BE276+BI276+BM276</f>
        <v/>
      </c>
      <c r="BQ276" s="220">
        <f>N276+R276+V276+Z276+AD276+AH276+AL276+AP276+AT276+AX276+BB276+BF276+BJ276+BN276</f>
        <v/>
      </c>
      <c r="BR276" s="220">
        <f>BP276-BQ276</f>
        <v/>
      </c>
      <c r="BS276" s="254" t="inlineStr">
        <is>
          <t>/</t>
        </is>
      </c>
      <c r="BT276" s="229" t="inlineStr">
        <is>
          <t>/</t>
        </is>
      </c>
      <c r="BU276" s="230" t="n"/>
      <c r="BV276" s="230" t="inlineStr">
        <is>
          <t>1、签订期间：2026.2.1-2026.7.31；
2、指标按照全年换算；</t>
        </is>
      </c>
      <c r="BW276" s="534" t="n"/>
    </row>
    <row r="277" ht="24" customFormat="1" customHeight="1" s="209">
      <c r="A277" s="219" t="n">
        <v>320</v>
      </c>
      <c r="B277" s="220" t="inlineStr">
        <is>
          <t>KQCY0320</t>
        </is>
      </c>
      <c r="C277" s="221" t="inlineStr">
        <is>
          <t>餐饮五分部</t>
        </is>
      </c>
      <c r="D277" s="221" t="inlineStr">
        <is>
          <t>CF698</t>
        </is>
      </c>
      <c r="E277" s="221" t="inlineStr">
        <is>
          <t>兰理工兰工坪校区一食堂</t>
        </is>
      </c>
      <c r="F277" s="219" t="inlineStr">
        <is>
          <t>分组作业</t>
        </is>
      </c>
      <c r="G277" s="222" t="inlineStr">
        <is>
          <t>徐敏捷</t>
        </is>
      </c>
      <c r="H277" s="503" t="inlineStr">
        <is>
          <t>/</t>
        </is>
      </c>
      <c r="I277" s="237" t="inlineStr">
        <is>
          <t>波乐宝炸鸡汉堡</t>
        </is>
      </c>
      <c r="J277" s="503" t="inlineStr">
        <is>
          <t>周小鹏</t>
        </is>
      </c>
      <c r="K277" s="545">
        <f>LET(k,D277&amp;"|"&amp;E277&amp;"|"&amp;H277&amp;"|"&amp;I277&amp;"|"&amp;J277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77" s="339" t="n"/>
      <c r="M277" s="224" t="n"/>
      <c r="N277" s="547" t="n"/>
      <c r="O277" s="548" t="n">
        <v>360000</v>
      </c>
      <c r="P277" s="227" t="n">
        <v>120000</v>
      </c>
      <c r="Q277" s="461" t="n"/>
      <c r="R277" s="227" t="n"/>
      <c r="S277" s="461">
        <f>Q277-R277</f>
        <v/>
      </c>
      <c r="T277" s="227" t="n">
        <v>0</v>
      </c>
      <c r="U277" s="461">
        <f>K277*T277</f>
        <v/>
      </c>
      <c r="V277" s="227" t="n"/>
      <c r="W277" s="461">
        <f>U277-V277</f>
        <v/>
      </c>
      <c r="X277" s="227" t="n">
        <v>0</v>
      </c>
      <c r="Y277" s="461">
        <f>K277*X277</f>
        <v/>
      </c>
      <c r="Z277" s="227" t="n"/>
      <c r="AA277" s="461">
        <f>Y277-Z277</f>
        <v/>
      </c>
      <c r="AB277" s="284" t="n">
        <v>0.045</v>
      </c>
      <c r="AC277" s="461">
        <f>K277*AB277</f>
        <v/>
      </c>
      <c r="AD277" s="227" t="n"/>
      <c r="AE277" s="461">
        <f>AC277-AD277</f>
        <v/>
      </c>
      <c r="AF277" s="227" t="n">
        <v>0</v>
      </c>
      <c r="AG277" s="461">
        <f>K277*AF277</f>
        <v/>
      </c>
      <c r="AH277" s="227" t="n"/>
      <c r="AI277" s="461">
        <f>AG277-AH277</f>
        <v/>
      </c>
      <c r="AJ277" s="227" t="n">
        <v>0</v>
      </c>
      <c r="AK277" s="461">
        <f>K277*AJ277</f>
        <v/>
      </c>
      <c r="AL277" s="227" t="n"/>
      <c r="AM277" s="461">
        <f>AK277-AL277</f>
        <v/>
      </c>
      <c r="AN277" s="227" t="n">
        <v>0</v>
      </c>
      <c r="AO277" s="461">
        <f>K277*AN277</f>
        <v/>
      </c>
      <c r="AP277" s="461" t="n"/>
      <c r="AQ277" s="461">
        <f>AO277-AP277</f>
        <v/>
      </c>
      <c r="AR277" s="461" t="n">
        <v>0</v>
      </c>
      <c r="AS277" s="461">
        <f>K277*AR277</f>
        <v/>
      </c>
      <c r="AT277" s="461" t="n"/>
      <c r="AU277" s="461">
        <f>AS277-AT277</f>
        <v/>
      </c>
      <c r="AV277" s="551" t="n"/>
      <c r="AW277" s="461">
        <f>K277*AV277</f>
        <v/>
      </c>
      <c r="AX277" s="227" t="n"/>
      <c r="AY277" s="461">
        <f>AW277-AX277</f>
        <v/>
      </c>
      <c r="AZ277" s="227" t="n">
        <v>0</v>
      </c>
      <c r="BA277" s="461">
        <f>K277*AZ277</f>
        <v/>
      </c>
      <c r="BB277" s="461" t="n"/>
      <c r="BC277" s="461">
        <f>BA277-BB277</f>
        <v/>
      </c>
      <c r="BD277" s="235" t="n"/>
      <c r="BE277" s="461">
        <f>K277*BD277</f>
        <v/>
      </c>
      <c r="BF277" s="235" t="n"/>
      <c r="BG277" s="461">
        <f>BE277-BF277</f>
        <v/>
      </c>
      <c r="BH277" s="235" t="n"/>
      <c r="BI277" s="461">
        <f>K277*BH277</f>
        <v/>
      </c>
      <c r="BJ277" s="235" t="n"/>
      <c r="BK277" s="461">
        <f>BI277-BJ277</f>
        <v/>
      </c>
      <c r="BL277" s="461" t="inlineStr">
        <is>
          <t>按实</t>
        </is>
      </c>
      <c r="BM277" s="220">
        <f>BN277</f>
        <v/>
      </c>
      <c r="BN277" s="220" t="n"/>
      <c r="BO277" s="220">
        <f>BM277-BN277</f>
        <v/>
      </c>
      <c r="BP277" s="220">
        <f>N277+Q277+U277+Y277+AC277+AG277+AK277+AO277+AS277+AW277+BA277+BE277+BI277+BM277</f>
        <v/>
      </c>
      <c r="BQ277" s="220">
        <f>N277+R277+V277+Z277+AD277+AH277+AL277+AP277+AT277+AX277+BB277+BF277+BJ277+BN277</f>
        <v/>
      </c>
      <c r="BR277" s="220">
        <f>BP277-BQ277</f>
        <v/>
      </c>
      <c r="BS277" s="254" t="inlineStr">
        <is>
          <t>/</t>
        </is>
      </c>
      <c r="BT277" s="229" t="inlineStr">
        <is>
          <t>/</t>
        </is>
      </c>
      <c r="BU277" s="230" t="inlineStr">
        <is>
          <t>1、服务费：12万/年
2、项目确认不收卫生费</t>
        </is>
      </c>
      <c r="BV277" s="230" t="inlineStr">
        <is>
          <t>1、签订期间：2026.2.1-2026.7.31；
2、指标按照全年换算；</t>
        </is>
      </c>
      <c r="BW277" s="534" t="n"/>
    </row>
    <row r="278" ht="24" customFormat="1" customHeight="1" s="209">
      <c r="A278" s="219" t="n">
        <v>321</v>
      </c>
      <c r="B278" s="220" t="inlineStr">
        <is>
          <t>KQCY0321</t>
        </is>
      </c>
      <c r="C278" s="221" t="inlineStr">
        <is>
          <t>餐饮五分部</t>
        </is>
      </c>
      <c r="D278" s="221" t="inlineStr">
        <is>
          <t>CF698</t>
        </is>
      </c>
      <c r="E278" s="221" t="inlineStr">
        <is>
          <t>兰理工兰工坪校区一食堂</t>
        </is>
      </c>
      <c r="F278" s="219" t="inlineStr">
        <is>
          <t>分组作业</t>
        </is>
      </c>
      <c r="G278" s="222" t="inlineStr">
        <is>
          <t>徐敏捷</t>
        </is>
      </c>
      <c r="H278" s="503" t="inlineStr">
        <is>
          <t>/</t>
        </is>
      </c>
      <c r="I278" s="237" t="inlineStr">
        <is>
          <t>冒菜（小火锅）</t>
        </is>
      </c>
      <c r="J278" s="503" t="inlineStr">
        <is>
          <t>马娟娟</t>
        </is>
      </c>
      <c r="K278" s="545">
        <f>LET(k,D278&amp;"|"&amp;E278&amp;"|"&amp;H278&amp;"|"&amp;I278&amp;"|"&amp;J278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78" s="339" t="n">
        <v>110000</v>
      </c>
      <c r="M278" s="224" t="n"/>
      <c r="N278" s="547" t="n"/>
      <c r="O278" s="548" t="n">
        <v>920000</v>
      </c>
      <c r="P278" s="276" t="n">
        <v>0.2</v>
      </c>
      <c r="Q278" s="461">
        <f>IF(K278&lt;=L278,K278*P278,L278*P278+(K278-L278)*(P278-2%))</f>
        <v/>
      </c>
      <c r="R278" s="227" t="n"/>
      <c r="S278" s="461">
        <f>Q278-R278</f>
        <v/>
      </c>
      <c r="T278" s="227" t="n">
        <v>0</v>
      </c>
      <c r="U278" s="461">
        <f>K278*T278</f>
        <v/>
      </c>
      <c r="V278" s="227" t="n"/>
      <c r="W278" s="461">
        <f>U278-V278</f>
        <v/>
      </c>
      <c r="X278" s="227" t="n">
        <v>0</v>
      </c>
      <c r="Y278" s="461">
        <f>K278*X278</f>
        <v/>
      </c>
      <c r="Z278" s="227" t="n"/>
      <c r="AA278" s="461">
        <f>Y278-Z278</f>
        <v/>
      </c>
      <c r="AB278" s="227" t="n">
        <v>0</v>
      </c>
      <c r="AC278" s="461">
        <f>K278*AB278</f>
        <v/>
      </c>
      <c r="AD278" s="227" t="n"/>
      <c r="AE278" s="461">
        <f>AC278-AD278</f>
        <v/>
      </c>
      <c r="AF278" s="227" t="n">
        <v>0</v>
      </c>
      <c r="AG278" s="461">
        <f>K278*AF278</f>
        <v/>
      </c>
      <c r="AH278" s="227" t="n"/>
      <c r="AI278" s="461">
        <f>AG278-AH278</f>
        <v/>
      </c>
      <c r="AJ278" s="227" t="n">
        <v>0</v>
      </c>
      <c r="AK278" s="461">
        <f>K278*AJ278</f>
        <v/>
      </c>
      <c r="AL278" s="227" t="n"/>
      <c r="AM278" s="461">
        <f>AK278-AL278</f>
        <v/>
      </c>
      <c r="AN278" s="227" t="n">
        <v>0</v>
      </c>
      <c r="AO278" s="461">
        <f>K278*AN278</f>
        <v/>
      </c>
      <c r="AP278" s="461" t="n"/>
      <c r="AQ278" s="461">
        <f>AO278-AP278</f>
        <v/>
      </c>
      <c r="AR278" s="461" t="n"/>
      <c r="AS278" s="461">
        <f>K278*AR278</f>
        <v/>
      </c>
      <c r="AT278" s="461" t="n"/>
      <c r="AU278" s="461">
        <f>AS278-AT278</f>
        <v/>
      </c>
      <c r="AV278" s="551" t="n"/>
      <c r="AW278" s="461">
        <f>K278*AV278</f>
        <v/>
      </c>
      <c r="AX278" s="227" t="n"/>
      <c r="AY278" s="461">
        <f>AW278-AX278</f>
        <v/>
      </c>
      <c r="AZ278" s="227" t="n">
        <v>0</v>
      </c>
      <c r="BA278" s="461">
        <f>K278*AZ278</f>
        <v/>
      </c>
      <c r="BB278" s="461" t="n"/>
      <c r="BC278" s="461">
        <f>BA278-BB278</f>
        <v/>
      </c>
      <c r="BD278" s="235" t="n"/>
      <c r="BE278" s="461">
        <f>K278*BD278</f>
        <v/>
      </c>
      <c r="BF278" s="235" t="n"/>
      <c r="BG278" s="461">
        <f>BE278-BF278</f>
        <v/>
      </c>
      <c r="BH278" s="235" t="n"/>
      <c r="BI278" s="461">
        <f>K278*BH278</f>
        <v/>
      </c>
      <c r="BJ278" s="235" t="n"/>
      <c r="BK278" s="461">
        <f>BI278-BJ278</f>
        <v/>
      </c>
      <c r="BL278" s="461" t="inlineStr">
        <is>
          <t>按实</t>
        </is>
      </c>
      <c r="BM278" s="220">
        <f>BN278</f>
        <v/>
      </c>
      <c r="BN278" s="220" t="n"/>
      <c r="BO278" s="220">
        <f>BM278-BN278</f>
        <v/>
      </c>
      <c r="BP278" s="220">
        <f>N278+Q278+U278+Y278+AC278+AG278+AK278+AO278+AS278+AW278+BA278+BE278+BI278+BM278</f>
        <v/>
      </c>
      <c r="BQ278" s="220">
        <f>N278+R278+V278+Z278+AD278+AH278+AL278+AP278+AT278+AX278+BB278+BF278+BJ278+BN278</f>
        <v/>
      </c>
      <c r="BR278" s="220">
        <f>BP278-BQ278</f>
        <v/>
      </c>
      <c r="BS278" s="254" t="inlineStr">
        <is>
          <t>/</t>
        </is>
      </c>
      <c r="BT278" s="229" t="inlineStr">
        <is>
          <t>/</t>
        </is>
      </c>
      <c r="BU278" s="230" t="n"/>
      <c r="BV278" s="230" t="inlineStr">
        <is>
          <t>1、签订期间：2026.2.1-2026.7.31；
2、指标按照全年换算；</t>
        </is>
      </c>
      <c r="BW278" s="534" t="n"/>
    </row>
    <row r="279" ht="24" customFormat="1" customHeight="1" s="209">
      <c r="A279" s="219" t="n">
        <v>322</v>
      </c>
      <c r="B279" s="220" t="inlineStr">
        <is>
          <t>KQCY0322</t>
        </is>
      </c>
      <c r="C279" s="221" t="inlineStr">
        <is>
          <t>餐饮五分部</t>
        </is>
      </c>
      <c r="D279" s="221" t="inlineStr">
        <is>
          <t>CF698</t>
        </is>
      </c>
      <c r="E279" s="221" t="inlineStr">
        <is>
          <t>兰理工兰工坪校区一食堂</t>
        </is>
      </c>
      <c r="F279" s="219" t="inlineStr">
        <is>
          <t>分组作业</t>
        </is>
      </c>
      <c r="G279" s="222" t="inlineStr">
        <is>
          <t>徐敏捷</t>
        </is>
      </c>
      <c r="H279" s="503" t="inlineStr">
        <is>
          <t>/</t>
        </is>
      </c>
      <c r="I279" s="237" t="inlineStr">
        <is>
          <t>牛肉面（炒面）</t>
        </is>
      </c>
      <c r="J279" s="503" t="inlineStr">
        <is>
          <t>马娟娟</t>
        </is>
      </c>
      <c r="K279" s="545">
        <f>LET(k,D279&amp;"|"&amp;E279&amp;"|"&amp;H279&amp;"|"&amp;I279&amp;"|"&amp;J279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79" s="339" t="n"/>
      <c r="M279" s="224" t="n"/>
      <c r="N279" s="547" t="n"/>
      <c r="O279" s="548" t="n">
        <v>700000</v>
      </c>
      <c r="P279" s="276" t="n">
        <v>0.1</v>
      </c>
      <c r="Q279" s="461">
        <f>K279*P279</f>
        <v/>
      </c>
      <c r="R279" s="227" t="n"/>
      <c r="S279" s="461">
        <f>Q279-R279</f>
        <v/>
      </c>
      <c r="T279" s="227" t="n">
        <v>0</v>
      </c>
      <c r="U279" s="461">
        <f>K279*T279</f>
        <v/>
      </c>
      <c r="V279" s="227" t="n"/>
      <c r="W279" s="461">
        <f>U279-V279</f>
        <v/>
      </c>
      <c r="X279" s="227" t="n">
        <v>0</v>
      </c>
      <c r="Y279" s="461">
        <f>K279*X279</f>
        <v/>
      </c>
      <c r="Z279" s="227" t="n"/>
      <c r="AA279" s="461">
        <f>Y279-Z279</f>
        <v/>
      </c>
      <c r="AB279" s="227" t="n">
        <v>0</v>
      </c>
      <c r="AC279" s="461">
        <f>K279*AB279</f>
        <v/>
      </c>
      <c r="AD279" s="227" t="n"/>
      <c r="AE279" s="461">
        <f>AC279-AD279</f>
        <v/>
      </c>
      <c r="AF279" s="227" t="n">
        <v>0</v>
      </c>
      <c r="AG279" s="461">
        <f>K279*AF279</f>
        <v/>
      </c>
      <c r="AH279" s="227" t="n"/>
      <c r="AI279" s="461">
        <f>AG279-AH279</f>
        <v/>
      </c>
      <c r="AJ279" s="227" t="n">
        <v>0</v>
      </c>
      <c r="AK279" s="461">
        <f>K279*AJ279</f>
        <v/>
      </c>
      <c r="AL279" s="227" t="n"/>
      <c r="AM279" s="461">
        <f>AK279-AL279</f>
        <v/>
      </c>
      <c r="AN279" s="227" t="n">
        <v>0</v>
      </c>
      <c r="AO279" s="461">
        <f>K279*AN279</f>
        <v/>
      </c>
      <c r="AP279" s="461" t="n"/>
      <c r="AQ279" s="461">
        <f>AO279-AP279</f>
        <v/>
      </c>
      <c r="AR279" s="461" t="n"/>
      <c r="AS279" s="461">
        <f>K279*AR279</f>
        <v/>
      </c>
      <c r="AT279" s="461" t="n"/>
      <c r="AU279" s="461">
        <f>AS279-AT279</f>
        <v/>
      </c>
      <c r="AV279" s="551" t="n"/>
      <c r="AW279" s="461">
        <f>K279*AV279</f>
        <v/>
      </c>
      <c r="AX279" s="227" t="n"/>
      <c r="AY279" s="461">
        <f>AW279-AX279</f>
        <v/>
      </c>
      <c r="AZ279" s="227" t="n">
        <v>0</v>
      </c>
      <c r="BA279" s="461">
        <f>K279*AZ279</f>
        <v/>
      </c>
      <c r="BB279" s="461" t="n"/>
      <c r="BC279" s="461">
        <f>BA279-BB279</f>
        <v/>
      </c>
      <c r="BD279" s="235" t="n"/>
      <c r="BE279" s="461">
        <f>K279*BD279</f>
        <v/>
      </c>
      <c r="BF279" s="235" t="n"/>
      <c r="BG279" s="461">
        <f>BE279-BF279</f>
        <v/>
      </c>
      <c r="BH279" s="235" t="n"/>
      <c r="BI279" s="461">
        <f>K279*BH279</f>
        <v/>
      </c>
      <c r="BJ279" s="235" t="n"/>
      <c r="BK279" s="461">
        <f>BI279-BJ279</f>
        <v/>
      </c>
      <c r="BL279" s="461" t="inlineStr">
        <is>
          <t>按实</t>
        </is>
      </c>
      <c r="BM279" s="220">
        <f>BN279</f>
        <v/>
      </c>
      <c r="BN279" s="220" t="n"/>
      <c r="BO279" s="220">
        <f>BM279-BN279</f>
        <v/>
      </c>
      <c r="BP279" s="220">
        <f>N279+Q279+U279+Y279+AC279+AG279+AK279+AO279+AS279+AW279+BA279+BE279+BI279+BM279</f>
        <v/>
      </c>
      <c r="BQ279" s="220">
        <f>N279+R279+V279+Z279+AD279+AH279+AL279+AP279+AT279+AX279+BB279+BF279+BJ279+BN279</f>
        <v/>
      </c>
      <c r="BR279" s="220">
        <f>BP279-BQ279</f>
        <v/>
      </c>
      <c r="BS279" s="254" t="inlineStr">
        <is>
          <t>/</t>
        </is>
      </c>
      <c r="BT279" s="229" t="inlineStr">
        <is>
          <t>/</t>
        </is>
      </c>
      <c r="BU279" s="230" t="n"/>
      <c r="BV279" s="230" t="inlineStr">
        <is>
          <t>1、签订期间：2026.2.1-2026.7.31；
2、指标按照全年换算；</t>
        </is>
      </c>
      <c r="BW279" s="534" t="n"/>
    </row>
    <row r="280" ht="24" customFormat="1" customHeight="1" s="209">
      <c r="A280" s="219" t="n">
        <v>323</v>
      </c>
      <c r="B280" s="220" t="inlineStr">
        <is>
          <t>KQCY0323</t>
        </is>
      </c>
      <c r="C280" s="221" t="inlineStr">
        <is>
          <t>餐饮五分部</t>
        </is>
      </c>
      <c r="D280" s="221" t="inlineStr">
        <is>
          <t>CF698</t>
        </is>
      </c>
      <c r="E280" s="221" t="inlineStr">
        <is>
          <t>兰理工兰工坪校区一食堂</t>
        </is>
      </c>
      <c r="F280" s="219" t="inlineStr">
        <is>
          <t>分组作业</t>
        </is>
      </c>
      <c r="G280" s="222" t="inlineStr">
        <is>
          <t>徐敏捷</t>
        </is>
      </c>
      <c r="H280" s="503" t="inlineStr">
        <is>
          <t>/</t>
        </is>
      </c>
      <c r="I280" s="237" t="inlineStr">
        <is>
          <t>杂粮煎饼</t>
        </is>
      </c>
      <c r="J280" s="503" t="inlineStr">
        <is>
          <t>李超</t>
        </is>
      </c>
      <c r="K280" s="545">
        <f>LET(k,D280&amp;"|"&amp;E280&amp;"|"&amp;H280&amp;"|"&amp;I280&amp;"|"&amp;J280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80" s="339" t="n">
        <v>25000</v>
      </c>
      <c r="M280" s="224" t="n"/>
      <c r="N280" s="547" t="n"/>
      <c r="O280" s="548" t="n">
        <v>230000</v>
      </c>
      <c r="P280" s="276" t="n">
        <v>0.18</v>
      </c>
      <c r="Q280" s="461">
        <f>IF(K280&lt;=L280,K280*P280,L280*P280+(K280-L280)*(P280-2%))</f>
        <v/>
      </c>
      <c r="R280" s="227" t="n"/>
      <c r="S280" s="461">
        <f>Q280-R280</f>
        <v/>
      </c>
      <c r="T280" s="227" t="n">
        <v>0</v>
      </c>
      <c r="U280" s="461">
        <f>K280*T280</f>
        <v/>
      </c>
      <c r="V280" s="227" t="n"/>
      <c r="W280" s="461">
        <f>U280-V280</f>
        <v/>
      </c>
      <c r="X280" s="227" t="n">
        <v>0</v>
      </c>
      <c r="Y280" s="461">
        <f>K280*X280</f>
        <v/>
      </c>
      <c r="Z280" s="227" t="n"/>
      <c r="AA280" s="461">
        <f>Y280-Z280</f>
        <v/>
      </c>
      <c r="AB280" s="227" t="n">
        <v>0</v>
      </c>
      <c r="AC280" s="461">
        <f>K280*AB280</f>
        <v/>
      </c>
      <c r="AD280" s="227" t="n"/>
      <c r="AE280" s="461">
        <f>AC280-AD280</f>
        <v/>
      </c>
      <c r="AF280" s="227" t="n">
        <v>0</v>
      </c>
      <c r="AG280" s="461">
        <f>K280*AF280</f>
        <v/>
      </c>
      <c r="AH280" s="227" t="n"/>
      <c r="AI280" s="461">
        <f>AG280-AH280</f>
        <v/>
      </c>
      <c r="AJ280" s="227" t="n">
        <v>0</v>
      </c>
      <c r="AK280" s="461">
        <f>K280*AJ280</f>
        <v/>
      </c>
      <c r="AL280" s="227" t="n"/>
      <c r="AM280" s="461">
        <f>AK280-AL280</f>
        <v/>
      </c>
      <c r="AN280" s="227" t="n">
        <v>0</v>
      </c>
      <c r="AO280" s="461">
        <f>K280*AN280</f>
        <v/>
      </c>
      <c r="AP280" s="461" t="n"/>
      <c r="AQ280" s="461">
        <f>AO280-AP280</f>
        <v/>
      </c>
      <c r="AR280" s="461" t="n"/>
      <c r="AS280" s="461">
        <f>K280*AR280</f>
        <v/>
      </c>
      <c r="AT280" s="461" t="n"/>
      <c r="AU280" s="461">
        <f>AS280-AT280</f>
        <v/>
      </c>
      <c r="AV280" s="551" t="n"/>
      <c r="AW280" s="461">
        <f>K280*AV280</f>
        <v/>
      </c>
      <c r="AX280" s="227" t="n"/>
      <c r="AY280" s="461">
        <f>AW280-AX280</f>
        <v/>
      </c>
      <c r="AZ280" s="227" t="n">
        <v>0</v>
      </c>
      <c r="BA280" s="461">
        <f>K280*AZ280</f>
        <v/>
      </c>
      <c r="BB280" s="461" t="n"/>
      <c r="BC280" s="461">
        <f>BA280-BB280</f>
        <v/>
      </c>
      <c r="BD280" s="235" t="n"/>
      <c r="BE280" s="461">
        <f>K280*BD280</f>
        <v/>
      </c>
      <c r="BF280" s="235" t="n"/>
      <c r="BG280" s="461">
        <f>BE280-BF280</f>
        <v/>
      </c>
      <c r="BH280" s="235" t="n"/>
      <c r="BI280" s="461">
        <f>K280*BH280</f>
        <v/>
      </c>
      <c r="BJ280" s="235" t="n"/>
      <c r="BK280" s="461">
        <f>BI280-BJ280</f>
        <v/>
      </c>
      <c r="BL280" s="461" t="inlineStr">
        <is>
          <t>按实</t>
        </is>
      </c>
      <c r="BM280" s="220">
        <f>BN280</f>
        <v/>
      </c>
      <c r="BN280" s="220" t="n"/>
      <c r="BO280" s="220">
        <f>BM280-BN280</f>
        <v/>
      </c>
      <c r="BP280" s="220">
        <f>N280+Q280+U280+Y280+AC280+AG280+AK280+AO280+AS280+AW280+BA280+BE280+BI280+BM280</f>
        <v/>
      </c>
      <c r="BQ280" s="220">
        <f>N280+R280+V280+Z280+AD280+AH280+AL280+AP280+AT280+AX280+BB280+BF280+BJ280+BN280</f>
        <v/>
      </c>
      <c r="BR280" s="220">
        <f>BP280-BQ280</f>
        <v/>
      </c>
      <c r="BS280" s="254" t="inlineStr">
        <is>
          <t>/</t>
        </is>
      </c>
      <c r="BT280" s="229" t="inlineStr">
        <is>
          <t>/</t>
        </is>
      </c>
      <c r="BU280" s="230" t="n"/>
      <c r="BV280" s="230" t="inlineStr">
        <is>
          <t>1、签订期间：2026.2.1-2026.7.31；
2、指标按照全年换算；</t>
        </is>
      </c>
      <c r="BW280" s="534" t="n"/>
    </row>
    <row r="281" ht="24" customFormat="1" customHeight="1" s="209">
      <c r="A281" s="219" t="n">
        <v>324</v>
      </c>
      <c r="B281" s="220" t="inlineStr">
        <is>
          <t>KQCY0324</t>
        </is>
      </c>
      <c r="C281" s="221" t="inlineStr">
        <is>
          <t>餐饮五分部</t>
        </is>
      </c>
      <c r="D281" s="221" t="inlineStr">
        <is>
          <t>CF698</t>
        </is>
      </c>
      <c r="E281" s="221" t="inlineStr">
        <is>
          <t>兰理工兰工坪校区一食堂</t>
        </is>
      </c>
      <c r="F281" s="219" t="inlineStr">
        <is>
          <t>分组作业</t>
        </is>
      </c>
      <c r="G281" s="222" t="inlineStr">
        <is>
          <t>徐敏捷</t>
        </is>
      </c>
      <c r="H281" s="503" t="inlineStr">
        <is>
          <t>/</t>
        </is>
      </c>
      <c r="I281" s="237" t="inlineStr">
        <is>
          <t>蜜雪冰城</t>
        </is>
      </c>
      <c r="J281" s="503" t="inlineStr">
        <is>
          <t>陈发全</t>
        </is>
      </c>
      <c r="K281" s="545">
        <f>LET(k,D281&amp;"|"&amp;E281&amp;"|"&amp;H281&amp;"|"&amp;I281&amp;"|"&amp;J281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81" s="339" t="n"/>
      <c r="M281" s="224" t="n"/>
      <c r="N281" s="547" t="n"/>
      <c r="O281" s="548" t="n">
        <v>520000</v>
      </c>
      <c r="P281" s="227" t="n">
        <v>200000</v>
      </c>
      <c r="Q281" s="461" t="n"/>
      <c r="R281" s="227" t="n"/>
      <c r="S281" s="461">
        <f>Q281-R281</f>
        <v/>
      </c>
      <c r="T281" s="227" t="n">
        <v>0</v>
      </c>
      <c r="U281" s="461">
        <f>K281*T281</f>
        <v/>
      </c>
      <c r="V281" s="227" t="n"/>
      <c r="W281" s="461">
        <f>U281-V281</f>
        <v/>
      </c>
      <c r="X281" s="227" t="n">
        <v>0</v>
      </c>
      <c r="Y281" s="461">
        <f>K281*X281</f>
        <v/>
      </c>
      <c r="Z281" s="227" t="n"/>
      <c r="AA281" s="461">
        <f>Y281-Z281</f>
        <v/>
      </c>
      <c r="AB281" s="227" t="n">
        <v>0</v>
      </c>
      <c r="AC281" s="461">
        <f>K281*AB281</f>
        <v/>
      </c>
      <c r="AD281" s="227" t="n"/>
      <c r="AE281" s="461">
        <f>AC281-AD281</f>
        <v/>
      </c>
      <c r="AF281" s="227" t="n">
        <v>0</v>
      </c>
      <c r="AG281" s="461">
        <f>K281*AF281</f>
        <v/>
      </c>
      <c r="AH281" s="227" t="n"/>
      <c r="AI281" s="461">
        <f>AG281-AH281</f>
        <v/>
      </c>
      <c r="AJ281" s="227" t="n">
        <v>0</v>
      </c>
      <c r="AK281" s="461">
        <f>K281*AJ281</f>
        <v/>
      </c>
      <c r="AL281" s="227" t="n"/>
      <c r="AM281" s="461">
        <f>AK281-AL281</f>
        <v/>
      </c>
      <c r="AN281" s="227" t="n">
        <v>0</v>
      </c>
      <c r="AO281" s="461">
        <f>K281*AN281</f>
        <v/>
      </c>
      <c r="AP281" s="461" t="n"/>
      <c r="AQ281" s="461">
        <f>AO281-AP281</f>
        <v/>
      </c>
      <c r="AR281" s="461" t="n">
        <v>0</v>
      </c>
      <c r="AS281" s="461">
        <f>K281*AR281</f>
        <v/>
      </c>
      <c r="AT281" s="461" t="n"/>
      <c r="AU281" s="461">
        <f>AS281-AT281</f>
        <v/>
      </c>
      <c r="AV281" s="461" t="n"/>
      <c r="AW281" s="461">
        <f>K281*AV281</f>
        <v/>
      </c>
      <c r="AX281" s="227" t="n"/>
      <c r="AY281" s="461">
        <f>AW281-AX281</f>
        <v/>
      </c>
      <c r="AZ281" s="227" t="n">
        <v>0</v>
      </c>
      <c r="BA281" s="461">
        <f>K281*AZ281</f>
        <v/>
      </c>
      <c r="BB281" s="461" t="n"/>
      <c r="BC281" s="461">
        <f>BA281-BB281</f>
        <v/>
      </c>
      <c r="BD281" s="461" t="n"/>
      <c r="BE281" s="461">
        <f>K281*BD281</f>
        <v/>
      </c>
      <c r="BF281" s="461" t="n"/>
      <c r="BG281" s="461">
        <f>BE281-BF281</f>
        <v/>
      </c>
      <c r="BH281" s="461" t="n"/>
      <c r="BI281" s="461">
        <f>K281*BH281</f>
        <v/>
      </c>
      <c r="BJ281" s="461" t="n"/>
      <c r="BK281" s="461">
        <f>BI281-BJ281</f>
        <v/>
      </c>
      <c r="BL281" s="461" t="inlineStr">
        <is>
          <t>按实</t>
        </is>
      </c>
      <c r="BM281" s="220">
        <f>BN281</f>
        <v/>
      </c>
      <c r="BN281" s="220" t="n"/>
      <c r="BO281" s="220">
        <f>BM281-BN281</f>
        <v/>
      </c>
      <c r="BP281" s="220">
        <f>N281+Q281+U281+Y281+AC281+AG281+AK281+AO281+AS281+AW281+BA281+BE281+BI281+BM281</f>
        <v/>
      </c>
      <c r="BQ281" s="220">
        <f>N281+R281+V281+Z281+AD281+AH281+AL281+AP281+AT281+AX281+BB281+BF281+BJ281+BN281</f>
        <v/>
      </c>
      <c r="BR281" s="220">
        <f>BP281-BQ281</f>
        <v/>
      </c>
      <c r="BS281" s="254" t="inlineStr">
        <is>
          <t>/</t>
        </is>
      </c>
      <c r="BT281" s="229" t="inlineStr">
        <is>
          <t>/</t>
        </is>
      </c>
      <c r="BU281" s="230" t="inlineStr">
        <is>
          <t>1、服务费：20万/年
2、项目确认不收卫生费和原材料</t>
        </is>
      </c>
      <c r="BV281" s="230" t="inlineStr">
        <is>
          <t>1、签订期间：2025.8.1-2026.7.30；
2、指标按照会议纪要全年列示金额；</t>
        </is>
      </c>
      <c r="BW281" s="534" t="n"/>
    </row>
    <row r="282" ht="36" customFormat="1" customHeight="1" s="209">
      <c r="A282" s="219" t="n">
        <v>326</v>
      </c>
      <c r="B282" s="220" t="inlineStr">
        <is>
          <t>KQCY0326</t>
        </is>
      </c>
      <c r="C282" s="221" t="inlineStr">
        <is>
          <t>餐饮五分部</t>
        </is>
      </c>
      <c r="D282" s="221" t="inlineStr">
        <is>
          <t>CF102</t>
        </is>
      </c>
      <c r="E282" s="221" t="inlineStr">
        <is>
          <t>苏大东区四食堂</t>
        </is>
      </c>
      <c r="F282" s="219" t="inlineStr">
        <is>
          <t>分组作业</t>
        </is>
      </c>
      <c r="G282" s="222" t="inlineStr">
        <is>
          <t>卫屹</t>
        </is>
      </c>
      <c r="H282" s="503" t="inlineStr">
        <is>
          <t>/</t>
        </is>
      </c>
      <c r="I282" s="237" t="inlineStr">
        <is>
          <t>苏秦味馆</t>
        </is>
      </c>
      <c r="J282" s="503" t="inlineStr">
        <is>
          <t>胡朝阳</t>
        </is>
      </c>
      <c r="K282" s="545">
        <f>LET(k,D282&amp;"|"&amp;E282&amp;"|"&amp;H282&amp;"|"&amp;I282&amp;"|"&amp;J282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82" s="546" t="n"/>
      <c r="M282" s="224" t="n"/>
      <c r="N282" s="553" t="n"/>
      <c r="O282" s="548" t="n">
        <v>1080000</v>
      </c>
      <c r="P282" s="235" t="n">
        <v>0.14</v>
      </c>
      <c r="Q282" s="461">
        <f>K282*P282</f>
        <v/>
      </c>
      <c r="R282" s="554" t="n"/>
      <c r="S282" s="461">
        <f>Q282-R282</f>
        <v/>
      </c>
      <c r="T282" s="235" t="n">
        <v>0</v>
      </c>
      <c r="U282" s="461">
        <f>K282*T282</f>
        <v/>
      </c>
      <c r="V282" s="461" t="n"/>
      <c r="W282" s="461">
        <f>U282-V282</f>
        <v/>
      </c>
      <c r="X282" s="235" t="n">
        <v>0.02</v>
      </c>
      <c r="Y282" s="461">
        <f>K282*X282</f>
        <v/>
      </c>
      <c r="Z282" s="554" t="n"/>
      <c r="AA282" s="461">
        <f>Y282-Z282</f>
        <v/>
      </c>
      <c r="AB282" s="235" t="n">
        <v>0</v>
      </c>
      <c r="AC282" s="461">
        <f>K282*AB282</f>
        <v/>
      </c>
      <c r="AD282" s="461" t="n"/>
      <c r="AE282" s="461">
        <f>AC282-AD282</f>
        <v/>
      </c>
      <c r="AF282" s="235" t="n">
        <v>0</v>
      </c>
      <c r="AG282" s="461">
        <f>K282*AF282</f>
        <v/>
      </c>
      <c r="AH282" s="461" t="n"/>
      <c r="AI282" s="461">
        <f>AG282-AH282</f>
        <v/>
      </c>
      <c r="AJ282" s="235" t="n">
        <v>0</v>
      </c>
      <c r="AK282" s="461">
        <f>K282*AJ282</f>
        <v/>
      </c>
      <c r="AL282" s="461" t="n"/>
      <c r="AM282" s="461">
        <f>AK282-AL282</f>
        <v/>
      </c>
      <c r="AN282" s="235" t="n">
        <v>0</v>
      </c>
      <c r="AO282" s="461">
        <f>K282*AN282</f>
        <v/>
      </c>
      <c r="AP282" s="461" t="n"/>
      <c r="AQ282" s="461">
        <f>AO282-AP282</f>
        <v/>
      </c>
      <c r="AR282" s="247" t="n">
        <v>0.02</v>
      </c>
      <c r="AS282" s="461">
        <f>K282*AR282</f>
        <v/>
      </c>
      <c r="AT282" s="554" t="n"/>
      <c r="AU282" s="461">
        <f>AS282-AT282</f>
        <v/>
      </c>
      <c r="AV282" s="235" t="n">
        <v>0.07000000000000001</v>
      </c>
      <c r="AW282" s="461">
        <f>K282*AV282</f>
        <v/>
      </c>
      <c r="AX282" s="554" t="n"/>
      <c r="AY282" s="340">
        <f>AW282-AX282</f>
        <v/>
      </c>
      <c r="AZ282" s="235" t="inlineStr">
        <is>
          <t>按实</t>
        </is>
      </c>
      <c r="BA282" s="461">
        <f>BB282</f>
        <v/>
      </c>
      <c r="BB282" s="461" t="n"/>
      <c r="BC282" s="461">
        <f>BA282-BB282</f>
        <v/>
      </c>
      <c r="BD282" s="235" t="n">
        <v>0</v>
      </c>
      <c r="BE282" s="461">
        <f>K282*BD282</f>
        <v/>
      </c>
      <c r="BF282" s="461" t="n"/>
      <c r="BG282" s="461">
        <f>BE282-BF282</f>
        <v/>
      </c>
      <c r="BH282" s="235" t="n">
        <v>0</v>
      </c>
      <c r="BI282" s="461">
        <f>K282*BH282</f>
        <v/>
      </c>
      <c r="BJ282" s="461" t="n"/>
      <c r="BK282" s="461">
        <f>BI282-BJ282</f>
        <v/>
      </c>
      <c r="BL282" s="235" t="inlineStr">
        <is>
          <t>按实</t>
        </is>
      </c>
      <c r="BM282" s="220">
        <f>BN282</f>
        <v/>
      </c>
      <c r="BN282" s="588" t="n"/>
      <c r="BO282" s="220">
        <f>BM282-BN282</f>
        <v/>
      </c>
      <c r="BP282" s="220">
        <f>N282+Q282+U282+Y282+AC282+AG282+AK282+AO282+AS282+AW282+BA282+BE282+BI282+BM282</f>
        <v/>
      </c>
      <c r="BQ282" s="220">
        <f>N282+R282+V282+Z282+AD282+AH282+AL282+AP282+AT282+AX282+BB282+BF282+BJ282+BN282</f>
        <v/>
      </c>
      <c r="BR282" s="220">
        <f>BP282-BQ282</f>
        <v/>
      </c>
      <c r="BS282" s="549" t="inlineStr">
        <is>
          <t>/</t>
        </is>
      </c>
      <c r="BT282" s="549" t="inlineStr">
        <is>
          <t>/</t>
        </is>
      </c>
      <c r="BU282" s="230" t="inlineStr">
        <is>
          <t xml:space="preserve">
1、管理人员费：项目反馈不收取，包含在服务费中；
</t>
        </is>
      </c>
      <c r="BV282" s="230" t="inlineStr">
        <is>
          <t>1、签订期间：2026.2.26-2026.8.25；
2、指标按照全年换算；</t>
        </is>
      </c>
      <c r="BW282" s="534" t="n"/>
    </row>
    <row r="283" ht="36" customFormat="1" customHeight="1" s="209">
      <c r="A283" s="219" t="n">
        <v>327</v>
      </c>
      <c r="B283" s="220" t="inlineStr">
        <is>
          <t>KQCY0327</t>
        </is>
      </c>
      <c r="C283" s="221" t="inlineStr">
        <is>
          <t>餐饮五分部</t>
        </is>
      </c>
      <c r="D283" s="221" t="inlineStr">
        <is>
          <t>CF102</t>
        </is>
      </c>
      <c r="E283" s="221" t="inlineStr">
        <is>
          <t>苏大东区四食堂</t>
        </is>
      </c>
      <c r="F283" s="219" t="inlineStr">
        <is>
          <t>分组作业</t>
        </is>
      </c>
      <c r="G283" s="222" t="inlineStr">
        <is>
          <t>卫屹</t>
        </is>
      </c>
      <c r="H283" s="503" t="inlineStr">
        <is>
          <t>/</t>
        </is>
      </c>
      <c r="I283" s="237" t="inlineStr">
        <is>
          <t>麻辣香锅</t>
        </is>
      </c>
      <c r="J283" s="222" t="inlineStr">
        <is>
          <t>祁从忙</t>
        </is>
      </c>
      <c r="K283" s="545">
        <f>LET(k,D283&amp;"|"&amp;E283&amp;"|"&amp;H283&amp;"|"&amp;I283&amp;"|"&amp;J283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83" s="546" t="n"/>
      <c r="M283" s="224" t="n"/>
      <c r="N283" s="553" t="n"/>
      <c r="O283" s="548" t="n">
        <v>800000</v>
      </c>
      <c r="P283" s="235" t="n">
        <v>0.15</v>
      </c>
      <c r="Q283" s="461">
        <f>K283*P283</f>
        <v/>
      </c>
      <c r="R283" s="554" t="n"/>
      <c r="S283" s="461">
        <f>Q283-R283</f>
        <v/>
      </c>
      <c r="T283" s="235" t="n">
        <v>0</v>
      </c>
      <c r="U283" s="461">
        <f>K283*T283</f>
        <v/>
      </c>
      <c r="V283" s="461" t="n"/>
      <c r="W283" s="461">
        <f>U283-V283</f>
        <v/>
      </c>
      <c r="X283" s="235" t="n">
        <v>0.02</v>
      </c>
      <c r="Y283" s="461">
        <f>K283*X283</f>
        <v/>
      </c>
      <c r="Z283" s="554" t="n"/>
      <c r="AA283" s="461">
        <f>Y283-Z283</f>
        <v/>
      </c>
      <c r="AB283" s="235" t="n">
        <v>0</v>
      </c>
      <c r="AC283" s="461">
        <f>K283*AB283</f>
        <v/>
      </c>
      <c r="AD283" s="461" t="n"/>
      <c r="AE283" s="461">
        <f>AC283-AD283</f>
        <v/>
      </c>
      <c r="AF283" s="235" t="n">
        <v>0</v>
      </c>
      <c r="AG283" s="461">
        <f>K283*AF283</f>
        <v/>
      </c>
      <c r="AH283" s="461" t="n"/>
      <c r="AI283" s="461">
        <f>AG283-AH283</f>
        <v/>
      </c>
      <c r="AJ283" s="235" t="n">
        <v>0</v>
      </c>
      <c r="AK283" s="461">
        <f>K283*AJ283</f>
        <v/>
      </c>
      <c r="AL283" s="461" t="n"/>
      <c r="AM283" s="461">
        <f>AK283-AL283</f>
        <v/>
      </c>
      <c r="AN283" s="235" t="n">
        <v>0</v>
      </c>
      <c r="AO283" s="461">
        <f>K283*AN283</f>
        <v/>
      </c>
      <c r="AP283" s="461" t="n"/>
      <c r="AQ283" s="461">
        <f>AO283-AP283</f>
        <v/>
      </c>
      <c r="AR283" s="247" t="n">
        <v>0.02</v>
      </c>
      <c r="AS283" s="461">
        <f>K283*AR283</f>
        <v/>
      </c>
      <c r="AT283" s="554" t="n"/>
      <c r="AU283" s="461">
        <f>AS283-AT283</f>
        <v/>
      </c>
      <c r="AV283" s="235" t="n">
        <v>0.07000000000000001</v>
      </c>
      <c r="AW283" s="461">
        <f>K283*AV283</f>
        <v/>
      </c>
      <c r="AX283" s="554" t="n"/>
      <c r="AY283" s="340">
        <f>AW283-AX283</f>
        <v/>
      </c>
      <c r="AZ283" s="235" t="inlineStr">
        <is>
          <t>按实</t>
        </is>
      </c>
      <c r="BA283" s="461">
        <f>BB283</f>
        <v/>
      </c>
      <c r="BB283" s="461" t="n"/>
      <c r="BC283" s="461">
        <f>BA283-BB283</f>
        <v/>
      </c>
      <c r="BD283" s="235" t="n">
        <v>0</v>
      </c>
      <c r="BE283" s="461">
        <f>K283*BD283</f>
        <v/>
      </c>
      <c r="BF283" s="461" t="n"/>
      <c r="BG283" s="461">
        <f>BE283-BF283</f>
        <v/>
      </c>
      <c r="BH283" s="235" t="n">
        <v>0</v>
      </c>
      <c r="BI283" s="461">
        <f>K283*BH283</f>
        <v/>
      </c>
      <c r="BJ283" s="461" t="n"/>
      <c r="BK283" s="461">
        <f>BI283-BJ283</f>
        <v/>
      </c>
      <c r="BL283" s="235" t="inlineStr">
        <is>
          <t>按实</t>
        </is>
      </c>
      <c r="BM283" s="220">
        <f>BN283</f>
        <v/>
      </c>
      <c r="BN283" s="588" t="n"/>
      <c r="BO283" s="220">
        <f>BM283-BN283</f>
        <v/>
      </c>
      <c r="BP283" s="220">
        <f>N283+Q283+U283+Y283+AC283+AG283+AK283+AO283+AS283+AW283+BA283+BE283+BI283+BM283</f>
        <v/>
      </c>
      <c r="BQ283" s="220">
        <f>N283+R283+V283+Z283+AD283+AH283+AL283+AP283+AT283+AX283+BB283+BF283+BJ283+BN283</f>
        <v/>
      </c>
      <c r="BR283" s="220">
        <f>BP283-BQ283</f>
        <v/>
      </c>
      <c r="BS283" s="549" t="inlineStr">
        <is>
          <t>/</t>
        </is>
      </c>
      <c r="BT283" s="549" t="inlineStr">
        <is>
          <t>/</t>
        </is>
      </c>
      <c r="BU283" s="230" t="inlineStr">
        <is>
          <t xml:space="preserve">
1、管理人员费：项目反馈不收取，包含在服务费中；
</t>
        </is>
      </c>
      <c r="BV283" s="230" t="inlineStr">
        <is>
          <t>1、签订期间：2026.2.26-2026.8.25；
2、指标按照全年换算；</t>
        </is>
      </c>
      <c r="BW283" s="534" t="n"/>
    </row>
    <row r="284" ht="36" customFormat="1" customHeight="1" s="209">
      <c r="A284" s="219" t="n">
        <v>328</v>
      </c>
      <c r="B284" s="220" t="inlineStr">
        <is>
          <t>KQCY0328</t>
        </is>
      </c>
      <c r="C284" s="221" t="inlineStr">
        <is>
          <t>餐饮五分部</t>
        </is>
      </c>
      <c r="D284" s="221" t="inlineStr">
        <is>
          <t>CF102</t>
        </is>
      </c>
      <c r="E284" s="221" t="inlineStr">
        <is>
          <t>苏大东区四食堂</t>
        </is>
      </c>
      <c r="F284" s="219" t="inlineStr">
        <is>
          <t>分组作业</t>
        </is>
      </c>
      <c r="G284" s="222" t="inlineStr">
        <is>
          <t>卫屹</t>
        </is>
      </c>
      <c r="H284" s="503" t="inlineStr">
        <is>
          <t>/</t>
        </is>
      </c>
      <c r="I284" s="237" t="inlineStr">
        <is>
          <t>奉天朱家小馆</t>
        </is>
      </c>
      <c r="J284" s="222" t="inlineStr">
        <is>
          <t>闫闪闪</t>
        </is>
      </c>
      <c r="K284" s="545">
        <f>LET(k,D284&amp;"|"&amp;E284&amp;"|"&amp;H284&amp;"|"&amp;I284&amp;"|"&amp;J284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84" s="546" t="n"/>
      <c r="M284" s="224" t="n"/>
      <c r="N284" s="553" t="n"/>
      <c r="O284" s="548" t="n">
        <v>800000</v>
      </c>
      <c r="P284" s="235" t="n">
        <v>0.15</v>
      </c>
      <c r="Q284" s="461">
        <f>K284*P284</f>
        <v/>
      </c>
      <c r="R284" s="554" t="n"/>
      <c r="S284" s="461">
        <f>Q284-R284</f>
        <v/>
      </c>
      <c r="T284" s="235" t="n">
        <v>0</v>
      </c>
      <c r="U284" s="461">
        <f>K284*T284</f>
        <v/>
      </c>
      <c r="V284" s="461" t="n"/>
      <c r="W284" s="461">
        <f>U284-V284</f>
        <v/>
      </c>
      <c r="X284" s="235" t="n">
        <v>0.02</v>
      </c>
      <c r="Y284" s="461">
        <f>K284*X284</f>
        <v/>
      </c>
      <c r="Z284" s="554" t="n"/>
      <c r="AA284" s="461">
        <f>Y284-Z284</f>
        <v/>
      </c>
      <c r="AB284" s="235" t="n">
        <v>0</v>
      </c>
      <c r="AC284" s="461">
        <f>K284*AB284</f>
        <v/>
      </c>
      <c r="AD284" s="461" t="n"/>
      <c r="AE284" s="461">
        <f>AC284-AD284</f>
        <v/>
      </c>
      <c r="AF284" s="235" t="n">
        <v>0</v>
      </c>
      <c r="AG284" s="461">
        <f>K284*AF284</f>
        <v/>
      </c>
      <c r="AH284" s="461" t="n"/>
      <c r="AI284" s="461">
        <f>AG284-AH284</f>
        <v/>
      </c>
      <c r="AJ284" s="235" t="n">
        <v>0</v>
      </c>
      <c r="AK284" s="461">
        <f>K284*AJ284</f>
        <v/>
      </c>
      <c r="AL284" s="461" t="n"/>
      <c r="AM284" s="461">
        <f>AK284-AL284</f>
        <v/>
      </c>
      <c r="AN284" s="235" t="n">
        <v>0</v>
      </c>
      <c r="AO284" s="461">
        <f>K284*AN284</f>
        <v/>
      </c>
      <c r="AP284" s="461" t="n"/>
      <c r="AQ284" s="461">
        <f>AO284-AP284</f>
        <v/>
      </c>
      <c r="AR284" s="247" t="n">
        <v>0.02</v>
      </c>
      <c r="AS284" s="461">
        <f>K284*AR284</f>
        <v/>
      </c>
      <c r="AT284" s="554" t="n"/>
      <c r="AU284" s="461">
        <f>AS284-AT284</f>
        <v/>
      </c>
      <c r="AV284" s="235" t="n">
        <v>0.07000000000000001</v>
      </c>
      <c r="AW284" s="461">
        <f>K284*AV284</f>
        <v/>
      </c>
      <c r="AX284" s="554" t="n"/>
      <c r="AY284" s="340">
        <f>AW284-AX284</f>
        <v/>
      </c>
      <c r="AZ284" s="235" t="inlineStr">
        <is>
          <t>按实</t>
        </is>
      </c>
      <c r="BA284" s="461">
        <f>BB284</f>
        <v/>
      </c>
      <c r="BB284" s="461" t="n"/>
      <c r="BC284" s="461">
        <f>BA284-BB284</f>
        <v/>
      </c>
      <c r="BD284" s="235" t="n">
        <v>0</v>
      </c>
      <c r="BE284" s="461">
        <f>K284*BD284</f>
        <v/>
      </c>
      <c r="BF284" s="461" t="n"/>
      <c r="BG284" s="461">
        <f>BE284-BF284</f>
        <v/>
      </c>
      <c r="BH284" s="235" t="n">
        <v>0</v>
      </c>
      <c r="BI284" s="461">
        <f>K284*BH284</f>
        <v/>
      </c>
      <c r="BJ284" s="461" t="n"/>
      <c r="BK284" s="461">
        <f>BI284-BJ284</f>
        <v/>
      </c>
      <c r="BL284" s="235" t="inlineStr">
        <is>
          <t>按实</t>
        </is>
      </c>
      <c r="BM284" s="220">
        <f>BN284</f>
        <v/>
      </c>
      <c r="BN284" s="588" t="n"/>
      <c r="BO284" s="220">
        <f>BM284-BN284</f>
        <v/>
      </c>
      <c r="BP284" s="220">
        <f>N284+Q284+U284+Y284+AC284+AG284+AK284+AO284+AS284+AW284+BA284+BE284+BI284+BM284</f>
        <v/>
      </c>
      <c r="BQ284" s="220">
        <f>N284+R284+V284+Z284+AD284+AH284+AL284+AP284+AT284+AX284+BB284+BF284+BJ284+BN284</f>
        <v/>
      </c>
      <c r="BR284" s="220">
        <f>BP284-BQ284</f>
        <v/>
      </c>
      <c r="BS284" s="549" t="inlineStr">
        <is>
          <t>/</t>
        </is>
      </c>
      <c r="BT284" s="549" t="inlineStr">
        <is>
          <t>/</t>
        </is>
      </c>
      <c r="BU284" s="230" t="inlineStr">
        <is>
          <t xml:space="preserve">
1、管理人员费：项目反馈不收取，包含在服务费中；
</t>
        </is>
      </c>
      <c r="BV284" s="230" t="inlineStr">
        <is>
          <t>1、签订期间：2026.2.26-2026.8.25；
2、指标按照全年换算；</t>
        </is>
      </c>
      <c r="BW284" s="534" t="n"/>
    </row>
    <row r="285" ht="36" customFormat="1" customHeight="1" s="209">
      <c r="A285" s="219" t="n">
        <v>329</v>
      </c>
      <c r="B285" s="220" t="inlineStr">
        <is>
          <t>KQCY0329</t>
        </is>
      </c>
      <c r="C285" s="221" t="inlineStr">
        <is>
          <t>餐饮五分部</t>
        </is>
      </c>
      <c r="D285" s="221" t="inlineStr">
        <is>
          <t>CF102</t>
        </is>
      </c>
      <c r="E285" s="221" t="inlineStr">
        <is>
          <t>苏大东区四食堂</t>
        </is>
      </c>
      <c r="F285" s="219" t="inlineStr">
        <is>
          <t>分组作业</t>
        </is>
      </c>
      <c r="G285" s="222" t="inlineStr">
        <is>
          <t>卫屹</t>
        </is>
      </c>
      <c r="H285" s="503" t="inlineStr">
        <is>
          <t>/</t>
        </is>
      </c>
      <c r="I285" s="237" t="inlineStr">
        <is>
          <t>李左奚香港肥汁米线</t>
        </is>
      </c>
      <c r="J285" s="222" t="inlineStr">
        <is>
          <t>杨伟明</t>
        </is>
      </c>
      <c r="K285" s="545">
        <f>LET(k,D285&amp;"|"&amp;E285&amp;"|"&amp;H285&amp;"|"&amp;I285&amp;"|"&amp;J285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85" s="546" t="n"/>
      <c r="M285" s="224" t="n"/>
      <c r="N285" s="553" t="n"/>
      <c r="O285" s="548" t="n">
        <v>560000</v>
      </c>
      <c r="P285" s="235" t="n">
        <v>0.15</v>
      </c>
      <c r="Q285" s="461">
        <f>K285*P285</f>
        <v/>
      </c>
      <c r="R285" s="554" t="n"/>
      <c r="S285" s="461">
        <f>Q285-R285</f>
        <v/>
      </c>
      <c r="T285" s="235" t="n">
        <v>0</v>
      </c>
      <c r="U285" s="461">
        <f>K285*T285</f>
        <v/>
      </c>
      <c r="V285" s="461" t="n"/>
      <c r="W285" s="461">
        <f>U285-V285</f>
        <v/>
      </c>
      <c r="X285" s="235" t="n">
        <v>0.02</v>
      </c>
      <c r="Y285" s="461">
        <f>K285*X285</f>
        <v/>
      </c>
      <c r="Z285" s="554" t="n"/>
      <c r="AA285" s="461">
        <f>Y285-Z285</f>
        <v/>
      </c>
      <c r="AB285" s="235" t="n">
        <v>0</v>
      </c>
      <c r="AC285" s="461">
        <f>K285*AB285</f>
        <v/>
      </c>
      <c r="AD285" s="461" t="n"/>
      <c r="AE285" s="461">
        <f>AC285-AD285</f>
        <v/>
      </c>
      <c r="AF285" s="235" t="n">
        <v>0</v>
      </c>
      <c r="AG285" s="461">
        <f>K285*AF285</f>
        <v/>
      </c>
      <c r="AH285" s="461" t="n"/>
      <c r="AI285" s="461">
        <f>AG285-AH285</f>
        <v/>
      </c>
      <c r="AJ285" s="235" t="n">
        <v>0</v>
      </c>
      <c r="AK285" s="461">
        <f>K285*AJ285</f>
        <v/>
      </c>
      <c r="AL285" s="461" t="n"/>
      <c r="AM285" s="461">
        <f>AK285-AL285</f>
        <v/>
      </c>
      <c r="AN285" s="235" t="n">
        <v>0</v>
      </c>
      <c r="AO285" s="461">
        <f>K285*AN285</f>
        <v/>
      </c>
      <c r="AP285" s="461" t="n"/>
      <c r="AQ285" s="461">
        <f>AO285-AP285</f>
        <v/>
      </c>
      <c r="AR285" s="247" t="n">
        <v>0.02</v>
      </c>
      <c r="AS285" s="461">
        <f>K285*AR285</f>
        <v/>
      </c>
      <c r="AT285" s="554" t="n"/>
      <c r="AU285" s="461">
        <f>AS285-AT285</f>
        <v/>
      </c>
      <c r="AV285" s="235" t="n">
        <v>0.07000000000000001</v>
      </c>
      <c r="AW285" s="461">
        <f>K285*AV285</f>
        <v/>
      </c>
      <c r="AX285" s="554" t="n"/>
      <c r="AY285" s="340">
        <f>AW285-AX285</f>
        <v/>
      </c>
      <c r="AZ285" s="235" t="inlineStr">
        <is>
          <t>按实</t>
        </is>
      </c>
      <c r="BA285" s="461">
        <f>BB285</f>
        <v/>
      </c>
      <c r="BB285" s="461" t="n"/>
      <c r="BC285" s="461">
        <f>BA285-BB285</f>
        <v/>
      </c>
      <c r="BD285" s="235" t="n">
        <v>0</v>
      </c>
      <c r="BE285" s="461">
        <f>K285*BD285</f>
        <v/>
      </c>
      <c r="BF285" s="461" t="n"/>
      <c r="BG285" s="461">
        <f>BE285-BF285</f>
        <v/>
      </c>
      <c r="BH285" s="235" t="n">
        <v>0</v>
      </c>
      <c r="BI285" s="461">
        <f>K285*BH285</f>
        <v/>
      </c>
      <c r="BJ285" s="461" t="n"/>
      <c r="BK285" s="461">
        <f>BI285-BJ285</f>
        <v/>
      </c>
      <c r="BL285" s="235" t="inlineStr">
        <is>
          <t>按实</t>
        </is>
      </c>
      <c r="BM285" s="220">
        <f>BN285</f>
        <v/>
      </c>
      <c r="BN285" s="588" t="n"/>
      <c r="BO285" s="220">
        <f>BM285-BN285</f>
        <v/>
      </c>
      <c r="BP285" s="220">
        <f>N285+Q285+U285+Y285+AC285+AG285+AK285+AO285+AS285+AW285+BA285+BE285+BI285+BM285</f>
        <v/>
      </c>
      <c r="BQ285" s="220">
        <f>N285+R285+V285+Z285+AD285+AH285+AL285+AP285+AT285+AX285+BB285+BF285+BJ285+BN285</f>
        <v/>
      </c>
      <c r="BR285" s="220">
        <f>BP285-BQ285</f>
        <v/>
      </c>
      <c r="BS285" s="549" t="inlineStr">
        <is>
          <t>/</t>
        </is>
      </c>
      <c r="BT285" s="549" t="inlineStr">
        <is>
          <t>/</t>
        </is>
      </c>
      <c r="BU285" s="230" t="inlineStr">
        <is>
          <t xml:space="preserve">
1、管理人员费：项目反馈不收取，包含在服务费中；
</t>
        </is>
      </c>
      <c r="BV285" s="230" t="inlineStr">
        <is>
          <t>1、签订期间：2026.2.26-2026.8.25；
2、指标按照全年换算；</t>
        </is>
      </c>
      <c r="BW285" s="534" t="n"/>
    </row>
    <row r="286" ht="36" customFormat="1" customHeight="1" s="209">
      <c r="A286" s="219" t="n">
        <v>330</v>
      </c>
      <c r="B286" s="220" t="inlineStr">
        <is>
          <t>KQCY0330</t>
        </is>
      </c>
      <c r="C286" s="221" t="inlineStr">
        <is>
          <t>餐饮五分部</t>
        </is>
      </c>
      <c r="D286" s="221" t="inlineStr">
        <is>
          <t>CF102</t>
        </is>
      </c>
      <c r="E286" s="221" t="inlineStr">
        <is>
          <t>苏大东区四食堂</t>
        </is>
      </c>
      <c r="F286" s="219" t="inlineStr">
        <is>
          <t>分组作业</t>
        </is>
      </c>
      <c r="G286" s="222" t="inlineStr">
        <is>
          <t>卫屹</t>
        </is>
      </c>
      <c r="H286" s="503" t="inlineStr">
        <is>
          <t>/</t>
        </is>
      </c>
      <c r="I286" s="237" t="inlineStr">
        <is>
          <t>好粥道(卤味套餐饭)</t>
        </is>
      </c>
      <c r="J286" s="222" t="inlineStr">
        <is>
          <t>朱德国</t>
        </is>
      </c>
      <c r="K286" s="545">
        <f>LET(k,D286&amp;"|"&amp;E286&amp;"|"&amp;H286&amp;"|"&amp;I286&amp;"|"&amp;J286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86" s="546" t="n"/>
      <c r="M286" s="224" t="n"/>
      <c r="N286" s="553" t="n"/>
      <c r="O286" s="548" t="n">
        <v>2760000</v>
      </c>
      <c r="P286" s="235" t="n">
        <v>0.15</v>
      </c>
      <c r="Q286" s="461">
        <f>K286*P286</f>
        <v/>
      </c>
      <c r="R286" s="554" t="n"/>
      <c r="S286" s="461">
        <f>Q286-R286</f>
        <v/>
      </c>
      <c r="T286" s="235" t="n">
        <v>0</v>
      </c>
      <c r="U286" s="461">
        <f>K286*T286</f>
        <v/>
      </c>
      <c r="V286" s="461" t="n"/>
      <c r="W286" s="461">
        <f>U286-V286</f>
        <v/>
      </c>
      <c r="X286" s="235" t="n">
        <v>0.02</v>
      </c>
      <c r="Y286" s="461">
        <f>K286*X286</f>
        <v/>
      </c>
      <c r="Z286" s="554" t="n"/>
      <c r="AA286" s="461">
        <f>Y286-Z286</f>
        <v/>
      </c>
      <c r="AB286" s="235" t="n">
        <v>0</v>
      </c>
      <c r="AC286" s="461">
        <f>K286*AB286</f>
        <v/>
      </c>
      <c r="AD286" s="461" t="n"/>
      <c r="AE286" s="461">
        <f>AC286-AD286</f>
        <v/>
      </c>
      <c r="AF286" s="235" t="n">
        <v>0</v>
      </c>
      <c r="AG286" s="461">
        <f>K286*AF286</f>
        <v/>
      </c>
      <c r="AH286" s="461" t="n"/>
      <c r="AI286" s="461">
        <f>AG286-AH286</f>
        <v/>
      </c>
      <c r="AJ286" s="235" t="n">
        <v>0</v>
      </c>
      <c r="AK286" s="461">
        <f>K286*AJ286</f>
        <v/>
      </c>
      <c r="AL286" s="461" t="n"/>
      <c r="AM286" s="461">
        <f>AK286-AL286</f>
        <v/>
      </c>
      <c r="AN286" s="235" t="n">
        <v>0</v>
      </c>
      <c r="AO286" s="461">
        <f>K286*AN286</f>
        <v/>
      </c>
      <c r="AP286" s="461" t="n"/>
      <c r="AQ286" s="461">
        <f>AO286-AP286</f>
        <v/>
      </c>
      <c r="AR286" s="247" t="n">
        <v>0.02</v>
      </c>
      <c r="AS286" s="461">
        <f>K286*AR286</f>
        <v/>
      </c>
      <c r="AT286" s="554" t="n"/>
      <c r="AU286" s="461">
        <f>AS286-AT286</f>
        <v/>
      </c>
      <c r="AV286" s="235" t="n">
        <v>0.07000000000000001</v>
      </c>
      <c r="AW286" s="461">
        <f>K286*AV286</f>
        <v/>
      </c>
      <c r="AX286" s="554" t="n"/>
      <c r="AY286" s="340">
        <f>AW286-AX286</f>
        <v/>
      </c>
      <c r="AZ286" s="235" t="inlineStr">
        <is>
          <t>按实</t>
        </is>
      </c>
      <c r="BA286" s="461">
        <f>BB286</f>
        <v/>
      </c>
      <c r="BB286" s="461" t="n"/>
      <c r="BC286" s="461">
        <f>BA286-BB286</f>
        <v/>
      </c>
      <c r="BD286" s="235" t="n">
        <v>0</v>
      </c>
      <c r="BE286" s="461">
        <f>K286*BD286</f>
        <v/>
      </c>
      <c r="BF286" s="461" t="n"/>
      <c r="BG286" s="461">
        <f>BE286-BF286</f>
        <v/>
      </c>
      <c r="BH286" s="235" t="n">
        <v>0</v>
      </c>
      <c r="BI286" s="461">
        <f>K286*BH286</f>
        <v/>
      </c>
      <c r="BJ286" s="461" t="n"/>
      <c r="BK286" s="461">
        <f>BI286-BJ286</f>
        <v/>
      </c>
      <c r="BL286" s="235" t="inlineStr">
        <is>
          <t>按实</t>
        </is>
      </c>
      <c r="BM286" s="220">
        <f>BN286</f>
        <v/>
      </c>
      <c r="BN286" s="588" t="n"/>
      <c r="BO286" s="220">
        <f>BM286-BN286</f>
        <v/>
      </c>
      <c r="BP286" s="220">
        <f>N286+Q286+U286+Y286+AC286+AG286+AK286+AO286+AS286+AW286+BA286+BE286+BI286+BM286</f>
        <v/>
      </c>
      <c r="BQ286" s="220">
        <f>N286+R286+V286+Z286+AD286+AH286+AL286+AP286+AT286+AX286+BB286+BF286+BJ286+BN286</f>
        <v/>
      </c>
      <c r="BR286" s="220">
        <f>BP286-BQ286</f>
        <v/>
      </c>
      <c r="BS286" s="549" t="inlineStr">
        <is>
          <t>/</t>
        </is>
      </c>
      <c r="BT286" s="549" t="inlineStr">
        <is>
          <t>/</t>
        </is>
      </c>
      <c r="BU286" s="230" t="inlineStr">
        <is>
          <t xml:space="preserve">
1、管理人员费：项目反馈不收取，包含在服务费中；
</t>
        </is>
      </c>
      <c r="BV286" s="230" t="inlineStr">
        <is>
          <t>1、签订期间：2026.2.26-2026.8.25；
2、指标按照全年换算；</t>
        </is>
      </c>
      <c r="BW286" s="534" t="n"/>
    </row>
    <row r="287" ht="36" customFormat="1" customHeight="1" s="209">
      <c r="A287" s="219" t="n">
        <v>331</v>
      </c>
      <c r="B287" s="220" t="inlineStr">
        <is>
          <t>KQCY0331</t>
        </is>
      </c>
      <c r="C287" s="221" t="inlineStr">
        <is>
          <t>餐饮五分部</t>
        </is>
      </c>
      <c r="D287" s="221" t="inlineStr">
        <is>
          <t>CF102</t>
        </is>
      </c>
      <c r="E287" s="221" t="inlineStr">
        <is>
          <t>苏大东区四食堂</t>
        </is>
      </c>
      <c r="F287" s="219" t="inlineStr">
        <is>
          <t>分组作业</t>
        </is>
      </c>
      <c r="G287" s="222" t="inlineStr">
        <is>
          <t>卫屹</t>
        </is>
      </c>
      <c r="H287" s="503" t="inlineStr">
        <is>
          <t>/</t>
        </is>
      </c>
      <c r="I287" s="237" t="inlineStr">
        <is>
          <t>炒饭.炖罐</t>
        </is>
      </c>
      <c r="J287" s="222" t="inlineStr">
        <is>
          <t>朱少谦</t>
        </is>
      </c>
      <c r="K287" s="545">
        <f>LET(k,D287&amp;"|"&amp;E287&amp;"|"&amp;H287&amp;"|"&amp;I287&amp;"|"&amp;J287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87" s="546" t="n"/>
      <c r="M287" s="224" t="n"/>
      <c r="N287" s="553" t="n"/>
      <c r="O287" s="548" t="n">
        <v>580000</v>
      </c>
      <c r="P287" s="235" t="n">
        <v>0.15</v>
      </c>
      <c r="Q287" s="461">
        <f>K287*P287</f>
        <v/>
      </c>
      <c r="R287" s="554" t="n"/>
      <c r="S287" s="461">
        <f>Q287-R287</f>
        <v/>
      </c>
      <c r="T287" s="235" t="n">
        <v>0</v>
      </c>
      <c r="U287" s="461">
        <f>K287*T287</f>
        <v/>
      </c>
      <c r="V287" s="461" t="n"/>
      <c r="W287" s="461">
        <f>U287-V287</f>
        <v/>
      </c>
      <c r="X287" s="235" t="n">
        <v>0.02</v>
      </c>
      <c r="Y287" s="461">
        <f>K287*X287</f>
        <v/>
      </c>
      <c r="Z287" s="554" t="n"/>
      <c r="AA287" s="461">
        <f>Y287-Z287</f>
        <v/>
      </c>
      <c r="AB287" s="235" t="n">
        <v>0</v>
      </c>
      <c r="AC287" s="461">
        <f>K287*AB287</f>
        <v/>
      </c>
      <c r="AD287" s="461" t="n"/>
      <c r="AE287" s="461">
        <f>AC287-AD287</f>
        <v/>
      </c>
      <c r="AF287" s="235" t="n">
        <v>0</v>
      </c>
      <c r="AG287" s="461">
        <f>K287*AF287</f>
        <v/>
      </c>
      <c r="AH287" s="461" t="n"/>
      <c r="AI287" s="461">
        <f>AG287-AH287</f>
        <v/>
      </c>
      <c r="AJ287" s="235" t="n">
        <v>0</v>
      </c>
      <c r="AK287" s="461">
        <f>K287*AJ287</f>
        <v/>
      </c>
      <c r="AL287" s="461" t="n"/>
      <c r="AM287" s="461">
        <f>AK287-AL287</f>
        <v/>
      </c>
      <c r="AN287" s="235" t="n">
        <v>0</v>
      </c>
      <c r="AO287" s="461">
        <f>K287*AN287</f>
        <v/>
      </c>
      <c r="AP287" s="461" t="n"/>
      <c r="AQ287" s="461">
        <f>AO287-AP287</f>
        <v/>
      </c>
      <c r="AR287" s="247" t="n">
        <v>0.02</v>
      </c>
      <c r="AS287" s="461">
        <f>K287*AR287</f>
        <v/>
      </c>
      <c r="AT287" s="554" t="n"/>
      <c r="AU287" s="461">
        <f>AS287-AT287</f>
        <v/>
      </c>
      <c r="AV287" s="235" t="n">
        <v>0.07000000000000001</v>
      </c>
      <c r="AW287" s="461">
        <f>K287*AV287</f>
        <v/>
      </c>
      <c r="AX287" s="554" t="n"/>
      <c r="AY287" s="340">
        <f>AW287-AX287</f>
        <v/>
      </c>
      <c r="AZ287" s="235" t="inlineStr">
        <is>
          <t>按实</t>
        </is>
      </c>
      <c r="BA287" s="461">
        <f>BB287</f>
        <v/>
      </c>
      <c r="BB287" s="461" t="n"/>
      <c r="BC287" s="461">
        <f>BA287-BB287</f>
        <v/>
      </c>
      <c r="BD287" s="235" t="n">
        <v>0</v>
      </c>
      <c r="BE287" s="461">
        <f>K287*BD287</f>
        <v/>
      </c>
      <c r="BF287" s="461" t="n"/>
      <c r="BG287" s="461">
        <f>BE287-BF287</f>
        <v/>
      </c>
      <c r="BH287" s="235" t="n">
        <v>0</v>
      </c>
      <c r="BI287" s="461">
        <f>K287*BH287</f>
        <v/>
      </c>
      <c r="BJ287" s="461" t="n"/>
      <c r="BK287" s="461">
        <f>BI287-BJ287</f>
        <v/>
      </c>
      <c r="BL287" s="235" t="inlineStr">
        <is>
          <t>按实</t>
        </is>
      </c>
      <c r="BM287" s="220">
        <f>BN287</f>
        <v/>
      </c>
      <c r="BN287" s="588" t="n"/>
      <c r="BO287" s="220">
        <f>BM287-BN287</f>
        <v/>
      </c>
      <c r="BP287" s="220">
        <f>N287+Q287+U287+Y287+AC287+AG287+AK287+AO287+AS287+AW287+BA287+BE287+BI287+BM287</f>
        <v/>
      </c>
      <c r="BQ287" s="220">
        <f>N287+R287+V287+Z287+AD287+AH287+AL287+AP287+AT287+AX287+BB287+BF287+BJ287+BN287</f>
        <v/>
      </c>
      <c r="BR287" s="220">
        <f>BP287-BQ287</f>
        <v/>
      </c>
      <c r="BS287" s="549" t="inlineStr">
        <is>
          <t>/</t>
        </is>
      </c>
      <c r="BT287" s="549" t="inlineStr">
        <is>
          <t>/</t>
        </is>
      </c>
      <c r="BU287" s="230" t="inlineStr">
        <is>
          <t xml:space="preserve">
1、管理人员费：项目反馈不收取，包含在服务费中；
</t>
        </is>
      </c>
      <c r="BV287" s="230" t="inlineStr">
        <is>
          <t>1、签订期间：2026.2.26-2026.8.25；
2、指标按照全年换算；</t>
        </is>
      </c>
      <c r="BW287" s="534" t="n"/>
    </row>
    <row r="288" ht="36" customFormat="1" customHeight="1" s="209">
      <c r="A288" s="219" t="n">
        <v>332</v>
      </c>
      <c r="B288" s="220" t="inlineStr">
        <is>
          <t>KQCY0332</t>
        </is>
      </c>
      <c r="C288" s="221" t="inlineStr">
        <is>
          <t>餐饮五分部</t>
        </is>
      </c>
      <c r="D288" s="221" t="inlineStr">
        <is>
          <t>CF102</t>
        </is>
      </c>
      <c r="E288" s="221" t="inlineStr">
        <is>
          <t>苏大东区四食堂</t>
        </is>
      </c>
      <c r="F288" s="219" t="inlineStr">
        <is>
          <t>分组作业</t>
        </is>
      </c>
      <c r="G288" s="222" t="inlineStr">
        <is>
          <t>卫屹</t>
        </is>
      </c>
      <c r="H288" s="503" t="inlineStr">
        <is>
          <t>/</t>
        </is>
      </c>
      <c r="I288" s="237" t="inlineStr">
        <is>
          <t>七里糖</t>
        </is>
      </c>
      <c r="J288" s="222" t="inlineStr">
        <is>
          <t>任浩龙</t>
        </is>
      </c>
      <c r="K288" s="545">
        <f>LET(k,D288&amp;"|"&amp;E288&amp;"|"&amp;H288&amp;"|"&amp;I288&amp;"|"&amp;J288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88" s="546" t="n"/>
      <c r="M288" s="224" t="n"/>
      <c r="N288" s="553" t="n"/>
      <c r="O288" s="548" t="n">
        <v>640000</v>
      </c>
      <c r="P288" s="235" t="n">
        <v>0.12</v>
      </c>
      <c r="Q288" s="461">
        <f>K288*P288</f>
        <v/>
      </c>
      <c r="R288" s="554" t="n"/>
      <c r="S288" s="461">
        <f>Q288-R288</f>
        <v/>
      </c>
      <c r="T288" s="235" t="n">
        <v>0</v>
      </c>
      <c r="U288" s="461">
        <f>K288*T288</f>
        <v/>
      </c>
      <c r="V288" s="461" t="n"/>
      <c r="W288" s="461">
        <f>U288-V288</f>
        <v/>
      </c>
      <c r="X288" s="235" t="n">
        <v>0.02</v>
      </c>
      <c r="Y288" s="461">
        <f>K288*X288</f>
        <v/>
      </c>
      <c r="Z288" s="554" t="n"/>
      <c r="AA288" s="461">
        <f>Y288-Z288</f>
        <v/>
      </c>
      <c r="AB288" s="235" t="n">
        <v>0</v>
      </c>
      <c r="AC288" s="461">
        <f>K288*AB288</f>
        <v/>
      </c>
      <c r="AD288" s="461" t="n"/>
      <c r="AE288" s="461">
        <f>AC288-AD288</f>
        <v/>
      </c>
      <c r="AF288" s="235" t="n">
        <v>0</v>
      </c>
      <c r="AG288" s="461">
        <f>K288*AF288</f>
        <v/>
      </c>
      <c r="AH288" s="461" t="n"/>
      <c r="AI288" s="461">
        <f>AG288-AH288</f>
        <v/>
      </c>
      <c r="AJ288" s="235" t="n">
        <v>0</v>
      </c>
      <c r="AK288" s="461">
        <f>K288*AJ288</f>
        <v/>
      </c>
      <c r="AL288" s="461" t="n"/>
      <c r="AM288" s="461">
        <f>AK288-AL288</f>
        <v/>
      </c>
      <c r="AN288" s="235" t="n">
        <v>0</v>
      </c>
      <c r="AO288" s="461">
        <f>K288*AN288</f>
        <v/>
      </c>
      <c r="AP288" s="461" t="n"/>
      <c r="AQ288" s="461">
        <f>AO288-AP288</f>
        <v/>
      </c>
      <c r="AR288" s="247" t="n">
        <v>0.02</v>
      </c>
      <c r="AS288" s="461">
        <f>K288*AR288</f>
        <v/>
      </c>
      <c r="AT288" s="554" t="n"/>
      <c r="AU288" s="461">
        <f>AS288-AT288</f>
        <v/>
      </c>
      <c r="AV288" s="235" t="n">
        <v>0.07000000000000001</v>
      </c>
      <c r="AW288" s="461">
        <f>K288*AV288</f>
        <v/>
      </c>
      <c r="AX288" s="554" t="n"/>
      <c r="AY288" s="340">
        <f>AW288-AX288</f>
        <v/>
      </c>
      <c r="AZ288" s="235" t="inlineStr">
        <is>
          <t>按实</t>
        </is>
      </c>
      <c r="BA288" s="461">
        <f>BB288</f>
        <v/>
      </c>
      <c r="BB288" s="461" t="n"/>
      <c r="BC288" s="461">
        <f>BA288-BB288</f>
        <v/>
      </c>
      <c r="BD288" s="235" t="n">
        <v>0</v>
      </c>
      <c r="BE288" s="461">
        <f>K288*BD288</f>
        <v/>
      </c>
      <c r="BF288" s="461" t="n"/>
      <c r="BG288" s="461">
        <f>BE288-BF288</f>
        <v/>
      </c>
      <c r="BH288" s="235" t="n">
        <v>0</v>
      </c>
      <c r="BI288" s="461">
        <f>K288*BH288</f>
        <v/>
      </c>
      <c r="BJ288" s="461" t="n"/>
      <c r="BK288" s="461">
        <f>BI288-BJ288</f>
        <v/>
      </c>
      <c r="BL288" s="235" t="inlineStr">
        <is>
          <t>按实</t>
        </is>
      </c>
      <c r="BM288" s="220">
        <f>BN288</f>
        <v/>
      </c>
      <c r="BN288" s="588" t="n"/>
      <c r="BO288" s="220">
        <f>BM288-BN288</f>
        <v/>
      </c>
      <c r="BP288" s="220">
        <f>N288+Q288+U288+Y288+AC288+AG288+AK288+AO288+AS288+AW288+BA288+BE288+BI288+BM288</f>
        <v/>
      </c>
      <c r="BQ288" s="220">
        <f>N288+R288+V288+Z288+AD288+AH288+AL288+AP288+AT288+AX288+BB288+BF288+BJ288+BN288</f>
        <v/>
      </c>
      <c r="BR288" s="220">
        <f>BP288-BQ288</f>
        <v/>
      </c>
      <c r="BS288" s="549" t="inlineStr">
        <is>
          <t>/</t>
        </is>
      </c>
      <c r="BT288" s="549" t="inlineStr">
        <is>
          <t>/</t>
        </is>
      </c>
      <c r="BU288" s="230" t="inlineStr">
        <is>
          <t xml:space="preserve">
1、管理人员费：项目反馈不收取，包含在服务费中；
</t>
        </is>
      </c>
      <c r="BV288" s="230" t="inlineStr">
        <is>
          <t>1、签订期间：2026.2.26-2026.8.25；
2、指标按照全年换算；</t>
        </is>
      </c>
      <c r="BW288" s="534" t="n"/>
    </row>
    <row r="289" ht="36" customFormat="1" customHeight="1" s="209">
      <c r="A289" s="219" t="n">
        <v>333</v>
      </c>
      <c r="B289" s="220" t="inlineStr">
        <is>
          <t>KQCY0333</t>
        </is>
      </c>
      <c r="C289" s="221" t="inlineStr">
        <is>
          <t>餐饮五分部</t>
        </is>
      </c>
      <c r="D289" s="221" t="inlineStr">
        <is>
          <t>CF102</t>
        </is>
      </c>
      <c r="E289" s="221" t="inlineStr">
        <is>
          <t>苏大东区四食堂</t>
        </is>
      </c>
      <c r="F289" s="219" t="inlineStr">
        <is>
          <t>分组作业</t>
        </is>
      </c>
      <c r="G289" s="222" t="inlineStr">
        <is>
          <t>卫屹</t>
        </is>
      </c>
      <c r="H289" s="503" t="inlineStr">
        <is>
          <t>/</t>
        </is>
      </c>
      <c r="I289" s="237" t="inlineStr">
        <is>
          <t>港式云吞</t>
        </is>
      </c>
      <c r="J289" s="222" t="inlineStr">
        <is>
          <t>杨华建</t>
        </is>
      </c>
      <c r="K289" s="545">
        <f>LET(k,D289&amp;"|"&amp;E289&amp;"|"&amp;H289&amp;"|"&amp;I289&amp;"|"&amp;J289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89" s="546" t="n"/>
      <c r="M289" s="224" t="n"/>
      <c r="N289" s="553" t="n"/>
      <c r="O289" s="548" t="n">
        <v>300000</v>
      </c>
      <c r="P289" s="235" t="n">
        <v>0.1</v>
      </c>
      <c r="Q289" s="461">
        <f>K289*P289</f>
        <v/>
      </c>
      <c r="R289" s="554" t="n"/>
      <c r="S289" s="461">
        <f>Q289-R289</f>
        <v/>
      </c>
      <c r="T289" s="235" t="n">
        <v>0</v>
      </c>
      <c r="U289" s="461">
        <f>K289*T289</f>
        <v/>
      </c>
      <c r="V289" s="461" t="n"/>
      <c r="W289" s="461">
        <f>U289-V289</f>
        <v/>
      </c>
      <c r="X289" s="235" t="n">
        <v>0.02</v>
      </c>
      <c r="Y289" s="461">
        <f>K289*X289</f>
        <v/>
      </c>
      <c r="Z289" s="554" t="n"/>
      <c r="AA289" s="461">
        <f>Y289-Z289</f>
        <v/>
      </c>
      <c r="AB289" s="235" t="n">
        <v>0</v>
      </c>
      <c r="AC289" s="461">
        <f>K289*AB289</f>
        <v/>
      </c>
      <c r="AD289" s="461" t="n"/>
      <c r="AE289" s="461">
        <f>AC289-AD289</f>
        <v/>
      </c>
      <c r="AF289" s="235" t="n">
        <v>0</v>
      </c>
      <c r="AG289" s="461">
        <f>K289*AF289</f>
        <v/>
      </c>
      <c r="AH289" s="461" t="n"/>
      <c r="AI289" s="461">
        <f>AG289-AH289</f>
        <v/>
      </c>
      <c r="AJ289" s="235" t="n">
        <v>0</v>
      </c>
      <c r="AK289" s="461">
        <f>K289*AJ289</f>
        <v/>
      </c>
      <c r="AL289" s="461" t="n"/>
      <c r="AM289" s="461">
        <f>AK289-AL289</f>
        <v/>
      </c>
      <c r="AN289" s="235" t="n">
        <v>0</v>
      </c>
      <c r="AO289" s="461">
        <f>K289*AN289</f>
        <v/>
      </c>
      <c r="AP289" s="461" t="n"/>
      <c r="AQ289" s="461">
        <f>AO289-AP289</f>
        <v/>
      </c>
      <c r="AR289" s="247" t="n">
        <v>0.02</v>
      </c>
      <c r="AS289" s="461">
        <f>K289*AR289</f>
        <v/>
      </c>
      <c r="AT289" s="554" t="n"/>
      <c r="AU289" s="461">
        <f>AS289-AT289</f>
        <v/>
      </c>
      <c r="AV289" s="235" t="n">
        <v>0.07000000000000001</v>
      </c>
      <c r="AW289" s="461">
        <f>K289*AV289</f>
        <v/>
      </c>
      <c r="AX289" s="554" t="n"/>
      <c r="AY289" s="340">
        <f>AW289-AX289</f>
        <v/>
      </c>
      <c r="AZ289" s="235" t="inlineStr">
        <is>
          <t>按实</t>
        </is>
      </c>
      <c r="BA289" s="461">
        <f>BB289</f>
        <v/>
      </c>
      <c r="BB289" s="461" t="n"/>
      <c r="BC289" s="461">
        <f>BA289-BB289</f>
        <v/>
      </c>
      <c r="BD289" s="235" t="n">
        <v>0</v>
      </c>
      <c r="BE289" s="461">
        <f>K289*BD289</f>
        <v/>
      </c>
      <c r="BF289" s="461" t="n"/>
      <c r="BG289" s="461">
        <f>BE289-BF289</f>
        <v/>
      </c>
      <c r="BH289" s="235" t="n">
        <v>0</v>
      </c>
      <c r="BI289" s="461">
        <f>K289*BH289</f>
        <v/>
      </c>
      <c r="BJ289" s="461" t="n"/>
      <c r="BK289" s="461">
        <f>BI289-BJ289</f>
        <v/>
      </c>
      <c r="BL289" s="235" t="inlineStr">
        <is>
          <t>按实</t>
        </is>
      </c>
      <c r="BM289" s="220">
        <f>BN289</f>
        <v/>
      </c>
      <c r="BN289" s="588" t="n"/>
      <c r="BO289" s="220">
        <f>BM289-BN289</f>
        <v/>
      </c>
      <c r="BP289" s="220">
        <f>N289+Q289+U289+Y289+AC289+AG289+AK289+AO289+AS289+AW289+BA289+BE289+BI289+BM289</f>
        <v/>
      </c>
      <c r="BQ289" s="220">
        <f>N289+R289+V289+Z289+AD289+AH289+AL289+AP289+AT289+AX289+BB289+BF289+BJ289+BN289</f>
        <v/>
      </c>
      <c r="BR289" s="220">
        <f>BP289-BQ289</f>
        <v/>
      </c>
      <c r="BS289" s="549" t="inlineStr">
        <is>
          <t>/</t>
        </is>
      </c>
      <c r="BT289" s="549" t="inlineStr">
        <is>
          <t>/</t>
        </is>
      </c>
      <c r="BU289" s="230" t="inlineStr">
        <is>
          <t xml:space="preserve">
1、管理人员费：项目反馈不收取，包含在服务费中；
</t>
        </is>
      </c>
      <c r="BV289" s="230" t="inlineStr">
        <is>
          <t>1、签订期间：2026.2.26-2026.8.25；
2、指标按照全年换算；</t>
        </is>
      </c>
      <c r="BW289" s="534" t="n"/>
    </row>
    <row r="290" ht="36" customFormat="1" customHeight="1" s="209">
      <c r="A290" s="219" t="n">
        <v>334</v>
      </c>
      <c r="B290" s="220" t="inlineStr">
        <is>
          <t>KQCY0334</t>
        </is>
      </c>
      <c r="C290" s="221" t="inlineStr">
        <is>
          <t>餐饮五分部</t>
        </is>
      </c>
      <c r="D290" s="221" t="inlineStr">
        <is>
          <t>CF102</t>
        </is>
      </c>
      <c r="E290" s="221" t="inlineStr">
        <is>
          <t>苏大东区四食堂</t>
        </is>
      </c>
      <c r="F290" s="219" t="inlineStr">
        <is>
          <t>分组作业</t>
        </is>
      </c>
      <c r="G290" s="222" t="inlineStr">
        <is>
          <t>卫屹</t>
        </is>
      </c>
      <c r="H290" s="503" t="inlineStr">
        <is>
          <t>/</t>
        </is>
      </c>
      <c r="I290" s="237" t="inlineStr">
        <is>
          <t>烤肉拌饭</t>
        </is>
      </c>
      <c r="J290" s="222" t="inlineStr">
        <is>
          <t>李红利</t>
        </is>
      </c>
      <c r="K290" s="545">
        <f>LET(k,D290&amp;"|"&amp;E290&amp;"|"&amp;H290&amp;"|"&amp;I290&amp;"|"&amp;J290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90" s="546" t="n"/>
      <c r="M290" s="224" t="n"/>
      <c r="N290" s="553" t="n">
        <v>16190.81</v>
      </c>
      <c r="O290" s="548" t="n">
        <v>640000</v>
      </c>
      <c r="P290" s="235" t="n">
        <v>0.09</v>
      </c>
      <c r="Q290" s="461">
        <f>K290*P290</f>
        <v/>
      </c>
      <c r="R290" s="554" t="n">
        <v>0</v>
      </c>
      <c r="S290" s="461">
        <f>Q290-R290</f>
        <v/>
      </c>
      <c r="T290" s="235" t="n">
        <v>0</v>
      </c>
      <c r="U290" s="461">
        <f>K290*T290</f>
        <v/>
      </c>
      <c r="V290" s="461" t="n">
        <v>0</v>
      </c>
      <c r="W290" s="461">
        <f>U290-V290</f>
        <v/>
      </c>
      <c r="X290" s="235" t="n">
        <v>0.02</v>
      </c>
      <c r="Y290" s="461">
        <f>K290*X290</f>
        <v/>
      </c>
      <c r="Z290" s="554" t="n">
        <v>0</v>
      </c>
      <c r="AA290" s="461">
        <f>Y290-Z290</f>
        <v/>
      </c>
      <c r="AB290" s="235" t="n">
        <v>0</v>
      </c>
      <c r="AC290" s="461">
        <f>K290*AB290</f>
        <v/>
      </c>
      <c r="AD290" s="461" t="n">
        <v>0</v>
      </c>
      <c r="AE290" s="461">
        <f>AC290-AD290</f>
        <v/>
      </c>
      <c r="AF290" s="235" t="n">
        <v>0</v>
      </c>
      <c r="AG290" s="461">
        <f>K290*AF290</f>
        <v/>
      </c>
      <c r="AH290" s="461" t="n">
        <v>0</v>
      </c>
      <c r="AI290" s="461">
        <f>AG290-AH290</f>
        <v/>
      </c>
      <c r="AJ290" s="235" t="n">
        <v>0</v>
      </c>
      <c r="AK290" s="461">
        <f>K290*AJ290</f>
        <v/>
      </c>
      <c r="AL290" s="461" t="n">
        <v>0</v>
      </c>
      <c r="AM290" s="461">
        <f>AK290-AL290</f>
        <v/>
      </c>
      <c r="AN290" s="235" t="n">
        <v>0</v>
      </c>
      <c r="AO290" s="461">
        <f>K290*AN290</f>
        <v/>
      </c>
      <c r="AP290" s="461" t="n">
        <v>0</v>
      </c>
      <c r="AQ290" s="461">
        <f>AO290-AP290</f>
        <v/>
      </c>
      <c r="AR290" s="247" t="n">
        <v>0.02</v>
      </c>
      <c r="AS290" s="461">
        <f>K290*AR290</f>
        <v/>
      </c>
      <c r="AT290" s="554" t="n">
        <v>0</v>
      </c>
      <c r="AU290" s="461">
        <f>AS290-AT290</f>
        <v/>
      </c>
      <c r="AV290" s="235" t="n">
        <v>0.07000000000000001</v>
      </c>
      <c r="AW290" s="461">
        <f>K290*AV290</f>
        <v/>
      </c>
      <c r="AX290" s="554" t="n">
        <v>0</v>
      </c>
      <c r="AY290" s="340">
        <f>AW290-AX290</f>
        <v/>
      </c>
      <c r="AZ290" s="235" t="inlineStr">
        <is>
          <t>按实</t>
        </is>
      </c>
      <c r="BA290" s="461">
        <f>BB290</f>
        <v/>
      </c>
      <c r="BB290" s="461" t="n">
        <v>0</v>
      </c>
      <c r="BC290" s="461">
        <f>BA290-BB290</f>
        <v/>
      </c>
      <c r="BD290" s="235" t="n">
        <v>0</v>
      </c>
      <c r="BE290" s="461">
        <f>K290*BD290</f>
        <v/>
      </c>
      <c r="BF290" s="461" t="n">
        <v>0</v>
      </c>
      <c r="BG290" s="461">
        <f>BE290-BF290</f>
        <v/>
      </c>
      <c r="BH290" s="235" t="n">
        <v>0</v>
      </c>
      <c r="BI290" s="461">
        <f>K290*BH290</f>
        <v/>
      </c>
      <c r="BJ290" s="461" t="n">
        <v>0</v>
      </c>
      <c r="BK290" s="461">
        <f>BI290-BJ290</f>
        <v/>
      </c>
      <c r="BL290" s="235" t="inlineStr">
        <is>
          <t>按实</t>
        </is>
      </c>
      <c r="BM290" s="220">
        <f>BN290</f>
        <v/>
      </c>
      <c r="BN290" s="588" t="n">
        <v>0</v>
      </c>
      <c r="BO290" s="220">
        <f>BM290-BN290</f>
        <v/>
      </c>
      <c r="BP290" s="220">
        <f>N290+Q290+U290+Y290+AC290+AG290+AK290+AO290+AS290+AW290+BA290+BE290+BI290+BM290</f>
        <v/>
      </c>
      <c r="BQ290" s="220">
        <f>N290+R290+V290+Z290+AD290+AH290+AL290+AP290+AT290+AX290+BB290+BF290+BJ290+BN290</f>
        <v/>
      </c>
      <c r="BR290" s="220">
        <f>BP290-BQ290</f>
        <v/>
      </c>
      <c r="BS290" s="549" t="inlineStr">
        <is>
          <t>/</t>
        </is>
      </c>
      <c r="BT290" s="549" t="inlineStr">
        <is>
          <t>/</t>
        </is>
      </c>
      <c r="BU290" s="230" t="inlineStr">
        <is>
          <t xml:space="preserve">
1、管理人员费：项目反馈不收取，包含在服务费中；
</t>
        </is>
      </c>
      <c r="BV290" s="230" t="inlineStr">
        <is>
          <t>1、签订期间：2026.2.26-2026.8.25；
2、指标按照全年换算；</t>
        </is>
      </c>
      <c r="BW290" s="534" t="n"/>
    </row>
    <row r="291" ht="48" customFormat="1" customHeight="1" s="209">
      <c r="A291" s="219" t="n">
        <v>336</v>
      </c>
      <c r="B291" s="220" t="inlineStr">
        <is>
          <t>KQCY0336</t>
        </is>
      </c>
      <c r="C291" s="221" t="inlineStr">
        <is>
          <t>餐饮五分部</t>
        </is>
      </c>
      <c r="D291" s="221" t="inlineStr">
        <is>
          <t>CF108</t>
        </is>
      </c>
      <c r="E291" s="221" t="inlineStr">
        <is>
          <t>苏大北区六食堂</t>
        </is>
      </c>
      <c r="F291" s="219" t="inlineStr">
        <is>
          <t>分组作业</t>
        </is>
      </c>
      <c r="G291" s="222" t="inlineStr">
        <is>
          <t>卫屹</t>
        </is>
      </c>
      <c r="H291" s="503" t="inlineStr">
        <is>
          <t>/</t>
        </is>
      </c>
      <c r="I291" s="237" t="inlineStr">
        <is>
          <t>快餐</t>
        </is>
      </c>
      <c r="J291" s="222" t="inlineStr">
        <is>
          <t>刘立强</t>
        </is>
      </c>
      <c r="K291" s="545">
        <f>LET(k,D291&amp;"|"&amp;E291&amp;"|"&amp;H291&amp;"|"&amp;I291&amp;"|"&amp;J291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91" s="546" t="n"/>
      <c r="M291" s="224" t="n"/>
      <c r="N291" s="342" t="n"/>
      <c r="O291" s="548" t="n">
        <v>1940000</v>
      </c>
      <c r="P291" s="235" t="n">
        <v>0.11</v>
      </c>
      <c r="Q291" s="461">
        <f>K291*P291</f>
        <v/>
      </c>
      <c r="R291" s="260" t="n"/>
      <c r="S291" s="461">
        <f>Q291-R291</f>
        <v/>
      </c>
      <c r="T291" s="235" t="n">
        <v>0.01</v>
      </c>
      <c r="U291" s="461">
        <f>K291*T291</f>
        <v/>
      </c>
      <c r="V291" s="461" t="n"/>
      <c r="W291" s="461">
        <f>U291-V291</f>
        <v/>
      </c>
      <c r="X291" s="235" t="n">
        <v>0</v>
      </c>
      <c r="Y291" s="461">
        <f>K291*X291</f>
        <v/>
      </c>
      <c r="Z291" s="258" t="n"/>
      <c r="AA291" s="461">
        <f>Y291-Z291</f>
        <v/>
      </c>
      <c r="AB291" s="235" t="n">
        <v>0.01</v>
      </c>
      <c r="AC291" s="461">
        <f>K291*AB291</f>
        <v/>
      </c>
      <c r="AD291" s="461" t="n"/>
      <c r="AE291" s="461">
        <f>AC291-AD291</f>
        <v/>
      </c>
      <c r="AF291" s="235" t="n">
        <v>0.01</v>
      </c>
      <c r="AG291" s="461">
        <f>K291*AF291</f>
        <v/>
      </c>
      <c r="AH291" s="461" t="n"/>
      <c r="AI291" s="461">
        <f>AG291-AH291</f>
        <v/>
      </c>
      <c r="AJ291" s="235" t="n">
        <v>0</v>
      </c>
      <c r="AK291" s="461">
        <f>K291*AJ291</f>
        <v/>
      </c>
      <c r="AL291" s="461" t="n"/>
      <c r="AM291" s="461">
        <f>AK291-AL291</f>
        <v/>
      </c>
      <c r="AN291" s="235" t="n">
        <v>0</v>
      </c>
      <c r="AO291" s="461">
        <f>K291*AN291</f>
        <v/>
      </c>
      <c r="AP291" s="461" t="n"/>
      <c r="AQ291" s="461">
        <f>AO291-AP291</f>
        <v/>
      </c>
      <c r="AR291" s="461" t="inlineStr">
        <is>
          <t>1000元/月，每年1、2、7月份按实际经营天数结算</t>
        </is>
      </c>
      <c r="AS291" s="461">
        <f>AT291</f>
        <v/>
      </c>
      <c r="AT291" s="461" t="n"/>
      <c r="AU291" s="461">
        <f>AS291-AT291</f>
        <v/>
      </c>
      <c r="AV291" s="235" t="n">
        <v>0.07000000000000001</v>
      </c>
      <c r="AW291" s="461">
        <f>K291*AV291</f>
        <v/>
      </c>
      <c r="AX291" s="461" t="n"/>
      <c r="AY291" s="461">
        <f>AW291-AX291</f>
        <v/>
      </c>
      <c r="AZ291" s="235" t="inlineStr">
        <is>
          <t>按实</t>
        </is>
      </c>
      <c r="BA291" s="461">
        <f>BB291</f>
        <v/>
      </c>
      <c r="BB291" s="461" t="n"/>
      <c r="BC291" s="461">
        <f>BA291-BB291</f>
        <v/>
      </c>
      <c r="BD291" s="235" t="n">
        <v>0</v>
      </c>
      <c r="BE291" s="461">
        <f>K291*BD291</f>
        <v/>
      </c>
      <c r="BF291" s="235" t="n"/>
      <c r="BG291" s="461">
        <f>BE291-BF291</f>
        <v/>
      </c>
      <c r="BH291" s="235" t="n">
        <v>0</v>
      </c>
      <c r="BI291" s="461">
        <f>K291*BH291</f>
        <v/>
      </c>
      <c r="BJ291" s="235" t="n"/>
      <c r="BK291" s="461">
        <f>BI291-BJ291</f>
        <v/>
      </c>
      <c r="BL291" s="235" t="inlineStr">
        <is>
          <t>按实</t>
        </is>
      </c>
      <c r="BM291" s="220">
        <f>BN291</f>
        <v/>
      </c>
      <c r="BN291" s="343" t="n"/>
      <c r="BO291" s="220">
        <f>BM291-BN291</f>
        <v/>
      </c>
      <c r="BP291" s="220">
        <f>N291+Q291+U291+Y291+AC291+AG291+AK291+AO291+AS291+AW291+BA291+BE291+BI291+BM291</f>
        <v/>
      </c>
      <c r="BQ291" s="220">
        <f>N291+R291+V291+Z291+AD291+AH291+AL291+AP291+AT291+AX291+BB291+BF291+BJ291+BN291</f>
        <v/>
      </c>
      <c r="BR291" s="220">
        <f>BP291-BQ291</f>
        <v/>
      </c>
      <c r="BS291" s="549" t="inlineStr">
        <is>
          <t>/</t>
        </is>
      </c>
      <c r="BT291" s="549" t="inlineStr">
        <is>
          <t>/</t>
        </is>
      </c>
      <c r="BU291" s="230" t="inlineStr">
        <is>
          <t xml:space="preserve">1、服务费：包含甲方人员工资、甲方捐赠，不单独分摊
</t>
        </is>
      </c>
      <c r="BV291" s="230" t="inlineStr">
        <is>
          <t>1、签订期间：2026.1.26-2026.7.25；
2、指标按照全年换算；</t>
        </is>
      </c>
      <c r="BW291" s="534" t="n"/>
    </row>
    <row r="292" ht="48" customFormat="1" customHeight="1" s="209">
      <c r="A292" s="219" t="n">
        <v>337</v>
      </c>
      <c r="B292" s="220" t="inlineStr">
        <is>
          <t>KQCY0337</t>
        </is>
      </c>
      <c r="C292" s="221" t="inlineStr">
        <is>
          <t>餐饮五分部</t>
        </is>
      </c>
      <c r="D292" s="221" t="inlineStr">
        <is>
          <t>CF108</t>
        </is>
      </c>
      <c r="E292" s="221" t="inlineStr">
        <is>
          <t>苏大北区六食堂</t>
        </is>
      </c>
      <c r="F292" s="219" t="inlineStr">
        <is>
          <t>分组作业</t>
        </is>
      </c>
      <c r="G292" s="222" t="inlineStr">
        <is>
          <t>卫屹</t>
        </is>
      </c>
      <c r="H292" s="503" t="inlineStr">
        <is>
          <t>/</t>
        </is>
      </c>
      <c r="I292" s="237" t="inlineStr">
        <is>
          <t>香锅</t>
        </is>
      </c>
      <c r="J292" s="222" t="inlineStr">
        <is>
          <t>吕金春</t>
        </is>
      </c>
      <c r="K292" s="545">
        <f>LET(k,D292&amp;"|"&amp;E292&amp;"|"&amp;H292&amp;"|"&amp;I292&amp;"|"&amp;J292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92" s="546" t="n"/>
      <c r="M292" s="224" t="n"/>
      <c r="N292" s="342" t="n"/>
      <c r="O292" s="548" t="n">
        <v>420000</v>
      </c>
      <c r="P292" s="235" t="n">
        <v>0.14</v>
      </c>
      <c r="Q292" s="461">
        <f>K292*P292</f>
        <v/>
      </c>
      <c r="R292" s="260" t="n"/>
      <c r="S292" s="461">
        <f>Q292-R292</f>
        <v/>
      </c>
      <c r="T292" s="235" t="n">
        <v>0.01</v>
      </c>
      <c r="U292" s="461">
        <f>K292*T292</f>
        <v/>
      </c>
      <c r="V292" s="461" t="n"/>
      <c r="W292" s="461">
        <f>U292-V292</f>
        <v/>
      </c>
      <c r="X292" s="235" t="n">
        <v>0</v>
      </c>
      <c r="Y292" s="461">
        <f>K292*X292</f>
        <v/>
      </c>
      <c r="Z292" s="258" t="n"/>
      <c r="AA292" s="461">
        <f>Y292-Z292</f>
        <v/>
      </c>
      <c r="AB292" s="235" t="n">
        <v>0.01</v>
      </c>
      <c r="AC292" s="461">
        <f>K292*AB292</f>
        <v/>
      </c>
      <c r="AD292" s="461" t="n"/>
      <c r="AE292" s="461">
        <f>AC292-AD292</f>
        <v/>
      </c>
      <c r="AF292" s="235" t="n">
        <v>0.01</v>
      </c>
      <c r="AG292" s="461">
        <f>K292*AF292</f>
        <v/>
      </c>
      <c r="AH292" s="461" t="n"/>
      <c r="AI292" s="461">
        <f>AG292-AH292</f>
        <v/>
      </c>
      <c r="AJ292" s="235" t="n">
        <v>0</v>
      </c>
      <c r="AK292" s="461">
        <f>K292*AJ292</f>
        <v/>
      </c>
      <c r="AL292" s="461" t="n"/>
      <c r="AM292" s="461">
        <f>AK292-AL292</f>
        <v/>
      </c>
      <c r="AN292" s="235" t="n">
        <v>0</v>
      </c>
      <c r="AO292" s="461">
        <f>K292*AN292</f>
        <v/>
      </c>
      <c r="AP292" s="461" t="n"/>
      <c r="AQ292" s="461">
        <f>AO292-AP292</f>
        <v/>
      </c>
      <c r="AR292" s="461" t="inlineStr">
        <is>
          <t>1000元/月，每年1、2、7月份按实际经营天数结算</t>
        </is>
      </c>
      <c r="AS292" s="461">
        <f>AT292</f>
        <v/>
      </c>
      <c r="AT292" s="461" t="n"/>
      <c r="AU292" s="461">
        <f>AS292-AT292</f>
        <v/>
      </c>
      <c r="AV292" s="235" t="n">
        <v>0.07000000000000001</v>
      </c>
      <c r="AW292" s="461">
        <f>K292*AV292</f>
        <v/>
      </c>
      <c r="AX292" s="461" t="n"/>
      <c r="AY292" s="461">
        <f>AW292-AX292</f>
        <v/>
      </c>
      <c r="AZ292" s="235" t="inlineStr">
        <is>
          <t>按实</t>
        </is>
      </c>
      <c r="BA292" s="461">
        <f>BB292</f>
        <v/>
      </c>
      <c r="BB292" s="461" t="n"/>
      <c r="BC292" s="461">
        <f>BA292-BB292</f>
        <v/>
      </c>
      <c r="BD292" s="235" t="n">
        <v>0</v>
      </c>
      <c r="BE292" s="461">
        <f>K292*BD292</f>
        <v/>
      </c>
      <c r="BF292" s="235" t="n"/>
      <c r="BG292" s="461">
        <f>BE292-BF292</f>
        <v/>
      </c>
      <c r="BH292" s="235" t="n">
        <v>0</v>
      </c>
      <c r="BI292" s="461">
        <f>K292*BH292</f>
        <v/>
      </c>
      <c r="BJ292" s="235" t="n"/>
      <c r="BK292" s="461">
        <f>BI292-BJ292</f>
        <v/>
      </c>
      <c r="BL292" s="235" t="inlineStr">
        <is>
          <t>按实</t>
        </is>
      </c>
      <c r="BM292" s="220">
        <f>BN292</f>
        <v/>
      </c>
      <c r="BN292" s="343" t="n"/>
      <c r="BO292" s="220">
        <f>BM292-BN292</f>
        <v/>
      </c>
      <c r="BP292" s="220">
        <f>N292+Q292+U292+Y292+AC292+AG292+AK292+AO292+AS292+AW292+BA292+BE292+BI292+BM292</f>
        <v/>
      </c>
      <c r="BQ292" s="220">
        <f>N292+R292+V292+Z292+AD292+AH292+AL292+AP292+AT292+AX292+BB292+BF292+BJ292+BN292</f>
        <v/>
      </c>
      <c r="BR292" s="220">
        <f>BP292-BQ292</f>
        <v/>
      </c>
      <c r="BS292" s="549" t="inlineStr">
        <is>
          <t>/</t>
        </is>
      </c>
      <c r="BT292" s="549" t="inlineStr">
        <is>
          <t>/</t>
        </is>
      </c>
      <c r="BU292" s="230" t="inlineStr">
        <is>
          <t xml:space="preserve">1、服务费：包含甲方人员工资、甲方捐赠，不单独分摊
</t>
        </is>
      </c>
      <c r="BV292" s="230" t="inlineStr">
        <is>
          <t>1、签订期间：2026.1.26-2026.7.25；
2、指标按照全年换算；</t>
        </is>
      </c>
      <c r="BW292" s="534" t="n"/>
    </row>
    <row r="293" ht="48" customFormat="1" customHeight="1" s="209">
      <c r="A293" s="219" t="n">
        <v>338</v>
      </c>
      <c r="B293" s="220" t="inlineStr">
        <is>
          <t>KQCY0338</t>
        </is>
      </c>
      <c r="C293" s="221" t="inlineStr">
        <is>
          <t>餐饮五分部</t>
        </is>
      </c>
      <c r="D293" s="221" t="inlineStr">
        <is>
          <t>CF108</t>
        </is>
      </c>
      <c r="E293" s="221" t="inlineStr">
        <is>
          <t>苏大北区六食堂</t>
        </is>
      </c>
      <c r="F293" s="219" t="inlineStr">
        <is>
          <t>分组作业</t>
        </is>
      </c>
      <c r="G293" s="222" t="inlineStr">
        <is>
          <t>卫屹</t>
        </is>
      </c>
      <c r="H293" s="503" t="inlineStr">
        <is>
          <t>/</t>
        </is>
      </c>
      <c r="I293" s="237" t="inlineStr">
        <is>
          <t>黄焖鸡</t>
        </is>
      </c>
      <c r="J293" s="222" t="inlineStr">
        <is>
          <t>许可</t>
        </is>
      </c>
      <c r="K293" s="545">
        <f>LET(k,D293&amp;"|"&amp;E293&amp;"|"&amp;H293&amp;"|"&amp;I293&amp;"|"&amp;J293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93" s="546" t="n"/>
      <c r="M293" s="224" t="n"/>
      <c r="N293" s="342" t="n"/>
      <c r="O293" s="548" t="n">
        <v>420000</v>
      </c>
      <c r="P293" s="235" t="n">
        <v>0.14</v>
      </c>
      <c r="Q293" s="461">
        <f>K293*P293</f>
        <v/>
      </c>
      <c r="R293" s="260" t="n"/>
      <c r="S293" s="461">
        <f>Q293-R293</f>
        <v/>
      </c>
      <c r="T293" s="235" t="n">
        <v>0.01</v>
      </c>
      <c r="U293" s="461">
        <f>K293*T293</f>
        <v/>
      </c>
      <c r="V293" s="461" t="n"/>
      <c r="W293" s="461">
        <f>U293-V293</f>
        <v/>
      </c>
      <c r="X293" s="235" t="n">
        <v>0</v>
      </c>
      <c r="Y293" s="461">
        <f>K293*X293</f>
        <v/>
      </c>
      <c r="Z293" s="258" t="n"/>
      <c r="AA293" s="461">
        <f>Y293-Z293</f>
        <v/>
      </c>
      <c r="AB293" s="235" t="n">
        <v>0.01</v>
      </c>
      <c r="AC293" s="461">
        <f>K293*AB293</f>
        <v/>
      </c>
      <c r="AD293" s="461" t="n"/>
      <c r="AE293" s="461">
        <f>AC293-AD293</f>
        <v/>
      </c>
      <c r="AF293" s="235" t="n">
        <v>0.01</v>
      </c>
      <c r="AG293" s="461">
        <f>K293*AF293</f>
        <v/>
      </c>
      <c r="AH293" s="461" t="n"/>
      <c r="AI293" s="461">
        <f>AG293-AH293</f>
        <v/>
      </c>
      <c r="AJ293" s="235" t="n">
        <v>0</v>
      </c>
      <c r="AK293" s="461">
        <f>K293*AJ293</f>
        <v/>
      </c>
      <c r="AL293" s="461" t="n"/>
      <c r="AM293" s="461">
        <f>AK293-AL293</f>
        <v/>
      </c>
      <c r="AN293" s="235" t="n">
        <v>0</v>
      </c>
      <c r="AO293" s="461">
        <f>K293*AN293</f>
        <v/>
      </c>
      <c r="AP293" s="461" t="n"/>
      <c r="AQ293" s="461">
        <f>AO293-AP293</f>
        <v/>
      </c>
      <c r="AR293" s="461" t="inlineStr">
        <is>
          <t>1000元/月，每年1、2、7月份按实际经营天数结算</t>
        </is>
      </c>
      <c r="AS293" s="461">
        <f>AT293</f>
        <v/>
      </c>
      <c r="AT293" s="461" t="n"/>
      <c r="AU293" s="461">
        <f>AS293-AT293</f>
        <v/>
      </c>
      <c r="AV293" s="235" t="n">
        <v>0.07000000000000001</v>
      </c>
      <c r="AW293" s="461">
        <f>K293*AV293</f>
        <v/>
      </c>
      <c r="AX293" s="461" t="n"/>
      <c r="AY293" s="461">
        <f>AW293-AX293</f>
        <v/>
      </c>
      <c r="AZ293" s="235" t="inlineStr">
        <is>
          <t>按实</t>
        </is>
      </c>
      <c r="BA293" s="461">
        <f>BB293</f>
        <v/>
      </c>
      <c r="BB293" s="461" t="n"/>
      <c r="BC293" s="461">
        <f>BA293-BB293</f>
        <v/>
      </c>
      <c r="BD293" s="235" t="n">
        <v>0</v>
      </c>
      <c r="BE293" s="461">
        <f>K293*BD293</f>
        <v/>
      </c>
      <c r="BF293" s="235" t="n"/>
      <c r="BG293" s="461">
        <f>BE293-BF293</f>
        <v/>
      </c>
      <c r="BH293" s="235" t="n">
        <v>0</v>
      </c>
      <c r="BI293" s="461">
        <f>K293*BH293</f>
        <v/>
      </c>
      <c r="BJ293" s="235" t="n"/>
      <c r="BK293" s="461">
        <f>BI293-BJ293</f>
        <v/>
      </c>
      <c r="BL293" s="235" t="inlineStr">
        <is>
          <t>按实</t>
        </is>
      </c>
      <c r="BM293" s="220">
        <f>BN293</f>
        <v/>
      </c>
      <c r="BN293" s="343" t="n"/>
      <c r="BO293" s="220">
        <f>BM293-BN293</f>
        <v/>
      </c>
      <c r="BP293" s="220">
        <f>N293+Q293+U293+Y293+AC293+AG293+AK293+AO293+AS293+AW293+BA293+BE293+BI293+BM293</f>
        <v/>
      </c>
      <c r="BQ293" s="220">
        <f>N293+R293+V293+Z293+AD293+AH293+AL293+AP293+AT293+AX293+BB293+BF293+BJ293+BN293</f>
        <v/>
      </c>
      <c r="BR293" s="220">
        <f>BP293-BQ293</f>
        <v/>
      </c>
      <c r="BS293" s="549" t="inlineStr">
        <is>
          <t>/</t>
        </is>
      </c>
      <c r="BT293" s="549" t="inlineStr">
        <is>
          <t>/</t>
        </is>
      </c>
      <c r="BU293" s="230" t="inlineStr">
        <is>
          <t xml:space="preserve">1、服务费：包含甲方人员工资、甲方捐赠，不单独分摊
</t>
        </is>
      </c>
      <c r="BV293" s="230" t="inlineStr">
        <is>
          <t>1、签订期间：2026.1.26-2026.7.25；
2、指标按照全年换算；</t>
        </is>
      </c>
      <c r="BW293" s="534" t="n"/>
    </row>
    <row r="294" ht="48" customFormat="1" customHeight="1" s="209">
      <c r="A294" s="219" t="n">
        <v>339</v>
      </c>
      <c r="B294" s="220" t="inlineStr">
        <is>
          <t>KQCY0339</t>
        </is>
      </c>
      <c r="C294" s="221" t="inlineStr">
        <is>
          <t>餐饮五分部</t>
        </is>
      </c>
      <c r="D294" s="221" t="inlineStr">
        <is>
          <t>CF108</t>
        </is>
      </c>
      <c r="E294" s="221" t="inlineStr">
        <is>
          <t>苏大北区六食堂</t>
        </is>
      </c>
      <c r="F294" s="219" t="inlineStr">
        <is>
          <t>分组作业</t>
        </is>
      </c>
      <c r="G294" s="222" t="inlineStr">
        <is>
          <t>卫屹</t>
        </is>
      </c>
      <c r="H294" s="503" t="inlineStr">
        <is>
          <t>/</t>
        </is>
      </c>
      <c r="I294" s="237" t="inlineStr">
        <is>
          <t>千里香</t>
        </is>
      </c>
      <c r="J294" s="222" t="inlineStr">
        <is>
          <t>刘立强</t>
        </is>
      </c>
      <c r="K294" s="545">
        <f>LET(k,D294&amp;"|"&amp;E294&amp;"|"&amp;H294&amp;"|"&amp;I294&amp;"|"&amp;J294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94" s="546" t="n"/>
      <c r="M294" s="224" t="n"/>
      <c r="N294" s="342" t="n"/>
      <c r="O294" s="548" t="n">
        <v>780000</v>
      </c>
      <c r="P294" s="235" t="n">
        <v>0.16</v>
      </c>
      <c r="Q294" s="461">
        <f>K294*P294</f>
        <v/>
      </c>
      <c r="R294" s="260" t="n"/>
      <c r="S294" s="461">
        <f>Q294-R294</f>
        <v/>
      </c>
      <c r="T294" s="235" t="n">
        <v>0.01</v>
      </c>
      <c r="U294" s="461">
        <f>K294*T294</f>
        <v/>
      </c>
      <c r="V294" s="461" t="n"/>
      <c r="W294" s="461">
        <f>U294-V294</f>
        <v/>
      </c>
      <c r="X294" s="235" t="n">
        <v>0</v>
      </c>
      <c r="Y294" s="461">
        <f>K294*X294</f>
        <v/>
      </c>
      <c r="Z294" s="258" t="n"/>
      <c r="AA294" s="461">
        <f>Y294-Z294</f>
        <v/>
      </c>
      <c r="AB294" s="235" t="n">
        <v>0.01</v>
      </c>
      <c r="AC294" s="461">
        <f>K294*AB294</f>
        <v/>
      </c>
      <c r="AD294" s="461" t="n"/>
      <c r="AE294" s="461">
        <f>AC294-AD294</f>
        <v/>
      </c>
      <c r="AF294" s="235" t="n">
        <v>0.01</v>
      </c>
      <c r="AG294" s="461">
        <f>K294*AF294</f>
        <v/>
      </c>
      <c r="AH294" s="461" t="n"/>
      <c r="AI294" s="461">
        <f>AG294-AH294</f>
        <v/>
      </c>
      <c r="AJ294" s="235" t="n">
        <v>0</v>
      </c>
      <c r="AK294" s="461">
        <f>K294*AJ294</f>
        <v/>
      </c>
      <c r="AL294" s="461" t="n"/>
      <c r="AM294" s="461">
        <f>AK294-AL294</f>
        <v/>
      </c>
      <c r="AN294" s="235" t="n">
        <v>0</v>
      </c>
      <c r="AO294" s="461">
        <f>K294*AN294</f>
        <v/>
      </c>
      <c r="AP294" s="461" t="n"/>
      <c r="AQ294" s="461">
        <f>AO294-AP294</f>
        <v/>
      </c>
      <c r="AR294" s="461" t="inlineStr">
        <is>
          <t>1000元/月，每年1、2、7月份按实际经营天数结算</t>
        </is>
      </c>
      <c r="AS294" s="461">
        <f>AT294</f>
        <v/>
      </c>
      <c r="AT294" s="461" t="n"/>
      <c r="AU294" s="461">
        <f>AS294-AT294</f>
        <v/>
      </c>
      <c r="AV294" s="235" t="n">
        <v>0.07000000000000001</v>
      </c>
      <c r="AW294" s="461">
        <f>K294*AV294</f>
        <v/>
      </c>
      <c r="AX294" s="461" t="n"/>
      <c r="AY294" s="461">
        <f>AW294-AX294</f>
        <v/>
      </c>
      <c r="AZ294" s="235" t="inlineStr">
        <is>
          <t>按实</t>
        </is>
      </c>
      <c r="BA294" s="461">
        <f>BB294</f>
        <v/>
      </c>
      <c r="BB294" s="461" t="n"/>
      <c r="BC294" s="461">
        <f>BA294-BB294</f>
        <v/>
      </c>
      <c r="BD294" s="235" t="n">
        <v>0</v>
      </c>
      <c r="BE294" s="461">
        <f>K294*BD294</f>
        <v/>
      </c>
      <c r="BF294" s="235" t="n"/>
      <c r="BG294" s="461">
        <f>BE294-BF294</f>
        <v/>
      </c>
      <c r="BH294" s="235" t="n">
        <v>0</v>
      </c>
      <c r="BI294" s="461">
        <f>K294*BH294</f>
        <v/>
      </c>
      <c r="BJ294" s="235" t="n"/>
      <c r="BK294" s="461">
        <f>BI294-BJ294</f>
        <v/>
      </c>
      <c r="BL294" s="235" t="inlineStr">
        <is>
          <t>按实</t>
        </is>
      </c>
      <c r="BM294" s="220">
        <f>BN294</f>
        <v/>
      </c>
      <c r="BN294" s="343" t="n"/>
      <c r="BO294" s="220">
        <f>BM294-BN294</f>
        <v/>
      </c>
      <c r="BP294" s="220">
        <f>N294+Q294+U294+Y294+AC294+AG294+AK294+AO294+AS294+AW294+BA294+BE294+BI294+BM294</f>
        <v/>
      </c>
      <c r="BQ294" s="220">
        <f>N294+R294+V294+Z294+AD294+AH294+AL294+AP294+AT294+AX294+BB294+BF294+BJ294+BN294</f>
        <v/>
      </c>
      <c r="BR294" s="220">
        <f>BP294-BQ294</f>
        <v/>
      </c>
      <c r="BS294" s="549" t="inlineStr">
        <is>
          <t>/</t>
        </is>
      </c>
      <c r="BT294" s="549" t="inlineStr">
        <is>
          <t>/</t>
        </is>
      </c>
      <c r="BU294" s="230" t="inlineStr">
        <is>
          <t xml:space="preserve">1、服务费：包含甲方人员工资、甲方捐赠，不单独分摊
</t>
        </is>
      </c>
      <c r="BV294" s="230" t="inlineStr">
        <is>
          <t>1、签订期间：2026.1.26-2026.7.25；
2、指标按照全年换算；</t>
        </is>
      </c>
      <c r="BW294" s="534" t="n"/>
    </row>
    <row r="295" ht="48" customFormat="1" customHeight="1" s="209">
      <c r="A295" s="219" t="n">
        <v>340</v>
      </c>
      <c r="B295" s="220" t="inlineStr">
        <is>
          <t>KQCY0340</t>
        </is>
      </c>
      <c r="C295" s="221" t="inlineStr">
        <is>
          <t>餐饮五分部</t>
        </is>
      </c>
      <c r="D295" s="221" t="inlineStr">
        <is>
          <t>CF108</t>
        </is>
      </c>
      <c r="E295" s="221" t="inlineStr">
        <is>
          <t>苏大北区六食堂</t>
        </is>
      </c>
      <c r="F295" s="219" t="inlineStr">
        <is>
          <t>分组作业</t>
        </is>
      </c>
      <c r="G295" s="222" t="inlineStr">
        <is>
          <t>卫屹</t>
        </is>
      </c>
      <c r="H295" s="503" t="inlineStr">
        <is>
          <t>/</t>
        </is>
      </c>
      <c r="I295" s="237" t="inlineStr">
        <is>
          <t>拌面</t>
        </is>
      </c>
      <c r="J295" s="222" t="inlineStr">
        <is>
          <t>龚文涛</t>
        </is>
      </c>
      <c r="K295" s="545">
        <f>LET(k,D295&amp;"|"&amp;E295&amp;"|"&amp;H295&amp;"|"&amp;I295&amp;"|"&amp;J295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95" s="546" t="n"/>
      <c r="M295" s="224" t="n"/>
      <c r="N295" s="342" t="n"/>
      <c r="O295" s="548" t="n">
        <v>420000</v>
      </c>
      <c r="P295" s="235" t="n">
        <v>0.16</v>
      </c>
      <c r="Q295" s="461">
        <f>K295*P295</f>
        <v/>
      </c>
      <c r="R295" s="260" t="n"/>
      <c r="S295" s="461">
        <f>Q295-R295</f>
        <v/>
      </c>
      <c r="T295" s="235" t="n">
        <v>0.01</v>
      </c>
      <c r="U295" s="461">
        <f>K295*T295</f>
        <v/>
      </c>
      <c r="V295" s="461" t="n"/>
      <c r="W295" s="461">
        <f>U295-V295</f>
        <v/>
      </c>
      <c r="X295" s="235" t="n">
        <v>0</v>
      </c>
      <c r="Y295" s="461">
        <f>K295*X295</f>
        <v/>
      </c>
      <c r="Z295" s="258" t="n"/>
      <c r="AA295" s="461">
        <f>Y295-Z295</f>
        <v/>
      </c>
      <c r="AB295" s="235" t="n">
        <v>0.01</v>
      </c>
      <c r="AC295" s="461">
        <f>K295*AB295</f>
        <v/>
      </c>
      <c r="AD295" s="461" t="n"/>
      <c r="AE295" s="461">
        <f>AC295-AD295</f>
        <v/>
      </c>
      <c r="AF295" s="235" t="n">
        <v>0.01</v>
      </c>
      <c r="AG295" s="461">
        <f>K295*AF295</f>
        <v/>
      </c>
      <c r="AH295" s="461" t="n"/>
      <c r="AI295" s="461">
        <f>AG295-AH295</f>
        <v/>
      </c>
      <c r="AJ295" s="235" t="n">
        <v>0</v>
      </c>
      <c r="AK295" s="461">
        <f>K295*AJ295</f>
        <v/>
      </c>
      <c r="AL295" s="461" t="n"/>
      <c r="AM295" s="461">
        <f>AK295-AL295</f>
        <v/>
      </c>
      <c r="AN295" s="235" t="n">
        <v>0</v>
      </c>
      <c r="AO295" s="461">
        <f>K295*AN295</f>
        <v/>
      </c>
      <c r="AP295" s="461" t="n"/>
      <c r="AQ295" s="461">
        <f>AO295-AP295</f>
        <v/>
      </c>
      <c r="AR295" s="461" t="inlineStr">
        <is>
          <t>1000元/月，每年1、2、7月份按实际经营天数结算</t>
        </is>
      </c>
      <c r="AS295" s="461">
        <f>AT295</f>
        <v/>
      </c>
      <c r="AT295" s="461" t="n"/>
      <c r="AU295" s="461">
        <f>AS295-AT295</f>
        <v/>
      </c>
      <c r="AV295" s="235" t="n">
        <v>0.07000000000000001</v>
      </c>
      <c r="AW295" s="461">
        <f>K295*AV295</f>
        <v/>
      </c>
      <c r="AX295" s="461" t="n"/>
      <c r="AY295" s="461">
        <f>AW295-AX295</f>
        <v/>
      </c>
      <c r="AZ295" s="235" t="inlineStr">
        <is>
          <t>按实</t>
        </is>
      </c>
      <c r="BA295" s="461">
        <f>BB295</f>
        <v/>
      </c>
      <c r="BB295" s="461" t="n"/>
      <c r="BC295" s="461">
        <f>BA295-BB295</f>
        <v/>
      </c>
      <c r="BD295" s="235" t="n">
        <v>0</v>
      </c>
      <c r="BE295" s="461">
        <f>K295*BD295</f>
        <v/>
      </c>
      <c r="BF295" s="235" t="n"/>
      <c r="BG295" s="461">
        <f>BE295-BF295</f>
        <v/>
      </c>
      <c r="BH295" s="235" t="n">
        <v>0</v>
      </c>
      <c r="BI295" s="461">
        <f>K295*BH295</f>
        <v/>
      </c>
      <c r="BJ295" s="235" t="n"/>
      <c r="BK295" s="461">
        <f>BI295-BJ295</f>
        <v/>
      </c>
      <c r="BL295" s="235" t="inlineStr">
        <is>
          <t>按实</t>
        </is>
      </c>
      <c r="BM295" s="220">
        <f>BN295</f>
        <v/>
      </c>
      <c r="BN295" s="343" t="n"/>
      <c r="BO295" s="220">
        <f>BM295-BN295</f>
        <v/>
      </c>
      <c r="BP295" s="220">
        <f>N295+Q295+U295+Y295+AC295+AG295+AK295+AO295+AS295+AW295+BA295+BE295+BI295+BM295</f>
        <v/>
      </c>
      <c r="BQ295" s="220">
        <f>N295+R295+V295+Z295+AD295+AH295+AL295+AP295+AT295+AX295+BB295+BF295+BJ295+BN295</f>
        <v/>
      </c>
      <c r="BR295" s="220">
        <f>BP295-BQ295</f>
        <v/>
      </c>
      <c r="BS295" s="549" t="inlineStr">
        <is>
          <t>/</t>
        </is>
      </c>
      <c r="BT295" s="549" t="inlineStr">
        <is>
          <t>/</t>
        </is>
      </c>
      <c r="BU295" s="230" t="inlineStr">
        <is>
          <t xml:space="preserve">1、服务费：包含甲方人员工资、甲方捐赠，不单独分摊
</t>
        </is>
      </c>
      <c r="BV295" s="230" t="inlineStr">
        <is>
          <t>1、签订期间：2026.1.26-2026.7.25；
2、指标按照全年换算；</t>
        </is>
      </c>
      <c r="BW295" s="534" t="n"/>
    </row>
    <row r="296" ht="36" customFormat="1" customHeight="1" s="209">
      <c r="A296" s="219" t="n">
        <v>341</v>
      </c>
      <c r="B296" s="220" t="inlineStr">
        <is>
          <t>KQCY0341</t>
        </is>
      </c>
      <c r="C296" s="221" t="inlineStr">
        <is>
          <t>餐饮五分部</t>
        </is>
      </c>
      <c r="D296" s="221" t="inlineStr">
        <is>
          <t>CF108</t>
        </is>
      </c>
      <c r="E296" s="221" t="inlineStr">
        <is>
          <t>苏大北区六食堂</t>
        </is>
      </c>
      <c r="F296" s="219" t="inlineStr">
        <is>
          <t>分组作业</t>
        </is>
      </c>
      <c r="G296" s="222" t="inlineStr">
        <is>
          <t>卫屹</t>
        </is>
      </c>
      <c r="H296" s="503" t="inlineStr">
        <is>
          <t>/</t>
        </is>
      </c>
      <c r="I296" s="237" t="inlineStr">
        <is>
          <t>煎饼</t>
        </is>
      </c>
      <c r="J296" s="222" t="inlineStr">
        <is>
          <t>李秀德</t>
        </is>
      </c>
      <c r="K296" s="545">
        <f>LET(k,D296&amp;"|"&amp;E296&amp;"|"&amp;H296&amp;"|"&amp;I296&amp;"|"&amp;J296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96" s="546" t="n"/>
      <c r="M296" s="224" t="n"/>
      <c r="N296" s="342" t="n"/>
      <c r="O296" s="548" t="n">
        <v>200000</v>
      </c>
      <c r="P296" s="235" t="n">
        <v>0.12</v>
      </c>
      <c r="Q296" s="461">
        <f>K296*P296</f>
        <v/>
      </c>
      <c r="R296" s="260" t="n"/>
      <c r="S296" s="461">
        <f>Q296-R296</f>
        <v/>
      </c>
      <c r="T296" s="235" t="n">
        <v>0.01</v>
      </c>
      <c r="U296" s="461">
        <f>K296*T296</f>
        <v/>
      </c>
      <c r="V296" s="461" t="n"/>
      <c r="W296" s="461">
        <f>U296-V296</f>
        <v/>
      </c>
      <c r="X296" s="235" t="n">
        <v>0</v>
      </c>
      <c r="Y296" s="461">
        <f>K296*X296</f>
        <v/>
      </c>
      <c r="Z296" s="258" t="n"/>
      <c r="AA296" s="461">
        <f>Y296-Z296</f>
        <v/>
      </c>
      <c r="AB296" s="235" t="n">
        <v>0.01</v>
      </c>
      <c r="AC296" s="461">
        <f>K296*AB296</f>
        <v/>
      </c>
      <c r="AD296" s="461" t="n"/>
      <c r="AE296" s="461">
        <f>AC296-AD296</f>
        <v/>
      </c>
      <c r="AF296" s="235" t="n">
        <v>0.01</v>
      </c>
      <c r="AG296" s="461">
        <f>K296*AF296</f>
        <v/>
      </c>
      <c r="AH296" s="461" t="n"/>
      <c r="AI296" s="461">
        <f>AG296-AH296</f>
        <v/>
      </c>
      <c r="AJ296" s="235" t="n">
        <v>0</v>
      </c>
      <c r="AK296" s="461">
        <f>K296*AJ296</f>
        <v/>
      </c>
      <c r="AL296" s="461" t="n"/>
      <c r="AM296" s="461">
        <f>AK296-AL296</f>
        <v/>
      </c>
      <c r="AN296" s="235" t="n">
        <v>0</v>
      </c>
      <c r="AO296" s="461">
        <f>K296*AN296</f>
        <v/>
      </c>
      <c r="AP296" s="461" t="n"/>
      <c r="AQ296" s="461">
        <f>AO296-AP296</f>
        <v/>
      </c>
      <c r="AR296" s="461" t="inlineStr">
        <is>
          <t>500元，每年1、2、7月份按实际经营天数结算</t>
        </is>
      </c>
      <c r="AS296" s="461">
        <f>AT296</f>
        <v/>
      </c>
      <c r="AT296" s="461" t="n"/>
      <c r="AU296" s="461">
        <f>AS296-AT296</f>
        <v/>
      </c>
      <c r="AV296" s="235" t="n">
        <v>0.07000000000000001</v>
      </c>
      <c r="AW296" s="461">
        <f>K296*AV296</f>
        <v/>
      </c>
      <c r="AX296" s="461" t="n"/>
      <c r="AY296" s="461">
        <f>AW296-AX296</f>
        <v/>
      </c>
      <c r="AZ296" s="235" t="inlineStr">
        <is>
          <t>按实</t>
        </is>
      </c>
      <c r="BA296" s="461">
        <f>BB296</f>
        <v/>
      </c>
      <c r="BB296" s="461" t="n"/>
      <c r="BC296" s="461">
        <f>BA296-BB296</f>
        <v/>
      </c>
      <c r="BD296" s="235" t="n">
        <v>0</v>
      </c>
      <c r="BE296" s="461">
        <f>K296*BD296</f>
        <v/>
      </c>
      <c r="BF296" s="235" t="n"/>
      <c r="BG296" s="461">
        <f>BE296-BF296</f>
        <v/>
      </c>
      <c r="BH296" s="235" t="n">
        <v>0</v>
      </c>
      <c r="BI296" s="461">
        <f>K296*BH296</f>
        <v/>
      </c>
      <c r="BJ296" s="235" t="n"/>
      <c r="BK296" s="461">
        <f>BI296-BJ296</f>
        <v/>
      </c>
      <c r="BL296" s="235" t="inlineStr">
        <is>
          <t>按实</t>
        </is>
      </c>
      <c r="BM296" s="220">
        <f>BN296</f>
        <v/>
      </c>
      <c r="BN296" s="343" t="n"/>
      <c r="BO296" s="220">
        <f>BM296-BN296</f>
        <v/>
      </c>
      <c r="BP296" s="220">
        <f>N296+Q296+U296+Y296+AC296+AG296+AK296+AO296+AS296+AW296+BA296+BE296+BI296+BM296</f>
        <v/>
      </c>
      <c r="BQ296" s="220">
        <f>N296+R296+V296+Z296+AD296+AH296+AL296+AP296+AT296+AX296+BB296+BF296+BJ296+BN296</f>
        <v/>
      </c>
      <c r="BR296" s="220">
        <f>BP296-BQ296</f>
        <v/>
      </c>
      <c r="BS296" s="549" t="inlineStr">
        <is>
          <t>/</t>
        </is>
      </c>
      <c r="BT296" s="549" t="inlineStr">
        <is>
          <t>/</t>
        </is>
      </c>
      <c r="BU296" s="230" t="inlineStr">
        <is>
          <t xml:space="preserve">1、服务费：包含甲方人员工资、甲方捐赠，不单独分摊
</t>
        </is>
      </c>
      <c r="BV296" s="230" t="inlineStr">
        <is>
          <t>1、签订期间：2026.1.26-2026.7.25；
2、指标按照全年换算；</t>
        </is>
      </c>
      <c r="BW296" s="534" t="n"/>
    </row>
    <row r="297" ht="36" customFormat="1" customHeight="1" s="209">
      <c r="A297" s="219" t="n">
        <v>342</v>
      </c>
      <c r="B297" s="220" t="inlineStr">
        <is>
          <t>KQCY0342</t>
        </is>
      </c>
      <c r="C297" s="221" t="inlineStr">
        <is>
          <t>餐饮五分部</t>
        </is>
      </c>
      <c r="D297" s="221" t="inlineStr">
        <is>
          <t>CF108</t>
        </is>
      </c>
      <c r="E297" s="221" t="inlineStr">
        <is>
          <t>苏大北区六食堂</t>
        </is>
      </c>
      <c r="F297" s="219" t="inlineStr">
        <is>
          <t>分组作业</t>
        </is>
      </c>
      <c r="G297" s="222" t="inlineStr">
        <is>
          <t>卫屹</t>
        </is>
      </c>
      <c r="H297" s="503" t="inlineStr">
        <is>
          <t>/</t>
        </is>
      </c>
      <c r="I297" s="237" t="inlineStr">
        <is>
          <t>汉堡</t>
        </is>
      </c>
      <c r="J297" s="222" t="inlineStr">
        <is>
          <t>吴梦醒</t>
        </is>
      </c>
      <c r="K297" s="545">
        <f>LET(k,D297&amp;"|"&amp;E297&amp;"|"&amp;H297&amp;"|"&amp;I297&amp;"|"&amp;J297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97" s="546" t="n"/>
      <c r="M297" s="224" t="n"/>
      <c r="N297" s="342" t="n">
        <v>24045.6</v>
      </c>
      <c r="O297" s="548" t="n">
        <v>380000</v>
      </c>
      <c r="P297" s="235" t="n">
        <v>0.11</v>
      </c>
      <c r="Q297" s="461">
        <f>K297*P297</f>
        <v/>
      </c>
      <c r="R297" s="260" t="n">
        <v>845.6</v>
      </c>
      <c r="S297" s="461">
        <f>Q297-R297</f>
        <v/>
      </c>
      <c r="T297" s="235" t="n">
        <v>0.01</v>
      </c>
      <c r="U297" s="461">
        <f>K297*T297</f>
        <v/>
      </c>
      <c r="V297" s="461" t="n">
        <v>52.85</v>
      </c>
      <c r="W297" s="461">
        <f>U297-V297</f>
        <v/>
      </c>
      <c r="X297" s="235" t="n">
        <v>0</v>
      </c>
      <c r="Y297" s="461">
        <f>K297*X297</f>
        <v/>
      </c>
      <c r="Z297" s="258" t="n">
        <v>0</v>
      </c>
      <c r="AA297" s="461">
        <f>Y297-Z297</f>
        <v/>
      </c>
      <c r="AB297" s="235" t="n">
        <v>0.01</v>
      </c>
      <c r="AC297" s="461">
        <f>K297*AB297</f>
        <v/>
      </c>
      <c r="AD297" s="461" t="n">
        <v>52.85</v>
      </c>
      <c r="AE297" s="461">
        <f>AC297-AD297</f>
        <v/>
      </c>
      <c r="AF297" s="235" t="n">
        <v>0.01</v>
      </c>
      <c r="AG297" s="461">
        <f>K297*AF297</f>
        <v/>
      </c>
      <c r="AH297" s="461" t="n">
        <v>52.85</v>
      </c>
      <c r="AI297" s="461">
        <f>AG297-AH297</f>
        <v/>
      </c>
      <c r="AJ297" s="235" t="n">
        <v>0</v>
      </c>
      <c r="AK297" s="461">
        <f>K297*AJ297</f>
        <v/>
      </c>
      <c r="AL297" s="461" t="n">
        <v>0</v>
      </c>
      <c r="AM297" s="461">
        <f>AK297-AL297</f>
        <v/>
      </c>
      <c r="AN297" s="235" t="n">
        <v>0</v>
      </c>
      <c r="AO297" s="461">
        <f>K297*AN297</f>
        <v/>
      </c>
      <c r="AP297" s="461" t="n">
        <v>0</v>
      </c>
      <c r="AQ297" s="461">
        <f>AO297-AP297</f>
        <v/>
      </c>
      <c r="AR297" s="461" t="inlineStr">
        <is>
          <t>500元，每年1、2、7月份按实际经营天数结算</t>
        </is>
      </c>
      <c r="AS297" s="461">
        <f>AT297</f>
        <v/>
      </c>
      <c r="AT297" s="461" t="n">
        <v>200</v>
      </c>
      <c r="AU297" s="461">
        <f>AS297-AT297</f>
        <v/>
      </c>
      <c r="AV297" s="235" t="n">
        <v>0.07000000000000001</v>
      </c>
      <c r="AW297" s="461">
        <f>K297*AV297</f>
        <v/>
      </c>
      <c r="AX297" s="461" t="n">
        <v>369.95</v>
      </c>
      <c r="AY297" s="461">
        <f>AW297-AX297</f>
        <v/>
      </c>
      <c r="AZ297" s="235" t="inlineStr">
        <is>
          <t>按实</t>
        </is>
      </c>
      <c r="BA297" s="461">
        <f>BB297</f>
        <v/>
      </c>
      <c r="BB297" s="461" t="n">
        <v>0</v>
      </c>
      <c r="BC297" s="461">
        <f>BA297-BB297</f>
        <v/>
      </c>
      <c r="BD297" s="461" t="n">
        <v>0</v>
      </c>
      <c r="BE297" s="461">
        <f>K297*BD297</f>
        <v/>
      </c>
      <c r="BF297" s="461" t="n">
        <v>0</v>
      </c>
      <c r="BG297" s="461">
        <f>BE297-BF297</f>
        <v/>
      </c>
      <c r="BH297" s="461" t="n">
        <v>0</v>
      </c>
      <c r="BI297" s="461">
        <f>K297*BH297</f>
        <v/>
      </c>
      <c r="BJ297" s="461" t="n">
        <v>0</v>
      </c>
      <c r="BK297" s="461">
        <f>BI297-BJ297</f>
        <v/>
      </c>
      <c r="BL297" s="461" t="inlineStr">
        <is>
          <t>按实</t>
        </is>
      </c>
      <c r="BM297" s="220">
        <f>BN297</f>
        <v/>
      </c>
      <c r="BN297" s="343" t="n">
        <v>1261.14</v>
      </c>
      <c r="BO297" s="220">
        <f>BM297-BN297</f>
        <v/>
      </c>
      <c r="BP297" s="220">
        <f>N297+Q297+U297+Y297+AC297+AG297+AK297+AO297+AS297+AW297+BA297+BE297+BI297+BM297</f>
        <v/>
      </c>
      <c r="BQ297" s="220">
        <f>N297+R297+V297+Z297+AD297+AH297+AL297+AP297+AT297+AX297+BB297+BF297+BJ297+BN297</f>
        <v/>
      </c>
      <c r="BR297" s="220">
        <f>BP297-BQ297</f>
        <v/>
      </c>
      <c r="BS297" s="549" t="inlineStr">
        <is>
          <t>/</t>
        </is>
      </c>
      <c r="BT297" s="549" t="inlineStr">
        <is>
          <t>/</t>
        </is>
      </c>
      <c r="BU297" s="230" t="inlineStr">
        <is>
          <t xml:space="preserve">1、服务费：包含甲方人员工资、甲方捐赠，不单独分摊
</t>
        </is>
      </c>
      <c r="BV297" s="230" t="inlineStr">
        <is>
          <t>1、签订期间：2026.1.26-2026.7.25；
2、指标按照全年换算；</t>
        </is>
      </c>
      <c r="BW297" s="534" t="n"/>
    </row>
    <row r="298" customFormat="1" s="209">
      <c r="A298" s="219" t="n">
        <v>344</v>
      </c>
      <c r="B298" s="220" t="inlineStr">
        <is>
          <t>KQCY0344</t>
        </is>
      </c>
      <c r="C298" s="221" t="inlineStr">
        <is>
          <t>餐饮五分部</t>
        </is>
      </c>
      <c r="D298" s="221" t="inlineStr">
        <is>
          <t>CF107</t>
        </is>
      </c>
      <c r="E298" s="221" t="inlineStr">
        <is>
          <t>苏大东区教工食堂</t>
        </is>
      </c>
      <c r="F298" s="222" t="inlineStr">
        <is>
          <t>人员服务外包</t>
        </is>
      </c>
      <c r="G298" s="222" t="inlineStr">
        <is>
          <t>卫屹</t>
        </is>
      </c>
      <c r="H298" s="222" t="inlineStr">
        <is>
          <t>/</t>
        </is>
      </c>
      <c r="I298" s="237" t="inlineStr">
        <is>
          <t>/</t>
        </is>
      </c>
      <c r="J298" s="222" t="inlineStr">
        <is>
          <t>/</t>
        </is>
      </c>
      <c r="K298" s="545">
        <f>LET(k,D298&amp;"|"&amp;E298&amp;"|"&amp;H298&amp;"|"&amp;I298&amp;"|"&amp;J298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98" s="546" t="n"/>
      <c r="M298" s="224" t="n"/>
      <c r="N298" s="547" t="n"/>
      <c r="O298" s="548" t="n">
        <v>612000</v>
      </c>
      <c r="P298" s="235" t="n">
        <v>0</v>
      </c>
      <c r="Q298" s="461">
        <f>K298*P298</f>
        <v/>
      </c>
      <c r="R298" s="554" t="n"/>
      <c r="S298" s="461">
        <f>Q298-R298</f>
        <v/>
      </c>
      <c r="T298" s="235" t="n">
        <v>0</v>
      </c>
      <c r="U298" s="461">
        <f>K298*T298</f>
        <v/>
      </c>
      <c r="V298" s="461" t="n"/>
      <c r="W298" s="461">
        <f>U298-V298</f>
        <v/>
      </c>
      <c r="X298" s="235" t="n">
        <v>0</v>
      </c>
      <c r="Y298" s="461">
        <f>K298*X298</f>
        <v/>
      </c>
      <c r="Z298" s="461" t="n"/>
      <c r="AA298" s="461">
        <f>Y298-Z298</f>
        <v/>
      </c>
      <c r="AB298" s="235" t="n">
        <v>0</v>
      </c>
      <c r="AC298" s="461">
        <f>K298*AB298</f>
        <v/>
      </c>
      <c r="AD298" s="461" t="n"/>
      <c r="AE298" s="461">
        <f>AC298-AD298</f>
        <v/>
      </c>
      <c r="AF298" s="235" t="n">
        <v>0</v>
      </c>
      <c r="AG298" s="461">
        <f>K298*AF298</f>
        <v/>
      </c>
      <c r="AH298" s="461" t="n"/>
      <c r="AI298" s="461">
        <f>AG298-AH298</f>
        <v/>
      </c>
      <c r="AJ298" s="235" t="n">
        <v>0</v>
      </c>
      <c r="AK298" s="461">
        <f>K298*AJ298</f>
        <v/>
      </c>
      <c r="AL298" s="461" t="n"/>
      <c r="AM298" s="461">
        <f>AK298-AL298</f>
        <v/>
      </c>
      <c r="AN298" s="235" t="n">
        <v>0</v>
      </c>
      <c r="AO298" s="461">
        <f>K298*AN298</f>
        <v/>
      </c>
      <c r="AP298" s="461" t="n"/>
      <c r="AQ298" s="461">
        <f>AO298-AP298</f>
        <v/>
      </c>
      <c r="AR298" s="461" t="n">
        <v>0</v>
      </c>
      <c r="AS298" s="461">
        <f>K298*AR298</f>
        <v/>
      </c>
      <c r="AT298" s="461" t="n"/>
      <c r="AU298" s="461">
        <f>AS298-AT298</f>
        <v/>
      </c>
      <c r="AV298" s="235" t="n">
        <v>0</v>
      </c>
      <c r="AW298" s="461">
        <f>K298*AV298</f>
        <v/>
      </c>
      <c r="AX298" s="461" t="n"/>
      <c r="AY298" s="461">
        <f>AW298-AX298</f>
        <v/>
      </c>
      <c r="AZ298" s="235" t="n">
        <v>0</v>
      </c>
      <c r="BA298" s="461">
        <f>K298*AZ298</f>
        <v/>
      </c>
      <c r="BB298" s="461" t="n"/>
      <c r="BC298" s="461">
        <f>BA298-BB298</f>
        <v/>
      </c>
      <c r="BD298" s="461" t="n"/>
      <c r="BE298" s="461">
        <f>K298*BD298</f>
        <v/>
      </c>
      <c r="BF298" s="461" t="n"/>
      <c r="BG298" s="461">
        <f>BE298-BF298</f>
        <v/>
      </c>
      <c r="BH298" s="461" t="n"/>
      <c r="BI298" s="461">
        <f>K298*BH298</f>
        <v/>
      </c>
      <c r="BJ298" s="461" t="n"/>
      <c r="BK298" s="461">
        <f>BI298-BJ298</f>
        <v/>
      </c>
      <c r="BL298" s="461" t="n">
        <v>0</v>
      </c>
      <c r="BM298" s="220">
        <f>K298*BL298</f>
        <v/>
      </c>
      <c r="BN298" s="220" t="n"/>
      <c r="BO298" s="220">
        <f>BM298-BN298</f>
        <v/>
      </c>
      <c r="BP298" s="220">
        <f>N298+Q298+U298+Y298+AC298+AG298+AK298+AO298+AS298+AW298+BA298+BE298+BI298+BM298</f>
        <v/>
      </c>
      <c r="BQ298" s="220">
        <f>N298+R298+V298+Z298+AD298+AH298+AL298+AP298+AT298+AX298+BB298+BF298+BJ298+BN298</f>
        <v/>
      </c>
      <c r="BR298" s="220">
        <f>BP298-BQ298</f>
        <v/>
      </c>
      <c r="BS298" s="549" t="inlineStr">
        <is>
          <t>/</t>
        </is>
      </c>
      <c r="BT298" s="549" t="inlineStr">
        <is>
          <t>/</t>
        </is>
      </c>
      <c r="BU298" s="230" t="n"/>
      <c r="BV298" s="230" t="n"/>
      <c r="BW298" s="534" t="n"/>
    </row>
    <row r="299" ht="24" customFormat="1" customHeight="1" s="209">
      <c r="A299" s="219" t="n">
        <v>346</v>
      </c>
      <c r="B299" s="220" t="inlineStr">
        <is>
          <t>KQCY0346</t>
        </is>
      </c>
      <c r="C299" s="221" t="inlineStr">
        <is>
          <t>餐饮五分部</t>
        </is>
      </c>
      <c r="D299" s="221" t="inlineStr">
        <is>
          <t>CF120</t>
        </is>
      </c>
      <c r="E299" s="221" t="inlineStr">
        <is>
          <t>苏大独墅湖一食堂</t>
        </is>
      </c>
      <c r="F299" s="219" t="inlineStr">
        <is>
          <t>强责</t>
        </is>
      </c>
      <c r="G299" s="222" t="inlineStr">
        <is>
          <t>徐敏娟</t>
        </is>
      </c>
      <c r="H299" s="503" t="inlineStr">
        <is>
          <t>/</t>
        </is>
      </c>
      <c r="I299" s="237" t="inlineStr">
        <is>
          <t>麻辣香锅</t>
        </is>
      </c>
      <c r="J299" s="222" t="inlineStr">
        <is>
          <t>周文影</t>
        </is>
      </c>
      <c r="K299" s="545">
        <f>LET(k,D299&amp;"|"&amp;E299&amp;"|"&amp;H299&amp;"|"&amp;I299&amp;"|"&amp;J299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299" s="546" t="n"/>
      <c r="M299" s="224" t="n"/>
      <c r="N299" s="344" t="n">
        <v>65237.47</v>
      </c>
      <c r="O299" s="548" t="n">
        <v>3830000</v>
      </c>
      <c r="P299" s="552" t="n">
        <v>0.18</v>
      </c>
      <c r="Q299" s="461">
        <f>K299*P299</f>
        <v/>
      </c>
      <c r="R299" s="554" t="n">
        <v>0</v>
      </c>
      <c r="S299" s="461">
        <f>Q299-R299</f>
        <v/>
      </c>
      <c r="T299" s="235" t="n">
        <v>0</v>
      </c>
      <c r="U299" s="461">
        <f>K299*T299</f>
        <v/>
      </c>
      <c r="V299" s="461" t="n"/>
      <c r="W299" s="461">
        <f>U299-V299</f>
        <v/>
      </c>
      <c r="X299" s="235" t="n">
        <v>0</v>
      </c>
      <c r="Y299" s="461">
        <f>K299*X299</f>
        <v/>
      </c>
      <c r="Z299" s="461" t="n"/>
      <c r="AA299" s="461">
        <f>Y299-Z299</f>
        <v/>
      </c>
      <c r="AB299" s="235" t="n">
        <v>0</v>
      </c>
      <c r="AC299" s="461">
        <f>K299*AB299</f>
        <v/>
      </c>
      <c r="AD299" s="461" t="n"/>
      <c r="AE299" s="461">
        <f>AC299-AD299</f>
        <v/>
      </c>
      <c r="AF299" s="235" t="n">
        <v>0</v>
      </c>
      <c r="AG299" s="461">
        <f>K299*AF299</f>
        <v/>
      </c>
      <c r="AH299" s="461" t="n"/>
      <c r="AI299" s="461">
        <f>AG299-AH299</f>
        <v/>
      </c>
      <c r="AJ299" s="235" t="n">
        <v>0</v>
      </c>
      <c r="AK299" s="461">
        <f>K299*AJ299</f>
        <v/>
      </c>
      <c r="AL299" s="461" t="n"/>
      <c r="AM299" s="461">
        <f>AK299-AL299</f>
        <v/>
      </c>
      <c r="AN299" s="235" t="n">
        <v>0</v>
      </c>
      <c r="AO299" s="461">
        <f>K299*AN299</f>
        <v/>
      </c>
      <c r="AP299" s="461" t="n"/>
      <c r="AQ299" s="461">
        <f>AO299-AP299</f>
        <v/>
      </c>
      <c r="AR299" s="461" t="n">
        <v>0</v>
      </c>
      <c r="AS299" s="461">
        <f>K299*AR299</f>
        <v/>
      </c>
      <c r="AT299" s="461" t="n"/>
      <c r="AU299" s="461">
        <f>AS299-AT299</f>
        <v/>
      </c>
      <c r="AV299" s="235" t="inlineStr">
        <is>
          <t>按实</t>
        </is>
      </c>
      <c r="AW299" s="461">
        <f>AX299</f>
        <v/>
      </c>
      <c r="AX299" s="345" t="n">
        <v>1029.15</v>
      </c>
      <c r="AY299" s="461">
        <f>AW299-AX299</f>
        <v/>
      </c>
      <c r="AZ299" s="461" t="inlineStr">
        <is>
          <t>按实结算</t>
        </is>
      </c>
      <c r="BA299" s="461">
        <f>BB299</f>
        <v/>
      </c>
      <c r="BB299" s="461" t="n">
        <v>5.25</v>
      </c>
      <c r="BC299" s="461">
        <f>BA299-BB299</f>
        <v/>
      </c>
      <c r="BD299" s="247" t="n">
        <v>0</v>
      </c>
      <c r="BE299" s="461">
        <f>K299*BD299</f>
        <v/>
      </c>
      <c r="BF299" s="247" t="n"/>
      <c r="BG299" s="461">
        <f>BE299-BF299</f>
        <v/>
      </c>
      <c r="BH299" s="247" t="n">
        <v>0</v>
      </c>
      <c r="BI299" s="461">
        <f>K299*BH299</f>
        <v/>
      </c>
      <c r="BJ299" s="461" t="n"/>
      <c r="BK299" s="461">
        <f>BI299-BJ299</f>
        <v/>
      </c>
      <c r="BL299" s="461" t="inlineStr">
        <is>
          <t>按实结算</t>
        </is>
      </c>
      <c r="BM299" s="220">
        <f>BN299</f>
        <v/>
      </c>
      <c r="BN299" s="554" t="n">
        <v>0</v>
      </c>
      <c r="BO299" s="220">
        <f>BM299-BN299</f>
        <v/>
      </c>
      <c r="BP299" s="220">
        <f>N299+Q299+U299+Y299+AC299+AG299+AK299+AO299+AS299+AW299+BA299+BE299+BI299+BM299</f>
        <v/>
      </c>
      <c r="BQ299" s="220">
        <f>N299+R299+V299+Z299+AD299+AH299+AL299+AP299+AT299+AX299+BB299+BF299+BJ299+BN299</f>
        <v/>
      </c>
      <c r="BR299" s="220">
        <f>BP299-BQ299</f>
        <v/>
      </c>
      <c r="BS299" s="254" t="inlineStr">
        <is>
          <t>/</t>
        </is>
      </c>
      <c r="BT299" s="229" t="inlineStr">
        <is>
          <t>/</t>
        </is>
      </c>
      <c r="BU299" s="250" t="n"/>
      <c r="BV299" s="230" t="inlineStr">
        <is>
          <t>1、签订期间：2026.1-2026.12；
2、指标按照全年换算；</t>
        </is>
      </c>
      <c r="BW299" s="534" t="n"/>
    </row>
    <row r="300" ht="24" customFormat="1" customHeight="1" s="209">
      <c r="A300" s="219" t="n">
        <v>347</v>
      </c>
      <c r="B300" s="220" t="inlineStr">
        <is>
          <t>KQCY0347</t>
        </is>
      </c>
      <c r="C300" s="221" t="inlineStr">
        <is>
          <t>餐饮五分部</t>
        </is>
      </c>
      <c r="D300" s="221" t="inlineStr">
        <is>
          <t>CF120</t>
        </is>
      </c>
      <c r="E300" s="221" t="inlineStr">
        <is>
          <t>苏大独墅湖一食堂</t>
        </is>
      </c>
      <c r="F300" s="219" t="inlineStr">
        <is>
          <t>强责</t>
        </is>
      </c>
      <c r="G300" s="222" t="inlineStr">
        <is>
          <t>徐敏娟</t>
        </is>
      </c>
      <c r="H300" s="503" t="inlineStr">
        <is>
          <t>/</t>
        </is>
      </c>
      <c r="I300" s="237" t="inlineStr">
        <is>
          <t>板煮</t>
        </is>
      </c>
      <c r="J300" s="222" t="inlineStr">
        <is>
          <t>郁亚勇</t>
        </is>
      </c>
      <c r="K300" s="545">
        <f>LET(k,D300&amp;"|"&amp;E300&amp;"|"&amp;H300&amp;"|"&amp;I300&amp;"|"&amp;J300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00" s="546" t="n"/>
      <c r="M300" s="224" t="n"/>
      <c r="N300" s="344" t="n"/>
      <c r="O300" s="548" t="n">
        <v>930000</v>
      </c>
      <c r="P300" s="552" t="n">
        <v>0.19</v>
      </c>
      <c r="Q300" s="461">
        <f>K300*P300</f>
        <v/>
      </c>
      <c r="R300" s="554" t="n"/>
      <c r="S300" s="461">
        <f>Q300-R300</f>
        <v/>
      </c>
      <c r="T300" s="235" t="n">
        <v>0</v>
      </c>
      <c r="U300" s="461">
        <f>K300*T300</f>
        <v/>
      </c>
      <c r="V300" s="461" t="n"/>
      <c r="W300" s="461">
        <f>U300-V300</f>
        <v/>
      </c>
      <c r="X300" s="235" t="n">
        <v>0</v>
      </c>
      <c r="Y300" s="461">
        <f>K300*X300</f>
        <v/>
      </c>
      <c r="Z300" s="461" t="n"/>
      <c r="AA300" s="461">
        <f>Y300-Z300</f>
        <v/>
      </c>
      <c r="AB300" s="235" t="n">
        <v>0</v>
      </c>
      <c r="AC300" s="461">
        <f>K300*AB300</f>
        <v/>
      </c>
      <c r="AD300" s="461" t="n"/>
      <c r="AE300" s="461">
        <f>AC300-AD300</f>
        <v/>
      </c>
      <c r="AF300" s="235" t="n">
        <v>0</v>
      </c>
      <c r="AG300" s="461">
        <f>K300*AF300</f>
        <v/>
      </c>
      <c r="AH300" s="461" t="n"/>
      <c r="AI300" s="461">
        <f>AG300-AH300</f>
        <v/>
      </c>
      <c r="AJ300" s="235" t="n">
        <v>0</v>
      </c>
      <c r="AK300" s="461">
        <f>K300*AJ300</f>
        <v/>
      </c>
      <c r="AL300" s="461" t="n"/>
      <c r="AM300" s="461">
        <f>AK300-AL300</f>
        <v/>
      </c>
      <c r="AN300" s="235" t="n">
        <v>0</v>
      </c>
      <c r="AO300" s="461">
        <f>K300*AN300</f>
        <v/>
      </c>
      <c r="AP300" s="461" t="n"/>
      <c r="AQ300" s="461">
        <f>AO300-AP300</f>
        <v/>
      </c>
      <c r="AR300" s="461" t="n">
        <v>0</v>
      </c>
      <c r="AS300" s="461">
        <f>K300*AR300</f>
        <v/>
      </c>
      <c r="AT300" s="461" t="n"/>
      <c r="AU300" s="461">
        <f>AS300-AT300</f>
        <v/>
      </c>
      <c r="AV300" s="235" t="inlineStr">
        <is>
          <t>按实</t>
        </is>
      </c>
      <c r="AW300" s="461">
        <f>AX300</f>
        <v/>
      </c>
      <c r="AX300" s="345" t="n"/>
      <c r="AY300" s="461">
        <f>AW300-AX300</f>
        <v/>
      </c>
      <c r="AZ300" s="461" t="inlineStr">
        <is>
          <t>按实结算</t>
        </is>
      </c>
      <c r="BA300" s="461">
        <f>BB300</f>
        <v/>
      </c>
      <c r="BB300" s="461" t="n"/>
      <c r="BC300" s="461">
        <f>BA300-BB300</f>
        <v/>
      </c>
      <c r="BD300" s="247" t="n">
        <v>0</v>
      </c>
      <c r="BE300" s="461">
        <f>K300*BD300</f>
        <v/>
      </c>
      <c r="BF300" s="247" t="n"/>
      <c r="BG300" s="461">
        <f>BE300-BF300</f>
        <v/>
      </c>
      <c r="BH300" s="247" t="n">
        <v>0</v>
      </c>
      <c r="BI300" s="461">
        <f>K300*BH300</f>
        <v/>
      </c>
      <c r="BJ300" s="461" t="n"/>
      <c r="BK300" s="461">
        <f>BI300-BJ300</f>
        <v/>
      </c>
      <c r="BL300" s="461" t="inlineStr">
        <is>
          <t>按实结算</t>
        </is>
      </c>
      <c r="BM300" s="220">
        <f>BN300</f>
        <v/>
      </c>
      <c r="BN300" s="554" t="n"/>
      <c r="BO300" s="220">
        <f>BM300-BN300</f>
        <v/>
      </c>
      <c r="BP300" s="220">
        <f>N300+Q300+U300+Y300+AC300+AG300+AK300+AO300+AS300+AW300+BA300+BE300+BI300+BM300</f>
        <v/>
      </c>
      <c r="BQ300" s="220">
        <f>N300+R300+V300+Z300+AD300+AH300+AL300+AP300+AT300+AX300+BB300+BF300+BJ300+BN300</f>
        <v/>
      </c>
      <c r="BR300" s="220">
        <f>BP300-BQ300</f>
        <v/>
      </c>
      <c r="BS300" s="254" t="inlineStr">
        <is>
          <t>/</t>
        </is>
      </c>
      <c r="BT300" s="229" t="inlineStr">
        <is>
          <t>/</t>
        </is>
      </c>
      <c r="BU300" s="250" t="n"/>
      <c r="BV300" s="230" t="inlineStr">
        <is>
          <t>1、签订期间：2026.1-2026.12；
2、指标按照全年换算；</t>
        </is>
      </c>
      <c r="BW300" s="534" t="n"/>
    </row>
    <row r="301" ht="24" customFormat="1" customHeight="1" s="209">
      <c r="A301" s="219" t="n">
        <v>349</v>
      </c>
      <c r="B301" s="220" t="inlineStr">
        <is>
          <t>KQCY0349</t>
        </is>
      </c>
      <c r="C301" s="221" t="inlineStr">
        <is>
          <t>餐饮五分部</t>
        </is>
      </c>
      <c r="D301" s="221" t="inlineStr">
        <is>
          <t>CF121</t>
        </is>
      </c>
      <c r="E301" s="221" t="inlineStr">
        <is>
          <t>苏大独墅湖六食堂</t>
        </is>
      </c>
      <c r="F301" s="219" t="inlineStr">
        <is>
          <t>强责</t>
        </is>
      </c>
      <c r="G301" s="222" t="inlineStr">
        <is>
          <t>徐敏娟</t>
        </is>
      </c>
      <c r="H301" s="503" t="inlineStr">
        <is>
          <t>/</t>
        </is>
      </c>
      <c r="I301" s="237" t="inlineStr">
        <is>
          <t>青海拉面</t>
        </is>
      </c>
      <c r="J301" s="222" t="inlineStr">
        <is>
          <t>韩应努四</t>
        </is>
      </c>
      <c r="K301" s="545">
        <f>LET(k,D301&amp;"|"&amp;E301&amp;"|"&amp;H301&amp;"|"&amp;I301&amp;"|"&amp;J301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01" s="546" t="n"/>
      <c r="M301" s="224" t="n"/>
      <c r="N301" s="344" t="n">
        <v>44599.72</v>
      </c>
      <c r="O301" s="548" t="n">
        <v>1280000</v>
      </c>
      <c r="P301" s="552" t="n">
        <v>0.1</v>
      </c>
      <c r="Q301" s="461">
        <f>K301*P301</f>
        <v/>
      </c>
      <c r="R301" s="554" t="n">
        <v>0</v>
      </c>
      <c r="S301" s="461">
        <f>Q301-R301</f>
        <v/>
      </c>
      <c r="T301" s="235" t="n">
        <v>0</v>
      </c>
      <c r="U301" s="461">
        <f>K301*T301</f>
        <v/>
      </c>
      <c r="V301" s="461" t="n"/>
      <c r="W301" s="461">
        <f>U301-V301</f>
        <v/>
      </c>
      <c r="X301" s="235" t="n">
        <v>0</v>
      </c>
      <c r="Y301" s="461">
        <f>K301*X301</f>
        <v/>
      </c>
      <c r="Z301" s="461" t="n"/>
      <c r="AA301" s="461">
        <f>Y301-Z301</f>
        <v/>
      </c>
      <c r="AB301" s="235" t="n">
        <v>0</v>
      </c>
      <c r="AC301" s="461">
        <f>K301*AB301</f>
        <v/>
      </c>
      <c r="AD301" s="461" t="n"/>
      <c r="AE301" s="461">
        <f>AC301-AD301</f>
        <v/>
      </c>
      <c r="AF301" s="235" t="n">
        <v>0</v>
      </c>
      <c r="AG301" s="461">
        <f>K301*AF301</f>
        <v/>
      </c>
      <c r="AH301" s="461" t="n"/>
      <c r="AI301" s="461">
        <f>AG301-AH301</f>
        <v/>
      </c>
      <c r="AJ301" s="235" t="n">
        <v>0</v>
      </c>
      <c r="AK301" s="461">
        <f>K301*AJ301</f>
        <v/>
      </c>
      <c r="AL301" s="461" t="n"/>
      <c r="AM301" s="461">
        <f>AK301-AL301</f>
        <v/>
      </c>
      <c r="AN301" s="235" t="n">
        <v>0</v>
      </c>
      <c r="AO301" s="461">
        <f>K301*AN301</f>
        <v/>
      </c>
      <c r="AP301" s="461" t="n"/>
      <c r="AQ301" s="461">
        <f>AO301-AP301</f>
        <v/>
      </c>
      <c r="AR301" s="461" t="n">
        <v>0</v>
      </c>
      <c r="AS301" s="461">
        <f>K301*AR301</f>
        <v/>
      </c>
      <c r="AT301" s="461" t="n"/>
      <c r="AU301" s="461">
        <f>AS301-AT301</f>
        <v/>
      </c>
      <c r="AV301" s="461" t="inlineStr">
        <is>
          <t>按实</t>
        </is>
      </c>
      <c r="AW301" s="461">
        <f>AX301</f>
        <v/>
      </c>
      <c r="AX301" s="345" t="n"/>
      <c r="AY301" s="461">
        <f>AW301-AX301</f>
        <v/>
      </c>
      <c r="AZ301" s="461" t="inlineStr">
        <is>
          <t>按实结算</t>
        </is>
      </c>
      <c r="BA301" s="461">
        <f>BB301</f>
        <v/>
      </c>
      <c r="BB301" s="461" t="n">
        <v>0.74</v>
      </c>
      <c r="BC301" s="461">
        <f>BA301-BB301</f>
        <v/>
      </c>
      <c r="BD301" s="247" t="n">
        <v>0</v>
      </c>
      <c r="BE301" s="461">
        <f>K301*BD301</f>
        <v/>
      </c>
      <c r="BF301" s="247" t="n"/>
      <c r="BG301" s="461">
        <f>BE301-BF301</f>
        <v/>
      </c>
      <c r="BH301" s="247" t="n">
        <v>0</v>
      </c>
      <c r="BI301" s="461">
        <f>K301*BH301</f>
        <v/>
      </c>
      <c r="BJ301" s="461" t="n"/>
      <c r="BK301" s="461">
        <f>BI301-BJ301</f>
        <v/>
      </c>
      <c r="BL301" s="461" t="inlineStr">
        <is>
          <t>按实结算</t>
        </is>
      </c>
      <c r="BM301" s="220">
        <f>BN301</f>
        <v/>
      </c>
      <c r="BN301" s="554" t="n">
        <v>0</v>
      </c>
      <c r="BO301" s="220">
        <f>BM301-BN301</f>
        <v/>
      </c>
      <c r="BP301" s="220">
        <f>N301+Q301+U301+Y301+AC301+AG301+AK301+AO301+AS301+AW301+BA301+BE301+BI301+BM301</f>
        <v/>
      </c>
      <c r="BQ301" s="220">
        <f>N301+R301+V301+Z301+AD301+AH301+AL301+AP301+AT301+AX301+BB301+BF301+BJ301+BN301</f>
        <v/>
      </c>
      <c r="BR301" s="220">
        <f>BP301-BQ301</f>
        <v/>
      </c>
      <c r="BS301" s="254" t="inlineStr">
        <is>
          <t>/</t>
        </is>
      </c>
      <c r="BT301" s="229" t="inlineStr">
        <is>
          <t>/</t>
        </is>
      </c>
      <c r="BU301" s="230" t="n"/>
      <c r="BV301" s="230" t="inlineStr">
        <is>
          <t>1、签订期间：2026.1-2026.12；
2、指标按照全年换算；</t>
        </is>
      </c>
      <c r="BW301" s="534" t="n"/>
    </row>
    <row r="302" ht="24" customFormat="1" customHeight="1" s="209">
      <c r="A302" s="219" t="n">
        <v>351</v>
      </c>
      <c r="B302" s="220" t="inlineStr">
        <is>
          <t>KQCY0351</t>
        </is>
      </c>
      <c r="C302" s="221" t="inlineStr">
        <is>
          <t>餐饮五分部</t>
        </is>
      </c>
      <c r="D302" s="221" t="inlineStr">
        <is>
          <t>CF121</t>
        </is>
      </c>
      <c r="E302" s="221" t="inlineStr">
        <is>
          <t>苏大独墅湖二食堂</t>
        </is>
      </c>
      <c r="F302" s="219" t="inlineStr">
        <is>
          <t>强责</t>
        </is>
      </c>
      <c r="G302" s="222" t="inlineStr">
        <is>
          <t>徐敏娟</t>
        </is>
      </c>
      <c r="H302" s="503" t="inlineStr">
        <is>
          <t>/</t>
        </is>
      </c>
      <c r="I302" s="237" t="inlineStr">
        <is>
          <t>手工水饺(山东煎饼)</t>
        </is>
      </c>
      <c r="J302" s="222" t="inlineStr">
        <is>
          <t>李俊</t>
        </is>
      </c>
      <c r="K302" s="545">
        <f>LET(k,D302&amp;"|"&amp;E302&amp;"|"&amp;H302&amp;"|"&amp;I302&amp;"|"&amp;J302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02" s="546" t="n"/>
      <c r="M302" s="224" t="n"/>
      <c r="N302" s="234" t="n">
        <v>174475.2</v>
      </c>
      <c r="O302" s="548" t="n">
        <v>730000</v>
      </c>
      <c r="P302" s="247" t="n">
        <v>0.25</v>
      </c>
      <c r="Q302" s="461">
        <f>K302*P302</f>
        <v/>
      </c>
      <c r="R302" s="345" t="n">
        <v>0</v>
      </c>
      <c r="S302" s="461">
        <f>Q302-R302</f>
        <v/>
      </c>
      <c r="T302" s="235" t="n">
        <v>0</v>
      </c>
      <c r="U302" s="461">
        <f>K302*T302</f>
        <v/>
      </c>
      <c r="V302" s="461" t="n"/>
      <c r="W302" s="461">
        <f>U302-V302</f>
        <v/>
      </c>
      <c r="X302" s="235" t="n">
        <v>0</v>
      </c>
      <c r="Y302" s="461">
        <f>K302*X302</f>
        <v/>
      </c>
      <c r="Z302" s="461" t="n"/>
      <c r="AA302" s="461">
        <f>Y302-Z302</f>
        <v/>
      </c>
      <c r="AB302" s="235" t="n">
        <v>0</v>
      </c>
      <c r="AC302" s="461">
        <f>K302*AB302</f>
        <v/>
      </c>
      <c r="AD302" s="461" t="n"/>
      <c r="AE302" s="461">
        <f>AC302-AD302</f>
        <v/>
      </c>
      <c r="AF302" s="235" t="n">
        <v>0</v>
      </c>
      <c r="AG302" s="461">
        <f>K302*AF302</f>
        <v/>
      </c>
      <c r="AH302" s="461" t="n"/>
      <c r="AI302" s="461">
        <f>AG302-AH302</f>
        <v/>
      </c>
      <c r="AJ302" s="235" t="n">
        <v>0</v>
      </c>
      <c r="AK302" s="461">
        <f>K302*AJ302</f>
        <v/>
      </c>
      <c r="AL302" s="461" t="n"/>
      <c r="AM302" s="461">
        <f>AK302-AL302</f>
        <v/>
      </c>
      <c r="AN302" s="235" t="n">
        <v>0</v>
      </c>
      <c r="AO302" s="461">
        <f>K302*AN302</f>
        <v/>
      </c>
      <c r="AP302" s="461" t="n"/>
      <c r="AQ302" s="461">
        <f>AO302-AP302</f>
        <v/>
      </c>
      <c r="AR302" s="461" t="n">
        <v>0</v>
      </c>
      <c r="AS302" s="461">
        <f>K302*AR302</f>
        <v/>
      </c>
      <c r="AT302" s="461" t="n"/>
      <c r="AU302" s="461">
        <f>AS302-AT302</f>
        <v/>
      </c>
      <c r="AV302" s="235" t="n">
        <v>0</v>
      </c>
      <c r="AW302" s="461">
        <f>K302*AV302</f>
        <v/>
      </c>
      <c r="AX302" s="345" t="n">
        <v>0</v>
      </c>
      <c r="AY302" s="461">
        <f>AW302-AX302</f>
        <v/>
      </c>
      <c r="AZ302" s="461" t="inlineStr">
        <is>
          <t>按实结算</t>
        </is>
      </c>
      <c r="BA302" s="461">
        <f>BB302</f>
        <v/>
      </c>
      <c r="BB302" s="461" t="n">
        <v>833.33</v>
      </c>
      <c r="BC302" s="461">
        <f>BA302-BB302</f>
        <v/>
      </c>
      <c r="BD302" s="461" t="n">
        <v>0</v>
      </c>
      <c r="BE302" s="461">
        <f>K302*BD302</f>
        <v/>
      </c>
      <c r="BF302" s="461" t="n"/>
      <c r="BG302" s="461">
        <f>BE302-BF302</f>
        <v/>
      </c>
      <c r="BH302" s="461" t="n">
        <v>0</v>
      </c>
      <c r="BI302" s="461">
        <f>K302*BH302</f>
        <v/>
      </c>
      <c r="BJ302" s="461" t="n"/>
      <c r="BK302" s="461">
        <f>BI302-BJ302</f>
        <v/>
      </c>
      <c r="BL302" s="461" t="inlineStr">
        <is>
          <t>按实结算</t>
        </is>
      </c>
      <c r="BM302" s="220">
        <f>BN302</f>
        <v/>
      </c>
      <c r="BN302" s="345" t="n">
        <v>0</v>
      </c>
      <c r="BO302" s="220">
        <f>BM302-BN302</f>
        <v/>
      </c>
      <c r="BP302" s="220">
        <f>N302+Q302+U302+Y302+AC302+AG302+AK302+AO302+AS302+AW302+BA302+BE302+BI302+BM302</f>
        <v/>
      </c>
      <c r="BQ302" s="220">
        <f>N302+R302+V302+Z302+AD302+AH302+AL302+AP302+AT302+AX302+BB302+BF302+BJ302+BN302</f>
        <v/>
      </c>
      <c r="BR302" s="220">
        <f>BP302-BQ302</f>
        <v/>
      </c>
      <c r="BS302" s="254" t="inlineStr">
        <is>
          <t>/</t>
        </is>
      </c>
      <c r="BT302" s="229" t="inlineStr">
        <is>
          <t>/</t>
        </is>
      </c>
      <c r="BU302" s="230" t="n"/>
      <c r="BV302" s="230" t="inlineStr">
        <is>
          <t>1、签订期间：2026.1-2026.12；
2、指标按照全年换算；</t>
        </is>
      </c>
      <c r="BW302" s="534" t="n"/>
    </row>
    <row r="303" ht="24" customFormat="1" customHeight="1" s="209">
      <c r="A303" s="219" t="n">
        <v>352</v>
      </c>
      <c r="B303" s="220" t="inlineStr">
        <is>
          <t>KQCY0352</t>
        </is>
      </c>
      <c r="C303" s="221" t="inlineStr">
        <is>
          <t>餐饮五分部</t>
        </is>
      </c>
      <c r="D303" s="221" t="inlineStr">
        <is>
          <t>CF121</t>
        </is>
      </c>
      <c r="E303" s="221" t="inlineStr">
        <is>
          <t>苏大独墅湖二食堂</t>
        </is>
      </c>
      <c r="F303" s="219" t="inlineStr">
        <is>
          <t>强责</t>
        </is>
      </c>
      <c r="G303" s="222" t="inlineStr">
        <is>
          <t>徐敏娟</t>
        </is>
      </c>
      <c r="H303" s="503" t="inlineStr">
        <is>
          <t>/</t>
        </is>
      </c>
      <c r="I303" s="237" t="inlineStr">
        <is>
          <t>苏式汤面</t>
        </is>
      </c>
      <c r="J303" s="222" t="inlineStr">
        <is>
          <t>孙建平</t>
        </is>
      </c>
      <c r="K303" s="545">
        <f>LET(k,D303&amp;"|"&amp;E303&amp;"|"&amp;H303&amp;"|"&amp;I303&amp;"|"&amp;J303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03" s="546" t="n"/>
      <c r="M303" s="224" t="n"/>
      <c r="N303" s="253" t="n"/>
      <c r="O303" s="548" t="n">
        <v>1250000</v>
      </c>
      <c r="P303" s="247" t="n">
        <v>0.25</v>
      </c>
      <c r="Q303" s="461">
        <f>K303*P303</f>
        <v/>
      </c>
      <c r="R303" s="461" t="n"/>
      <c r="S303" s="461">
        <f>Q303-R303</f>
        <v/>
      </c>
      <c r="T303" s="235" t="n">
        <v>0</v>
      </c>
      <c r="U303" s="461">
        <f>K303*T303</f>
        <v/>
      </c>
      <c r="V303" s="461" t="n"/>
      <c r="W303" s="461">
        <f>U303-V303</f>
        <v/>
      </c>
      <c r="X303" s="235" t="n">
        <v>0</v>
      </c>
      <c r="Y303" s="461">
        <f>K303*X303</f>
        <v/>
      </c>
      <c r="Z303" s="461" t="n"/>
      <c r="AA303" s="461">
        <f>Y303-Z303</f>
        <v/>
      </c>
      <c r="AB303" s="235" t="n">
        <v>0</v>
      </c>
      <c r="AC303" s="461">
        <f>K303*AB303</f>
        <v/>
      </c>
      <c r="AD303" s="461" t="n"/>
      <c r="AE303" s="461">
        <f>AC303-AD303</f>
        <v/>
      </c>
      <c r="AF303" s="235" t="n">
        <v>0</v>
      </c>
      <c r="AG303" s="461">
        <f>K303*AF303</f>
        <v/>
      </c>
      <c r="AH303" s="461" t="n"/>
      <c r="AI303" s="461">
        <f>AG303-AH303</f>
        <v/>
      </c>
      <c r="AJ303" s="235" t="n">
        <v>0</v>
      </c>
      <c r="AK303" s="461">
        <f>K303*AJ303</f>
        <v/>
      </c>
      <c r="AL303" s="461" t="n"/>
      <c r="AM303" s="461">
        <f>AK303-AL303</f>
        <v/>
      </c>
      <c r="AN303" s="235" t="n">
        <v>0</v>
      </c>
      <c r="AO303" s="461">
        <f>K303*AN303</f>
        <v/>
      </c>
      <c r="AP303" s="461" t="n"/>
      <c r="AQ303" s="461">
        <f>AO303-AP303</f>
        <v/>
      </c>
      <c r="AR303" s="461" t="n">
        <v>0</v>
      </c>
      <c r="AS303" s="461">
        <f>K303*AR303</f>
        <v/>
      </c>
      <c r="AT303" s="461" t="n"/>
      <c r="AU303" s="461">
        <f>AS303-AT303</f>
        <v/>
      </c>
      <c r="AV303" s="235" t="n">
        <v>0</v>
      </c>
      <c r="AW303" s="461">
        <f>K303*AV303</f>
        <v/>
      </c>
      <c r="AX303" s="461" t="n"/>
      <c r="AY303" s="461">
        <f>AW303-AX303</f>
        <v/>
      </c>
      <c r="AZ303" s="461" t="inlineStr">
        <is>
          <t>按实结算</t>
        </is>
      </c>
      <c r="BA303" s="461">
        <f>BB303</f>
        <v/>
      </c>
      <c r="BB303" s="461" t="n"/>
      <c r="BC303" s="461">
        <f>BA303-BB303</f>
        <v/>
      </c>
      <c r="BD303" s="461" t="n">
        <v>0</v>
      </c>
      <c r="BE303" s="461">
        <f>K303*BD303</f>
        <v/>
      </c>
      <c r="BF303" s="461" t="n"/>
      <c r="BG303" s="461">
        <f>BE303-BF303</f>
        <v/>
      </c>
      <c r="BH303" s="461" t="n">
        <v>0</v>
      </c>
      <c r="BI303" s="461">
        <f>K303*BH303</f>
        <v/>
      </c>
      <c r="BJ303" s="461" t="n"/>
      <c r="BK303" s="461">
        <f>BI303-BJ303</f>
        <v/>
      </c>
      <c r="BL303" s="461" t="inlineStr">
        <is>
          <t>按实结算</t>
        </is>
      </c>
      <c r="BM303" s="220">
        <f>BN303</f>
        <v/>
      </c>
      <c r="BN303" s="220" t="n"/>
      <c r="BO303" s="220">
        <f>BM303-BN303</f>
        <v/>
      </c>
      <c r="BP303" s="220">
        <f>N303+Q303+U303+Y303+AC303+AG303+AK303+AO303+AS303+AW303+BA303+BE303+BI303+BM303</f>
        <v/>
      </c>
      <c r="BQ303" s="220">
        <f>N303+R303+V303+Z303+AD303+AH303+AL303+AP303+AT303+AX303+BB303+BF303+BJ303+BN303</f>
        <v/>
      </c>
      <c r="BR303" s="220">
        <f>BP303-BQ303</f>
        <v/>
      </c>
      <c r="BS303" s="254" t="inlineStr">
        <is>
          <t>/</t>
        </is>
      </c>
      <c r="BT303" s="229" t="inlineStr">
        <is>
          <t>/</t>
        </is>
      </c>
      <c r="BU303" s="230" t="n"/>
      <c r="BV303" s="230" t="inlineStr">
        <is>
          <t>1、签订期间：2026.1-2026.12；
2、指标按照全年换算；</t>
        </is>
      </c>
      <c r="BW303" s="534" t="n"/>
    </row>
    <row r="304" ht="24" customFormat="1" customHeight="1" s="209">
      <c r="A304" s="219" t="n">
        <v>353</v>
      </c>
      <c r="B304" s="220" t="inlineStr">
        <is>
          <t>KQCY0353</t>
        </is>
      </c>
      <c r="C304" s="221" t="inlineStr">
        <is>
          <t>餐饮五分部</t>
        </is>
      </c>
      <c r="D304" s="221" t="inlineStr">
        <is>
          <t>CF121</t>
        </is>
      </c>
      <c r="E304" s="221" t="inlineStr">
        <is>
          <t>苏大独墅湖二食堂</t>
        </is>
      </c>
      <c r="F304" s="219" t="inlineStr">
        <is>
          <t>强责</t>
        </is>
      </c>
      <c r="G304" s="222" t="inlineStr">
        <is>
          <t>徐敏娟</t>
        </is>
      </c>
      <c r="H304" s="503" t="inlineStr">
        <is>
          <t>/</t>
        </is>
      </c>
      <c r="I304" s="237" t="inlineStr">
        <is>
          <t>烤盘饭</t>
        </is>
      </c>
      <c r="J304" s="222" t="inlineStr">
        <is>
          <t>梁宇</t>
        </is>
      </c>
      <c r="K304" s="545">
        <f>LET(k,D304&amp;"|"&amp;E304&amp;"|"&amp;H304&amp;"|"&amp;I304&amp;"|"&amp;J304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04" s="546" t="n"/>
      <c r="M304" s="224" t="n"/>
      <c r="N304" s="253" t="n"/>
      <c r="O304" s="548" t="n">
        <v>890000</v>
      </c>
      <c r="P304" s="247" t="n">
        <v>0.25</v>
      </c>
      <c r="Q304" s="461">
        <f>K304*P304</f>
        <v/>
      </c>
      <c r="R304" s="461" t="n"/>
      <c r="S304" s="461">
        <f>Q304-R304</f>
        <v/>
      </c>
      <c r="T304" s="235" t="n">
        <v>0</v>
      </c>
      <c r="U304" s="461">
        <f>K304*T304</f>
        <v/>
      </c>
      <c r="V304" s="461" t="n"/>
      <c r="W304" s="461">
        <f>U304-V304</f>
        <v/>
      </c>
      <c r="X304" s="235" t="n">
        <v>0</v>
      </c>
      <c r="Y304" s="461">
        <f>K304*X304</f>
        <v/>
      </c>
      <c r="Z304" s="461" t="n"/>
      <c r="AA304" s="461">
        <f>Y304-Z304</f>
        <v/>
      </c>
      <c r="AB304" s="235" t="n">
        <v>0</v>
      </c>
      <c r="AC304" s="461">
        <f>K304*AB304</f>
        <v/>
      </c>
      <c r="AD304" s="461" t="n"/>
      <c r="AE304" s="461">
        <f>AC304-AD304</f>
        <v/>
      </c>
      <c r="AF304" s="235" t="n">
        <v>0</v>
      </c>
      <c r="AG304" s="461">
        <f>K304*AF304</f>
        <v/>
      </c>
      <c r="AH304" s="461" t="n"/>
      <c r="AI304" s="461">
        <f>AG304-AH304</f>
        <v/>
      </c>
      <c r="AJ304" s="235" t="n">
        <v>0</v>
      </c>
      <c r="AK304" s="461">
        <f>K304*AJ304</f>
        <v/>
      </c>
      <c r="AL304" s="461" t="n"/>
      <c r="AM304" s="461">
        <f>AK304-AL304</f>
        <v/>
      </c>
      <c r="AN304" s="235" t="n">
        <v>0</v>
      </c>
      <c r="AO304" s="461">
        <f>K304*AN304</f>
        <v/>
      </c>
      <c r="AP304" s="461" t="n"/>
      <c r="AQ304" s="461">
        <f>AO304-AP304</f>
        <v/>
      </c>
      <c r="AR304" s="461" t="n">
        <v>0</v>
      </c>
      <c r="AS304" s="461">
        <f>K304*AR304</f>
        <v/>
      </c>
      <c r="AT304" s="461" t="n"/>
      <c r="AU304" s="461">
        <f>AS304-AT304</f>
        <v/>
      </c>
      <c r="AV304" s="235" t="n">
        <v>0</v>
      </c>
      <c r="AW304" s="461">
        <f>K304*AV304</f>
        <v/>
      </c>
      <c r="AX304" s="461" t="n"/>
      <c r="AY304" s="461">
        <f>AW304-AX304</f>
        <v/>
      </c>
      <c r="AZ304" s="461" t="inlineStr">
        <is>
          <t>按实结算</t>
        </is>
      </c>
      <c r="BA304" s="461">
        <f>BB304</f>
        <v/>
      </c>
      <c r="BB304" s="461" t="n"/>
      <c r="BC304" s="461">
        <f>BA304-BB304</f>
        <v/>
      </c>
      <c r="BD304" s="461" t="n">
        <v>0</v>
      </c>
      <c r="BE304" s="461">
        <f>K304*BD304</f>
        <v/>
      </c>
      <c r="BF304" s="461" t="n"/>
      <c r="BG304" s="461">
        <f>BE304-BF304</f>
        <v/>
      </c>
      <c r="BH304" s="461" t="n">
        <v>0</v>
      </c>
      <c r="BI304" s="461">
        <f>K304*BH304</f>
        <v/>
      </c>
      <c r="BJ304" s="461" t="n"/>
      <c r="BK304" s="461">
        <f>BI304-BJ304</f>
        <v/>
      </c>
      <c r="BL304" s="461" t="inlineStr">
        <is>
          <t>按实结算</t>
        </is>
      </c>
      <c r="BM304" s="220">
        <f>BN304</f>
        <v/>
      </c>
      <c r="BN304" s="220" t="n"/>
      <c r="BO304" s="220">
        <f>BM304-BN304</f>
        <v/>
      </c>
      <c r="BP304" s="220">
        <f>N304+Q304+U304+Y304+AC304+AG304+AK304+AO304+AS304+AW304+BA304+BE304+BI304+BM304</f>
        <v/>
      </c>
      <c r="BQ304" s="220">
        <f>N304+R304+V304+Z304+AD304+AH304+AL304+AP304+AT304+AX304+BB304+BF304+BJ304+BN304</f>
        <v/>
      </c>
      <c r="BR304" s="220">
        <f>BP304-BQ304</f>
        <v/>
      </c>
      <c r="BS304" s="254" t="inlineStr">
        <is>
          <t>/</t>
        </is>
      </c>
      <c r="BT304" s="229" t="inlineStr">
        <is>
          <t>/</t>
        </is>
      </c>
      <c r="BU304" s="230" t="n"/>
      <c r="BV304" s="230" t="inlineStr">
        <is>
          <t>1、签订期间：2026.1-2026.12；
2、指标按照全年换算；</t>
        </is>
      </c>
      <c r="BW304" s="534" t="n"/>
    </row>
    <row r="305" ht="48" customFormat="1" customHeight="1" s="209">
      <c r="A305" s="219" t="n">
        <v>355</v>
      </c>
      <c r="B305" s="220" t="inlineStr">
        <is>
          <t>KQCY0355</t>
        </is>
      </c>
      <c r="C305" s="221" t="inlineStr">
        <is>
          <t>餐饮五分部</t>
        </is>
      </c>
      <c r="D305" s="221" t="inlineStr">
        <is>
          <t>CF134</t>
        </is>
      </c>
      <c r="E305" s="221" t="inlineStr">
        <is>
          <t>苏大独墅湖五食堂</t>
        </is>
      </c>
      <c r="F305" s="219" t="inlineStr">
        <is>
          <t>分组作业</t>
        </is>
      </c>
      <c r="G305" s="222" t="inlineStr">
        <is>
          <t>徐敏娟</t>
        </is>
      </c>
      <c r="H305" s="503" t="inlineStr">
        <is>
          <t>/</t>
        </is>
      </c>
      <c r="I305" s="237" t="inlineStr">
        <is>
          <t>快餐</t>
        </is>
      </c>
      <c r="J305" s="222" t="inlineStr">
        <is>
          <t>赵广伟</t>
        </is>
      </c>
      <c r="K305" s="545">
        <f>LET(k,D305&amp;"|"&amp;E305&amp;"|"&amp;H305&amp;"|"&amp;I305&amp;"|"&amp;J305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05" s="546" t="n"/>
      <c r="M305" s="224" t="n"/>
      <c r="N305" s="346" t="n">
        <v>13975.72</v>
      </c>
      <c r="O305" s="548" t="n">
        <v>1720000</v>
      </c>
      <c r="P305" s="552" t="n">
        <v>0.12</v>
      </c>
      <c r="Q305" s="461">
        <f>K305*P305</f>
        <v/>
      </c>
      <c r="R305" s="589" t="n">
        <v>0</v>
      </c>
      <c r="S305" s="461">
        <f>Q305-R305</f>
        <v/>
      </c>
      <c r="T305" s="247" t="n">
        <v>0</v>
      </c>
      <c r="U305" s="461">
        <f>K305*T305</f>
        <v/>
      </c>
      <c r="V305" s="461" t="n"/>
      <c r="W305" s="461">
        <f>U305-V305</f>
        <v/>
      </c>
      <c r="X305" s="247" t="n">
        <v>0</v>
      </c>
      <c r="Y305" s="461">
        <f>K305*X305</f>
        <v/>
      </c>
      <c r="Z305" s="461" t="n"/>
      <c r="AA305" s="461">
        <f>Y305-Z305</f>
        <v/>
      </c>
      <c r="AB305" s="247" t="n">
        <v>0</v>
      </c>
      <c r="AC305" s="461">
        <f>K305*AB305</f>
        <v/>
      </c>
      <c r="AD305" s="461" t="n"/>
      <c r="AE305" s="461">
        <f>AC305-AD305</f>
        <v/>
      </c>
      <c r="AF305" s="247" t="n">
        <v>0</v>
      </c>
      <c r="AG305" s="461">
        <f>K305*AF305</f>
        <v/>
      </c>
      <c r="AH305" s="461" t="n"/>
      <c r="AI305" s="461">
        <f>AG305-AH305</f>
        <v/>
      </c>
      <c r="AJ305" s="247" t="n">
        <v>0</v>
      </c>
      <c r="AK305" s="461">
        <f>K305*AJ305</f>
        <v/>
      </c>
      <c r="AL305" s="461" t="n"/>
      <c r="AM305" s="461">
        <f>AK305-AL305</f>
        <v/>
      </c>
      <c r="AN305" s="247" t="n">
        <v>0</v>
      </c>
      <c r="AO305" s="461">
        <f>K305*AN305</f>
        <v/>
      </c>
      <c r="AP305" s="461" t="n"/>
      <c r="AQ305" s="461">
        <f>AO305-AP305</f>
        <v/>
      </c>
      <c r="AR305" s="461" t="inlineStr">
        <is>
          <t>按实</t>
        </is>
      </c>
      <c r="AS305" s="461">
        <f>AT305</f>
        <v/>
      </c>
      <c r="AT305" s="589" t="n">
        <v>0</v>
      </c>
      <c r="AU305" s="461">
        <f>AS305-AT305</f>
        <v/>
      </c>
      <c r="AV305" s="235" t="n">
        <v>0.05</v>
      </c>
      <c r="AW305" s="461">
        <f>K305*AV305</f>
        <v/>
      </c>
      <c r="AX305" s="589" t="n">
        <v>0</v>
      </c>
      <c r="AY305" s="461">
        <f>AW305-AX305</f>
        <v/>
      </c>
      <c r="AZ305" s="235" t="inlineStr">
        <is>
          <t>按实</t>
        </is>
      </c>
      <c r="BA305" s="461">
        <f>BB305</f>
        <v/>
      </c>
      <c r="BB305" s="589" t="n">
        <v>0</v>
      </c>
      <c r="BC305" s="461">
        <f>BA305-BB305</f>
        <v/>
      </c>
      <c r="BD305" s="247" t="n">
        <v>0</v>
      </c>
      <c r="BE305" s="461">
        <f>K305*BD305</f>
        <v/>
      </c>
      <c r="BF305" s="247" t="n"/>
      <c r="BG305" s="461">
        <f>BE305-BF305</f>
        <v/>
      </c>
      <c r="BH305" s="247" t="n">
        <v>0</v>
      </c>
      <c r="BI305" s="461">
        <f>K305*BH305</f>
        <v/>
      </c>
      <c r="BJ305" s="235" t="n"/>
      <c r="BK305" s="461">
        <f>BI305-BJ305</f>
        <v/>
      </c>
      <c r="BL305" s="235" t="inlineStr">
        <is>
          <t>按实</t>
        </is>
      </c>
      <c r="BM305" s="220">
        <f>BN305</f>
        <v/>
      </c>
      <c r="BN305" s="590" t="n">
        <v>0</v>
      </c>
      <c r="BO305" s="220">
        <f>BM305-BN305</f>
        <v/>
      </c>
      <c r="BP305" s="220">
        <f>N305+Q305+U305+Y305+AC305+AG305+AK305+AO305+AS305+AW305+BA305+BE305+BI305+BM305</f>
        <v/>
      </c>
      <c r="BQ305" s="220">
        <f>N305+R305+V305+Z305+AD305+AH305+AL305+AP305+AT305+AX305+BB305+BF305+BJ305+BN305</f>
        <v/>
      </c>
      <c r="BR305" s="220">
        <f>BP305-BQ305</f>
        <v/>
      </c>
      <c r="BS305" s="254" t="inlineStr">
        <is>
          <t>/</t>
        </is>
      </c>
      <c r="BT305" s="229" t="inlineStr">
        <is>
          <t>/</t>
        </is>
      </c>
      <c r="BU305" s="230" t="inlineStr">
        <is>
          <t>1、虫害消杀：项目反馈不收取，包含在服务费中；
2、装修折旧费：项目反馈不收取，包含在服务费中；
3、甲方人员工资：项目反馈不收取，包含在服务费中；
4、甲方捐赠：项目反馈不收取，包含在服务费中；</t>
        </is>
      </c>
      <c r="BV305" s="230" t="inlineStr">
        <is>
          <t>1、签订期间：2026.1-7月；
2、指标按照全年换算；</t>
        </is>
      </c>
      <c r="BW305" s="534" t="n"/>
    </row>
    <row r="306" ht="48" customFormat="1" customHeight="1" s="209">
      <c r="A306" s="219" t="n">
        <v>356</v>
      </c>
      <c r="B306" s="220" t="inlineStr">
        <is>
          <t>KQCY0356</t>
        </is>
      </c>
      <c r="C306" s="221" t="inlineStr">
        <is>
          <t>餐饮五分部</t>
        </is>
      </c>
      <c r="D306" s="221" t="inlineStr">
        <is>
          <t>CF134</t>
        </is>
      </c>
      <c r="E306" s="221" t="inlineStr">
        <is>
          <t>苏大独墅湖五食堂</t>
        </is>
      </c>
      <c r="F306" s="219" t="inlineStr">
        <is>
          <t>分组作业</t>
        </is>
      </c>
      <c r="G306" s="222" t="inlineStr">
        <is>
          <t>徐敏娟</t>
        </is>
      </c>
      <c r="H306" s="503" t="inlineStr">
        <is>
          <t>/</t>
        </is>
      </c>
      <c r="I306" s="237" t="inlineStr">
        <is>
          <t>生烫牛肉米线</t>
        </is>
      </c>
      <c r="J306" s="222" t="inlineStr">
        <is>
          <t>胡振强</t>
        </is>
      </c>
      <c r="K306" s="545">
        <f>LET(k,D306&amp;"|"&amp;E306&amp;"|"&amp;H306&amp;"|"&amp;I306&amp;"|"&amp;J306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06" s="546" t="n"/>
      <c r="M306" s="224" t="n"/>
      <c r="N306" s="346" t="n"/>
      <c r="O306" s="548" t="n">
        <v>820000</v>
      </c>
      <c r="P306" s="552" t="n">
        <v>0.15</v>
      </c>
      <c r="Q306" s="461">
        <f>K306*P306</f>
        <v/>
      </c>
      <c r="R306" s="589" t="n"/>
      <c r="S306" s="461">
        <f>Q306-R306</f>
        <v/>
      </c>
      <c r="T306" s="247" t="n">
        <v>0</v>
      </c>
      <c r="U306" s="461">
        <f>K306*T306</f>
        <v/>
      </c>
      <c r="V306" s="461" t="n"/>
      <c r="W306" s="461">
        <f>U306-V306</f>
        <v/>
      </c>
      <c r="X306" s="247" t="n">
        <v>0</v>
      </c>
      <c r="Y306" s="461">
        <f>K306*X306</f>
        <v/>
      </c>
      <c r="Z306" s="461" t="n"/>
      <c r="AA306" s="461">
        <f>Y306-Z306</f>
        <v/>
      </c>
      <c r="AB306" s="247" t="n">
        <v>0</v>
      </c>
      <c r="AC306" s="461">
        <f>K306*AB306</f>
        <v/>
      </c>
      <c r="AD306" s="461" t="n"/>
      <c r="AE306" s="461">
        <f>AC306-AD306</f>
        <v/>
      </c>
      <c r="AF306" s="247" t="n">
        <v>0</v>
      </c>
      <c r="AG306" s="461">
        <f>K306*AF306</f>
        <v/>
      </c>
      <c r="AH306" s="461" t="n"/>
      <c r="AI306" s="461">
        <f>AG306-AH306</f>
        <v/>
      </c>
      <c r="AJ306" s="247" t="n">
        <v>0</v>
      </c>
      <c r="AK306" s="461">
        <f>K306*AJ306</f>
        <v/>
      </c>
      <c r="AL306" s="461" t="n"/>
      <c r="AM306" s="461">
        <f>AK306-AL306</f>
        <v/>
      </c>
      <c r="AN306" s="247" t="n">
        <v>0</v>
      </c>
      <c r="AO306" s="461">
        <f>K306*AN306</f>
        <v/>
      </c>
      <c r="AP306" s="461" t="n"/>
      <c r="AQ306" s="461">
        <f>AO306-AP306</f>
        <v/>
      </c>
      <c r="AR306" s="461" t="inlineStr">
        <is>
          <t>按实</t>
        </is>
      </c>
      <c r="AS306" s="461">
        <f>AT306</f>
        <v/>
      </c>
      <c r="AT306" s="589" t="n"/>
      <c r="AU306" s="461">
        <f>AS306-AT306</f>
        <v/>
      </c>
      <c r="AV306" s="235" t="n">
        <v>0.03</v>
      </c>
      <c r="AW306" s="461">
        <f>K306*AV306</f>
        <v/>
      </c>
      <c r="AX306" s="589" t="n"/>
      <c r="AY306" s="461">
        <f>AW306-AX306</f>
        <v/>
      </c>
      <c r="AZ306" s="235" t="inlineStr">
        <is>
          <t>按实</t>
        </is>
      </c>
      <c r="BA306" s="461">
        <f>BB306</f>
        <v/>
      </c>
      <c r="BB306" s="589" t="n"/>
      <c r="BC306" s="461">
        <f>BA306-BB306</f>
        <v/>
      </c>
      <c r="BD306" s="247" t="n">
        <v>0</v>
      </c>
      <c r="BE306" s="461">
        <f>K306*BD306</f>
        <v/>
      </c>
      <c r="BF306" s="247" t="n"/>
      <c r="BG306" s="461">
        <f>BE306-BF306</f>
        <v/>
      </c>
      <c r="BH306" s="247" t="n">
        <v>0</v>
      </c>
      <c r="BI306" s="461">
        <f>K306*BH306</f>
        <v/>
      </c>
      <c r="BJ306" s="235" t="n"/>
      <c r="BK306" s="461">
        <f>BI306-BJ306</f>
        <v/>
      </c>
      <c r="BL306" s="235" t="inlineStr">
        <is>
          <t>按实</t>
        </is>
      </c>
      <c r="BM306" s="220">
        <f>BN306</f>
        <v/>
      </c>
      <c r="BN306" s="590" t="n"/>
      <c r="BO306" s="220">
        <f>BM306-BN306</f>
        <v/>
      </c>
      <c r="BP306" s="220">
        <f>N306+Q306+U306+Y306+AC306+AG306+AK306+AO306+AS306+AW306+BA306+BE306+BI306+BM306</f>
        <v/>
      </c>
      <c r="BQ306" s="220">
        <f>N306+R306+V306+Z306+AD306+AH306+AL306+AP306+AT306+AX306+BB306+BF306+BJ306+BN306</f>
        <v/>
      </c>
      <c r="BR306" s="220">
        <f>BP306-BQ306</f>
        <v/>
      </c>
      <c r="BS306" s="254" t="inlineStr">
        <is>
          <t>/</t>
        </is>
      </c>
      <c r="BT306" s="229" t="inlineStr">
        <is>
          <t>/</t>
        </is>
      </c>
      <c r="BU306" s="230" t="inlineStr">
        <is>
          <t>1、虫害消杀：项目反馈不收取，包含在服务费中；
2、装修折旧费：项目反馈不收取，包含在服务费中；
3、甲方人员工资：项目反馈不收取，包含在服务费中；
4、甲方捐赠：项目反馈不收取，包含在服务费中；</t>
        </is>
      </c>
      <c r="BV306" s="230" t="inlineStr">
        <is>
          <t>1、签订期间：2026.1-7月；
2、指标按照全年换算；</t>
        </is>
      </c>
      <c r="BW306" s="534" t="n"/>
    </row>
    <row r="307" ht="48" customFormat="1" customHeight="1" s="209">
      <c r="A307" s="219" t="n">
        <v>357</v>
      </c>
      <c r="B307" s="220" t="inlineStr">
        <is>
          <t>KQCY0357</t>
        </is>
      </c>
      <c r="C307" s="221" t="inlineStr">
        <is>
          <t>餐饮五分部</t>
        </is>
      </c>
      <c r="D307" s="221" t="inlineStr">
        <is>
          <t>CF134</t>
        </is>
      </c>
      <c r="E307" s="221" t="inlineStr">
        <is>
          <t>苏大独墅湖五食堂</t>
        </is>
      </c>
      <c r="F307" s="219" t="inlineStr">
        <is>
          <t>分组作业</t>
        </is>
      </c>
      <c r="G307" s="222" t="inlineStr">
        <is>
          <t>徐敏娟</t>
        </is>
      </c>
      <c r="H307" s="503" t="inlineStr">
        <is>
          <t>/</t>
        </is>
      </c>
      <c r="I307" s="237" t="inlineStr">
        <is>
          <t>旋转小火锅</t>
        </is>
      </c>
      <c r="J307" s="222" t="inlineStr">
        <is>
          <t>段姗姗</t>
        </is>
      </c>
      <c r="K307" s="545">
        <f>LET(k,D307&amp;"|"&amp;E307&amp;"|"&amp;H307&amp;"|"&amp;I307&amp;"|"&amp;J307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07" s="546" t="n"/>
      <c r="M307" s="224" t="n"/>
      <c r="N307" s="346" t="n"/>
      <c r="O307" s="548" t="n">
        <v>730000</v>
      </c>
      <c r="P307" s="552" t="n">
        <v>0.18</v>
      </c>
      <c r="Q307" s="461">
        <f>K307*P307</f>
        <v/>
      </c>
      <c r="R307" s="589" t="n"/>
      <c r="S307" s="461">
        <f>Q307-R307</f>
        <v/>
      </c>
      <c r="T307" s="247" t="n">
        <v>0</v>
      </c>
      <c r="U307" s="461">
        <f>K307*T307</f>
        <v/>
      </c>
      <c r="V307" s="461" t="n"/>
      <c r="W307" s="461">
        <f>U307-V307</f>
        <v/>
      </c>
      <c r="X307" s="247" t="n">
        <v>0</v>
      </c>
      <c r="Y307" s="461">
        <f>K307*X307</f>
        <v/>
      </c>
      <c r="Z307" s="461" t="n"/>
      <c r="AA307" s="461">
        <f>Y307-Z307</f>
        <v/>
      </c>
      <c r="AB307" s="247" t="n">
        <v>0</v>
      </c>
      <c r="AC307" s="461">
        <f>K307*AB307</f>
        <v/>
      </c>
      <c r="AD307" s="461" t="n"/>
      <c r="AE307" s="461">
        <f>AC307-AD307</f>
        <v/>
      </c>
      <c r="AF307" s="247" t="n">
        <v>0</v>
      </c>
      <c r="AG307" s="461">
        <f>K307*AF307</f>
        <v/>
      </c>
      <c r="AH307" s="461" t="n"/>
      <c r="AI307" s="461">
        <f>AG307-AH307</f>
        <v/>
      </c>
      <c r="AJ307" s="247" t="n">
        <v>0</v>
      </c>
      <c r="AK307" s="461">
        <f>K307*AJ307</f>
        <v/>
      </c>
      <c r="AL307" s="461" t="n"/>
      <c r="AM307" s="461">
        <f>AK307-AL307</f>
        <v/>
      </c>
      <c r="AN307" s="247" t="n">
        <v>0</v>
      </c>
      <c r="AO307" s="461">
        <f>K307*AN307</f>
        <v/>
      </c>
      <c r="AP307" s="461" t="n"/>
      <c r="AQ307" s="461">
        <f>AO307-AP307</f>
        <v/>
      </c>
      <c r="AR307" s="461" t="inlineStr">
        <is>
          <t>按实</t>
        </is>
      </c>
      <c r="AS307" s="461">
        <f>AT307</f>
        <v/>
      </c>
      <c r="AT307" s="589" t="n"/>
      <c r="AU307" s="461">
        <f>AS307-AT307</f>
        <v/>
      </c>
      <c r="AV307" s="235" t="n">
        <v>0.04</v>
      </c>
      <c r="AW307" s="461">
        <f>K307*AV307</f>
        <v/>
      </c>
      <c r="AX307" s="589" t="n"/>
      <c r="AY307" s="461">
        <f>AW307-AX307</f>
        <v/>
      </c>
      <c r="AZ307" s="235" t="inlineStr">
        <is>
          <t>按实</t>
        </is>
      </c>
      <c r="BA307" s="461">
        <f>BB307</f>
        <v/>
      </c>
      <c r="BB307" s="589" t="n"/>
      <c r="BC307" s="461">
        <f>BA307-BB307</f>
        <v/>
      </c>
      <c r="BD307" s="247" t="n">
        <v>0</v>
      </c>
      <c r="BE307" s="461">
        <f>K307*BD307</f>
        <v/>
      </c>
      <c r="BF307" s="247" t="n"/>
      <c r="BG307" s="461">
        <f>BE307-BF307</f>
        <v/>
      </c>
      <c r="BH307" s="247" t="n">
        <v>0</v>
      </c>
      <c r="BI307" s="461">
        <f>K307*BH307</f>
        <v/>
      </c>
      <c r="BJ307" s="235" t="n"/>
      <c r="BK307" s="461">
        <f>BI307-BJ307</f>
        <v/>
      </c>
      <c r="BL307" s="235" t="inlineStr">
        <is>
          <t>按实</t>
        </is>
      </c>
      <c r="BM307" s="220">
        <f>BN307</f>
        <v/>
      </c>
      <c r="BN307" s="590" t="n"/>
      <c r="BO307" s="220">
        <f>BM307-BN307</f>
        <v/>
      </c>
      <c r="BP307" s="220">
        <f>N307+Q307+U307+Y307+AC307+AG307+AK307+AO307+AS307+AW307+BA307+BE307+BI307+BM307</f>
        <v/>
      </c>
      <c r="BQ307" s="220">
        <f>N307+R307+V307+Z307+AD307+AH307+AL307+AP307+AT307+AX307+BB307+BF307+BJ307+BN307</f>
        <v/>
      </c>
      <c r="BR307" s="220">
        <f>BP307-BQ307</f>
        <v/>
      </c>
      <c r="BS307" s="254" t="inlineStr">
        <is>
          <t>/</t>
        </is>
      </c>
      <c r="BT307" s="229" t="inlineStr">
        <is>
          <t>/</t>
        </is>
      </c>
      <c r="BU307" s="230" t="inlineStr">
        <is>
          <t>1、虫害消杀：项目反馈不收取，包含在服务费中；
2、装修折旧费：项目反馈不收取，包含在服务费中；
3、甲方人员工资：项目反馈不收取，包含在服务费中；
4、甲方捐赠：项目反馈不收取，包含在服务费中；</t>
        </is>
      </c>
      <c r="BV307" s="230" t="inlineStr">
        <is>
          <t>1、签订期间：2026.1-7月；
2、指标按照全年换算；</t>
        </is>
      </c>
      <c r="BW307" s="534" t="n"/>
    </row>
    <row r="308" customFormat="1" s="209">
      <c r="A308" s="219" t="n">
        <v>358</v>
      </c>
      <c r="B308" s="220" t="inlineStr">
        <is>
          <t>KQCY0358</t>
        </is>
      </c>
      <c r="C308" s="221" t="inlineStr">
        <is>
          <t>餐饮五分部</t>
        </is>
      </c>
      <c r="D308" s="221" t="inlineStr">
        <is>
          <t>CF134</t>
        </is>
      </c>
      <c r="E308" s="221" t="inlineStr">
        <is>
          <t>苏大独墅湖五食堂</t>
        </is>
      </c>
      <c r="F308" s="219" t="inlineStr">
        <is>
          <t>分组作业</t>
        </is>
      </c>
      <c r="G308" s="222" t="inlineStr">
        <is>
          <t>徐敏娟</t>
        </is>
      </c>
      <c r="H308" s="461" t="inlineStr">
        <is>
          <t>/</t>
        </is>
      </c>
      <c r="I308" s="237" t="inlineStr">
        <is>
          <t>巴比馒头</t>
        </is>
      </c>
      <c r="J308" s="222" t="inlineStr">
        <is>
          <t>赵玉磊</t>
        </is>
      </c>
      <c r="K308" s="545">
        <f>LET(k,D308&amp;"|"&amp;E308&amp;"|"&amp;H308&amp;"|"&amp;I308&amp;"|"&amp;J308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08" s="546" t="n"/>
      <c r="M308" s="224" t="n"/>
      <c r="N308" s="346" t="n"/>
      <c r="O308" s="548" t="n"/>
      <c r="P308" s="552" t="n">
        <v>0.18</v>
      </c>
      <c r="Q308" s="461">
        <f>K308*P308</f>
        <v/>
      </c>
      <c r="R308" s="589" t="n"/>
      <c r="S308" s="461">
        <f>Q308-R308</f>
        <v/>
      </c>
      <c r="T308" s="247" t="n">
        <v>0</v>
      </c>
      <c r="U308" s="461">
        <f>K308*T308</f>
        <v/>
      </c>
      <c r="V308" s="461" t="n"/>
      <c r="W308" s="461">
        <f>U308-V308</f>
        <v/>
      </c>
      <c r="X308" s="247" t="n">
        <v>0</v>
      </c>
      <c r="Y308" s="461">
        <f>K308*X308</f>
        <v/>
      </c>
      <c r="Z308" s="461" t="n"/>
      <c r="AA308" s="461">
        <f>Y308-Z308</f>
        <v/>
      </c>
      <c r="AB308" s="247" t="n">
        <v>0</v>
      </c>
      <c r="AC308" s="461">
        <f>K308*AB308</f>
        <v/>
      </c>
      <c r="AD308" s="461" t="n"/>
      <c r="AE308" s="461">
        <f>AC308-AD308</f>
        <v/>
      </c>
      <c r="AF308" s="247" t="n">
        <v>0</v>
      </c>
      <c r="AG308" s="461">
        <f>K308*AF308</f>
        <v/>
      </c>
      <c r="AH308" s="461" t="n"/>
      <c r="AI308" s="461">
        <f>AG308-AH308</f>
        <v/>
      </c>
      <c r="AJ308" s="247" t="n">
        <v>0</v>
      </c>
      <c r="AK308" s="461">
        <f>K308*AJ308</f>
        <v/>
      </c>
      <c r="AL308" s="461" t="n"/>
      <c r="AM308" s="461">
        <f>AK308-AL308</f>
        <v/>
      </c>
      <c r="AN308" s="247" t="n">
        <v>0</v>
      </c>
      <c r="AO308" s="461">
        <f>K308*AN308</f>
        <v/>
      </c>
      <c r="AP308" s="461" t="n"/>
      <c r="AQ308" s="461">
        <f>AO308-AP308</f>
        <v/>
      </c>
      <c r="AR308" s="461" t="inlineStr">
        <is>
          <t>按实</t>
        </is>
      </c>
      <c r="AS308" s="461">
        <f>AT308</f>
        <v/>
      </c>
      <c r="AT308" s="589" t="n"/>
      <c r="AU308" s="461">
        <f>AS308-AT308</f>
        <v/>
      </c>
      <c r="AV308" s="235" t="n">
        <v>0.03</v>
      </c>
      <c r="AW308" s="461">
        <f>K308*AV308</f>
        <v/>
      </c>
      <c r="AX308" s="589" t="n"/>
      <c r="AY308" s="461">
        <f>AW308-AX308</f>
        <v/>
      </c>
      <c r="AZ308" s="235" t="inlineStr">
        <is>
          <t>按实</t>
        </is>
      </c>
      <c r="BA308" s="461">
        <f>BB308</f>
        <v/>
      </c>
      <c r="BB308" s="589" t="n"/>
      <c r="BC308" s="461">
        <f>BA308-BB308</f>
        <v/>
      </c>
      <c r="BD308" s="247" t="n">
        <v>0</v>
      </c>
      <c r="BE308" s="461">
        <f>K308*BD308</f>
        <v/>
      </c>
      <c r="BF308" s="247" t="n"/>
      <c r="BG308" s="461">
        <f>BE308-BF308</f>
        <v/>
      </c>
      <c r="BH308" s="247" t="n">
        <v>0</v>
      </c>
      <c r="BI308" s="461">
        <f>K308*BH308</f>
        <v/>
      </c>
      <c r="BJ308" s="235" t="n"/>
      <c r="BK308" s="461">
        <f>BI308-BJ308</f>
        <v/>
      </c>
      <c r="BL308" s="235" t="inlineStr">
        <is>
          <t>按实</t>
        </is>
      </c>
      <c r="BM308" s="220">
        <f>BN308</f>
        <v/>
      </c>
      <c r="BN308" s="590" t="n"/>
      <c r="BO308" s="220">
        <f>BM308-BN308</f>
        <v/>
      </c>
      <c r="BP308" s="220">
        <f>N308+Q308+U308+Y308+AC308+AG308+AK308+AO308+AS308+AW308+BA308+BE308+BI308+BM308</f>
        <v/>
      </c>
      <c r="BQ308" s="220">
        <f>N308+R308+V308+Z308+AD308+AH308+AL308+AP308+AT308+AX308+BB308+BF308+BJ308+BN308</f>
        <v/>
      </c>
      <c r="BR308" s="220">
        <f>BP308-BQ308</f>
        <v/>
      </c>
      <c r="BS308" s="254" t="n"/>
      <c r="BT308" s="229" t="n"/>
      <c r="BU308" s="230" t="n"/>
      <c r="BV308" s="230" t="n"/>
      <c r="BW308" s="534" t="n"/>
    </row>
    <row r="309" ht="48" customFormat="1" customHeight="1" s="209">
      <c r="A309" s="219" t="n">
        <v>359</v>
      </c>
      <c r="B309" s="220" t="inlineStr">
        <is>
          <t>KQCY0359</t>
        </is>
      </c>
      <c r="C309" s="221" t="inlineStr">
        <is>
          <t>餐饮五分部</t>
        </is>
      </c>
      <c r="D309" s="221" t="inlineStr">
        <is>
          <t>CF134</t>
        </is>
      </c>
      <c r="E309" s="221" t="inlineStr">
        <is>
          <t>苏大独墅湖五食堂</t>
        </is>
      </c>
      <c r="F309" s="219" t="inlineStr">
        <is>
          <t>分组作业</t>
        </is>
      </c>
      <c r="G309" s="222" t="inlineStr">
        <is>
          <t>徐敏娟</t>
        </is>
      </c>
      <c r="H309" s="503" t="inlineStr">
        <is>
          <t>/</t>
        </is>
      </c>
      <c r="I309" s="237" t="inlineStr">
        <is>
          <t>北京烤鸭</t>
        </is>
      </c>
      <c r="J309" s="222" t="inlineStr">
        <is>
          <t>韩少卫</t>
        </is>
      </c>
      <c r="K309" s="545">
        <f>LET(k,D309&amp;"|"&amp;E309&amp;"|"&amp;H309&amp;"|"&amp;I309&amp;"|"&amp;J309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09" s="546" t="n"/>
      <c r="M309" s="224" t="n"/>
      <c r="N309" s="346" t="n"/>
      <c r="O309" s="548" t="n">
        <v>670000</v>
      </c>
      <c r="P309" s="552" t="n">
        <v>0.18</v>
      </c>
      <c r="Q309" s="461">
        <f>K309*P309</f>
        <v/>
      </c>
      <c r="R309" s="589" t="n"/>
      <c r="S309" s="461">
        <f>Q309-R309</f>
        <v/>
      </c>
      <c r="T309" s="247" t="n">
        <v>0</v>
      </c>
      <c r="U309" s="461">
        <f>K309*T309</f>
        <v/>
      </c>
      <c r="V309" s="461" t="n"/>
      <c r="W309" s="461">
        <f>U309-V309</f>
        <v/>
      </c>
      <c r="X309" s="247" t="n">
        <v>0</v>
      </c>
      <c r="Y309" s="461">
        <f>K309*X309</f>
        <v/>
      </c>
      <c r="Z309" s="461" t="n"/>
      <c r="AA309" s="461">
        <f>Y309-Z309</f>
        <v/>
      </c>
      <c r="AB309" s="247" t="n">
        <v>0</v>
      </c>
      <c r="AC309" s="461">
        <f>K309*AB309</f>
        <v/>
      </c>
      <c r="AD309" s="461" t="n"/>
      <c r="AE309" s="461">
        <f>AC309-AD309</f>
        <v/>
      </c>
      <c r="AF309" s="247" t="n">
        <v>0</v>
      </c>
      <c r="AG309" s="461">
        <f>K309*AF309</f>
        <v/>
      </c>
      <c r="AH309" s="461" t="n"/>
      <c r="AI309" s="461">
        <f>AG309-AH309</f>
        <v/>
      </c>
      <c r="AJ309" s="247" t="n">
        <v>0</v>
      </c>
      <c r="AK309" s="461">
        <f>K309*AJ309</f>
        <v/>
      </c>
      <c r="AL309" s="461" t="n"/>
      <c r="AM309" s="461">
        <f>AK309-AL309</f>
        <v/>
      </c>
      <c r="AN309" s="247" t="n">
        <v>0</v>
      </c>
      <c r="AO309" s="461">
        <f>K309*AN309</f>
        <v/>
      </c>
      <c r="AP309" s="461" t="n"/>
      <c r="AQ309" s="461">
        <f>AO309-AP309</f>
        <v/>
      </c>
      <c r="AR309" s="461" t="inlineStr">
        <is>
          <t>按实</t>
        </is>
      </c>
      <c r="AS309" s="461">
        <f>AT309</f>
        <v/>
      </c>
      <c r="AT309" s="589" t="n"/>
      <c r="AU309" s="461">
        <f>AS309-AT309</f>
        <v/>
      </c>
      <c r="AV309" s="235" t="n">
        <v>0.05</v>
      </c>
      <c r="AW309" s="461">
        <f>K309*AV309</f>
        <v/>
      </c>
      <c r="AX309" s="589" t="n"/>
      <c r="AY309" s="461">
        <f>AW309-AX309</f>
        <v/>
      </c>
      <c r="AZ309" s="235" t="inlineStr">
        <is>
          <t>按实</t>
        </is>
      </c>
      <c r="BA309" s="461">
        <f>BB309</f>
        <v/>
      </c>
      <c r="BB309" s="589" t="n"/>
      <c r="BC309" s="461">
        <f>BA309-BB309</f>
        <v/>
      </c>
      <c r="BD309" s="247" t="n">
        <v>0</v>
      </c>
      <c r="BE309" s="461">
        <f>K309*BD309</f>
        <v/>
      </c>
      <c r="BF309" s="247" t="n"/>
      <c r="BG309" s="461">
        <f>BE309-BF309</f>
        <v/>
      </c>
      <c r="BH309" s="247" t="n">
        <v>0</v>
      </c>
      <c r="BI309" s="461">
        <f>K309*BH309</f>
        <v/>
      </c>
      <c r="BJ309" s="235" t="n"/>
      <c r="BK309" s="461">
        <f>BI309-BJ309</f>
        <v/>
      </c>
      <c r="BL309" s="235" t="inlineStr">
        <is>
          <t>按实</t>
        </is>
      </c>
      <c r="BM309" s="220">
        <f>BN309</f>
        <v/>
      </c>
      <c r="BN309" s="590" t="n"/>
      <c r="BO309" s="220">
        <f>BM309-BN309</f>
        <v/>
      </c>
      <c r="BP309" s="220">
        <f>N309+Q309+U309+Y309+AC309+AG309+AK309+AO309+AS309+AW309+BA309+BE309+BI309+BM309</f>
        <v/>
      </c>
      <c r="BQ309" s="220">
        <f>N309+R309+V309+Z309+AD309+AH309+AL309+AP309+AT309+AX309+BB309+BF309+BJ309+BN309</f>
        <v/>
      </c>
      <c r="BR309" s="220">
        <f>BP309-BQ309</f>
        <v/>
      </c>
      <c r="BS309" s="254" t="inlineStr">
        <is>
          <t>/</t>
        </is>
      </c>
      <c r="BT309" s="229" t="inlineStr">
        <is>
          <t>/</t>
        </is>
      </c>
      <c r="BU309" s="230" t="inlineStr">
        <is>
          <t>1、虫害消杀：项目反馈不收取，包含在服务费中；
2、装修折旧费：项目反馈不收取，包含在服务费中；
3、甲方人员工资：项目反馈不收取，包含在服务费中；
4、甲方捐赠：项目反馈不收取，包含在服务费中；</t>
        </is>
      </c>
      <c r="BV309" s="230" t="inlineStr">
        <is>
          <t>1、签订期间：2026.1-7月；
2、指标按照全年换算；</t>
        </is>
      </c>
      <c r="BW309" s="534" t="n"/>
    </row>
    <row r="310" ht="48" customFormat="1" customHeight="1" s="209">
      <c r="A310" s="219" t="n">
        <v>360</v>
      </c>
      <c r="B310" s="220" t="inlineStr">
        <is>
          <t>KQCY0360</t>
        </is>
      </c>
      <c r="C310" s="221" t="inlineStr">
        <is>
          <t>餐饮五分部</t>
        </is>
      </c>
      <c r="D310" s="221" t="inlineStr">
        <is>
          <t>CF134</t>
        </is>
      </c>
      <c r="E310" s="221" t="inlineStr">
        <is>
          <t>苏大独墅湖五食堂</t>
        </is>
      </c>
      <c r="F310" s="219" t="inlineStr">
        <is>
          <t>分组作业</t>
        </is>
      </c>
      <c r="G310" s="222" t="inlineStr">
        <is>
          <t>徐敏娟</t>
        </is>
      </c>
      <c r="H310" s="503" t="inlineStr">
        <is>
          <t>/</t>
        </is>
      </c>
      <c r="I310" s="237" t="inlineStr">
        <is>
          <t>山东炒鸡</t>
        </is>
      </c>
      <c r="J310" s="222" t="inlineStr">
        <is>
          <t>马明华</t>
        </is>
      </c>
      <c r="K310" s="545">
        <f>LET(k,D310&amp;"|"&amp;E310&amp;"|"&amp;H310&amp;"|"&amp;I310&amp;"|"&amp;J310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10" s="546" t="n"/>
      <c r="M310" s="224" t="n"/>
      <c r="N310" s="346" t="n"/>
      <c r="O310" s="548" t="n">
        <v>770000</v>
      </c>
      <c r="P310" s="552" t="n">
        <v>0.18</v>
      </c>
      <c r="Q310" s="461">
        <f>K310*P310</f>
        <v/>
      </c>
      <c r="R310" s="589" t="n"/>
      <c r="S310" s="461">
        <f>Q310-R310</f>
        <v/>
      </c>
      <c r="T310" s="247" t="n">
        <v>0</v>
      </c>
      <c r="U310" s="461">
        <f>K310*T310</f>
        <v/>
      </c>
      <c r="V310" s="461" t="n"/>
      <c r="W310" s="461">
        <f>U310-V310</f>
        <v/>
      </c>
      <c r="X310" s="247" t="n">
        <v>0</v>
      </c>
      <c r="Y310" s="461">
        <f>K310*X310</f>
        <v/>
      </c>
      <c r="Z310" s="461" t="n"/>
      <c r="AA310" s="461">
        <f>Y310-Z310</f>
        <v/>
      </c>
      <c r="AB310" s="247" t="n">
        <v>0</v>
      </c>
      <c r="AC310" s="461">
        <f>K310*AB310</f>
        <v/>
      </c>
      <c r="AD310" s="461" t="n"/>
      <c r="AE310" s="461">
        <f>AC310-AD310</f>
        <v/>
      </c>
      <c r="AF310" s="247" t="n">
        <v>0</v>
      </c>
      <c r="AG310" s="461">
        <f>K310*AF310</f>
        <v/>
      </c>
      <c r="AH310" s="461" t="n"/>
      <c r="AI310" s="461">
        <f>AG310-AH310</f>
        <v/>
      </c>
      <c r="AJ310" s="247" t="n">
        <v>0</v>
      </c>
      <c r="AK310" s="461">
        <f>K310*AJ310</f>
        <v/>
      </c>
      <c r="AL310" s="461" t="n"/>
      <c r="AM310" s="461">
        <f>AK310-AL310</f>
        <v/>
      </c>
      <c r="AN310" s="247" t="n">
        <v>0</v>
      </c>
      <c r="AO310" s="461">
        <f>K310*AN310</f>
        <v/>
      </c>
      <c r="AP310" s="461" t="n"/>
      <c r="AQ310" s="461">
        <f>AO310-AP310</f>
        <v/>
      </c>
      <c r="AR310" s="461" t="inlineStr">
        <is>
          <t>按实</t>
        </is>
      </c>
      <c r="AS310" s="461">
        <f>AT310</f>
        <v/>
      </c>
      <c r="AT310" s="589" t="n"/>
      <c r="AU310" s="461">
        <f>AS310-AT310</f>
        <v/>
      </c>
      <c r="AV310" s="235" t="n">
        <v>0.05</v>
      </c>
      <c r="AW310" s="461">
        <f>K310*AV310</f>
        <v/>
      </c>
      <c r="AX310" s="589" t="n"/>
      <c r="AY310" s="461">
        <f>AW310-AX310</f>
        <v/>
      </c>
      <c r="AZ310" s="235" t="inlineStr">
        <is>
          <t>按实</t>
        </is>
      </c>
      <c r="BA310" s="461">
        <f>BB310</f>
        <v/>
      </c>
      <c r="BB310" s="589" t="n"/>
      <c r="BC310" s="461">
        <f>BA310-BB310</f>
        <v/>
      </c>
      <c r="BD310" s="247" t="n">
        <v>0</v>
      </c>
      <c r="BE310" s="461">
        <f>K310*BD310</f>
        <v/>
      </c>
      <c r="BF310" s="247" t="n"/>
      <c r="BG310" s="461">
        <f>BE310-BF310</f>
        <v/>
      </c>
      <c r="BH310" s="247" t="n">
        <v>0</v>
      </c>
      <c r="BI310" s="461">
        <f>K310*BH310</f>
        <v/>
      </c>
      <c r="BJ310" s="235" t="n"/>
      <c r="BK310" s="461">
        <f>BI310-BJ310</f>
        <v/>
      </c>
      <c r="BL310" s="235" t="inlineStr">
        <is>
          <t>按实</t>
        </is>
      </c>
      <c r="BM310" s="220">
        <f>BN310</f>
        <v/>
      </c>
      <c r="BN310" s="590" t="n"/>
      <c r="BO310" s="220">
        <f>BM310-BN310</f>
        <v/>
      </c>
      <c r="BP310" s="220">
        <f>N310+Q310+U310+Y310+AC310+AG310+AK310+AO310+AS310+AW310+BA310+BE310+BI310+BM310</f>
        <v/>
      </c>
      <c r="BQ310" s="220">
        <f>N310+R310+V310+Z310+AD310+AH310+AL310+AP310+AT310+AX310+BB310+BF310+BJ310+BN310</f>
        <v/>
      </c>
      <c r="BR310" s="220">
        <f>BP310-BQ310</f>
        <v/>
      </c>
      <c r="BS310" s="254" t="inlineStr">
        <is>
          <t>/</t>
        </is>
      </c>
      <c r="BT310" s="229" t="inlineStr">
        <is>
          <t>/</t>
        </is>
      </c>
      <c r="BU310" s="230" t="inlineStr">
        <is>
          <t>1、虫害消杀：项目反馈不收取，包含在服务费中；
2、装修折旧费：项目反馈不收取，包含在服务费中；
3、甲方人员工资：项目反馈不收取，包含在服务费中；
4、甲方捐赠：项目反馈不收取，包含在服务费中；</t>
        </is>
      </c>
      <c r="BV310" s="230" t="inlineStr">
        <is>
          <t>1、签订期间：2026.1-7月；
2、指标按照全年换算；</t>
        </is>
      </c>
      <c r="BW310" s="534" t="n"/>
    </row>
    <row r="311" ht="48" customFormat="1" customHeight="1" s="209">
      <c r="A311" s="219" t="n">
        <v>361</v>
      </c>
      <c r="B311" s="220" t="inlineStr">
        <is>
          <t>KQCY0361</t>
        </is>
      </c>
      <c r="C311" s="221" t="inlineStr">
        <is>
          <t>餐饮五分部</t>
        </is>
      </c>
      <c r="D311" s="221" t="inlineStr">
        <is>
          <t>CF134</t>
        </is>
      </c>
      <c r="E311" s="221" t="inlineStr">
        <is>
          <t>苏大独墅湖五食堂</t>
        </is>
      </c>
      <c r="F311" s="219" t="inlineStr">
        <is>
          <t>分组作业</t>
        </is>
      </c>
      <c r="G311" s="222" t="inlineStr">
        <is>
          <t>徐敏娟</t>
        </is>
      </c>
      <c r="H311" s="503" t="inlineStr">
        <is>
          <t>/</t>
        </is>
      </c>
      <c r="I311" s="237" t="inlineStr">
        <is>
          <t>拌饭(套餐饭)</t>
        </is>
      </c>
      <c r="J311" s="222" t="inlineStr">
        <is>
          <t>刘兆安</t>
        </is>
      </c>
      <c r="K311" s="545">
        <f>LET(k,D311&amp;"|"&amp;E311&amp;"|"&amp;H311&amp;"|"&amp;I311&amp;"|"&amp;J311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11" s="546" t="n"/>
      <c r="M311" s="224" t="n"/>
      <c r="N311" s="346" t="n"/>
      <c r="O311" s="548" t="n">
        <v>1480000</v>
      </c>
      <c r="P311" s="552" t="n">
        <v>0.18</v>
      </c>
      <c r="Q311" s="461">
        <f>K311*P311</f>
        <v/>
      </c>
      <c r="R311" s="589" t="n"/>
      <c r="S311" s="461">
        <f>Q311-R311</f>
        <v/>
      </c>
      <c r="T311" s="247" t="n">
        <v>0</v>
      </c>
      <c r="U311" s="461">
        <f>K311*T311</f>
        <v/>
      </c>
      <c r="V311" s="461" t="n"/>
      <c r="W311" s="461">
        <f>U311-V311</f>
        <v/>
      </c>
      <c r="X311" s="247" t="n">
        <v>0</v>
      </c>
      <c r="Y311" s="461">
        <f>K311*X311</f>
        <v/>
      </c>
      <c r="Z311" s="461" t="n"/>
      <c r="AA311" s="461">
        <f>Y311-Z311</f>
        <v/>
      </c>
      <c r="AB311" s="247" t="n">
        <v>0</v>
      </c>
      <c r="AC311" s="461">
        <f>K311*AB311</f>
        <v/>
      </c>
      <c r="AD311" s="461" t="n"/>
      <c r="AE311" s="461">
        <f>AC311-AD311</f>
        <v/>
      </c>
      <c r="AF311" s="247" t="n">
        <v>0</v>
      </c>
      <c r="AG311" s="461">
        <f>K311*AF311</f>
        <v/>
      </c>
      <c r="AH311" s="461" t="n"/>
      <c r="AI311" s="461">
        <f>AG311-AH311</f>
        <v/>
      </c>
      <c r="AJ311" s="247" t="n">
        <v>0</v>
      </c>
      <c r="AK311" s="461">
        <f>K311*AJ311</f>
        <v/>
      </c>
      <c r="AL311" s="461" t="n"/>
      <c r="AM311" s="461">
        <f>AK311-AL311</f>
        <v/>
      </c>
      <c r="AN311" s="247" t="n">
        <v>0</v>
      </c>
      <c r="AO311" s="461">
        <f>K311*AN311</f>
        <v/>
      </c>
      <c r="AP311" s="461" t="n"/>
      <c r="AQ311" s="461">
        <f>AO311-AP311</f>
        <v/>
      </c>
      <c r="AR311" s="461" t="inlineStr">
        <is>
          <t>按实</t>
        </is>
      </c>
      <c r="AS311" s="461">
        <f>AT311</f>
        <v/>
      </c>
      <c r="AT311" s="589" t="n"/>
      <c r="AU311" s="461">
        <f>AS311-AT311</f>
        <v/>
      </c>
      <c r="AV311" s="235" t="n">
        <v>0.05</v>
      </c>
      <c r="AW311" s="461">
        <f>K311*AV311</f>
        <v/>
      </c>
      <c r="AX311" s="589" t="n"/>
      <c r="AY311" s="461">
        <f>AW311-AX311</f>
        <v/>
      </c>
      <c r="AZ311" s="235" t="inlineStr">
        <is>
          <t>按实</t>
        </is>
      </c>
      <c r="BA311" s="461">
        <f>BB311</f>
        <v/>
      </c>
      <c r="BB311" s="589" t="n"/>
      <c r="BC311" s="461">
        <f>BA311-BB311</f>
        <v/>
      </c>
      <c r="BD311" s="247" t="n">
        <v>0</v>
      </c>
      <c r="BE311" s="461">
        <f>K311*BD311</f>
        <v/>
      </c>
      <c r="BF311" s="247" t="n"/>
      <c r="BG311" s="461">
        <f>BE311-BF311</f>
        <v/>
      </c>
      <c r="BH311" s="247" t="n">
        <v>0</v>
      </c>
      <c r="BI311" s="461">
        <f>K311*BH311</f>
        <v/>
      </c>
      <c r="BJ311" s="235" t="n"/>
      <c r="BK311" s="461">
        <f>BI311-BJ311</f>
        <v/>
      </c>
      <c r="BL311" s="235" t="inlineStr">
        <is>
          <t>按实</t>
        </is>
      </c>
      <c r="BM311" s="220">
        <f>BN311</f>
        <v/>
      </c>
      <c r="BN311" s="590" t="n"/>
      <c r="BO311" s="220">
        <f>BM311-BN311</f>
        <v/>
      </c>
      <c r="BP311" s="220">
        <f>N311+Q311+U311+Y311+AC311+AG311+AK311+AO311+AS311+AW311+BA311+BE311+BI311+BM311</f>
        <v/>
      </c>
      <c r="BQ311" s="220">
        <f>N311+R311+V311+Z311+AD311+AH311+AL311+AP311+AT311+AX311+BB311+BF311+BJ311+BN311</f>
        <v/>
      </c>
      <c r="BR311" s="220">
        <f>BP311-BQ311</f>
        <v/>
      </c>
      <c r="BS311" s="254" t="inlineStr">
        <is>
          <t>/</t>
        </is>
      </c>
      <c r="BT311" s="229" t="inlineStr">
        <is>
          <t>/</t>
        </is>
      </c>
      <c r="BU311" s="230" t="inlineStr">
        <is>
          <t>1、虫害消杀：项目反馈不收取，包含在服务费中；
2、装修折旧费：项目反馈不收取，包含在服务费中；
3、甲方人员工资：项目反馈不收取，包含在服务费中；
4、甲方捐赠：项目反馈不收取，包含在服务费中；</t>
        </is>
      </c>
      <c r="BV311" s="230" t="inlineStr">
        <is>
          <t>1、签订期间：2026.1-7月；
2、指标按照全年换算；</t>
        </is>
      </c>
      <c r="BW311" s="534" t="n"/>
    </row>
    <row r="312" ht="48" customFormat="1" customHeight="1" s="209">
      <c r="A312" s="219" t="n">
        <v>362</v>
      </c>
      <c r="B312" s="220" t="inlineStr">
        <is>
          <t>KQCY0362</t>
        </is>
      </c>
      <c r="C312" s="221" t="inlineStr">
        <is>
          <t>餐饮五分部</t>
        </is>
      </c>
      <c r="D312" s="221" t="inlineStr">
        <is>
          <t>CF134</t>
        </is>
      </c>
      <c r="E312" s="221" t="inlineStr">
        <is>
          <t>苏大独墅湖五食堂</t>
        </is>
      </c>
      <c r="F312" s="219" t="inlineStr">
        <is>
          <t>分组作业</t>
        </is>
      </c>
      <c r="G312" s="222" t="inlineStr">
        <is>
          <t>徐敏娟</t>
        </is>
      </c>
      <c r="H312" s="503" t="inlineStr">
        <is>
          <t>/</t>
        </is>
      </c>
      <c r="I312" s="237" t="inlineStr">
        <is>
          <t>辣椒炒肉</t>
        </is>
      </c>
      <c r="J312" s="222" t="inlineStr">
        <is>
          <t>李美蓉</t>
        </is>
      </c>
      <c r="K312" s="545">
        <f>LET(k,D312&amp;"|"&amp;E312&amp;"|"&amp;H312&amp;"|"&amp;I312&amp;"|"&amp;J312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12" s="546" t="n"/>
      <c r="M312" s="224" t="n"/>
      <c r="N312" s="346" t="n"/>
      <c r="O312" s="548" t="n">
        <v>680000</v>
      </c>
      <c r="P312" s="552" t="n">
        <v>0.18</v>
      </c>
      <c r="Q312" s="461">
        <f>K312*P312</f>
        <v/>
      </c>
      <c r="R312" s="589" t="n"/>
      <c r="S312" s="461">
        <f>Q312-R312</f>
        <v/>
      </c>
      <c r="T312" s="247" t="n">
        <v>0</v>
      </c>
      <c r="U312" s="461">
        <f>K312*T312</f>
        <v/>
      </c>
      <c r="V312" s="461" t="n"/>
      <c r="W312" s="461">
        <f>U312-V312</f>
        <v/>
      </c>
      <c r="X312" s="247" t="n">
        <v>0</v>
      </c>
      <c r="Y312" s="461">
        <f>K312*X312</f>
        <v/>
      </c>
      <c r="Z312" s="461" t="n"/>
      <c r="AA312" s="461">
        <f>Y312-Z312</f>
        <v/>
      </c>
      <c r="AB312" s="247" t="n">
        <v>0</v>
      </c>
      <c r="AC312" s="461">
        <f>K312*AB312</f>
        <v/>
      </c>
      <c r="AD312" s="461" t="n"/>
      <c r="AE312" s="461">
        <f>AC312-AD312</f>
        <v/>
      </c>
      <c r="AF312" s="247" t="n">
        <v>0</v>
      </c>
      <c r="AG312" s="461">
        <f>K312*AF312</f>
        <v/>
      </c>
      <c r="AH312" s="461" t="n"/>
      <c r="AI312" s="461">
        <f>AG312-AH312</f>
        <v/>
      </c>
      <c r="AJ312" s="247" t="n">
        <v>0</v>
      </c>
      <c r="AK312" s="461">
        <f>K312*AJ312</f>
        <v/>
      </c>
      <c r="AL312" s="461" t="n"/>
      <c r="AM312" s="461">
        <f>AK312-AL312</f>
        <v/>
      </c>
      <c r="AN312" s="247" t="n">
        <v>0</v>
      </c>
      <c r="AO312" s="461">
        <f>K312*AN312</f>
        <v/>
      </c>
      <c r="AP312" s="461" t="n"/>
      <c r="AQ312" s="461">
        <f>AO312-AP312</f>
        <v/>
      </c>
      <c r="AR312" s="461" t="inlineStr">
        <is>
          <t>按实</t>
        </is>
      </c>
      <c r="AS312" s="461">
        <f>AT312</f>
        <v/>
      </c>
      <c r="AT312" s="589" t="n"/>
      <c r="AU312" s="461">
        <f>AS312-AT312</f>
        <v/>
      </c>
      <c r="AV312" s="235" t="n">
        <v>0.05</v>
      </c>
      <c r="AW312" s="461">
        <f>K312*AV312</f>
        <v/>
      </c>
      <c r="AX312" s="589" t="n"/>
      <c r="AY312" s="461">
        <f>AW312-AX312</f>
        <v/>
      </c>
      <c r="AZ312" s="235" t="inlineStr">
        <is>
          <t>按实</t>
        </is>
      </c>
      <c r="BA312" s="461">
        <f>BB312</f>
        <v/>
      </c>
      <c r="BB312" s="589" t="n"/>
      <c r="BC312" s="461">
        <f>BA312-BB312</f>
        <v/>
      </c>
      <c r="BD312" s="247" t="n">
        <v>0</v>
      </c>
      <c r="BE312" s="461">
        <f>K312*BD312</f>
        <v/>
      </c>
      <c r="BF312" s="247" t="n"/>
      <c r="BG312" s="461">
        <f>BE312-BF312</f>
        <v/>
      </c>
      <c r="BH312" s="247" t="n">
        <v>0</v>
      </c>
      <c r="BI312" s="461">
        <f>K312*BH312</f>
        <v/>
      </c>
      <c r="BJ312" s="235" t="n"/>
      <c r="BK312" s="461">
        <f>BI312-BJ312</f>
        <v/>
      </c>
      <c r="BL312" s="235" t="inlineStr">
        <is>
          <t>按实</t>
        </is>
      </c>
      <c r="BM312" s="220">
        <f>BN312</f>
        <v/>
      </c>
      <c r="BN312" s="590" t="n"/>
      <c r="BO312" s="220">
        <f>BM312-BN312</f>
        <v/>
      </c>
      <c r="BP312" s="220">
        <f>N312+Q312+U312+Y312+AC312+AG312+AK312+AO312+AS312+AW312+BA312+BE312+BI312+BM312</f>
        <v/>
      </c>
      <c r="BQ312" s="220">
        <f>N312+R312+V312+Z312+AD312+AH312+AL312+AP312+AT312+AX312+BB312+BF312+BJ312+BN312</f>
        <v/>
      </c>
      <c r="BR312" s="220">
        <f>BP312-BQ312</f>
        <v/>
      </c>
      <c r="BS312" s="254" t="inlineStr">
        <is>
          <t>/</t>
        </is>
      </c>
      <c r="BT312" s="229" t="inlineStr">
        <is>
          <t>/</t>
        </is>
      </c>
      <c r="BU312" s="230" t="inlineStr">
        <is>
          <t>1、虫害消杀：项目反馈不收取，包含在服务费中；
2、装修折旧费：项目反馈不收取，包含在服务费中；
3、甲方人员工资：项目反馈不收取，包含在服务费中；
4、甲方捐赠：项目反馈不收取，包含在服务费中；</t>
        </is>
      </c>
      <c r="BV312" s="230" t="inlineStr">
        <is>
          <t>1、签订期间：2026.1-7月；
2、指标按照全年换算；</t>
        </is>
      </c>
      <c r="BW312" s="534" t="n"/>
    </row>
    <row r="313" ht="48" customFormat="1" customHeight="1" s="209">
      <c r="A313" s="219" t="n">
        <v>363</v>
      </c>
      <c r="B313" s="220" t="inlineStr">
        <is>
          <t>KQCY0363</t>
        </is>
      </c>
      <c r="C313" s="221" t="inlineStr">
        <is>
          <t>餐饮五分部</t>
        </is>
      </c>
      <c r="D313" s="221" t="inlineStr">
        <is>
          <t>CF134</t>
        </is>
      </c>
      <c r="E313" s="221" t="inlineStr">
        <is>
          <t>苏大独墅湖五食堂</t>
        </is>
      </c>
      <c r="F313" s="219" t="inlineStr">
        <is>
          <t>分组作业</t>
        </is>
      </c>
      <c r="G313" s="222" t="inlineStr">
        <is>
          <t>徐敏娟</t>
        </is>
      </c>
      <c r="H313" s="503" t="inlineStr">
        <is>
          <t>/</t>
        </is>
      </c>
      <c r="I313" s="237" t="inlineStr">
        <is>
          <t>手工水饺</t>
        </is>
      </c>
      <c r="J313" s="222" t="inlineStr">
        <is>
          <t>王光芬</t>
        </is>
      </c>
      <c r="K313" s="545">
        <f>LET(k,D313&amp;"|"&amp;E313&amp;"|"&amp;H313&amp;"|"&amp;I313&amp;"|"&amp;J313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13" s="546" t="n"/>
      <c r="M313" s="224" t="n"/>
      <c r="N313" s="346" t="n"/>
      <c r="O313" s="548" t="n">
        <v>780000</v>
      </c>
      <c r="P313" s="552" t="n">
        <v>0.18</v>
      </c>
      <c r="Q313" s="461">
        <f>K313*P313</f>
        <v/>
      </c>
      <c r="R313" s="589" t="n"/>
      <c r="S313" s="461">
        <f>Q313-R313</f>
        <v/>
      </c>
      <c r="T313" s="247" t="n">
        <v>0</v>
      </c>
      <c r="U313" s="461">
        <f>K313*T313</f>
        <v/>
      </c>
      <c r="V313" s="461" t="n"/>
      <c r="W313" s="461">
        <f>U313-V313</f>
        <v/>
      </c>
      <c r="X313" s="247" t="n">
        <v>0</v>
      </c>
      <c r="Y313" s="461">
        <f>K313*X313</f>
        <v/>
      </c>
      <c r="Z313" s="461" t="n"/>
      <c r="AA313" s="461">
        <f>Y313-Z313</f>
        <v/>
      </c>
      <c r="AB313" s="247" t="n">
        <v>0</v>
      </c>
      <c r="AC313" s="461">
        <f>K313*AB313</f>
        <v/>
      </c>
      <c r="AD313" s="461" t="n"/>
      <c r="AE313" s="461">
        <f>AC313-AD313</f>
        <v/>
      </c>
      <c r="AF313" s="247" t="n">
        <v>0</v>
      </c>
      <c r="AG313" s="461">
        <f>K313*AF313</f>
        <v/>
      </c>
      <c r="AH313" s="461" t="n"/>
      <c r="AI313" s="461">
        <f>AG313-AH313</f>
        <v/>
      </c>
      <c r="AJ313" s="247" t="n">
        <v>0</v>
      </c>
      <c r="AK313" s="461">
        <f>K313*AJ313</f>
        <v/>
      </c>
      <c r="AL313" s="461" t="n"/>
      <c r="AM313" s="461">
        <f>AK313-AL313</f>
        <v/>
      </c>
      <c r="AN313" s="247" t="n">
        <v>0</v>
      </c>
      <c r="AO313" s="461">
        <f>K313*AN313</f>
        <v/>
      </c>
      <c r="AP313" s="461" t="n"/>
      <c r="AQ313" s="461">
        <f>AO313-AP313</f>
        <v/>
      </c>
      <c r="AR313" s="461" t="inlineStr">
        <is>
          <t>按实</t>
        </is>
      </c>
      <c r="AS313" s="461">
        <f>AT313</f>
        <v/>
      </c>
      <c r="AT313" s="589" t="n"/>
      <c r="AU313" s="461">
        <f>AS313-AT313</f>
        <v/>
      </c>
      <c r="AV313" s="235" t="n">
        <v>0.04</v>
      </c>
      <c r="AW313" s="461">
        <f>K313*AV313</f>
        <v/>
      </c>
      <c r="AX313" s="589" t="n"/>
      <c r="AY313" s="461">
        <f>AW313-AX313</f>
        <v/>
      </c>
      <c r="AZ313" s="235" t="inlineStr">
        <is>
          <t>按实</t>
        </is>
      </c>
      <c r="BA313" s="461">
        <f>BB313</f>
        <v/>
      </c>
      <c r="BB313" s="589" t="n"/>
      <c r="BC313" s="461">
        <f>BA313-BB313</f>
        <v/>
      </c>
      <c r="BD313" s="247" t="n">
        <v>0</v>
      </c>
      <c r="BE313" s="461">
        <f>K313*BD313</f>
        <v/>
      </c>
      <c r="BF313" s="247" t="n"/>
      <c r="BG313" s="461">
        <f>BE313-BF313</f>
        <v/>
      </c>
      <c r="BH313" s="247" t="n">
        <v>0</v>
      </c>
      <c r="BI313" s="461">
        <f>K313*BH313</f>
        <v/>
      </c>
      <c r="BJ313" s="235" t="n"/>
      <c r="BK313" s="461">
        <f>BI313-BJ313</f>
        <v/>
      </c>
      <c r="BL313" s="235" t="inlineStr">
        <is>
          <t>按实</t>
        </is>
      </c>
      <c r="BM313" s="220">
        <f>BN313</f>
        <v/>
      </c>
      <c r="BN313" s="590" t="n"/>
      <c r="BO313" s="220">
        <f>BM313-BN313</f>
        <v/>
      </c>
      <c r="BP313" s="220">
        <f>N313+Q313+U313+Y313+AC313+AG313+AK313+AO313+AS313+AW313+BA313+BE313+BI313+BM313</f>
        <v/>
      </c>
      <c r="BQ313" s="220">
        <f>N313+R313+V313+Z313+AD313+AH313+AL313+AP313+AT313+AX313+BB313+BF313+BJ313+BN313</f>
        <v/>
      </c>
      <c r="BR313" s="220">
        <f>BP313-BQ313</f>
        <v/>
      </c>
      <c r="BS313" s="254" t="inlineStr">
        <is>
          <t>/</t>
        </is>
      </c>
      <c r="BT313" s="229" t="inlineStr">
        <is>
          <t>/</t>
        </is>
      </c>
      <c r="BU313" s="230" t="inlineStr">
        <is>
          <t>1、虫害消杀：项目反馈不收取，包含在服务费中；
2、装修折旧费：项目反馈不收取，包含在服务费中；
3、甲方人员工资：项目反馈不收取，包含在服务费中；
4、甲方捐赠：项目反馈不收取，包含在服务费中；</t>
        </is>
      </c>
      <c r="BV313" s="230" t="inlineStr">
        <is>
          <t>1、签订期间：2026.1-7月；
2、指标按照全年换算；</t>
        </is>
      </c>
      <c r="BW313" s="534" t="n"/>
    </row>
    <row r="314" ht="48" customFormat="1" customHeight="1" s="209">
      <c r="A314" s="219" t="n">
        <v>364</v>
      </c>
      <c r="B314" s="220" t="inlineStr">
        <is>
          <t>KQCY0364</t>
        </is>
      </c>
      <c r="C314" s="221" t="inlineStr">
        <is>
          <t>餐饮五分部</t>
        </is>
      </c>
      <c r="D314" s="221" t="inlineStr">
        <is>
          <t>CF134</t>
        </is>
      </c>
      <c r="E314" s="221" t="inlineStr">
        <is>
          <t>苏大独墅湖五食堂</t>
        </is>
      </c>
      <c r="F314" s="219" t="inlineStr">
        <is>
          <t>分组作业</t>
        </is>
      </c>
      <c r="G314" s="222" t="inlineStr">
        <is>
          <t>徐敏娟</t>
        </is>
      </c>
      <c r="H314" s="503" t="inlineStr">
        <is>
          <t>/</t>
        </is>
      </c>
      <c r="I314" s="237" t="inlineStr">
        <is>
          <t>刀削面</t>
        </is>
      </c>
      <c r="J314" s="222" t="inlineStr">
        <is>
          <t>刘红东</t>
        </is>
      </c>
      <c r="K314" s="545">
        <f>LET(k,D314&amp;"|"&amp;E314&amp;"|"&amp;H314&amp;"|"&amp;I314&amp;"|"&amp;J314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14" s="546" t="n"/>
      <c r="M314" s="224" t="n"/>
      <c r="N314" s="346" t="n"/>
      <c r="O314" s="548" t="n">
        <v>720000</v>
      </c>
      <c r="P314" s="552" t="n">
        <v>0.18</v>
      </c>
      <c r="Q314" s="461">
        <f>K314*P314</f>
        <v/>
      </c>
      <c r="R314" s="589" t="n"/>
      <c r="S314" s="461">
        <f>Q314-R314</f>
        <v/>
      </c>
      <c r="T314" s="247" t="n">
        <v>0</v>
      </c>
      <c r="U314" s="461">
        <f>K314*T314</f>
        <v/>
      </c>
      <c r="V314" s="461" t="n"/>
      <c r="W314" s="461">
        <f>U314-V314</f>
        <v/>
      </c>
      <c r="X314" s="247" t="n">
        <v>0</v>
      </c>
      <c r="Y314" s="461">
        <f>K314*X314</f>
        <v/>
      </c>
      <c r="Z314" s="461" t="n"/>
      <c r="AA314" s="461">
        <f>Y314-Z314</f>
        <v/>
      </c>
      <c r="AB314" s="247" t="n">
        <v>0</v>
      </c>
      <c r="AC314" s="461">
        <f>K314*AB314</f>
        <v/>
      </c>
      <c r="AD314" s="461" t="n"/>
      <c r="AE314" s="461">
        <f>AC314-AD314</f>
        <v/>
      </c>
      <c r="AF314" s="247" t="n">
        <v>0</v>
      </c>
      <c r="AG314" s="461">
        <f>K314*AF314</f>
        <v/>
      </c>
      <c r="AH314" s="461" t="n"/>
      <c r="AI314" s="461">
        <f>AG314-AH314</f>
        <v/>
      </c>
      <c r="AJ314" s="247" t="n">
        <v>0</v>
      </c>
      <c r="AK314" s="461">
        <f>K314*AJ314</f>
        <v/>
      </c>
      <c r="AL314" s="461" t="n"/>
      <c r="AM314" s="461">
        <f>AK314-AL314</f>
        <v/>
      </c>
      <c r="AN314" s="247" t="n">
        <v>0</v>
      </c>
      <c r="AO314" s="461">
        <f>K314*AN314</f>
        <v/>
      </c>
      <c r="AP314" s="461" t="n"/>
      <c r="AQ314" s="461">
        <f>AO314-AP314</f>
        <v/>
      </c>
      <c r="AR314" s="461" t="inlineStr">
        <is>
          <t>按实</t>
        </is>
      </c>
      <c r="AS314" s="461">
        <f>AT314</f>
        <v/>
      </c>
      <c r="AT314" s="589" t="n"/>
      <c r="AU314" s="461">
        <f>AS314-AT314</f>
        <v/>
      </c>
      <c r="AV314" s="235" t="n">
        <v>0.05</v>
      </c>
      <c r="AW314" s="461">
        <f>K314*AV314</f>
        <v/>
      </c>
      <c r="AX314" s="589" t="n"/>
      <c r="AY314" s="461">
        <f>AW314-AX314</f>
        <v/>
      </c>
      <c r="AZ314" s="235" t="inlineStr">
        <is>
          <t>按实</t>
        </is>
      </c>
      <c r="BA314" s="461">
        <f>BB314</f>
        <v/>
      </c>
      <c r="BB314" s="589" t="n"/>
      <c r="BC314" s="461">
        <f>BA314-BB314</f>
        <v/>
      </c>
      <c r="BD314" s="247" t="n">
        <v>0</v>
      </c>
      <c r="BE314" s="461">
        <f>K314*BD314</f>
        <v/>
      </c>
      <c r="BF314" s="247" t="n"/>
      <c r="BG314" s="461">
        <f>BE314-BF314</f>
        <v/>
      </c>
      <c r="BH314" s="247" t="n">
        <v>0</v>
      </c>
      <c r="BI314" s="461">
        <f>K314*BH314</f>
        <v/>
      </c>
      <c r="BJ314" s="235" t="n"/>
      <c r="BK314" s="461">
        <f>BI314-BJ314</f>
        <v/>
      </c>
      <c r="BL314" s="235" t="inlineStr">
        <is>
          <t>按实</t>
        </is>
      </c>
      <c r="BM314" s="220">
        <f>BN314</f>
        <v/>
      </c>
      <c r="BN314" s="590" t="n"/>
      <c r="BO314" s="220">
        <f>BM314-BN314</f>
        <v/>
      </c>
      <c r="BP314" s="220">
        <f>N314+Q314+U314+Y314+AC314+AG314+AK314+AO314+AS314+AW314+BA314+BE314+BI314+BM314</f>
        <v/>
      </c>
      <c r="BQ314" s="220">
        <f>N314+R314+V314+Z314+AD314+AH314+AL314+AP314+AT314+AX314+BB314+BF314+BJ314+BN314</f>
        <v/>
      </c>
      <c r="BR314" s="220">
        <f>BP314-BQ314</f>
        <v/>
      </c>
      <c r="BS314" s="254" t="inlineStr">
        <is>
          <t>/</t>
        </is>
      </c>
      <c r="BT314" s="229" t="inlineStr">
        <is>
          <t>/</t>
        </is>
      </c>
      <c r="BU314" s="230" t="inlineStr">
        <is>
          <t>1、虫害消杀：项目反馈不收取，包含在服务费中；
2、装修折旧费：项目反馈不收取，包含在服务费中；
3、甲方人员工资：项目反馈不收取，包含在服务费中；
4、甲方捐赠：项目反馈不收取，包含在服务费中；</t>
        </is>
      </c>
      <c r="BV314" s="230" t="inlineStr">
        <is>
          <t>1、签订期间：2026.1-7月；
2、指标按照全年换算；</t>
        </is>
      </c>
      <c r="BW314" s="534" t="n"/>
    </row>
    <row r="315" ht="48" customFormat="1" customHeight="1" s="209">
      <c r="A315" s="219" t="n">
        <v>365</v>
      </c>
      <c r="B315" s="220" t="inlineStr">
        <is>
          <t>KQCY0365</t>
        </is>
      </c>
      <c r="C315" s="221" t="inlineStr">
        <is>
          <t>餐饮五分部</t>
        </is>
      </c>
      <c r="D315" s="221" t="inlineStr">
        <is>
          <t>CF134</t>
        </is>
      </c>
      <c r="E315" s="221" t="inlineStr">
        <is>
          <t>苏大独墅湖五食堂</t>
        </is>
      </c>
      <c r="F315" s="219" t="inlineStr">
        <is>
          <t>分组作业</t>
        </is>
      </c>
      <c r="G315" s="222" t="inlineStr">
        <is>
          <t>徐敏娟</t>
        </is>
      </c>
      <c r="H315" s="503" t="inlineStr">
        <is>
          <t>/</t>
        </is>
      </c>
      <c r="I315" s="237" t="inlineStr">
        <is>
          <t>奶茶、炸鸡</t>
        </is>
      </c>
      <c r="J315" s="222" t="inlineStr">
        <is>
          <t>张斌</t>
        </is>
      </c>
      <c r="K315" s="545">
        <f>LET(k,D315&amp;"|"&amp;E315&amp;"|"&amp;H315&amp;"|"&amp;I315&amp;"|"&amp;J315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15" s="546" t="n"/>
      <c r="M315" s="224" t="n"/>
      <c r="N315" s="346" t="n"/>
      <c r="O315" s="548" t="n">
        <v>1100000</v>
      </c>
      <c r="P315" s="552" t="n">
        <v>0.1</v>
      </c>
      <c r="Q315" s="461">
        <f>K315*P315</f>
        <v/>
      </c>
      <c r="R315" s="589" t="n"/>
      <c r="S315" s="461">
        <f>Q315-R315</f>
        <v/>
      </c>
      <c r="T315" s="247" t="n">
        <v>0</v>
      </c>
      <c r="U315" s="461">
        <f>K315*T315</f>
        <v/>
      </c>
      <c r="V315" s="461" t="n"/>
      <c r="W315" s="461">
        <f>U315-V315</f>
        <v/>
      </c>
      <c r="X315" s="247" t="n">
        <v>0</v>
      </c>
      <c r="Y315" s="461">
        <f>K315*X315</f>
        <v/>
      </c>
      <c r="Z315" s="461" t="n"/>
      <c r="AA315" s="461">
        <f>Y315-Z315</f>
        <v/>
      </c>
      <c r="AB315" s="247" t="n">
        <v>0</v>
      </c>
      <c r="AC315" s="461">
        <f>K315*AB315</f>
        <v/>
      </c>
      <c r="AD315" s="461" t="n"/>
      <c r="AE315" s="461">
        <f>AC315-AD315</f>
        <v/>
      </c>
      <c r="AF315" s="247" t="n">
        <v>0</v>
      </c>
      <c r="AG315" s="461">
        <f>K315*AF315</f>
        <v/>
      </c>
      <c r="AH315" s="461" t="n"/>
      <c r="AI315" s="461">
        <f>AG315-AH315</f>
        <v/>
      </c>
      <c r="AJ315" s="247" t="n">
        <v>0</v>
      </c>
      <c r="AK315" s="461">
        <f>K315*AJ315</f>
        <v/>
      </c>
      <c r="AL315" s="461" t="n"/>
      <c r="AM315" s="461">
        <f>AK315-AL315</f>
        <v/>
      </c>
      <c r="AN315" s="247" t="n">
        <v>0</v>
      </c>
      <c r="AO315" s="461">
        <f>K315*AN315</f>
        <v/>
      </c>
      <c r="AP315" s="461" t="n"/>
      <c r="AQ315" s="461">
        <f>AO315-AP315</f>
        <v/>
      </c>
      <c r="AR315" s="461" t="inlineStr">
        <is>
          <t>按实</t>
        </is>
      </c>
      <c r="AS315" s="461">
        <f>AT315</f>
        <v/>
      </c>
      <c r="AT315" s="589" t="n"/>
      <c r="AU315" s="461">
        <f>AS315-AT315</f>
        <v/>
      </c>
      <c r="AV315" s="235" t="n">
        <v>0.03</v>
      </c>
      <c r="AW315" s="461">
        <f>K315*AV315</f>
        <v/>
      </c>
      <c r="AX315" s="589" t="n"/>
      <c r="AY315" s="461">
        <f>AW315-AX315</f>
        <v/>
      </c>
      <c r="AZ315" s="235" t="inlineStr">
        <is>
          <t>按实</t>
        </is>
      </c>
      <c r="BA315" s="461">
        <f>BB315</f>
        <v/>
      </c>
      <c r="BB315" s="461" t="n"/>
      <c r="BC315" s="461">
        <f>BA315-BB315</f>
        <v/>
      </c>
      <c r="BD315" s="247" t="n">
        <v>0</v>
      </c>
      <c r="BE315" s="461">
        <f>K315*BD315</f>
        <v/>
      </c>
      <c r="BF315" s="247" t="n"/>
      <c r="BG315" s="461">
        <f>BE315-BF315</f>
        <v/>
      </c>
      <c r="BH315" s="247" t="n">
        <v>0</v>
      </c>
      <c r="BI315" s="461">
        <f>K315*BH315</f>
        <v/>
      </c>
      <c r="BJ315" s="235" t="n"/>
      <c r="BK315" s="461">
        <f>BI315-BJ315</f>
        <v/>
      </c>
      <c r="BL315" s="235" t="inlineStr">
        <is>
          <t>按实</t>
        </is>
      </c>
      <c r="BM315" s="220">
        <f>BN315</f>
        <v/>
      </c>
      <c r="BN315" s="590" t="n"/>
      <c r="BO315" s="220">
        <f>BM315-BN315</f>
        <v/>
      </c>
      <c r="BP315" s="220">
        <f>N315+Q315+U315+Y315+AC315+AG315+AK315+AO315+AS315+AW315+BA315+BE315+BI315+BM315</f>
        <v/>
      </c>
      <c r="BQ315" s="220">
        <f>N315+R315+V315+Z315+AD315+AH315+AL315+AP315+AT315+AX315+BB315+BF315+BJ315+BN315</f>
        <v/>
      </c>
      <c r="BR315" s="220">
        <f>BP315-BQ315</f>
        <v/>
      </c>
      <c r="BS315" s="254" t="inlineStr">
        <is>
          <t>/</t>
        </is>
      </c>
      <c r="BT315" s="229" t="inlineStr">
        <is>
          <t>/</t>
        </is>
      </c>
      <c r="BU315" s="230" t="inlineStr">
        <is>
          <t>1、虫害消杀：项目反馈不收取，包含在服务费中；
2、装修折旧费：项目反馈不收取，包含在服务费中；
3、甲方人员工资：项目反馈不收取，包含在服务费中；
4、甲方捐赠：项目反馈不收取，包含在服务费中；</t>
        </is>
      </c>
      <c r="BV315" s="230" t="inlineStr">
        <is>
          <t>1、签订期间：2026.1-7月；
2、指标按照全年换算；</t>
        </is>
      </c>
      <c r="BW315" s="534" t="n"/>
    </row>
    <row r="316" ht="48" customFormat="1" customHeight="1" s="209">
      <c r="A316" s="219" t="n">
        <v>367</v>
      </c>
      <c r="B316" s="220" t="inlineStr">
        <is>
          <t>KQCY0367</t>
        </is>
      </c>
      <c r="C316" s="221" t="inlineStr">
        <is>
          <t>餐饮六分部</t>
        </is>
      </c>
      <c r="D316" s="221" t="inlineStr">
        <is>
          <t>CF293</t>
        </is>
      </c>
      <c r="E316" s="221" t="inlineStr">
        <is>
          <t>江苏二师石湫校区食堂</t>
        </is>
      </c>
      <c r="F316" s="219" t="inlineStr">
        <is>
          <t>分组作业</t>
        </is>
      </c>
      <c r="G316" s="222" t="inlineStr">
        <is>
          <t>徐敏娟</t>
        </is>
      </c>
      <c r="H316" s="219" t="inlineStr">
        <is>
          <t>第二班组</t>
        </is>
      </c>
      <c r="I316" s="237" t="inlineStr">
        <is>
          <t>水饺面条</t>
        </is>
      </c>
      <c r="J316" s="219" t="inlineStr">
        <is>
          <t>申亮</t>
        </is>
      </c>
      <c r="K316" s="545">
        <f>LET(k,D316&amp;"|"&amp;E316&amp;"|"&amp;H316&amp;"|"&amp;I316&amp;"|"&amp;J316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16" s="546" t="n"/>
      <c r="M316" s="224" t="n"/>
      <c r="N316" s="253" t="n">
        <v>10369.56</v>
      </c>
      <c r="O316" s="548" t="n">
        <v>375000</v>
      </c>
      <c r="P316" s="552" t="n">
        <v>0.19</v>
      </c>
      <c r="Q316" s="461">
        <f>K316*P316</f>
        <v/>
      </c>
      <c r="R316" s="461" t="n">
        <v>0</v>
      </c>
      <c r="S316" s="461">
        <f>Q316-R316</f>
        <v/>
      </c>
      <c r="T316" s="235" t="n">
        <v>0</v>
      </c>
      <c r="U316" s="461">
        <f>K316*T316</f>
        <v/>
      </c>
      <c r="V316" s="461" t="n"/>
      <c r="W316" s="461">
        <f>U316-V316</f>
        <v/>
      </c>
      <c r="X316" s="235" t="n">
        <v>0</v>
      </c>
      <c r="Y316" s="461">
        <f>K316*X316</f>
        <v/>
      </c>
      <c r="Z316" s="461" t="n"/>
      <c r="AA316" s="461">
        <f>Y316-Z316</f>
        <v/>
      </c>
      <c r="AB316" s="235" t="n">
        <v>0</v>
      </c>
      <c r="AC316" s="461">
        <f>K316*AB316</f>
        <v/>
      </c>
      <c r="AD316" s="461" t="n"/>
      <c r="AE316" s="461">
        <f>AC316-AD316</f>
        <v/>
      </c>
      <c r="AF316" s="235" t="n">
        <v>0</v>
      </c>
      <c r="AG316" s="461">
        <f>K316*AF316</f>
        <v/>
      </c>
      <c r="AH316" s="461" t="n"/>
      <c r="AI316" s="461">
        <f>AG316-AH316</f>
        <v/>
      </c>
      <c r="AJ316" s="235" t="n">
        <v>0</v>
      </c>
      <c r="AK316" s="461">
        <f>K316*AJ316</f>
        <v/>
      </c>
      <c r="AL316" s="461" t="n"/>
      <c r="AM316" s="461">
        <f>AK316-AL316</f>
        <v/>
      </c>
      <c r="AN316" s="235" t="n">
        <v>0</v>
      </c>
      <c r="AO316" s="461">
        <f>K316*AN316</f>
        <v/>
      </c>
      <c r="AP316" s="461" t="n"/>
      <c r="AQ316" s="461">
        <f>AO316-AP316</f>
        <v/>
      </c>
      <c r="AR316" s="461" t="n">
        <v>0.035</v>
      </c>
      <c r="AS316" s="461">
        <f>K316*AR316</f>
        <v/>
      </c>
      <c r="AT316" s="461" t="n"/>
      <c r="AU316" s="461">
        <f>AS316-AT316</f>
        <v/>
      </c>
      <c r="AV316" s="552" t="n">
        <v>0.055</v>
      </c>
      <c r="AW316" s="461">
        <f>K316*AV316</f>
        <v/>
      </c>
      <c r="AX316" s="461" t="n"/>
      <c r="AY316" s="461">
        <f>AW316-AX316</f>
        <v/>
      </c>
      <c r="AZ316" s="235" t="inlineStr">
        <is>
          <t>按实</t>
        </is>
      </c>
      <c r="BA316" s="461">
        <f>BB316</f>
        <v/>
      </c>
      <c r="BB316" s="461" t="n">
        <v>0</v>
      </c>
      <c r="BC316" s="461">
        <f>BA316-BB316</f>
        <v/>
      </c>
      <c r="BD316" s="461" t="n">
        <v>0</v>
      </c>
      <c r="BE316" s="461">
        <f>K316*BD316</f>
        <v/>
      </c>
      <c r="BF316" s="461" t="n"/>
      <c r="BG316" s="461">
        <f>BE316-BF316</f>
        <v/>
      </c>
      <c r="BH316" s="461" t="n">
        <v>0</v>
      </c>
      <c r="BI316" s="461">
        <f>K316*BH316</f>
        <v/>
      </c>
      <c r="BJ316" s="235" t="n"/>
      <c r="BK316" s="461">
        <f>BI316-BJ316</f>
        <v/>
      </c>
      <c r="BL316" s="235" t="inlineStr">
        <is>
          <t>按实</t>
        </is>
      </c>
      <c r="BM316" s="220">
        <f>BN316</f>
        <v/>
      </c>
      <c r="BN316" s="220" t="n">
        <v>0</v>
      </c>
      <c r="BO316" s="220">
        <f>BM316-BN316</f>
        <v/>
      </c>
      <c r="BP316" s="220">
        <f>N316+Q316+U316+Y316+AC316+AG316+AK316+AO316+AS316+AW316+BA316+BE316+BI316+BM316</f>
        <v/>
      </c>
      <c r="BQ316" s="220">
        <f>N316+R316+V316+Z316+AD316+AH316+AL316+AP316+AT316+AX316+BB316+BF316+BJ316+BN316</f>
        <v/>
      </c>
      <c r="BR316" s="220">
        <f>BP316-BQ316</f>
        <v/>
      </c>
      <c r="BS316" s="229" t="inlineStr">
        <is>
          <t>/</t>
        </is>
      </c>
      <c r="BT316" s="229" t="inlineStr">
        <is>
          <t>/</t>
        </is>
      </c>
      <c r="BU316" s="230" t="inlineStr">
        <is>
          <t>1、装修折旧费：项目反馈不收取，包含在服务费中；
2、甲方管理费：项目反馈不收取，包含在服务费中；
3、甲方人员工资：项目反馈不收取，包含在服务费中；
4、甲方捐赠：项目反馈不收取，包含在服务费中；</t>
        </is>
      </c>
      <c r="BV316" s="230" t="inlineStr">
        <is>
          <t>1、签订期间：2026.3-2027.2月；
2、指标按照全年换算；</t>
        </is>
      </c>
      <c r="BW316" s="534" t="n"/>
    </row>
    <row r="317" ht="48" customFormat="1" customHeight="1" s="209">
      <c r="A317" s="219" t="n">
        <v>368</v>
      </c>
      <c r="B317" s="220" t="inlineStr">
        <is>
          <t>KQCY0368</t>
        </is>
      </c>
      <c r="C317" s="221" t="inlineStr">
        <is>
          <t>餐饮六分部</t>
        </is>
      </c>
      <c r="D317" s="221" t="inlineStr">
        <is>
          <t>CF293</t>
        </is>
      </c>
      <c r="E317" s="221" t="inlineStr">
        <is>
          <t>江苏二师石湫校区食堂</t>
        </is>
      </c>
      <c r="F317" s="219" t="inlineStr">
        <is>
          <t>分组作业</t>
        </is>
      </c>
      <c r="G317" s="222" t="inlineStr">
        <is>
          <t>徐敏娟</t>
        </is>
      </c>
      <c r="H317" s="219" t="inlineStr">
        <is>
          <t>第三班组</t>
        </is>
      </c>
      <c r="I317" s="237" t="inlineStr">
        <is>
          <t>湘西小炒</t>
        </is>
      </c>
      <c r="J317" s="219" t="inlineStr">
        <is>
          <t>李帮</t>
        </is>
      </c>
      <c r="K317" s="545">
        <f>LET(k,D317&amp;"|"&amp;E317&amp;"|"&amp;H317&amp;"|"&amp;I317&amp;"|"&amp;J317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17" s="546" t="n"/>
      <c r="M317" s="224" t="n"/>
      <c r="N317" s="253" t="n"/>
      <c r="O317" s="548" t="n">
        <v>395000</v>
      </c>
      <c r="P317" s="552" t="n">
        <v>0.19</v>
      </c>
      <c r="Q317" s="461">
        <f>K317*P317</f>
        <v/>
      </c>
      <c r="R317" s="461" t="n"/>
      <c r="S317" s="461">
        <f>Q317-R317</f>
        <v/>
      </c>
      <c r="T317" s="235" t="n">
        <v>0</v>
      </c>
      <c r="U317" s="461">
        <f>K317*T317</f>
        <v/>
      </c>
      <c r="V317" s="461" t="n"/>
      <c r="W317" s="461">
        <f>U317-V317</f>
        <v/>
      </c>
      <c r="X317" s="235" t="n">
        <v>0</v>
      </c>
      <c r="Y317" s="461">
        <f>K317*X317</f>
        <v/>
      </c>
      <c r="Z317" s="461" t="n"/>
      <c r="AA317" s="461">
        <f>Y317-Z317</f>
        <v/>
      </c>
      <c r="AB317" s="235" t="n">
        <v>0</v>
      </c>
      <c r="AC317" s="461">
        <f>K317*AB317</f>
        <v/>
      </c>
      <c r="AD317" s="461" t="n"/>
      <c r="AE317" s="461">
        <f>AC317-AD317</f>
        <v/>
      </c>
      <c r="AF317" s="235" t="n">
        <v>0</v>
      </c>
      <c r="AG317" s="461">
        <f>K317*AF317</f>
        <v/>
      </c>
      <c r="AH317" s="461" t="n"/>
      <c r="AI317" s="461">
        <f>AG317-AH317</f>
        <v/>
      </c>
      <c r="AJ317" s="235" t="n">
        <v>0</v>
      </c>
      <c r="AK317" s="461">
        <f>K317*AJ317</f>
        <v/>
      </c>
      <c r="AL317" s="461" t="n"/>
      <c r="AM317" s="461">
        <f>AK317-AL317</f>
        <v/>
      </c>
      <c r="AN317" s="235" t="n">
        <v>0</v>
      </c>
      <c r="AO317" s="461">
        <f>K317*AN317</f>
        <v/>
      </c>
      <c r="AP317" s="461" t="n"/>
      <c r="AQ317" s="461">
        <f>AO317-AP317</f>
        <v/>
      </c>
      <c r="AR317" s="461" t="n">
        <v>0.035</v>
      </c>
      <c r="AS317" s="461">
        <f>K317*AR317</f>
        <v/>
      </c>
      <c r="AT317" s="461" t="n"/>
      <c r="AU317" s="461">
        <f>AS317-AT317</f>
        <v/>
      </c>
      <c r="AV317" s="552" t="n">
        <v>0.055</v>
      </c>
      <c r="AW317" s="461">
        <f>K317*AV317</f>
        <v/>
      </c>
      <c r="AX317" s="461" t="n"/>
      <c r="AY317" s="461">
        <f>AW317-AX317</f>
        <v/>
      </c>
      <c r="AZ317" s="235" t="inlineStr">
        <is>
          <t>按实</t>
        </is>
      </c>
      <c r="BA317" s="461">
        <f>BB317</f>
        <v/>
      </c>
      <c r="BB317" s="461" t="n"/>
      <c r="BC317" s="461">
        <f>BA317-BB317</f>
        <v/>
      </c>
      <c r="BD317" s="461" t="n">
        <v>0</v>
      </c>
      <c r="BE317" s="461">
        <f>K317*BD317</f>
        <v/>
      </c>
      <c r="BF317" s="461" t="n"/>
      <c r="BG317" s="461">
        <f>BE317-BF317</f>
        <v/>
      </c>
      <c r="BH317" s="461" t="n">
        <v>0</v>
      </c>
      <c r="BI317" s="461">
        <f>K317*BH317</f>
        <v/>
      </c>
      <c r="BJ317" s="235" t="n"/>
      <c r="BK317" s="461">
        <f>BI317-BJ317</f>
        <v/>
      </c>
      <c r="BL317" s="235" t="inlineStr">
        <is>
          <t>按实</t>
        </is>
      </c>
      <c r="BM317" s="220">
        <f>BN317</f>
        <v/>
      </c>
      <c r="BN317" s="220" t="n"/>
      <c r="BO317" s="220">
        <f>BM317-BN317</f>
        <v/>
      </c>
      <c r="BP317" s="220">
        <f>N317+Q317+U317+Y317+AC317+AG317+AK317+AO317+AS317+AW317+BA317+BE317+BI317+BM317</f>
        <v/>
      </c>
      <c r="BQ317" s="220">
        <f>N317+R317+V317+Z317+AD317+AH317+AL317+AP317+AT317+AX317+BB317+BF317+BJ317+BN317</f>
        <v/>
      </c>
      <c r="BR317" s="220">
        <f>BP317-BQ317</f>
        <v/>
      </c>
      <c r="BS317" s="229" t="inlineStr">
        <is>
          <t>/</t>
        </is>
      </c>
      <c r="BT317" s="229" t="inlineStr">
        <is>
          <t>/</t>
        </is>
      </c>
      <c r="BU317" s="230" t="inlineStr">
        <is>
          <t>1、装修折旧费：项目反馈不收取，包含在服务费中；
2、甲方管理费：项目反馈不收取，包含在服务费中；
3、甲方人员工资：项目反馈不收取，包含在服务费中；
4、甲方捐赠：项目反馈不收取，包含在服务费中；</t>
        </is>
      </c>
      <c r="BV317" s="230" t="inlineStr">
        <is>
          <t>1、签订期间：2026.3-2027.2月；
2、指标按照全年换算；</t>
        </is>
      </c>
      <c r="BW317" s="534" t="n"/>
    </row>
    <row r="318" ht="48" customFormat="1" customHeight="1" s="209">
      <c r="A318" s="219" t="n">
        <v>369</v>
      </c>
      <c r="B318" s="220" t="inlineStr">
        <is>
          <t>KQCY0369</t>
        </is>
      </c>
      <c r="C318" s="221" t="inlineStr">
        <is>
          <t>餐饮六分部</t>
        </is>
      </c>
      <c r="D318" s="221" t="inlineStr">
        <is>
          <t>CF293</t>
        </is>
      </c>
      <c r="E318" s="221" t="inlineStr">
        <is>
          <t>江苏二师石湫校区食堂</t>
        </is>
      </c>
      <c r="F318" s="219" t="inlineStr">
        <is>
          <t>分组作业</t>
        </is>
      </c>
      <c r="G318" s="222" t="inlineStr">
        <is>
          <t>徐敏娟</t>
        </is>
      </c>
      <c r="H318" s="219" t="inlineStr">
        <is>
          <t>第七班组</t>
        </is>
      </c>
      <c r="I318" s="237" t="inlineStr">
        <is>
          <t>早餐</t>
        </is>
      </c>
      <c r="J318" s="219" t="inlineStr">
        <is>
          <t>李帮</t>
        </is>
      </c>
      <c r="K318" s="545">
        <f>LET(k,D318&amp;"|"&amp;E318&amp;"|"&amp;H318&amp;"|"&amp;I318&amp;"|"&amp;J318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18" s="546" t="n"/>
      <c r="M318" s="224" t="n"/>
      <c r="N318" s="253" t="n"/>
      <c r="O318" s="548" t="n">
        <v>968000</v>
      </c>
      <c r="P318" s="552" t="n">
        <v>0.19</v>
      </c>
      <c r="Q318" s="461">
        <f>K318*P318</f>
        <v/>
      </c>
      <c r="R318" s="461" t="n"/>
      <c r="S318" s="461">
        <f>Q318-R318</f>
        <v/>
      </c>
      <c r="T318" s="235" t="n">
        <v>0</v>
      </c>
      <c r="U318" s="461">
        <f>K318*T318</f>
        <v/>
      </c>
      <c r="V318" s="461" t="n"/>
      <c r="W318" s="461">
        <f>U318-V318</f>
        <v/>
      </c>
      <c r="X318" s="235" t="n">
        <v>0</v>
      </c>
      <c r="Y318" s="461">
        <f>K318*X318</f>
        <v/>
      </c>
      <c r="Z318" s="461" t="n"/>
      <c r="AA318" s="461">
        <f>Y318-Z318</f>
        <v/>
      </c>
      <c r="AB318" s="235" t="n">
        <v>0</v>
      </c>
      <c r="AC318" s="461">
        <f>K318*AB318</f>
        <v/>
      </c>
      <c r="AD318" s="461" t="n"/>
      <c r="AE318" s="461">
        <f>AC318-AD318</f>
        <v/>
      </c>
      <c r="AF318" s="235" t="n">
        <v>0</v>
      </c>
      <c r="AG318" s="461">
        <f>K318*AF318</f>
        <v/>
      </c>
      <c r="AH318" s="461" t="n"/>
      <c r="AI318" s="461">
        <f>AG318-AH318</f>
        <v/>
      </c>
      <c r="AJ318" s="235" t="n">
        <v>0</v>
      </c>
      <c r="AK318" s="461">
        <f>K318*AJ318</f>
        <v/>
      </c>
      <c r="AL318" s="461" t="n"/>
      <c r="AM318" s="461">
        <f>AK318-AL318</f>
        <v/>
      </c>
      <c r="AN318" s="235" t="n">
        <v>0</v>
      </c>
      <c r="AO318" s="461">
        <f>K318*AN318</f>
        <v/>
      </c>
      <c r="AP318" s="461" t="n"/>
      <c r="AQ318" s="461">
        <f>AO318-AP318</f>
        <v/>
      </c>
      <c r="AR318" s="461" t="n">
        <v>0.025</v>
      </c>
      <c r="AS318" s="461">
        <f>K318*AR318</f>
        <v/>
      </c>
      <c r="AT318" s="461" t="n"/>
      <c r="AU318" s="461">
        <f>AS318-AT318</f>
        <v/>
      </c>
      <c r="AV318" s="552" t="n">
        <v>0.055</v>
      </c>
      <c r="AW318" s="461">
        <f>K318*AV318</f>
        <v/>
      </c>
      <c r="AX318" s="461" t="n"/>
      <c r="AY318" s="461">
        <f>AW318-AX318</f>
        <v/>
      </c>
      <c r="AZ318" s="235" t="inlineStr">
        <is>
          <t>按实</t>
        </is>
      </c>
      <c r="BA318" s="461">
        <f>BB318</f>
        <v/>
      </c>
      <c r="BB318" s="461" t="n"/>
      <c r="BC318" s="461">
        <f>BA318-BB318</f>
        <v/>
      </c>
      <c r="BD318" s="461" t="n">
        <v>0</v>
      </c>
      <c r="BE318" s="461">
        <f>K318*BD318</f>
        <v/>
      </c>
      <c r="BF318" s="461" t="n"/>
      <c r="BG318" s="461">
        <f>BE318-BF318</f>
        <v/>
      </c>
      <c r="BH318" s="461" t="n">
        <v>0</v>
      </c>
      <c r="BI318" s="461">
        <f>K318*BH318</f>
        <v/>
      </c>
      <c r="BJ318" s="235" t="n"/>
      <c r="BK318" s="461">
        <f>BI318-BJ318</f>
        <v/>
      </c>
      <c r="BL318" s="235" t="inlineStr">
        <is>
          <t>按实</t>
        </is>
      </c>
      <c r="BM318" s="220">
        <f>BN318</f>
        <v/>
      </c>
      <c r="BN318" s="220" t="n"/>
      <c r="BO318" s="220">
        <f>BM318-BN318</f>
        <v/>
      </c>
      <c r="BP318" s="220">
        <f>N318+Q318+U318+Y318+AC318+AG318+AK318+AO318+AS318+AW318+BA318+BE318+BI318+BM318</f>
        <v/>
      </c>
      <c r="BQ318" s="220">
        <f>N318+R318+V318+Z318+AD318+AH318+AL318+AP318+AT318+AX318+BB318+BF318+BJ318+BN318</f>
        <v/>
      </c>
      <c r="BR318" s="220">
        <f>BP318-BQ318</f>
        <v/>
      </c>
      <c r="BS318" s="229" t="inlineStr">
        <is>
          <t>/</t>
        </is>
      </c>
      <c r="BT318" s="229" t="inlineStr">
        <is>
          <t>/</t>
        </is>
      </c>
      <c r="BU318" s="230" t="inlineStr">
        <is>
          <t>1、装修折旧费：项目反馈不收取，包含在服务费中；
2、甲方管理费：项目反馈不收取，包含在服务费中；
3、甲方人员工资：甲方人员工资：7500/月，寒暑假/；
4、甲方捐赠：项目反馈不收取，包含在服务费中；</t>
        </is>
      </c>
      <c r="BV318" s="230" t="inlineStr">
        <is>
          <t>1、签订期间：2026.3-2027.2月；
2、指标按照全年换算；</t>
        </is>
      </c>
      <c r="BW318" s="534" t="n"/>
    </row>
    <row r="319" ht="48" customFormat="1" customHeight="1" s="209">
      <c r="A319" s="219" t="n">
        <v>370</v>
      </c>
      <c r="B319" s="220" t="inlineStr">
        <is>
          <t>KQCY0370</t>
        </is>
      </c>
      <c r="C319" s="221" t="inlineStr">
        <is>
          <t>餐饮六分部</t>
        </is>
      </c>
      <c r="D319" s="221" t="inlineStr">
        <is>
          <t>CF293</t>
        </is>
      </c>
      <c r="E319" s="221" t="inlineStr">
        <is>
          <t>江苏二师石湫校区食堂</t>
        </is>
      </c>
      <c r="F319" s="219" t="inlineStr">
        <is>
          <t>分组作业</t>
        </is>
      </c>
      <c r="G319" s="222" t="inlineStr">
        <is>
          <t>徐敏娟</t>
        </is>
      </c>
      <c r="H319" s="219" t="inlineStr">
        <is>
          <t>第一班组</t>
        </is>
      </c>
      <c r="I319" s="237" t="inlineStr">
        <is>
          <t>营养粥(肠粉)</t>
        </is>
      </c>
      <c r="J319" s="219" t="inlineStr">
        <is>
          <t>申亮</t>
        </is>
      </c>
      <c r="K319" s="545">
        <f>LET(k,D319&amp;"|"&amp;E319&amp;"|"&amp;H319&amp;"|"&amp;I319&amp;"|"&amp;J319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19" s="546" t="n"/>
      <c r="M319" s="224" t="n"/>
      <c r="N319" s="253" t="n"/>
      <c r="O319" s="548" t="n">
        <v>810000</v>
      </c>
      <c r="P319" s="552" t="n">
        <v>0.19</v>
      </c>
      <c r="Q319" s="461">
        <f>K319*P319</f>
        <v/>
      </c>
      <c r="R319" s="461" t="n"/>
      <c r="S319" s="461">
        <f>Q319-R319</f>
        <v/>
      </c>
      <c r="T319" s="235" t="n">
        <v>0</v>
      </c>
      <c r="U319" s="461">
        <f>K319*T319</f>
        <v/>
      </c>
      <c r="V319" s="461" t="n"/>
      <c r="W319" s="461">
        <f>U319-V319</f>
        <v/>
      </c>
      <c r="X319" s="235" t="n">
        <v>0</v>
      </c>
      <c r="Y319" s="461">
        <f>K319*X319</f>
        <v/>
      </c>
      <c r="Z319" s="461" t="n"/>
      <c r="AA319" s="461">
        <f>Y319-Z319</f>
        <v/>
      </c>
      <c r="AB319" s="235" t="n">
        <v>0</v>
      </c>
      <c r="AC319" s="461">
        <f>K319*AB319</f>
        <v/>
      </c>
      <c r="AD319" s="461" t="n"/>
      <c r="AE319" s="461">
        <f>AC319-AD319</f>
        <v/>
      </c>
      <c r="AF319" s="235" t="n">
        <v>0</v>
      </c>
      <c r="AG319" s="461">
        <f>K319*AF319</f>
        <v/>
      </c>
      <c r="AH319" s="461" t="n"/>
      <c r="AI319" s="461">
        <f>AG319-AH319</f>
        <v/>
      </c>
      <c r="AJ319" s="235" t="n">
        <v>0</v>
      </c>
      <c r="AK319" s="461">
        <f>K319*AJ319</f>
        <v/>
      </c>
      <c r="AL319" s="461" t="n"/>
      <c r="AM319" s="461">
        <f>AK319-AL319</f>
        <v/>
      </c>
      <c r="AN319" s="235" t="n">
        <v>0</v>
      </c>
      <c r="AO319" s="461">
        <f>K319*AN319</f>
        <v/>
      </c>
      <c r="AP319" s="461" t="n"/>
      <c r="AQ319" s="461">
        <f>AO319-AP319</f>
        <v/>
      </c>
      <c r="AR319" s="461" t="inlineStr">
        <is>
          <t>按实</t>
        </is>
      </c>
      <c r="AS319" s="461">
        <f>AT319</f>
        <v/>
      </c>
      <c r="AT319" s="461" t="n"/>
      <c r="AU319" s="461">
        <f>AS319-AT319</f>
        <v/>
      </c>
      <c r="AV319" s="235" t="inlineStr">
        <is>
          <t>按实</t>
        </is>
      </c>
      <c r="AW319" s="461">
        <f>AX319</f>
        <v/>
      </c>
      <c r="AX319" s="461" t="n"/>
      <c r="AY319" s="461">
        <f>AW319-AX319</f>
        <v/>
      </c>
      <c r="AZ319" s="235" t="inlineStr">
        <is>
          <t>按实</t>
        </is>
      </c>
      <c r="BA319" s="461">
        <f>BB319</f>
        <v/>
      </c>
      <c r="BB319" s="461" t="n"/>
      <c r="BC319" s="461">
        <f>BA319-BB319</f>
        <v/>
      </c>
      <c r="BD319" s="461" t="n">
        <v>0</v>
      </c>
      <c r="BE319" s="461">
        <f>K319*BD319</f>
        <v/>
      </c>
      <c r="BF319" s="461" t="n"/>
      <c r="BG319" s="461">
        <f>BE319-BF319</f>
        <v/>
      </c>
      <c r="BH319" s="461" t="n">
        <v>0</v>
      </c>
      <c r="BI319" s="461">
        <f>K319*BH319</f>
        <v/>
      </c>
      <c r="BJ319" s="235" t="n"/>
      <c r="BK319" s="461">
        <f>BI319-BJ319</f>
        <v/>
      </c>
      <c r="BL319" s="235" t="inlineStr">
        <is>
          <t>按实</t>
        </is>
      </c>
      <c r="BM319" s="220">
        <f>BN319</f>
        <v/>
      </c>
      <c r="BN319" s="220" t="n"/>
      <c r="BO319" s="220">
        <f>BM319-BN319</f>
        <v/>
      </c>
      <c r="BP319" s="220">
        <f>N319+Q319+U319+Y319+AC319+AG319+AK319+AO319+AS319+AW319+BA319+BE319+BI319+BM319</f>
        <v/>
      </c>
      <c r="BQ319" s="220">
        <f>N319+R319+V319+Z319+AD319+AH319+AL319+AP319+AT319+AX319+BB319+BF319+BJ319+BN319</f>
        <v/>
      </c>
      <c r="BR319" s="220">
        <f>BP319-BQ319</f>
        <v/>
      </c>
      <c r="BS319" s="229" t="inlineStr">
        <is>
          <t>/</t>
        </is>
      </c>
      <c r="BT319" s="229" t="inlineStr">
        <is>
          <t>/</t>
        </is>
      </c>
      <c r="BU319" s="230" t="inlineStr">
        <is>
          <t>1、装修折旧费：项目反馈不收取，包含在服务费中；
2、甲方管理费：项目反馈不收取，包含在服务费中；
3、甲方人员工资：项目反馈不收取，包含在服务费中；
4、甲方捐赠：项目反馈不收取，包含在服务费中；</t>
        </is>
      </c>
      <c r="BV319" s="230" t="inlineStr">
        <is>
          <t>1、签订期间：2025.8-2026.8月；
2、指标按照全年换算；</t>
        </is>
      </c>
      <c r="BW319" s="534" t="n"/>
    </row>
    <row r="320" ht="48" customFormat="1" customHeight="1" s="209">
      <c r="A320" s="219" t="n">
        <v>371</v>
      </c>
      <c r="B320" s="220" t="inlineStr">
        <is>
          <t>KQCY0371</t>
        </is>
      </c>
      <c r="C320" s="221" t="inlineStr">
        <is>
          <t>餐饮六分部</t>
        </is>
      </c>
      <c r="D320" s="221" t="inlineStr">
        <is>
          <t>CF293</t>
        </is>
      </c>
      <c r="E320" s="221" t="inlineStr">
        <is>
          <t>江苏二师石湫校区食堂</t>
        </is>
      </c>
      <c r="F320" s="219" t="inlineStr">
        <is>
          <t>分组作业</t>
        </is>
      </c>
      <c r="G320" s="222" t="inlineStr">
        <is>
          <t>徐敏娟</t>
        </is>
      </c>
      <c r="H320" s="219" t="inlineStr">
        <is>
          <t>第五班组</t>
        </is>
      </c>
      <c r="I320" s="237" t="inlineStr">
        <is>
          <t>米线</t>
        </is>
      </c>
      <c r="J320" s="219" t="inlineStr">
        <is>
          <t>汪芳</t>
        </is>
      </c>
      <c r="K320" s="545">
        <f>LET(k,D320&amp;"|"&amp;E320&amp;"|"&amp;H320&amp;"|"&amp;I320&amp;"|"&amp;J320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20" s="546" t="n"/>
      <c r="M320" s="224" t="n"/>
      <c r="N320" s="253" t="n"/>
      <c r="O320" s="548" t="n">
        <v>745000</v>
      </c>
      <c r="P320" s="552" t="n">
        <v>0.19</v>
      </c>
      <c r="Q320" s="461">
        <f>K320*P320</f>
        <v/>
      </c>
      <c r="R320" s="461" t="n"/>
      <c r="S320" s="461">
        <f>Q320-R320</f>
        <v/>
      </c>
      <c r="T320" s="235" t="n">
        <v>0</v>
      </c>
      <c r="U320" s="461">
        <f>K320*T320</f>
        <v/>
      </c>
      <c r="V320" s="461" t="n"/>
      <c r="W320" s="461">
        <f>U320-V320</f>
        <v/>
      </c>
      <c r="X320" s="235" t="n">
        <v>0</v>
      </c>
      <c r="Y320" s="461">
        <f>K320*X320</f>
        <v/>
      </c>
      <c r="Z320" s="461" t="n"/>
      <c r="AA320" s="461">
        <f>Y320-Z320</f>
        <v/>
      </c>
      <c r="AB320" s="235" t="n">
        <v>0</v>
      </c>
      <c r="AC320" s="461">
        <f>K320*AB320</f>
        <v/>
      </c>
      <c r="AD320" s="461" t="n"/>
      <c r="AE320" s="461">
        <f>AC320-AD320</f>
        <v/>
      </c>
      <c r="AF320" s="235" t="n">
        <v>0</v>
      </c>
      <c r="AG320" s="461">
        <f>K320*AF320</f>
        <v/>
      </c>
      <c r="AH320" s="461" t="n"/>
      <c r="AI320" s="461">
        <f>AG320-AH320</f>
        <v/>
      </c>
      <c r="AJ320" s="235" t="n">
        <v>0</v>
      </c>
      <c r="AK320" s="461">
        <f>K320*AJ320</f>
        <v/>
      </c>
      <c r="AL320" s="461" t="n"/>
      <c r="AM320" s="461">
        <f>AK320-AL320</f>
        <v/>
      </c>
      <c r="AN320" s="235" t="n">
        <v>0</v>
      </c>
      <c r="AO320" s="461">
        <f>K320*AN320</f>
        <v/>
      </c>
      <c r="AP320" s="461" t="n"/>
      <c r="AQ320" s="461">
        <f>AO320-AP320</f>
        <v/>
      </c>
      <c r="AR320" s="461" t="inlineStr">
        <is>
          <t>按实</t>
        </is>
      </c>
      <c r="AS320" s="461">
        <f>AT320</f>
        <v/>
      </c>
      <c r="AT320" s="461" t="n"/>
      <c r="AU320" s="461">
        <f>AS320-AT320</f>
        <v/>
      </c>
      <c r="AV320" s="235" t="inlineStr">
        <is>
          <t>按实</t>
        </is>
      </c>
      <c r="AW320" s="461">
        <f>AX320</f>
        <v/>
      </c>
      <c r="AX320" s="461" t="n"/>
      <c r="AY320" s="461">
        <f>AW320-AX320</f>
        <v/>
      </c>
      <c r="AZ320" s="235" t="inlineStr">
        <is>
          <t>按实</t>
        </is>
      </c>
      <c r="BA320" s="461">
        <f>BB320</f>
        <v/>
      </c>
      <c r="BB320" s="461" t="n"/>
      <c r="BC320" s="461">
        <f>BA320-BB320</f>
        <v/>
      </c>
      <c r="BD320" s="461" t="n">
        <v>0</v>
      </c>
      <c r="BE320" s="461">
        <f>K320*BD320</f>
        <v/>
      </c>
      <c r="BF320" s="461" t="n"/>
      <c r="BG320" s="461">
        <f>BE320-BF320</f>
        <v/>
      </c>
      <c r="BH320" s="461" t="n">
        <v>0</v>
      </c>
      <c r="BI320" s="461">
        <f>K320*BH320</f>
        <v/>
      </c>
      <c r="BJ320" s="235" t="n"/>
      <c r="BK320" s="461">
        <f>BI320-BJ320</f>
        <v/>
      </c>
      <c r="BL320" s="235" t="inlineStr">
        <is>
          <t>按实</t>
        </is>
      </c>
      <c r="BM320" s="220">
        <f>BN320</f>
        <v/>
      </c>
      <c r="BN320" s="220" t="n"/>
      <c r="BO320" s="220">
        <f>BM320-BN320</f>
        <v/>
      </c>
      <c r="BP320" s="220">
        <f>N320+Q320+U320+Y320+AC320+AG320+AK320+AO320+AS320+AW320+BA320+BE320+BI320+BM320</f>
        <v/>
      </c>
      <c r="BQ320" s="220">
        <f>N320+R320+V320+Z320+AD320+AH320+AL320+AP320+AT320+AX320+BB320+BF320+BJ320+BN320</f>
        <v/>
      </c>
      <c r="BR320" s="220">
        <f>BP320-BQ320</f>
        <v/>
      </c>
      <c r="BS320" s="229" t="inlineStr">
        <is>
          <t>/</t>
        </is>
      </c>
      <c r="BT320" s="229" t="inlineStr">
        <is>
          <t>/</t>
        </is>
      </c>
      <c r="BU320" s="230" t="inlineStr">
        <is>
          <t>1、装修折旧费：项目反馈不收取，包含在服务费中；
2、甲方管理费：项目反馈不收取，包含在服务费中；
3、甲方人员工资：项目反馈不收取，包含在服务费中；
4、甲方捐赠：项目反馈不收取，包含在服务费中；</t>
        </is>
      </c>
      <c r="BV320" s="230" t="inlineStr">
        <is>
          <t>1、签订期间：2025.8-2026.8月；
2、指标按照全年换算；</t>
        </is>
      </c>
      <c r="BW320" s="534" t="n"/>
    </row>
    <row r="321" ht="48" customFormat="1" customHeight="1" s="209">
      <c r="A321" s="219" t="n">
        <v>372</v>
      </c>
      <c r="B321" s="220" t="inlineStr">
        <is>
          <t>KQCY0372</t>
        </is>
      </c>
      <c r="C321" s="221" t="inlineStr">
        <is>
          <t>餐饮六分部</t>
        </is>
      </c>
      <c r="D321" s="221" t="inlineStr">
        <is>
          <t>CF293</t>
        </is>
      </c>
      <c r="E321" s="221" t="inlineStr">
        <is>
          <t>江苏二师石湫校区食堂</t>
        </is>
      </c>
      <c r="F321" s="219" t="inlineStr">
        <is>
          <t>分组作业</t>
        </is>
      </c>
      <c r="G321" s="222" t="inlineStr">
        <is>
          <t>徐敏娟</t>
        </is>
      </c>
      <c r="H321" s="219" t="inlineStr">
        <is>
          <t>第六班组</t>
        </is>
      </c>
      <c r="I321" s="237" t="inlineStr">
        <is>
          <t>麻辣烫(麻辣拌)</t>
        </is>
      </c>
      <c r="J321" s="219" t="inlineStr">
        <is>
          <t>汪芳</t>
        </is>
      </c>
      <c r="K321" s="545">
        <f>LET(k,D321&amp;"|"&amp;E321&amp;"|"&amp;H321&amp;"|"&amp;I321&amp;"|"&amp;J321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21" s="546" t="n"/>
      <c r="M321" s="224" t="n"/>
      <c r="N321" s="253" t="n"/>
      <c r="O321" s="548" t="n">
        <v>770000</v>
      </c>
      <c r="P321" s="552" t="n">
        <v>0.19</v>
      </c>
      <c r="Q321" s="461">
        <f>K321*P321</f>
        <v/>
      </c>
      <c r="R321" s="461" t="n"/>
      <c r="S321" s="461">
        <f>Q321-R321</f>
        <v/>
      </c>
      <c r="T321" s="235" t="n">
        <v>0</v>
      </c>
      <c r="U321" s="461">
        <f>K321*T321</f>
        <v/>
      </c>
      <c r="V321" s="461" t="n"/>
      <c r="W321" s="461">
        <f>U321-V321</f>
        <v/>
      </c>
      <c r="X321" s="235" t="n">
        <v>0</v>
      </c>
      <c r="Y321" s="461">
        <f>K321*X321</f>
        <v/>
      </c>
      <c r="Z321" s="461" t="n"/>
      <c r="AA321" s="461">
        <f>Y321-Z321</f>
        <v/>
      </c>
      <c r="AB321" s="235" t="n">
        <v>0</v>
      </c>
      <c r="AC321" s="461">
        <f>K321*AB321</f>
        <v/>
      </c>
      <c r="AD321" s="461" t="n"/>
      <c r="AE321" s="461">
        <f>AC321-AD321</f>
        <v/>
      </c>
      <c r="AF321" s="235" t="n">
        <v>0</v>
      </c>
      <c r="AG321" s="461">
        <f>K321*AF321</f>
        <v/>
      </c>
      <c r="AH321" s="461" t="n"/>
      <c r="AI321" s="461">
        <f>AG321-AH321</f>
        <v/>
      </c>
      <c r="AJ321" s="235" t="n">
        <v>0</v>
      </c>
      <c r="AK321" s="461">
        <f>K321*AJ321</f>
        <v/>
      </c>
      <c r="AL321" s="461" t="n"/>
      <c r="AM321" s="461">
        <f>AK321-AL321</f>
        <v/>
      </c>
      <c r="AN321" s="235" t="n">
        <v>0</v>
      </c>
      <c r="AO321" s="461">
        <f>K321*AN321</f>
        <v/>
      </c>
      <c r="AP321" s="461" t="n"/>
      <c r="AQ321" s="461">
        <f>AO321-AP321</f>
        <v/>
      </c>
      <c r="AR321" s="461" t="inlineStr">
        <is>
          <t>按实</t>
        </is>
      </c>
      <c r="AS321" s="461">
        <f>AT321</f>
        <v/>
      </c>
      <c r="AT321" s="461" t="n"/>
      <c r="AU321" s="461">
        <f>AS321-AT321</f>
        <v/>
      </c>
      <c r="AV321" s="235" t="inlineStr">
        <is>
          <t>按实</t>
        </is>
      </c>
      <c r="AW321" s="461">
        <f>AX321</f>
        <v/>
      </c>
      <c r="AX321" s="461" t="n"/>
      <c r="AY321" s="461">
        <f>AW321-AX321</f>
        <v/>
      </c>
      <c r="AZ321" s="235" t="inlineStr">
        <is>
          <t>按实</t>
        </is>
      </c>
      <c r="BA321" s="461">
        <f>BB321</f>
        <v/>
      </c>
      <c r="BB321" s="461" t="n"/>
      <c r="BC321" s="461">
        <f>BA321-BB321</f>
        <v/>
      </c>
      <c r="BD321" s="461" t="n">
        <v>0</v>
      </c>
      <c r="BE321" s="461">
        <f>K321*BD321</f>
        <v/>
      </c>
      <c r="BF321" s="461" t="n"/>
      <c r="BG321" s="461">
        <f>BE321-BF321</f>
        <v/>
      </c>
      <c r="BH321" s="461" t="n">
        <v>0</v>
      </c>
      <c r="BI321" s="461">
        <f>K321*BH321</f>
        <v/>
      </c>
      <c r="BJ321" s="235" t="n"/>
      <c r="BK321" s="461">
        <f>BI321-BJ321</f>
        <v/>
      </c>
      <c r="BL321" s="235" t="inlineStr">
        <is>
          <t>按实</t>
        </is>
      </c>
      <c r="BM321" s="220">
        <f>BN321</f>
        <v/>
      </c>
      <c r="BN321" s="220" t="n"/>
      <c r="BO321" s="220">
        <f>BM321-BN321</f>
        <v/>
      </c>
      <c r="BP321" s="220">
        <f>N321+Q321+U321+Y321+AC321+AG321+AK321+AO321+AS321+AW321+BA321+BE321+BI321+BM321</f>
        <v/>
      </c>
      <c r="BQ321" s="220">
        <f>N321+R321+V321+Z321+AD321+AH321+AL321+AP321+AT321+AX321+BB321+BF321+BJ321+BN321</f>
        <v/>
      </c>
      <c r="BR321" s="220">
        <f>BP321-BQ321</f>
        <v/>
      </c>
      <c r="BS321" s="229" t="inlineStr">
        <is>
          <t>/</t>
        </is>
      </c>
      <c r="BT321" s="229" t="inlineStr">
        <is>
          <t>/</t>
        </is>
      </c>
      <c r="BU321" s="230" t="inlineStr">
        <is>
          <t>1、装修折旧费：项目反馈不收取，包含在服务费中；
2、甲方管理费：项目反馈不收取，包含在服务费中；
3、甲方人员工资：项目反馈不收取，包含在服务费中；
4、甲方捐赠：项目反馈不收取，包含在服务费中；</t>
        </is>
      </c>
      <c r="BV321" s="230" t="inlineStr">
        <is>
          <t>1、签订期间：2025.8-2026.8月；
2、指标按照全年换算；</t>
        </is>
      </c>
      <c r="BW321" s="534" t="n"/>
    </row>
    <row r="322" ht="60" customFormat="1" customHeight="1" s="209">
      <c r="A322" s="219" t="n">
        <v>373</v>
      </c>
      <c r="B322" s="220" t="inlineStr">
        <is>
          <t>KQCY0373</t>
        </is>
      </c>
      <c r="C322" s="221" t="inlineStr">
        <is>
          <t>餐饮六分部</t>
        </is>
      </c>
      <c r="D322" s="221" t="inlineStr">
        <is>
          <t>CF293</t>
        </is>
      </c>
      <c r="E322" s="221" t="inlineStr">
        <is>
          <t>江苏二师石湫校区食堂</t>
        </is>
      </c>
      <c r="F322" s="219" t="inlineStr">
        <is>
          <t>分组作业</t>
        </is>
      </c>
      <c r="G322" s="222" t="inlineStr">
        <is>
          <t>徐敏娟</t>
        </is>
      </c>
      <c r="H322" s="219" t="inlineStr">
        <is>
          <t>第八班组</t>
        </is>
      </c>
      <c r="I322" s="237" t="inlineStr">
        <is>
          <t>炸鸡(汉堡)</t>
        </is>
      </c>
      <c r="J322" s="219" t="inlineStr">
        <is>
          <t>熊跳</t>
        </is>
      </c>
      <c r="K322" s="545">
        <f>LET(k,D322&amp;"|"&amp;E322&amp;"|"&amp;H322&amp;"|"&amp;I322&amp;"|"&amp;J322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22" s="546" t="n"/>
      <c r="M322" s="349" t="inlineStr">
        <is>
          <t>营业额数据不在我们卡机数据中</t>
        </is>
      </c>
      <c r="N322" s="253" t="n"/>
      <c r="O322" s="548" t="n">
        <v>745000</v>
      </c>
      <c r="P322" s="552" t="n">
        <v>0.14</v>
      </c>
      <c r="Q322" s="461">
        <f>K322*P322</f>
        <v/>
      </c>
      <c r="R322" s="461" t="n"/>
      <c r="S322" s="461">
        <f>Q322-R322</f>
        <v/>
      </c>
      <c r="T322" s="235" t="n">
        <v>0</v>
      </c>
      <c r="U322" s="461">
        <f>K322*T322</f>
        <v/>
      </c>
      <c r="V322" s="461" t="n"/>
      <c r="W322" s="461">
        <f>U322-V322</f>
        <v/>
      </c>
      <c r="X322" s="235" t="n">
        <v>0</v>
      </c>
      <c r="Y322" s="461">
        <f>K322*X322</f>
        <v/>
      </c>
      <c r="Z322" s="461" t="n"/>
      <c r="AA322" s="461">
        <f>Y322-Z322</f>
        <v/>
      </c>
      <c r="AB322" s="235" t="n">
        <v>0</v>
      </c>
      <c r="AC322" s="461">
        <f>K322*AB322</f>
        <v/>
      </c>
      <c r="AD322" s="461" t="n"/>
      <c r="AE322" s="461">
        <f>AC322-AD322</f>
        <v/>
      </c>
      <c r="AF322" s="235" t="n">
        <v>0</v>
      </c>
      <c r="AG322" s="461">
        <f>K322*AF322</f>
        <v/>
      </c>
      <c r="AH322" s="461" t="n"/>
      <c r="AI322" s="461">
        <f>AG322-AH322</f>
        <v/>
      </c>
      <c r="AJ322" s="235" t="n">
        <v>0</v>
      </c>
      <c r="AK322" s="461">
        <f>K322*AJ322</f>
        <v/>
      </c>
      <c r="AL322" s="461" t="n"/>
      <c r="AM322" s="461">
        <f>AK322-AL322</f>
        <v/>
      </c>
      <c r="AN322" s="235" t="n">
        <v>0</v>
      </c>
      <c r="AO322" s="461">
        <f>K322*AN322</f>
        <v/>
      </c>
      <c r="AP322" s="461" t="n"/>
      <c r="AQ322" s="461">
        <f>AO322-AP322</f>
        <v/>
      </c>
      <c r="AR322" s="461" t="n">
        <v>0</v>
      </c>
      <c r="AS322" s="461">
        <f>K322*AR322</f>
        <v/>
      </c>
      <c r="AT322" s="461" t="n"/>
      <c r="AU322" s="461">
        <f>AS322-AT322</f>
        <v/>
      </c>
      <c r="AV322" s="235" t="inlineStr">
        <is>
          <t>按实</t>
        </is>
      </c>
      <c r="AW322" s="461">
        <f>AX322</f>
        <v/>
      </c>
      <c r="AX322" s="461" t="n"/>
      <c r="AY322" s="461">
        <f>AW322-AX322</f>
        <v/>
      </c>
      <c r="AZ322" s="235" t="inlineStr">
        <is>
          <t>按实</t>
        </is>
      </c>
      <c r="BA322" s="461">
        <f>BB322</f>
        <v/>
      </c>
      <c r="BB322" s="461" t="n"/>
      <c r="BC322" s="461">
        <f>BA322-BB322</f>
        <v/>
      </c>
      <c r="BD322" s="461" t="n">
        <v>0</v>
      </c>
      <c r="BE322" s="461">
        <f>K322*BD322</f>
        <v/>
      </c>
      <c r="BF322" s="461" t="n"/>
      <c r="BG322" s="461">
        <f>BE322-BF322</f>
        <v/>
      </c>
      <c r="BH322" s="461" t="n">
        <v>0</v>
      </c>
      <c r="BI322" s="461">
        <f>K322*BH322</f>
        <v/>
      </c>
      <c r="BJ322" s="235" t="n"/>
      <c r="BK322" s="461">
        <f>BI322-BJ322</f>
        <v/>
      </c>
      <c r="BL322" s="235" t="inlineStr">
        <is>
          <t>按实</t>
        </is>
      </c>
      <c r="BM322" s="220">
        <f>BN322</f>
        <v/>
      </c>
      <c r="BN322" s="220" t="n"/>
      <c r="BO322" s="220">
        <f>BM322-BN322</f>
        <v/>
      </c>
      <c r="BP322" s="220">
        <f>N322+Q322+U322+Y322+AC322+AG322+AK322+AO322+AS322+AW322+BA322+BE322+BI322+BM322</f>
        <v/>
      </c>
      <c r="BQ322" s="220">
        <f>N322+R322+V322+Z322+AD322+AH322+AL322+AP322+AT322+AX322+BB322+BF322+BJ322+BN322</f>
        <v/>
      </c>
      <c r="BR322" s="220">
        <f>BP322-BQ322</f>
        <v/>
      </c>
      <c r="BS322" s="229" t="inlineStr">
        <is>
          <t>/</t>
        </is>
      </c>
      <c r="BT322" s="229" t="inlineStr">
        <is>
          <t>/</t>
        </is>
      </c>
      <c r="BU322" s="230"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BV322" s="230" t="inlineStr">
        <is>
          <t>1、签订期间：2025.8-2026.8月；
2、指标按照全年换算；</t>
        </is>
      </c>
      <c r="BW322" s="534" t="n"/>
    </row>
    <row r="323" ht="60" customFormat="1" customHeight="1" s="209">
      <c r="A323" s="219" t="n">
        <v>374</v>
      </c>
      <c r="B323" s="220" t="inlineStr">
        <is>
          <t>KQCY0374</t>
        </is>
      </c>
      <c r="C323" s="221" t="inlineStr">
        <is>
          <t>餐饮六分部</t>
        </is>
      </c>
      <c r="D323" s="221" t="inlineStr">
        <is>
          <t>CF293</t>
        </is>
      </c>
      <c r="E323" s="221" t="inlineStr">
        <is>
          <t>江苏二师石湫校区食堂</t>
        </is>
      </c>
      <c r="F323" s="219" t="inlineStr">
        <is>
          <t>分组作业</t>
        </is>
      </c>
      <c r="G323" s="222" t="inlineStr">
        <is>
          <t>徐敏娟</t>
        </is>
      </c>
      <c r="H323" s="219" t="inlineStr">
        <is>
          <t>第九班组</t>
        </is>
      </c>
      <c r="I323" s="237" t="inlineStr">
        <is>
          <t>七分甜</t>
        </is>
      </c>
      <c r="J323" s="219" t="inlineStr">
        <is>
          <t>熊跳</t>
        </is>
      </c>
      <c r="K323" s="545">
        <f>LET(k,D323&amp;"|"&amp;E323&amp;"|"&amp;H323&amp;"|"&amp;I323&amp;"|"&amp;J323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23" s="546" t="n"/>
      <c r="M323" s="224" t="n"/>
      <c r="N323" s="253" t="n"/>
      <c r="O323" s="548" t="n">
        <v>820000</v>
      </c>
      <c r="P323" s="552" t="n">
        <v>0.14</v>
      </c>
      <c r="Q323" s="461">
        <f>K323*P323</f>
        <v/>
      </c>
      <c r="R323" s="461" t="n"/>
      <c r="S323" s="461">
        <f>Q323-R323</f>
        <v/>
      </c>
      <c r="T323" s="235" t="n">
        <v>0</v>
      </c>
      <c r="U323" s="461">
        <f>K323*T323</f>
        <v/>
      </c>
      <c r="V323" s="461" t="n"/>
      <c r="W323" s="461">
        <f>U323-V323</f>
        <v/>
      </c>
      <c r="X323" s="235" t="n">
        <v>0</v>
      </c>
      <c r="Y323" s="461">
        <f>K323*X323</f>
        <v/>
      </c>
      <c r="Z323" s="461" t="n"/>
      <c r="AA323" s="461">
        <f>Y323-Z323</f>
        <v/>
      </c>
      <c r="AB323" s="235" t="n">
        <v>0</v>
      </c>
      <c r="AC323" s="461">
        <f>K323*AB323</f>
        <v/>
      </c>
      <c r="AD323" s="461" t="n"/>
      <c r="AE323" s="461">
        <f>AC323-AD323</f>
        <v/>
      </c>
      <c r="AF323" s="235" t="n">
        <v>0</v>
      </c>
      <c r="AG323" s="461">
        <f>K323*AF323</f>
        <v/>
      </c>
      <c r="AH323" s="461" t="n"/>
      <c r="AI323" s="461">
        <f>AG323-AH323</f>
        <v/>
      </c>
      <c r="AJ323" s="235" t="n">
        <v>0</v>
      </c>
      <c r="AK323" s="461">
        <f>K323*AJ323</f>
        <v/>
      </c>
      <c r="AL323" s="461" t="n"/>
      <c r="AM323" s="461">
        <f>AK323-AL323</f>
        <v/>
      </c>
      <c r="AN323" s="235" t="n">
        <v>0</v>
      </c>
      <c r="AO323" s="461">
        <f>K323*AN323</f>
        <v/>
      </c>
      <c r="AP323" s="461" t="n"/>
      <c r="AQ323" s="461">
        <f>AO323-AP323</f>
        <v/>
      </c>
      <c r="AR323" s="461" t="n">
        <v>0</v>
      </c>
      <c r="AS323" s="461">
        <f>K323*AR323</f>
        <v/>
      </c>
      <c r="AT323" s="461" t="n"/>
      <c r="AU323" s="461">
        <f>AS323-AT323</f>
        <v/>
      </c>
      <c r="AV323" s="461" t="inlineStr">
        <is>
          <t>按实</t>
        </is>
      </c>
      <c r="AW323" s="461">
        <f>AX323</f>
        <v/>
      </c>
      <c r="AX323" s="461" t="n"/>
      <c r="AY323" s="461">
        <f>AW323-AX323</f>
        <v/>
      </c>
      <c r="AZ323" s="235" t="inlineStr">
        <is>
          <t>按实</t>
        </is>
      </c>
      <c r="BA323" s="461">
        <f>BB323</f>
        <v/>
      </c>
      <c r="BB323" s="461" t="n"/>
      <c r="BC323" s="461">
        <f>BA323-BB323</f>
        <v/>
      </c>
      <c r="BD323" s="461" t="n">
        <v>0</v>
      </c>
      <c r="BE323" s="461">
        <f>K323*BD323</f>
        <v/>
      </c>
      <c r="BF323" s="461" t="n"/>
      <c r="BG323" s="461">
        <f>BE323-BF323</f>
        <v/>
      </c>
      <c r="BH323" s="461" t="n">
        <v>0</v>
      </c>
      <c r="BI323" s="461">
        <f>K323*BH323</f>
        <v/>
      </c>
      <c r="BJ323" s="235" t="n"/>
      <c r="BK323" s="461">
        <f>BI323-BJ323</f>
        <v/>
      </c>
      <c r="BL323" s="235" t="inlineStr">
        <is>
          <t>按实</t>
        </is>
      </c>
      <c r="BM323" s="220">
        <f>BN323</f>
        <v/>
      </c>
      <c r="BN323" s="220" t="n"/>
      <c r="BO323" s="220">
        <f>BM323-BN323</f>
        <v/>
      </c>
      <c r="BP323" s="220">
        <f>N323+Q323+U323+Y323+AC323+AG323+AK323+AO323+AS323+AW323+BA323+BE323+BI323+BM323</f>
        <v/>
      </c>
      <c r="BQ323" s="220">
        <f>N323+R323+V323+Z323+AD323+AH323+AL323+AP323+AT323+AX323+BB323+BF323+BJ323+BN323</f>
        <v/>
      </c>
      <c r="BR323" s="220">
        <f>BP323-BQ323</f>
        <v/>
      </c>
      <c r="BS323" s="229" t="inlineStr">
        <is>
          <t>/</t>
        </is>
      </c>
      <c r="BT323" s="229" t="inlineStr">
        <is>
          <t>/</t>
        </is>
      </c>
      <c r="BU323" s="230"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BV323" s="230" t="inlineStr">
        <is>
          <t>1、签订期间：2025.8-2026.8月；
2、指标按照全年换算；</t>
        </is>
      </c>
      <c r="BW323" s="534" t="n"/>
    </row>
    <row r="324" ht="48" customFormat="1" customHeight="1" s="209">
      <c r="A324" s="219" t="n">
        <v>375</v>
      </c>
      <c r="B324" s="220" t="inlineStr">
        <is>
          <t>KQCY0375</t>
        </is>
      </c>
      <c r="C324" s="221" t="inlineStr">
        <is>
          <t>餐饮六分部</t>
        </is>
      </c>
      <c r="D324" s="221" t="inlineStr">
        <is>
          <t>CF293</t>
        </is>
      </c>
      <c r="E324" s="221" t="inlineStr">
        <is>
          <t>江苏二师石湫校区食堂</t>
        </is>
      </c>
      <c r="F324" s="219" t="inlineStr">
        <is>
          <t>分组作业</t>
        </is>
      </c>
      <c r="G324" s="222" t="inlineStr">
        <is>
          <t>徐敏娟</t>
        </is>
      </c>
      <c r="H324" s="219" t="inlineStr">
        <is>
          <t>第四班组</t>
        </is>
      </c>
      <c r="I324" s="237" t="inlineStr">
        <is>
          <t>土豆泥拌饭</t>
        </is>
      </c>
      <c r="J324" s="219" t="inlineStr">
        <is>
          <t>端和伟</t>
        </is>
      </c>
      <c r="K324" s="545">
        <f>LET(k,D324&amp;"|"&amp;E324&amp;"|"&amp;H324&amp;"|"&amp;I324&amp;"|"&amp;J324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24" s="546" t="n"/>
      <c r="M324" s="224" t="n"/>
      <c r="N324" s="253" t="n"/>
      <c r="O324" s="548" t="n">
        <v>480000</v>
      </c>
      <c r="P324" s="552" t="n">
        <v>0.19</v>
      </c>
      <c r="Q324" s="461">
        <f>K324*P324</f>
        <v/>
      </c>
      <c r="R324" s="461" t="n"/>
      <c r="S324" s="461">
        <f>Q324-R324</f>
        <v/>
      </c>
      <c r="T324" s="235" t="n">
        <v>0</v>
      </c>
      <c r="U324" s="461">
        <f>K324*T324</f>
        <v/>
      </c>
      <c r="V324" s="461" t="n"/>
      <c r="W324" s="461">
        <f>U324-V324</f>
        <v/>
      </c>
      <c r="X324" s="235" t="n">
        <v>0</v>
      </c>
      <c r="Y324" s="461">
        <f>K324*X324</f>
        <v/>
      </c>
      <c r="Z324" s="461" t="n"/>
      <c r="AA324" s="461">
        <f>Y324-Z324</f>
        <v/>
      </c>
      <c r="AB324" s="235" t="n">
        <v>0</v>
      </c>
      <c r="AC324" s="461">
        <f>K324*AB324</f>
        <v/>
      </c>
      <c r="AD324" s="461" t="n"/>
      <c r="AE324" s="461">
        <f>AC324-AD324</f>
        <v/>
      </c>
      <c r="AF324" s="235" t="n">
        <v>0</v>
      </c>
      <c r="AG324" s="461">
        <f>K324*AF324</f>
        <v/>
      </c>
      <c r="AH324" s="461" t="n"/>
      <c r="AI324" s="461">
        <f>AG324-AH324</f>
        <v/>
      </c>
      <c r="AJ324" s="235" t="n">
        <v>0</v>
      </c>
      <c r="AK324" s="461">
        <f>K324*AJ324</f>
        <v/>
      </c>
      <c r="AL324" s="461" t="n"/>
      <c r="AM324" s="461">
        <f>AK324-AL324</f>
        <v/>
      </c>
      <c r="AN324" s="235" t="n">
        <v>0</v>
      </c>
      <c r="AO324" s="461">
        <f>K324*AN324</f>
        <v/>
      </c>
      <c r="AP324" s="461" t="n"/>
      <c r="AQ324" s="461">
        <f>AO324-AP324</f>
        <v/>
      </c>
      <c r="AR324" s="461" t="n">
        <v>0.035</v>
      </c>
      <c r="AS324" s="461">
        <f>K324*AR324</f>
        <v/>
      </c>
      <c r="AT324" s="461" t="n"/>
      <c r="AU324" s="461">
        <f>AS324-AT324</f>
        <v/>
      </c>
      <c r="AV324" s="552" t="n">
        <v>0.055</v>
      </c>
      <c r="AW324" s="461">
        <f>K324*AV324</f>
        <v/>
      </c>
      <c r="AX324" s="461" t="n"/>
      <c r="AY324" s="461">
        <f>AW324-AX324</f>
        <v/>
      </c>
      <c r="AZ324" s="235" t="inlineStr">
        <is>
          <t>按实</t>
        </is>
      </c>
      <c r="BA324" s="461">
        <f>BB324</f>
        <v/>
      </c>
      <c r="BB324" s="461" t="n"/>
      <c r="BC324" s="461">
        <f>BA324-BB324</f>
        <v/>
      </c>
      <c r="BD324" s="461" t="n">
        <v>0</v>
      </c>
      <c r="BE324" s="461">
        <f>K324*BD324</f>
        <v/>
      </c>
      <c r="BF324" s="461" t="n"/>
      <c r="BG324" s="461">
        <f>BE324-BF324</f>
        <v/>
      </c>
      <c r="BH324" s="461" t="n">
        <v>0</v>
      </c>
      <c r="BI324" s="461">
        <f>K324*BH324</f>
        <v/>
      </c>
      <c r="BJ324" s="235" t="n"/>
      <c r="BK324" s="461">
        <f>BI324-BJ324</f>
        <v/>
      </c>
      <c r="BL324" s="235" t="inlineStr">
        <is>
          <t>按实</t>
        </is>
      </c>
      <c r="BM324" s="220">
        <f>BN324</f>
        <v/>
      </c>
      <c r="BN324" s="220" t="n"/>
      <c r="BO324" s="220">
        <f>BM324-BN324</f>
        <v/>
      </c>
      <c r="BP324" s="220">
        <f>N324+Q324+U324+Y324+AC324+AG324+AK324+AO324+AS324+AW324+BA324+BE324+BI324+BM324</f>
        <v/>
      </c>
      <c r="BQ324" s="220">
        <f>N324+R324+V324+Z324+AD324+AH324+AL324+AP324+AT324+AX324+BB324+BF324+BJ324+BN324</f>
        <v/>
      </c>
      <c r="BR324" s="220">
        <f>BP324-BQ324</f>
        <v/>
      </c>
      <c r="BS324" s="229" t="inlineStr">
        <is>
          <t>/</t>
        </is>
      </c>
      <c r="BT324" s="229" t="inlineStr">
        <is>
          <t>/</t>
        </is>
      </c>
      <c r="BU324" s="230" t="inlineStr">
        <is>
          <t>1、装修折旧费：项目反馈不收取，包含在服务费中；
2、甲方管理费：项目反馈不收取，包含在服务费中；
3、甲方人员工资：项目反馈不收取，包含在服务费中；
4、甲方捐赠：项目反馈不收取，包含在服务费中；</t>
        </is>
      </c>
      <c r="BV324" s="230" t="inlineStr">
        <is>
          <t>1、签订期间：2026.4-2027.4月；
2、指标按照全年换算；</t>
        </is>
      </c>
      <c r="BW324" s="534" t="n"/>
    </row>
    <row r="325" ht="48" customFormat="1" customHeight="1" s="209">
      <c r="A325" s="219" t="n">
        <v>377</v>
      </c>
      <c r="B325" s="220" t="inlineStr">
        <is>
          <t>KQCY0377</t>
        </is>
      </c>
      <c r="C325" s="221" t="inlineStr">
        <is>
          <t>餐饮六分部</t>
        </is>
      </c>
      <c r="D325" s="221" t="inlineStr">
        <is>
          <t>CF480</t>
        </is>
      </c>
      <c r="E325" s="221" t="inlineStr">
        <is>
          <t>江苏旅游学生食堂二楼</t>
        </is>
      </c>
      <c r="F325" s="219" t="inlineStr">
        <is>
          <t>分组作业</t>
        </is>
      </c>
      <c r="G325" s="222" t="inlineStr">
        <is>
          <t>徐敏娟</t>
        </is>
      </c>
      <c r="H325" s="503" t="inlineStr">
        <is>
          <t>/</t>
        </is>
      </c>
      <c r="I325" s="237" t="inlineStr">
        <is>
          <t>全福记热卤拌饭(牛肉汤)</t>
        </is>
      </c>
      <c r="J325" s="219" t="inlineStr">
        <is>
          <t>张文泉</t>
        </is>
      </c>
      <c r="K325" s="545">
        <f>LET(k,D325&amp;"|"&amp;E325&amp;"|"&amp;H325&amp;"|"&amp;I325&amp;"|"&amp;J325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25" s="546" t="n"/>
      <c r="M325" s="224" t="n"/>
      <c r="N325" s="591" t="n">
        <v>9200.950000000001</v>
      </c>
      <c r="O325" s="548" t="n">
        <v>0</v>
      </c>
      <c r="P325" s="552" t="n">
        <v>0.28</v>
      </c>
      <c r="Q325" s="461">
        <f>K325*P325</f>
        <v/>
      </c>
      <c r="R325" s="461" t="n"/>
      <c r="S325" s="461">
        <f>Q325-R325</f>
        <v/>
      </c>
      <c r="T325" s="235" t="n">
        <v>0</v>
      </c>
      <c r="U325" s="461">
        <f>K325*T325</f>
        <v/>
      </c>
      <c r="V325" s="461" t="n"/>
      <c r="W325" s="461">
        <f>U325-V325</f>
        <v/>
      </c>
      <c r="X325" s="235" t="n">
        <v>0</v>
      </c>
      <c r="Y325" s="461">
        <f>K325*X325</f>
        <v/>
      </c>
      <c r="Z325" s="461" t="n"/>
      <c r="AA325" s="461">
        <f>Y325-Z325</f>
        <v/>
      </c>
      <c r="AB325" s="235" t="n">
        <v>0</v>
      </c>
      <c r="AC325" s="461">
        <f>K325*AB325</f>
        <v/>
      </c>
      <c r="AD325" s="461" t="n"/>
      <c r="AE325" s="461">
        <f>AC325-AD325</f>
        <v/>
      </c>
      <c r="AF325" s="235" t="n">
        <v>0</v>
      </c>
      <c r="AG325" s="461">
        <f>K325*AF325</f>
        <v/>
      </c>
      <c r="AH325" s="461" t="n"/>
      <c r="AI325" s="461">
        <f>AG325-AH325</f>
        <v/>
      </c>
      <c r="AJ325" s="235" t="n">
        <v>0</v>
      </c>
      <c r="AK325" s="461">
        <f>K325*AJ325</f>
        <v/>
      </c>
      <c r="AL325" s="461" t="n"/>
      <c r="AM325" s="461">
        <f>AK325-AL325</f>
        <v/>
      </c>
      <c r="AN325" s="235" t="n">
        <v>0</v>
      </c>
      <c r="AO325" s="461">
        <f>K325*AN325</f>
        <v/>
      </c>
      <c r="AP325" s="461" t="n"/>
      <c r="AQ325" s="461">
        <f>AO325-AP325</f>
        <v/>
      </c>
      <c r="AR325" s="461" t="n">
        <v>0</v>
      </c>
      <c r="AS325" s="461">
        <f>K325*AR325</f>
        <v/>
      </c>
      <c r="AT325" s="461" t="n"/>
      <c r="AU325" s="461">
        <f>AS325-AT325</f>
        <v/>
      </c>
      <c r="AV325" s="235" t="n">
        <v>0</v>
      </c>
      <c r="AW325" s="461">
        <f>K325*AV325</f>
        <v/>
      </c>
      <c r="AX325" s="461" t="n"/>
      <c r="AY325" s="461">
        <f>AW325-AX325</f>
        <v/>
      </c>
      <c r="AZ325" s="461" t="inlineStr">
        <is>
          <t>按实</t>
        </is>
      </c>
      <c r="BA325" s="461">
        <f>BB325</f>
        <v/>
      </c>
      <c r="BB325" s="461" t="n"/>
      <c r="BC325" s="461">
        <f>BA325-BB325</f>
        <v/>
      </c>
      <c r="BD325" s="235" t="n">
        <v>0</v>
      </c>
      <c r="BE325" s="461">
        <f>K325*BD325</f>
        <v/>
      </c>
      <c r="BF325" s="461" t="n"/>
      <c r="BG325" s="461">
        <f>BE325-BF325</f>
        <v/>
      </c>
      <c r="BH325" s="235" t="n">
        <v>0</v>
      </c>
      <c r="BI325" s="461">
        <f>K325*BH325</f>
        <v/>
      </c>
      <c r="BJ325" s="461" t="n"/>
      <c r="BK325" s="461">
        <f>BI325-BJ325</f>
        <v/>
      </c>
      <c r="BL325" s="461" t="inlineStr">
        <is>
          <t>按实</t>
        </is>
      </c>
      <c r="BM325" s="220">
        <f>BN325</f>
        <v/>
      </c>
      <c r="BN325" s="592" t="n">
        <v>0</v>
      </c>
      <c r="BO325" s="220">
        <f>BM325-BN325</f>
        <v/>
      </c>
      <c r="BP325" s="220">
        <f>N325+Q325+U325+Y325+AC325+AG325+AK325+AO325+AS325+AW325+BA325+BE325+BI325+BM325</f>
        <v/>
      </c>
      <c r="BQ325" s="220">
        <f>N325+R325+V325+Z325+AD325+AH325+AL325+AP325+AT325+AX325+BB325+BF325+BJ325+BN325</f>
        <v/>
      </c>
      <c r="BR325" s="220">
        <f>BP325-BQ325</f>
        <v/>
      </c>
      <c r="BS325" s="254" t="inlineStr">
        <is>
          <t>/</t>
        </is>
      </c>
      <c r="BT325" s="229" t="inlineStr">
        <is>
          <t>/</t>
        </is>
      </c>
      <c r="BU325" s="230" t="inlineStr">
        <is>
          <t>1、虫害消杀：项目反馈不收取，包含在服务费中；
2、装修折旧费：项目反馈不收取，包含在服务费中；
3、卫生费：项目反馈不收取，包含在服务费中；
4、能源费：项目反馈不收取，包含在服务费中；</t>
        </is>
      </c>
      <c r="BV325" s="230" t="n"/>
      <c r="BW325" s="534" t="n"/>
    </row>
    <row r="326" ht="48" customFormat="1" customHeight="1" s="209">
      <c r="A326" s="219" t="n">
        <v>378</v>
      </c>
      <c r="B326" s="220" t="inlineStr">
        <is>
          <t>KQCY0378</t>
        </is>
      </c>
      <c r="C326" s="221" t="inlineStr">
        <is>
          <t>餐饮六分部</t>
        </is>
      </c>
      <c r="D326" s="221" t="inlineStr">
        <is>
          <t>CF480</t>
        </is>
      </c>
      <c r="E326" s="221" t="inlineStr">
        <is>
          <t>江苏旅游学生食堂二楼</t>
        </is>
      </c>
      <c r="F326" s="219" t="inlineStr">
        <is>
          <t>分组作业</t>
        </is>
      </c>
      <c r="G326" s="222" t="inlineStr">
        <is>
          <t>徐敏娟</t>
        </is>
      </c>
      <c r="H326" s="503" t="inlineStr">
        <is>
          <t>/</t>
        </is>
      </c>
      <c r="I326" s="237" t="inlineStr">
        <is>
          <t>盖浇饭(套餐饭)</t>
        </is>
      </c>
      <c r="J326" s="219" t="inlineStr">
        <is>
          <t>刘宝峰</t>
        </is>
      </c>
      <c r="K326" s="545">
        <f>LET(k,D326&amp;"|"&amp;E326&amp;"|"&amp;H326&amp;"|"&amp;I326&amp;"|"&amp;J326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26" s="546" t="n"/>
      <c r="M326" s="224" t="n"/>
      <c r="N326" s="253" t="n"/>
      <c r="O326" s="548" t="n">
        <v>0</v>
      </c>
      <c r="P326" s="552" t="n">
        <v>0.28</v>
      </c>
      <c r="Q326" s="461">
        <f>K326*P326</f>
        <v/>
      </c>
      <c r="R326" s="461" t="n"/>
      <c r="S326" s="461">
        <f>Q326-R326</f>
        <v/>
      </c>
      <c r="T326" s="235" t="n">
        <v>0</v>
      </c>
      <c r="U326" s="461">
        <f>K326*T326</f>
        <v/>
      </c>
      <c r="V326" s="461" t="n"/>
      <c r="W326" s="461">
        <f>U326-V326</f>
        <v/>
      </c>
      <c r="X326" s="235" t="n">
        <v>0</v>
      </c>
      <c r="Y326" s="461">
        <f>K326*X326</f>
        <v/>
      </c>
      <c r="Z326" s="461" t="n"/>
      <c r="AA326" s="461">
        <f>Y326-Z326</f>
        <v/>
      </c>
      <c r="AB326" s="235" t="n">
        <v>0</v>
      </c>
      <c r="AC326" s="461">
        <f>K326*AB326</f>
        <v/>
      </c>
      <c r="AD326" s="461" t="n"/>
      <c r="AE326" s="461">
        <f>AC326-AD326</f>
        <v/>
      </c>
      <c r="AF326" s="235" t="n">
        <v>0</v>
      </c>
      <c r="AG326" s="461">
        <f>K326*AF326</f>
        <v/>
      </c>
      <c r="AH326" s="461" t="n"/>
      <c r="AI326" s="461">
        <f>AG326-AH326</f>
        <v/>
      </c>
      <c r="AJ326" s="235" t="n">
        <v>0</v>
      </c>
      <c r="AK326" s="461">
        <f>K326*AJ326</f>
        <v/>
      </c>
      <c r="AL326" s="461" t="n"/>
      <c r="AM326" s="461">
        <f>AK326-AL326</f>
        <v/>
      </c>
      <c r="AN326" s="235" t="n">
        <v>0</v>
      </c>
      <c r="AO326" s="461">
        <f>K326*AN326</f>
        <v/>
      </c>
      <c r="AP326" s="461" t="n"/>
      <c r="AQ326" s="461">
        <f>AO326-AP326</f>
        <v/>
      </c>
      <c r="AR326" s="461" t="n">
        <v>0</v>
      </c>
      <c r="AS326" s="461">
        <f>K326*AR326</f>
        <v/>
      </c>
      <c r="AT326" s="461" t="n"/>
      <c r="AU326" s="461">
        <f>AS326-AT326</f>
        <v/>
      </c>
      <c r="AV326" s="235" t="n">
        <v>0</v>
      </c>
      <c r="AW326" s="461">
        <f>K326*AV326</f>
        <v/>
      </c>
      <c r="AX326" s="461" t="n"/>
      <c r="AY326" s="461">
        <f>AW326-AX326</f>
        <v/>
      </c>
      <c r="AZ326" s="461" t="inlineStr">
        <is>
          <t>按实</t>
        </is>
      </c>
      <c r="BA326" s="461">
        <f>BB326</f>
        <v/>
      </c>
      <c r="BB326" s="461" t="n"/>
      <c r="BC326" s="461">
        <f>BA326-BB326</f>
        <v/>
      </c>
      <c r="BD326" s="235" t="n">
        <v>0</v>
      </c>
      <c r="BE326" s="461">
        <f>K326*BD326</f>
        <v/>
      </c>
      <c r="BF326" s="461" t="n"/>
      <c r="BG326" s="461">
        <f>BE326-BF326</f>
        <v/>
      </c>
      <c r="BH326" s="235" t="n">
        <v>0</v>
      </c>
      <c r="BI326" s="461">
        <f>K326*BH326</f>
        <v/>
      </c>
      <c r="BJ326" s="461" t="n"/>
      <c r="BK326" s="461">
        <f>BI326-BJ326</f>
        <v/>
      </c>
      <c r="BL326" s="461" t="inlineStr">
        <is>
          <t>按实</t>
        </is>
      </c>
      <c r="BM326" s="220">
        <f>BN326</f>
        <v/>
      </c>
      <c r="BN326" s="592" t="n"/>
      <c r="BO326" s="220">
        <f>BM326-BN326</f>
        <v/>
      </c>
      <c r="BP326" s="220">
        <f>N326+Q326+U326+Y326+AC326+AG326+AK326+AO326+AS326+AW326+BA326+BE326+BI326+BM326</f>
        <v/>
      </c>
      <c r="BQ326" s="220">
        <f>N326+R326+V326+Z326+AD326+AH326+AL326+AP326+AT326+AX326+BB326+BF326+BJ326+BN326</f>
        <v/>
      </c>
      <c r="BR326" s="220">
        <f>BP326-BQ326</f>
        <v/>
      </c>
      <c r="BS326" s="254" t="inlineStr">
        <is>
          <t>/</t>
        </is>
      </c>
      <c r="BT326" s="229" t="inlineStr">
        <is>
          <t>/</t>
        </is>
      </c>
      <c r="BU326" s="230" t="inlineStr">
        <is>
          <t>1、虫害消杀：项目反馈不收取，包含在服务费中；
2、装修折旧费：项目反馈不收取，包含在服务费中；
3、卫生费：项目反馈不收取，包含在服务费中；
4、能源费：项目反馈不收取，包含在服务费中；</t>
        </is>
      </c>
      <c r="BV326" s="230" t="n"/>
      <c r="BW326" s="534" t="n"/>
    </row>
    <row r="327" ht="48" customFormat="1" customHeight="1" s="209">
      <c r="A327" s="219" t="n">
        <v>379</v>
      </c>
      <c r="B327" s="220" t="inlineStr">
        <is>
          <t>KQCY0379</t>
        </is>
      </c>
      <c r="C327" s="221" t="inlineStr">
        <is>
          <t>餐饮六分部</t>
        </is>
      </c>
      <c r="D327" s="221" t="inlineStr">
        <is>
          <t>CF480</t>
        </is>
      </c>
      <c r="E327" s="221" t="inlineStr">
        <is>
          <t>江苏旅游学生食堂二楼</t>
        </is>
      </c>
      <c r="F327" s="219" t="inlineStr">
        <is>
          <t>分组作业</t>
        </is>
      </c>
      <c r="G327" s="222" t="inlineStr">
        <is>
          <t>徐敏娟</t>
        </is>
      </c>
      <c r="H327" s="503" t="inlineStr">
        <is>
          <t>/</t>
        </is>
      </c>
      <c r="I327" s="237" t="inlineStr">
        <is>
          <t>煎饼(鸡蛋灌饼)</t>
        </is>
      </c>
      <c r="J327" s="219" t="inlineStr">
        <is>
          <t>李中怀</t>
        </is>
      </c>
      <c r="K327" s="545">
        <f>LET(k,D327&amp;"|"&amp;E327&amp;"|"&amp;H327&amp;"|"&amp;I327&amp;"|"&amp;J327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27" s="546" t="n"/>
      <c r="M327" s="224" t="n"/>
      <c r="N327" s="253" t="n"/>
      <c r="O327" s="548" t="n">
        <v>0</v>
      </c>
      <c r="P327" s="552" t="n">
        <v>0.28</v>
      </c>
      <c r="Q327" s="461">
        <f>K327*P327</f>
        <v/>
      </c>
      <c r="R327" s="461" t="n"/>
      <c r="S327" s="461">
        <f>Q327-R327</f>
        <v/>
      </c>
      <c r="T327" s="235" t="n">
        <v>0</v>
      </c>
      <c r="U327" s="461">
        <f>K327*T327</f>
        <v/>
      </c>
      <c r="V327" s="461" t="n"/>
      <c r="W327" s="461">
        <f>U327-V327</f>
        <v/>
      </c>
      <c r="X327" s="235" t="n">
        <v>0</v>
      </c>
      <c r="Y327" s="461">
        <f>K327*X327</f>
        <v/>
      </c>
      <c r="Z327" s="461" t="n"/>
      <c r="AA327" s="461">
        <f>Y327-Z327</f>
        <v/>
      </c>
      <c r="AB327" s="235" t="n">
        <v>0</v>
      </c>
      <c r="AC327" s="461">
        <f>K327*AB327</f>
        <v/>
      </c>
      <c r="AD327" s="461" t="n"/>
      <c r="AE327" s="461">
        <f>AC327-AD327</f>
        <v/>
      </c>
      <c r="AF327" s="235" t="n">
        <v>0</v>
      </c>
      <c r="AG327" s="461">
        <f>K327*AF327</f>
        <v/>
      </c>
      <c r="AH327" s="461" t="n"/>
      <c r="AI327" s="461">
        <f>AG327-AH327</f>
        <v/>
      </c>
      <c r="AJ327" s="235" t="n">
        <v>0</v>
      </c>
      <c r="AK327" s="461">
        <f>K327*AJ327</f>
        <v/>
      </c>
      <c r="AL327" s="461" t="n"/>
      <c r="AM327" s="461">
        <f>AK327-AL327</f>
        <v/>
      </c>
      <c r="AN327" s="235" t="n">
        <v>0</v>
      </c>
      <c r="AO327" s="461">
        <f>K327*AN327</f>
        <v/>
      </c>
      <c r="AP327" s="461" t="n"/>
      <c r="AQ327" s="461">
        <f>AO327-AP327</f>
        <v/>
      </c>
      <c r="AR327" s="461" t="n">
        <v>0</v>
      </c>
      <c r="AS327" s="461">
        <f>K327*AR327</f>
        <v/>
      </c>
      <c r="AT327" s="461" t="n"/>
      <c r="AU327" s="461">
        <f>AS327-AT327</f>
        <v/>
      </c>
      <c r="AV327" s="235" t="n">
        <v>0</v>
      </c>
      <c r="AW327" s="461">
        <f>K327*AV327</f>
        <v/>
      </c>
      <c r="AX327" s="461" t="n"/>
      <c r="AY327" s="461">
        <f>AW327-AX327</f>
        <v/>
      </c>
      <c r="AZ327" s="461" t="inlineStr">
        <is>
          <t>按实</t>
        </is>
      </c>
      <c r="BA327" s="461">
        <f>BB327</f>
        <v/>
      </c>
      <c r="BB327" s="461" t="n"/>
      <c r="BC327" s="461">
        <f>BA327-BB327</f>
        <v/>
      </c>
      <c r="BD327" s="235" t="n">
        <v>0</v>
      </c>
      <c r="BE327" s="461">
        <f>K327*BD327</f>
        <v/>
      </c>
      <c r="BF327" s="461" t="n"/>
      <c r="BG327" s="461">
        <f>BE327-BF327</f>
        <v/>
      </c>
      <c r="BH327" s="235" t="n">
        <v>0</v>
      </c>
      <c r="BI327" s="461">
        <f>K327*BH327</f>
        <v/>
      </c>
      <c r="BJ327" s="461" t="n"/>
      <c r="BK327" s="461">
        <f>BI327-BJ327</f>
        <v/>
      </c>
      <c r="BL327" s="461" t="inlineStr">
        <is>
          <t>按实</t>
        </is>
      </c>
      <c r="BM327" s="220">
        <f>BN327</f>
        <v/>
      </c>
      <c r="BN327" s="592" t="n"/>
      <c r="BO327" s="220">
        <f>BM327-BN327</f>
        <v/>
      </c>
      <c r="BP327" s="220">
        <f>N327+Q327+U327+Y327+AC327+AG327+AK327+AO327+AS327+AW327+BA327+BE327+BI327+BM327</f>
        <v/>
      </c>
      <c r="BQ327" s="220">
        <f>N327+R327+V327+Z327+AD327+AH327+AL327+AP327+AT327+AX327+BB327+BF327+BJ327+BN327</f>
        <v/>
      </c>
      <c r="BR327" s="220">
        <f>BP327-BQ327</f>
        <v/>
      </c>
      <c r="BS327" s="254" t="inlineStr">
        <is>
          <t>/</t>
        </is>
      </c>
      <c r="BT327" s="229" t="inlineStr">
        <is>
          <t>/</t>
        </is>
      </c>
      <c r="BU327" s="230" t="inlineStr">
        <is>
          <t>1、虫害消杀：项目反馈不收取，包含在服务费中；
2、装修折旧费：项目反馈不收取，包含在服务费中；
3、卫生费：项目反馈不收取，包含在服务费中；
4、能源费：项目反馈不收取，包含在服务费中；</t>
        </is>
      </c>
      <c r="BV327" s="230" t="n"/>
      <c r="BW327" s="534" t="n"/>
    </row>
    <row r="328" ht="48" customFormat="1" customHeight="1" s="209">
      <c r="A328" s="219" t="n">
        <v>380</v>
      </c>
      <c r="B328" s="220" t="inlineStr">
        <is>
          <t>KQCY0380</t>
        </is>
      </c>
      <c r="C328" s="221" t="inlineStr">
        <is>
          <t>餐饮六分部</t>
        </is>
      </c>
      <c r="D328" s="221" t="inlineStr">
        <is>
          <t>CF480</t>
        </is>
      </c>
      <c r="E328" s="221" t="inlineStr">
        <is>
          <t>江苏旅游学生食堂二楼</t>
        </is>
      </c>
      <c r="F328" s="219" t="inlineStr">
        <is>
          <t>分组作业</t>
        </is>
      </c>
      <c r="G328" s="222" t="inlineStr">
        <is>
          <t>徐敏娟</t>
        </is>
      </c>
      <c r="H328" s="503" t="inlineStr">
        <is>
          <t>/</t>
        </is>
      </c>
      <c r="I328" s="237" t="inlineStr">
        <is>
          <t>柒公主焖饭</t>
        </is>
      </c>
      <c r="J328" s="219" t="inlineStr">
        <is>
          <t>张月红</t>
        </is>
      </c>
      <c r="K328" s="545">
        <f>LET(k,D328&amp;"|"&amp;E328&amp;"|"&amp;H328&amp;"|"&amp;I328&amp;"|"&amp;J328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28" s="546" t="n"/>
      <c r="M328" s="224" t="n"/>
      <c r="N328" s="346" t="n"/>
      <c r="O328" s="548" t="n">
        <v>0</v>
      </c>
      <c r="P328" s="552" t="n">
        <v>0.28</v>
      </c>
      <c r="Q328" s="461">
        <f>K328*P328</f>
        <v/>
      </c>
      <c r="R328" s="461" t="n"/>
      <c r="S328" s="461">
        <f>Q328-R328</f>
        <v/>
      </c>
      <c r="T328" s="235" t="n">
        <v>0</v>
      </c>
      <c r="U328" s="461">
        <f>K328*T328</f>
        <v/>
      </c>
      <c r="V328" s="461" t="n"/>
      <c r="W328" s="461">
        <f>U328-V328</f>
        <v/>
      </c>
      <c r="X328" s="235" t="n">
        <v>0</v>
      </c>
      <c r="Y328" s="461">
        <f>K328*X328</f>
        <v/>
      </c>
      <c r="Z328" s="461" t="n"/>
      <c r="AA328" s="461">
        <f>Y328-Z328</f>
        <v/>
      </c>
      <c r="AB328" s="235" t="n">
        <v>0</v>
      </c>
      <c r="AC328" s="461">
        <f>K328*AB328</f>
        <v/>
      </c>
      <c r="AD328" s="461" t="n"/>
      <c r="AE328" s="461">
        <f>AC328-AD328</f>
        <v/>
      </c>
      <c r="AF328" s="235" t="n">
        <v>0</v>
      </c>
      <c r="AG328" s="461">
        <f>K328*AF328</f>
        <v/>
      </c>
      <c r="AH328" s="461" t="n"/>
      <c r="AI328" s="461">
        <f>AG328-AH328</f>
        <v/>
      </c>
      <c r="AJ328" s="235" t="n">
        <v>0</v>
      </c>
      <c r="AK328" s="461">
        <f>K328*AJ328</f>
        <v/>
      </c>
      <c r="AL328" s="461" t="n"/>
      <c r="AM328" s="461">
        <f>AK328-AL328</f>
        <v/>
      </c>
      <c r="AN328" s="235" t="n">
        <v>0</v>
      </c>
      <c r="AO328" s="461">
        <f>K328*AN328</f>
        <v/>
      </c>
      <c r="AP328" s="461" t="n"/>
      <c r="AQ328" s="461">
        <f>AO328-AP328</f>
        <v/>
      </c>
      <c r="AR328" s="461" t="n">
        <v>0</v>
      </c>
      <c r="AS328" s="461">
        <f>K328*AR328</f>
        <v/>
      </c>
      <c r="AT328" s="461" t="n"/>
      <c r="AU328" s="461">
        <f>AS328-AT328</f>
        <v/>
      </c>
      <c r="AV328" s="235" t="n">
        <v>0</v>
      </c>
      <c r="AW328" s="461">
        <f>K328*AV328</f>
        <v/>
      </c>
      <c r="AX328" s="461" t="n"/>
      <c r="AY328" s="461">
        <f>AW328-AX328</f>
        <v/>
      </c>
      <c r="AZ328" s="461" t="inlineStr">
        <is>
          <t>按实</t>
        </is>
      </c>
      <c r="BA328" s="461">
        <f>BB328</f>
        <v/>
      </c>
      <c r="BB328" s="461" t="n"/>
      <c r="BC328" s="461">
        <f>BA328-BB328</f>
        <v/>
      </c>
      <c r="BD328" s="235" t="n">
        <v>0</v>
      </c>
      <c r="BE328" s="461">
        <f>K328*BD328</f>
        <v/>
      </c>
      <c r="BF328" s="461" t="n"/>
      <c r="BG328" s="461">
        <f>BE328-BF328</f>
        <v/>
      </c>
      <c r="BH328" s="235" t="n">
        <v>0</v>
      </c>
      <c r="BI328" s="461">
        <f>K328*BH328</f>
        <v/>
      </c>
      <c r="BJ328" s="461" t="n"/>
      <c r="BK328" s="461">
        <f>BI328-BJ328</f>
        <v/>
      </c>
      <c r="BL328" s="461" t="inlineStr">
        <is>
          <t>按实</t>
        </is>
      </c>
      <c r="BM328" s="220">
        <f>BN328</f>
        <v/>
      </c>
      <c r="BN328" s="592" t="n"/>
      <c r="BO328" s="220">
        <f>BM328-BN328</f>
        <v/>
      </c>
      <c r="BP328" s="220">
        <f>N328+Q328+U328+Y328+AC328+AG328+AK328+AO328+AS328+AW328+BA328+BE328+BI328+BM328</f>
        <v/>
      </c>
      <c r="BQ328" s="220">
        <f>N328+R328+V328+Z328+AD328+AH328+AL328+AP328+AT328+AX328+BB328+BF328+BJ328+BN328</f>
        <v/>
      </c>
      <c r="BR328" s="220">
        <f>BP328-BQ328</f>
        <v/>
      </c>
      <c r="BS328" s="254" t="inlineStr">
        <is>
          <t>/</t>
        </is>
      </c>
      <c r="BT328" s="229" t="inlineStr">
        <is>
          <t>/</t>
        </is>
      </c>
      <c r="BU328" s="230" t="inlineStr">
        <is>
          <t>1、虫害消杀：项目反馈不收取，包含在服务费中；
2、装修折旧费：项目反馈不收取，包含在服务费中；
3、卫生费：项目反馈不收取，包含在服务费中；
4、能源费：项目反馈不收取，包含在服务费中；</t>
        </is>
      </c>
      <c r="BV328" s="230" t="n"/>
      <c r="BW328" s="534" t="n"/>
    </row>
    <row r="329" ht="48" customFormat="1" customHeight="1" s="209">
      <c r="A329" s="219" t="n">
        <v>381</v>
      </c>
      <c r="B329" s="220" t="inlineStr">
        <is>
          <t>KQCY0381</t>
        </is>
      </c>
      <c r="C329" s="221" t="inlineStr">
        <is>
          <t>餐饮六分部</t>
        </is>
      </c>
      <c r="D329" s="221" t="inlineStr">
        <is>
          <t>CF480</t>
        </is>
      </c>
      <c r="E329" s="221" t="inlineStr">
        <is>
          <t>江苏旅游学生食堂二楼</t>
        </is>
      </c>
      <c r="F329" s="219" t="inlineStr">
        <is>
          <t>分组作业</t>
        </is>
      </c>
      <c r="G329" s="222" t="inlineStr">
        <is>
          <t>徐敏娟</t>
        </is>
      </c>
      <c r="H329" s="503" t="inlineStr">
        <is>
          <t>/</t>
        </is>
      </c>
      <c r="I329" s="237" t="inlineStr">
        <is>
          <t>掉渣饼</t>
        </is>
      </c>
      <c r="J329" s="219" t="inlineStr">
        <is>
          <t>郭保君</t>
        </is>
      </c>
      <c r="K329" s="545">
        <f>LET(k,D329&amp;"|"&amp;E329&amp;"|"&amp;H329&amp;"|"&amp;I329&amp;"|"&amp;J329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29" s="546" t="n"/>
      <c r="M329" s="224" t="n"/>
      <c r="N329" s="346" t="n"/>
      <c r="O329" s="548" t="n">
        <v>0</v>
      </c>
      <c r="P329" s="552" t="n">
        <v>0.28</v>
      </c>
      <c r="Q329" s="461">
        <f>K329*P329</f>
        <v/>
      </c>
      <c r="R329" s="461" t="n"/>
      <c r="S329" s="461">
        <f>Q329-R329</f>
        <v/>
      </c>
      <c r="T329" s="235" t="n">
        <v>0</v>
      </c>
      <c r="U329" s="461">
        <f>K329*T329</f>
        <v/>
      </c>
      <c r="V329" s="461" t="n"/>
      <c r="W329" s="461">
        <f>U329-V329</f>
        <v/>
      </c>
      <c r="X329" s="235" t="n">
        <v>0</v>
      </c>
      <c r="Y329" s="461">
        <f>K329*X329</f>
        <v/>
      </c>
      <c r="Z329" s="461" t="n"/>
      <c r="AA329" s="461">
        <f>Y329-Z329</f>
        <v/>
      </c>
      <c r="AB329" s="235" t="n">
        <v>0</v>
      </c>
      <c r="AC329" s="461">
        <f>K329*AB329</f>
        <v/>
      </c>
      <c r="AD329" s="461" t="n"/>
      <c r="AE329" s="461">
        <f>AC329-AD329</f>
        <v/>
      </c>
      <c r="AF329" s="235" t="n">
        <v>0</v>
      </c>
      <c r="AG329" s="461">
        <f>K329*AF329</f>
        <v/>
      </c>
      <c r="AH329" s="461" t="n"/>
      <c r="AI329" s="461">
        <f>AG329-AH329</f>
        <v/>
      </c>
      <c r="AJ329" s="235" t="n">
        <v>0</v>
      </c>
      <c r="AK329" s="461">
        <f>K329*AJ329</f>
        <v/>
      </c>
      <c r="AL329" s="461" t="n"/>
      <c r="AM329" s="461">
        <f>AK329-AL329</f>
        <v/>
      </c>
      <c r="AN329" s="235" t="n">
        <v>0</v>
      </c>
      <c r="AO329" s="461">
        <f>K329*AN329</f>
        <v/>
      </c>
      <c r="AP329" s="461" t="n"/>
      <c r="AQ329" s="461">
        <f>AO329-AP329</f>
        <v/>
      </c>
      <c r="AR329" s="461" t="n">
        <v>0</v>
      </c>
      <c r="AS329" s="461">
        <f>K329*AR329</f>
        <v/>
      </c>
      <c r="AT329" s="461" t="n"/>
      <c r="AU329" s="461">
        <f>AS329-AT329</f>
        <v/>
      </c>
      <c r="AV329" s="235" t="n">
        <v>0</v>
      </c>
      <c r="AW329" s="461">
        <f>K329*AV329</f>
        <v/>
      </c>
      <c r="AX329" s="461" t="n"/>
      <c r="AY329" s="461">
        <f>AW329-AX329</f>
        <v/>
      </c>
      <c r="AZ329" s="461" t="inlineStr">
        <is>
          <t>按实</t>
        </is>
      </c>
      <c r="BA329" s="461">
        <f>BB329</f>
        <v/>
      </c>
      <c r="BB329" s="461" t="n"/>
      <c r="BC329" s="461">
        <f>BA329-BB329</f>
        <v/>
      </c>
      <c r="BD329" s="235" t="n">
        <v>0</v>
      </c>
      <c r="BE329" s="461">
        <f>K329*BD329</f>
        <v/>
      </c>
      <c r="BF329" s="461" t="n"/>
      <c r="BG329" s="461">
        <f>BE329-BF329</f>
        <v/>
      </c>
      <c r="BH329" s="235" t="n">
        <v>0</v>
      </c>
      <c r="BI329" s="461">
        <f>K329*BH329</f>
        <v/>
      </c>
      <c r="BJ329" s="461" t="n"/>
      <c r="BK329" s="461">
        <f>BI329-BJ329</f>
        <v/>
      </c>
      <c r="BL329" s="461" t="inlineStr">
        <is>
          <t>按实</t>
        </is>
      </c>
      <c r="BM329" s="220">
        <f>BN329</f>
        <v/>
      </c>
      <c r="BN329" s="592" t="n"/>
      <c r="BO329" s="220">
        <f>BM329-BN329</f>
        <v/>
      </c>
      <c r="BP329" s="220">
        <f>N329+Q329+U329+Y329+AC329+AG329+AK329+AO329+AS329+AW329+BA329+BE329+BI329+BM329</f>
        <v/>
      </c>
      <c r="BQ329" s="220">
        <f>N329+R329+V329+Z329+AD329+AH329+AL329+AP329+AT329+AX329+BB329+BF329+BJ329+BN329</f>
        <v/>
      </c>
      <c r="BR329" s="220">
        <f>BP329-BQ329</f>
        <v/>
      </c>
      <c r="BS329" s="254" t="inlineStr">
        <is>
          <t>/</t>
        </is>
      </c>
      <c r="BT329" s="229" t="inlineStr">
        <is>
          <t>/</t>
        </is>
      </c>
      <c r="BU329" s="230" t="inlineStr">
        <is>
          <t>1、虫害消杀：项目反馈不收取，包含在服务费中；
2、装修折旧费：项目反馈不收取，包含在服务费中；
3、卫生费：项目反馈不收取，包含在服务费中；
4、能源费：项目反馈不收取，包含在服务费中；</t>
        </is>
      </c>
      <c r="BV329" s="230" t="n"/>
      <c r="BW329" s="534" t="n"/>
    </row>
    <row r="330" ht="48" customFormat="1" customHeight="1" s="209">
      <c r="A330" s="219" t="n">
        <v>382</v>
      </c>
      <c r="B330" s="220" t="inlineStr">
        <is>
          <t>KQCY0382</t>
        </is>
      </c>
      <c r="C330" s="221" t="inlineStr">
        <is>
          <t>餐饮六分部</t>
        </is>
      </c>
      <c r="D330" s="221" t="inlineStr">
        <is>
          <t>CF480</t>
        </is>
      </c>
      <c r="E330" s="221" t="inlineStr">
        <is>
          <t>江苏旅游学生食堂二楼</t>
        </is>
      </c>
      <c r="F330" s="219" t="inlineStr">
        <is>
          <t>分组作业</t>
        </is>
      </c>
      <c r="G330" s="222" t="inlineStr">
        <is>
          <t>徐敏娟</t>
        </is>
      </c>
      <c r="H330" s="503" t="inlineStr">
        <is>
          <t>/</t>
        </is>
      </c>
      <c r="I330" s="237" t="inlineStr">
        <is>
          <t>擂椒拌饭(烤鸭饭)</t>
        </is>
      </c>
      <c r="J330" s="219" t="inlineStr">
        <is>
          <t>崔建美</t>
        </is>
      </c>
      <c r="K330" s="545">
        <f>LET(k,D330&amp;"|"&amp;E330&amp;"|"&amp;H330&amp;"|"&amp;I330&amp;"|"&amp;J330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30" s="546" t="n"/>
      <c r="M330" s="224" t="n"/>
      <c r="N330" s="346" t="n"/>
      <c r="O330" s="548" t="n">
        <v>0</v>
      </c>
      <c r="P330" s="552" t="n">
        <v>0.28</v>
      </c>
      <c r="Q330" s="461">
        <f>K330*P330</f>
        <v/>
      </c>
      <c r="R330" s="461" t="n"/>
      <c r="S330" s="461">
        <f>Q330-R330</f>
        <v/>
      </c>
      <c r="T330" s="235" t="n">
        <v>0</v>
      </c>
      <c r="U330" s="461">
        <f>K330*T330</f>
        <v/>
      </c>
      <c r="V330" s="461" t="n"/>
      <c r="W330" s="461">
        <f>U330-V330</f>
        <v/>
      </c>
      <c r="X330" s="235" t="n">
        <v>0</v>
      </c>
      <c r="Y330" s="461">
        <f>K330*X330</f>
        <v/>
      </c>
      <c r="Z330" s="461" t="n"/>
      <c r="AA330" s="461">
        <f>Y330-Z330</f>
        <v/>
      </c>
      <c r="AB330" s="235" t="n">
        <v>0</v>
      </c>
      <c r="AC330" s="461">
        <f>K330*AB330</f>
        <v/>
      </c>
      <c r="AD330" s="461" t="n"/>
      <c r="AE330" s="461">
        <f>AC330-AD330</f>
        <v/>
      </c>
      <c r="AF330" s="235" t="n">
        <v>0</v>
      </c>
      <c r="AG330" s="461">
        <f>K330*AF330</f>
        <v/>
      </c>
      <c r="AH330" s="461" t="n"/>
      <c r="AI330" s="461">
        <f>AG330-AH330</f>
        <v/>
      </c>
      <c r="AJ330" s="235" t="n">
        <v>0</v>
      </c>
      <c r="AK330" s="461">
        <f>K330*AJ330</f>
        <v/>
      </c>
      <c r="AL330" s="461" t="n"/>
      <c r="AM330" s="461">
        <f>AK330-AL330</f>
        <v/>
      </c>
      <c r="AN330" s="235" t="n">
        <v>0</v>
      </c>
      <c r="AO330" s="461">
        <f>K330*AN330</f>
        <v/>
      </c>
      <c r="AP330" s="461" t="n"/>
      <c r="AQ330" s="461">
        <f>AO330-AP330</f>
        <v/>
      </c>
      <c r="AR330" s="461" t="n">
        <v>0</v>
      </c>
      <c r="AS330" s="461">
        <f>K330*AR330</f>
        <v/>
      </c>
      <c r="AT330" s="461" t="n"/>
      <c r="AU330" s="461">
        <f>AS330-AT330</f>
        <v/>
      </c>
      <c r="AV330" s="235" t="n">
        <v>0</v>
      </c>
      <c r="AW330" s="461">
        <f>K330*AV330</f>
        <v/>
      </c>
      <c r="AX330" s="461" t="n"/>
      <c r="AY330" s="461">
        <f>AW330-AX330</f>
        <v/>
      </c>
      <c r="AZ330" s="461" t="inlineStr">
        <is>
          <t>按实</t>
        </is>
      </c>
      <c r="BA330" s="461">
        <f>BB330</f>
        <v/>
      </c>
      <c r="BB330" s="461" t="n"/>
      <c r="BC330" s="461">
        <f>BA330-BB330</f>
        <v/>
      </c>
      <c r="BD330" s="235" t="n">
        <v>0</v>
      </c>
      <c r="BE330" s="461">
        <f>K330*BD330</f>
        <v/>
      </c>
      <c r="BF330" s="461" t="n"/>
      <c r="BG330" s="461">
        <f>BE330-BF330</f>
        <v/>
      </c>
      <c r="BH330" s="235" t="n">
        <v>0</v>
      </c>
      <c r="BI330" s="461">
        <f>K330*BH330</f>
        <v/>
      </c>
      <c r="BJ330" s="461" t="n"/>
      <c r="BK330" s="461">
        <f>BI330-BJ330</f>
        <v/>
      </c>
      <c r="BL330" s="461" t="inlineStr">
        <is>
          <t>按实</t>
        </is>
      </c>
      <c r="BM330" s="220">
        <f>BN330</f>
        <v/>
      </c>
      <c r="BN330" s="592" t="n"/>
      <c r="BO330" s="220">
        <f>BM330-BN330</f>
        <v/>
      </c>
      <c r="BP330" s="220">
        <f>N330+Q330+U330+Y330+AC330+AG330+AK330+AO330+AS330+AW330+BA330+BE330+BI330+BM330</f>
        <v/>
      </c>
      <c r="BQ330" s="220">
        <f>N330+R330+V330+Z330+AD330+AH330+AL330+AP330+AT330+AX330+BB330+BF330+BJ330+BN330</f>
        <v/>
      </c>
      <c r="BR330" s="220">
        <f>BP330-BQ330</f>
        <v/>
      </c>
      <c r="BS330" s="254" t="inlineStr">
        <is>
          <t>/</t>
        </is>
      </c>
      <c r="BT330" s="229" t="inlineStr">
        <is>
          <t>/</t>
        </is>
      </c>
      <c r="BU330" s="230" t="inlineStr">
        <is>
          <t>1、虫害消杀：项目反馈不收取，包含在服务费中；
2、装修折旧费：项目反馈不收取，包含在服务费中；
3、卫生费：项目反馈不收取，包含在服务费中；
4、能源费：项目反馈不收取，包含在服务费中；</t>
        </is>
      </c>
      <c r="BV330" s="230" t="n"/>
      <c r="BW330" s="534" t="n"/>
    </row>
    <row r="331" ht="48" customFormat="1" customHeight="1" s="209">
      <c r="A331" s="219" t="n">
        <v>383</v>
      </c>
      <c r="B331" s="220" t="inlineStr">
        <is>
          <t>KQCY0383</t>
        </is>
      </c>
      <c r="C331" s="221" t="inlineStr">
        <is>
          <t>餐饮六分部</t>
        </is>
      </c>
      <c r="D331" s="221" t="inlineStr">
        <is>
          <t>CF480</t>
        </is>
      </c>
      <c r="E331" s="221" t="inlineStr">
        <is>
          <t>江苏旅游学生食堂二楼</t>
        </is>
      </c>
      <c r="F331" s="219" t="inlineStr">
        <is>
          <t>分组作业</t>
        </is>
      </c>
      <c r="G331" s="222" t="inlineStr">
        <is>
          <t>徐敏娟</t>
        </is>
      </c>
      <c r="H331" s="503" t="inlineStr">
        <is>
          <t>/</t>
        </is>
      </c>
      <c r="I331" s="237" t="inlineStr">
        <is>
          <t>老成都面(猪脚饭)</t>
        </is>
      </c>
      <c r="J331" s="219" t="inlineStr">
        <is>
          <t>顾卫君</t>
        </is>
      </c>
      <c r="K331" s="545">
        <f>LET(k,D331&amp;"|"&amp;E331&amp;"|"&amp;H331&amp;"|"&amp;I331&amp;"|"&amp;J331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31" s="546" t="n"/>
      <c r="M331" s="224" t="n"/>
      <c r="N331" s="346" t="n"/>
      <c r="O331" s="548" t="n">
        <v>0</v>
      </c>
      <c r="P331" s="552" t="n">
        <v>0.28</v>
      </c>
      <c r="Q331" s="461">
        <f>K331*P331</f>
        <v/>
      </c>
      <c r="R331" s="461" t="n"/>
      <c r="S331" s="461">
        <f>Q331-R331</f>
        <v/>
      </c>
      <c r="T331" s="235" t="n">
        <v>0</v>
      </c>
      <c r="U331" s="461">
        <f>K331*T331</f>
        <v/>
      </c>
      <c r="V331" s="461" t="n"/>
      <c r="W331" s="461">
        <f>U331-V331</f>
        <v/>
      </c>
      <c r="X331" s="235" t="n">
        <v>0</v>
      </c>
      <c r="Y331" s="461">
        <f>K331*X331</f>
        <v/>
      </c>
      <c r="Z331" s="461" t="n"/>
      <c r="AA331" s="461">
        <f>Y331-Z331</f>
        <v/>
      </c>
      <c r="AB331" s="235" t="n">
        <v>0</v>
      </c>
      <c r="AC331" s="461">
        <f>K331*AB331</f>
        <v/>
      </c>
      <c r="AD331" s="461" t="n"/>
      <c r="AE331" s="461">
        <f>AC331-AD331</f>
        <v/>
      </c>
      <c r="AF331" s="235" t="n">
        <v>0</v>
      </c>
      <c r="AG331" s="461">
        <f>K331*AF331</f>
        <v/>
      </c>
      <c r="AH331" s="461" t="n"/>
      <c r="AI331" s="461">
        <f>AG331-AH331</f>
        <v/>
      </c>
      <c r="AJ331" s="235" t="n">
        <v>0</v>
      </c>
      <c r="AK331" s="461">
        <f>K331*AJ331</f>
        <v/>
      </c>
      <c r="AL331" s="461" t="n"/>
      <c r="AM331" s="461">
        <f>AK331-AL331</f>
        <v/>
      </c>
      <c r="AN331" s="235" t="n">
        <v>0</v>
      </c>
      <c r="AO331" s="461">
        <f>K331*AN331</f>
        <v/>
      </c>
      <c r="AP331" s="461" t="n"/>
      <c r="AQ331" s="461">
        <f>AO331-AP331</f>
        <v/>
      </c>
      <c r="AR331" s="461" t="n">
        <v>0</v>
      </c>
      <c r="AS331" s="461">
        <f>K331*AR331</f>
        <v/>
      </c>
      <c r="AT331" s="461" t="n"/>
      <c r="AU331" s="461">
        <f>AS331-AT331</f>
        <v/>
      </c>
      <c r="AV331" s="235" t="n">
        <v>0</v>
      </c>
      <c r="AW331" s="461">
        <f>K331*AV331</f>
        <v/>
      </c>
      <c r="AX331" s="461" t="n"/>
      <c r="AY331" s="461">
        <f>AW331-AX331</f>
        <v/>
      </c>
      <c r="AZ331" s="461" t="inlineStr">
        <is>
          <t>按实</t>
        </is>
      </c>
      <c r="BA331" s="461">
        <f>BB331</f>
        <v/>
      </c>
      <c r="BB331" s="461" t="n"/>
      <c r="BC331" s="461">
        <f>BA331-BB331</f>
        <v/>
      </c>
      <c r="BD331" s="235" t="n">
        <v>0</v>
      </c>
      <c r="BE331" s="461">
        <f>K331*BD331</f>
        <v/>
      </c>
      <c r="BF331" s="461" t="n"/>
      <c r="BG331" s="461">
        <f>BE331-BF331</f>
        <v/>
      </c>
      <c r="BH331" s="235" t="n">
        <v>0</v>
      </c>
      <c r="BI331" s="461">
        <f>K331*BH331</f>
        <v/>
      </c>
      <c r="BJ331" s="461" t="n"/>
      <c r="BK331" s="461">
        <f>BI331-BJ331</f>
        <v/>
      </c>
      <c r="BL331" s="461" t="inlineStr">
        <is>
          <t>按实</t>
        </is>
      </c>
      <c r="BM331" s="220">
        <f>BN331</f>
        <v/>
      </c>
      <c r="BN331" s="243" t="n"/>
      <c r="BO331" s="220">
        <f>BM331-BN331</f>
        <v/>
      </c>
      <c r="BP331" s="220">
        <f>N331+Q331+U331+Y331+AC331+AG331+AK331+AO331+AS331+AW331+BA331+BE331+BI331+BM331</f>
        <v/>
      </c>
      <c r="BQ331" s="220">
        <f>N331+R331+V331+Z331+AD331+AH331+AL331+AP331+AT331+AX331+BB331+BF331+BJ331+BN331</f>
        <v/>
      </c>
      <c r="BR331" s="220">
        <f>BP331-BQ331</f>
        <v/>
      </c>
      <c r="BS331" s="254" t="inlineStr">
        <is>
          <t>/</t>
        </is>
      </c>
      <c r="BT331" s="229" t="inlineStr">
        <is>
          <t>/</t>
        </is>
      </c>
      <c r="BU331" s="230" t="inlineStr">
        <is>
          <t>1、虫害消杀：项目反馈不收取，包含在服务费中；
2、装修折旧费：项目反馈不收取，包含在服务费中；
3、卫生费：项目反馈不收取，包含在服务费中；
4、能源费：项目反馈不收取，包含在服务费中；</t>
        </is>
      </c>
      <c r="BV331" s="230" t="n"/>
      <c r="BW331" s="534" t="n"/>
    </row>
    <row r="332" ht="48" customFormat="1" customHeight="1" s="209">
      <c r="A332" s="219" t="n">
        <v>384</v>
      </c>
      <c r="B332" s="220" t="inlineStr">
        <is>
          <t>KQCY0384</t>
        </is>
      </c>
      <c r="C332" s="221" t="inlineStr">
        <is>
          <t>餐饮六分部</t>
        </is>
      </c>
      <c r="D332" s="221" t="inlineStr">
        <is>
          <t>CF480</t>
        </is>
      </c>
      <c r="E332" s="221" t="inlineStr">
        <is>
          <t>江苏旅游学生食堂二楼</t>
        </is>
      </c>
      <c r="F332" s="219" t="inlineStr">
        <is>
          <t>分组作业</t>
        </is>
      </c>
      <c r="G332" s="222" t="inlineStr">
        <is>
          <t>徐敏娟</t>
        </is>
      </c>
      <c r="H332" s="503" t="inlineStr">
        <is>
          <t>/</t>
        </is>
      </c>
      <c r="I332" s="237" t="inlineStr">
        <is>
          <t>一纸鸡</t>
        </is>
      </c>
      <c r="J332" s="219" t="inlineStr">
        <is>
          <t>熊朝秀</t>
        </is>
      </c>
      <c r="K332" s="545">
        <f>LET(k,D332&amp;"|"&amp;E332&amp;"|"&amp;H332&amp;"|"&amp;I332&amp;"|"&amp;J332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32" s="546" t="n"/>
      <c r="M332" s="224" t="n"/>
      <c r="N332" s="253" t="n"/>
      <c r="O332" s="548" t="n">
        <v>0</v>
      </c>
      <c r="P332" s="552" t="n">
        <v>0.28</v>
      </c>
      <c r="Q332" s="461">
        <f>K332*P332</f>
        <v/>
      </c>
      <c r="R332" s="461" t="n"/>
      <c r="S332" s="461">
        <f>Q332-R332</f>
        <v/>
      </c>
      <c r="T332" s="235" t="n">
        <v>0</v>
      </c>
      <c r="U332" s="461">
        <f>K332*T332</f>
        <v/>
      </c>
      <c r="V332" s="461" t="n"/>
      <c r="W332" s="461">
        <f>U332-V332</f>
        <v/>
      </c>
      <c r="X332" s="235" t="n">
        <v>0</v>
      </c>
      <c r="Y332" s="461">
        <f>K332*X332</f>
        <v/>
      </c>
      <c r="Z332" s="461" t="n"/>
      <c r="AA332" s="461">
        <f>Y332-Z332</f>
        <v/>
      </c>
      <c r="AB332" s="235" t="n">
        <v>0</v>
      </c>
      <c r="AC332" s="461">
        <f>K332*AB332</f>
        <v/>
      </c>
      <c r="AD332" s="461" t="n"/>
      <c r="AE332" s="461">
        <f>AC332-AD332</f>
        <v/>
      </c>
      <c r="AF332" s="235" t="n">
        <v>0</v>
      </c>
      <c r="AG332" s="461">
        <f>K332*AF332</f>
        <v/>
      </c>
      <c r="AH332" s="461" t="n"/>
      <c r="AI332" s="461">
        <f>AG332-AH332</f>
        <v/>
      </c>
      <c r="AJ332" s="235" t="n">
        <v>0</v>
      </c>
      <c r="AK332" s="461">
        <f>K332*AJ332</f>
        <v/>
      </c>
      <c r="AL332" s="461" t="n"/>
      <c r="AM332" s="461">
        <f>AK332-AL332</f>
        <v/>
      </c>
      <c r="AN332" s="235" t="n">
        <v>0</v>
      </c>
      <c r="AO332" s="461">
        <f>K332*AN332</f>
        <v/>
      </c>
      <c r="AP332" s="461" t="n"/>
      <c r="AQ332" s="461">
        <f>AO332-AP332</f>
        <v/>
      </c>
      <c r="AR332" s="461" t="n">
        <v>0</v>
      </c>
      <c r="AS332" s="461">
        <f>K332*AR332</f>
        <v/>
      </c>
      <c r="AT332" s="461" t="n"/>
      <c r="AU332" s="461">
        <f>AS332-AT332</f>
        <v/>
      </c>
      <c r="AV332" s="235" t="n">
        <v>0</v>
      </c>
      <c r="AW332" s="461">
        <f>K332*AV332</f>
        <v/>
      </c>
      <c r="AX332" s="461" t="n"/>
      <c r="AY332" s="461">
        <f>AW332-AX332</f>
        <v/>
      </c>
      <c r="AZ332" s="461" t="inlineStr">
        <is>
          <t>按实</t>
        </is>
      </c>
      <c r="BA332" s="461">
        <f>BB332</f>
        <v/>
      </c>
      <c r="BB332" s="461" t="n"/>
      <c r="BC332" s="461">
        <f>BA332-BB332</f>
        <v/>
      </c>
      <c r="BD332" s="235" t="n">
        <v>0</v>
      </c>
      <c r="BE332" s="461">
        <f>K332*BD332</f>
        <v/>
      </c>
      <c r="BF332" s="461" t="n"/>
      <c r="BG332" s="461">
        <f>BE332-BF332</f>
        <v/>
      </c>
      <c r="BH332" s="235" t="n">
        <v>0</v>
      </c>
      <c r="BI332" s="461">
        <f>K332*BH332</f>
        <v/>
      </c>
      <c r="BJ332" s="461" t="n"/>
      <c r="BK332" s="461">
        <f>BI332-BJ332</f>
        <v/>
      </c>
      <c r="BL332" s="461" t="inlineStr">
        <is>
          <t>按实</t>
        </is>
      </c>
      <c r="BM332" s="220">
        <f>BN332</f>
        <v/>
      </c>
      <c r="BN332" s="243" t="n"/>
      <c r="BO332" s="220">
        <f>BM332-BN332</f>
        <v/>
      </c>
      <c r="BP332" s="220">
        <f>N332+Q332+U332+Y332+AC332+AG332+AK332+AO332+AS332+AW332+BA332+BE332+BI332+BM332</f>
        <v/>
      </c>
      <c r="BQ332" s="220">
        <f>N332+R332+V332+Z332+AD332+AH332+AL332+AP332+AT332+AX332+BB332+BF332+BJ332+BN332</f>
        <v/>
      </c>
      <c r="BR332" s="220">
        <f>BP332-BQ332</f>
        <v/>
      </c>
      <c r="BS332" s="254" t="inlineStr">
        <is>
          <t>/</t>
        </is>
      </c>
      <c r="BT332" s="229" t="inlineStr">
        <is>
          <t>/</t>
        </is>
      </c>
      <c r="BU332" s="230" t="inlineStr">
        <is>
          <t>1、虫害消杀：项目反馈不收取，包含在服务费中；
2、装修折旧费：项目反馈不收取，包含在服务费中；
3、卫生费：项目反馈不收取，包含在服务费中；
4、能源费：项目反馈不收取，包含在服务费中；</t>
        </is>
      </c>
      <c r="BV332" s="230" t="n"/>
      <c r="BW332" s="534" t="n"/>
    </row>
    <row r="333" ht="48" customFormat="1" customHeight="1" s="209">
      <c r="A333" s="219" t="n">
        <v>385</v>
      </c>
      <c r="B333" s="220" t="inlineStr">
        <is>
          <t>KQCY0385</t>
        </is>
      </c>
      <c r="C333" s="221" t="inlineStr">
        <is>
          <t>餐饮六分部</t>
        </is>
      </c>
      <c r="D333" s="221" t="inlineStr">
        <is>
          <t>CF480</t>
        </is>
      </c>
      <c r="E333" s="221" t="inlineStr">
        <is>
          <t>江苏旅游学生食堂二楼</t>
        </is>
      </c>
      <c r="F333" s="219" t="inlineStr">
        <is>
          <t>分组作业</t>
        </is>
      </c>
      <c r="G333" s="222" t="inlineStr">
        <is>
          <t>徐敏娟</t>
        </is>
      </c>
      <c r="H333" s="503" t="inlineStr">
        <is>
          <t>/</t>
        </is>
      </c>
      <c r="I333" s="237" t="inlineStr">
        <is>
          <t>炸鸡</t>
        </is>
      </c>
      <c r="J333" s="219" t="inlineStr">
        <is>
          <t>单良</t>
        </is>
      </c>
      <c r="K333" s="545">
        <f>LET(k,D333&amp;"|"&amp;E333&amp;"|"&amp;H333&amp;"|"&amp;I333&amp;"|"&amp;J333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33" s="546" t="n"/>
      <c r="M333" s="224" t="n"/>
      <c r="N333" s="253" t="n"/>
      <c r="O333" s="548" t="n">
        <v>0</v>
      </c>
      <c r="P333" s="552" t="n">
        <v>0.24</v>
      </c>
      <c r="Q333" s="461">
        <f>K333*P333</f>
        <v/>
      </c>
      <c r="R333" s="461" t="n"/>
      <c r="S333" s="461">
        <f>Q333-R333</f>
        <v/>
      </c>
      <c r="T333" s="235" t="n">
        <v>0</v>
      </c>
      <c r="U333" s="461">
        <f>K333*T333</f>
        <v/>
      </c>
      <c r="V333" s="461" t="n"/>
      <c r="W333" s="461">
        <f>U333-V333</f>
        <v/>
      </c>
      <c r="X333" s="235" t="n">
        <v>0</v>
      </c>
      <c r="Y333" s="461">
        <f>K333*X333</f>
        <v/>
      </c>
      <c r="Z333" s="461" t="n"/>
      <c r="AA333" s="461">
        <f>Y333-Z333</f>
        <v/>
      </c>
      <c r="AB333" s="235" t="n">
        <v>0</v>
      </c>
      <c r="AC333" s="461">
        <f>K333*AB333</f>
        <v/>
      </c>
      <c r="AD333" s="461" t="n"/>
      <c r="AE333" s="461">
        <f>AC333-AD333</f>
        <v/>
      </c>
      <c r="AF333" s="235" t="n">
        <v>0</v>
      </c>
      <c r="AG333" s="461">
        <f>K333*AF333</f>
        <v/>
      </c>
      <c r="AH333" s="461" t="n"/>
      <c r="AI333" s="461">
        <f>AG333-AH333</f>
        <v/>
      </c>
      <c r="AJ333" s="235" t="n">
        <v>0</v>
      </c>
      <c r="AK333" s="461">
        <f>K333*AJ333</f>
        <v/>
      </c>
      <c r="AL333" s="461" t="n"/>
      <c r="AM333" s="461">
        <f>AK333-AL333</f>
        <v/>
      </c>
      <c r="AN333" s="235" t="n">
        <v>0</v>
      </c>
      <c r="AO333" s="461">
        <f>K333*AN333</f>
        <v/>
      </c>
      <c r="AP333" s="461" t="n"/>
      <c r="AQ333" s="461">
        <f>AO333-AP333</f>
        <v/>
      </c>
      <c r="AR333" s="461" t="n">
        <v>0</v>
      </c>
      <c r="AS333" s="461">
        <f>K333*AR333</f>
        <v/>
      </c>
      <c r="AT333" s="461" t="n"/>
      <c r="AU333" s="461">
        <f>AS333-AT333</f>
        <v/>
      </c>
      <c r="AV333" s="235" t="n">
        <v>0</v>
      </c>
      <c r="AW333" s="461">
        <f>K333*AV333</f>
        <v/>
      </c>
      <c r="AX333" s="461" t="n"/>
      <c r="AY333" s="461">
        <f>AW333-AX333</f>
        <v/>
      </c>
      <c r="AZ333" s="461" t="inlineStr">
        <is>
          <t>按实</t>
        </is>
      </c>
      <c r="BA333" s="461">
        <f>BB333</f>
        <v/>
      </c>
      <c r="BB333" s="461" t="n"/>
      <c r="BC333" s="461">
        <f>BA333-BB333</f>
        <v/>
      </c>
      <c r="BD333" s="235" t="n">
        <v>0</v>
      </c>
      <c r="BE333" s="461">
        <f>K333*BD333</f>
        <v/>
      </c>
      <c r="BF333" s="461" t="n"/>
      <c r="BG333" s="461">
        <f>BE333-BF333</f>
        <v/>
      </c>
      <c r="BH333" s="235" t="n">
        <v>0</v>
      </c>
      <c r="BI333" s="461">
        <f>K333*BH333</f>
        <v/>
      </c>
      <c r="BJ333" s="461" t="n"/>
      <c r="BK333" s="461">
        <f>BI333-BJ333</f>
        <v/>
      </c>
      <c r="BL333" s="461" t="inlineStr">
        <is>
          <t>按实</t>
        </is>
      </c>
      <c r="BM333" s="220">
        <f>BN333</f>
        <v/>
      </c>
      <c r="BN333" s="592" t="n"/>
      <c r="BO333" s="220">
        <f>BM333-BN333</f>
        <v/>
      </c>
      <c r="BP333" s="220">
        <f>N333+Q333+U333+Y333+AC333+AG333+AK333+AO333+AS333+AW333+BA333+BE333+BI333+BM333</f>
        <v/>
      </c>
      <c r="BQ333" s="220">
        <f>N333+R333+V333+Z333+AD333+AH333+AL333+AP333+AT333+AX333+BB333+BF333+BJ333+BN333</f>
        <v/>
      </c>
      <c r="BR333" s="220">
        <f>BP333-BQ333</f>
        <v/>
      </c>
      <c r="BS333" s="254" t="inlineStr">
        <is>
          <t>/</t>
        </is>
      </c>
      <c r="BT333" s="229" t="inlineStr">
        <is>
          <t>/</t>
        </is>
      </c>
      <c r="BU333" s="230" t="inlineStr">
        <is>
          <t>1、虫害消杀：项目反馈不收取，包含在服务费中；
2、装修折旧费：项目反馈不收取，包含在服务费中；
3、卫生费：项目反馈不收取，包含在服务费中；
4、能源费：项目反馈不收取，包含在服务费中；</t>
        </is>
      </c>
      <c r="BV333" s="230" t="n"/>
      <c r="BW333" s="534" t="n"/>
    </row>
    <row r="334" ht="48" customFormat="1" customHeight="1" s="209">
      <c r="A334" s="219" t="n">
        <v>386</v>
      </c>
      <c r="B334" s="220" t="inlineStr">
        <is>
          <t>KQCY0386</t>
        </is>
      </c>
      <c r="C334" s="221" t="inlineStr">
        <is>
          <t>餐饮六分部</t>
        </is>
      </c>
      <c r="D334" s="221" t="inlineStr">
        <is>
          <t>CF480</t>
        </is>
      </c>
      <c r="E334" s="221" t="inlineStr">
        <is>
          <t>江苏旅游学生食堂二楼</t>
        </is>
      </c>
      <c r="F334" s="219" t="inlineStr">
        <is>
          <t>分组作业</t>
        </is>
      </c>
      <c r="G334" s="222" t="inlineStr">
        <is>
          <t>徐敏娟</t>
        </is>
      </c>
      <c r="H334" s="503" t="inlineStr">
        <is>
          <t>/</t>
        </is>
      </c>
      <c r="I334" s="237" t="inlineStr">
        <is>
          <t>快餐自选</t>
        </is>
      </c>
      <c r="J334" s="219" t="inlineStr">
        <is>
          <t>王明辉</t>
        </is>
      </c>
      <c r="K334" s="545">
        <f>LET(k,D334&amp;"|"&amp;E334&amp;"|"&amp;H334&amp;"|"&amp;I334&amp;"|"&amp;J334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34" s="546" t="n"/>
      <c r="M334" s="224" t="n"/>
      <c r="N334" s="346" t="n"/>
      <c r="O334" s="548" t="n">
        <v>0</v>
      </c>
      <c r="P334" s="552" t="n">
        <v>0.22</v>
      </c>
      <c r="Q334" s="461">
        <f>K334*P334</f>
        <v/>
      </c>
      <c r="R334" s="461" t="n"/>
      <c r="S334" s="461">
        <f>Q334-R334</f>
        <v/>
      </c>
      <c r="T334" s="235" t="n">
        <v>0</v>
      </c>
      <c r="U334" s="461">
        <f>K334*T334</f>
        <v/>
      </c>
      <c r="V334" s="461" t="n"/>
      <c r="W334" s="461">
        <f>U334-V334</f>
        <v/>
      </c>
      <c r="X334" s="235" t="n">
        <v>0</v>
      </c>
      <c r="Y334" s="461">
        <f>K334*X334</f>
        <v/>
      </c>
      <c r="Z334" s="461" t="n"/>
      <c r="AA334" s="461">
        <f>Y334-Z334</f>
        <v/>
      </c>
      <c r="AB334" s="235" t="n">
        <v>0</v>
      </c>
      <c r="AC334" s="461">
        <f>K334*AB334</f>
        <v/>
      </c>
      <c r="AD334" s="461" t="n"/>
      <c r="AE334" s="461">
        <f>AC334-AD334</f>
        <v/>
      </c>
      <c r="AF334" s="235" t="n">
        <v>0</v>
      </c>
      <c r="AG334" s="461">
        <f>K334*AF334</f>
        <v/>
      </c>
      <c r="AH334" s="461" t="n"/>
      <c r="AI334" s="461">
        <f>AG334-AH334</f>
        <v/>
      </c>
      <c r="AJ334" s="235" t="n">
        <v>0</v>
      </c>
      <c r="AK334" s="461">
        <f>K334*AJ334</f>
        <v/>
      </c>
      <c r="AL334" s="461" t="n"/>
      <c r="AM334" s="461">
        <f>AK334-AL334</f>
        <v/>
      </c>
      <c r="AN334" s="235" t="n">
        <v>0</v>
      </c>
      <c r="AO334" s="461">
        <f>K334*AN334</f>
        <v/>
      </c>
      <c r="AP334" s="461" t="n"/>
      <c r="AQ334" s="461">
        <f>AO334-AP334</f>
        <v/>
      </c>
      <c r="AR334" s="461" t="n">
        <v>0</v>
      </c>
      <c r="AS334" s="461">
        <f>K334*AR334</f>
        <v/>
      </c>
      <c r="AT334" s="461" t="n"/>
      <c r="AU334" s="461">
        <f>AS334-AT334</f>
        <v/>
      </c>
      <c r="AV334" s="235" t="n">
        <v>0</v>
      </c>
      <c r="AW334" s="461">
        <f>K334*AV334</f>
        <v/>
      </c>
      <c r="AX334" s="461" t="n"/>
      <c r="AY334" s="461">
        <f>AW334-AX334</f>
        <v/>
      </c>
      <c r="AZ334" s="461" t="inlineStr">
        <is>
          <t>按实</t>
        </is>
      </c>
      <c r="BA334" s="461">
        <f>BB334</f>
        <v/>
      </c>
      <c r="BB334" s="461" t="n"/>
      <c r="BC334" s="461">
        <f>BA334-BB334</f>
        <v/>
      </c>
      <c r="BD334" s="235" t="n">
        <v>0</v>
      </c>
      <c r="BE334" s="461">
        <f>K334*BD334</f>
        <v/>
      </c>
      <c r="BF334" s="461" t="n"/>
      <c r="BG334" s="461">
        <f>BE334-BF334</f>
        <v/>
      </c>
      <c r="BH334" s="235" t="n">
        <v>0</v>
      </c>
      <c r="BI334" s="461">
        <f>K334*BH334</f>
        <v/>
      </c>
      <c r="BJ334" s="461" t="n"/>
      <c r="BK334" s="461">
        <f>BI334-BJ334</f>
        <v/>
      </c>
      <c r="BL334" s="461" t="inlineStr">
        <is>
          <t>按实</t>
        </is>
      </c>
      <c r="BM334" s="220">
        <f>BN334</f>
        <v/>
      </c>
      <c r="BN334" s="592" t="n"/>
      <c r="BO334" s="220">
        <f>BM334-BN334</f>
        <v/>
      </c>
      <c r="BP334" s="220">
        <f>N334+Q334+U334+Y334+AC334+AG334+AK334+AO334+AS334+AW334+BA334+BE334+BI334+BM334</f>
        <v/>
      </c>
      <c r="BQ334" s="220">
        <f>N334+R334+V334+Z334+AD334+AH334+AL334+AP334+AT334+AX334+BB334+BF334+BJ334+BN334</f>
        <v/>
      </c>
      <c r="BR334" s="220">
        <f>BP334-BQ334</f>
        <v/>
      </c>
      <c r="BS334" s="254" t="inlineStr">
        <is>
          <t>/</t>
        </is>
      </c>
      <c r="BT334" s="229" t="inlineStr">
        <is>
          <t>/</t>
        </is>
      </c>
      <c r="BU334" s="230" t="inlineStr">
        <is>
          <t>1、虫害消杀：项目反馈不收取，包含在服务费中；
2、装修折旧费：项目反馈不收取，包含在服务费中；
3、卫生费：项目反馈不收取，包含在服务费中；
4、能源费：项目反馈不收取，包含在服务费中；</t>
        </is>
      </c>
      <c r="BV334" s="230" t="n"/>
      <c r="BW334" s="534" t="n"/>
    </row>
    <row r="335" ht="48" customFormat="1" customHeight="1" s="209">
      <c r="A335" s="219" t="n">
        <v>387</v>
      </c>
      <c r="B335" s="220" t="inlineStr">
        <is>
          <t>KQCY0387</t>
        </is>
      </c>
      <c r="C335" s="221" t="inlineStr">
        <is>
          <t>餐饮六分部</t>
        </is>
      </c>
      <c r="D335" s="221" t="inlineStr">
        <is>
          <t>CF480</t>
        </is>
      </c>
      <c r="E335" s="221" t="inlineStr">
        <is>
          <t>江苏旅游学生食堂二楼</t>
        </is>
      </c>
      <c r="F335" s="219" t="inlineStr">
        <is>
          <t>分组作业</t>
        </is>
      </c>
      <c r="G335" s="222" t="inlineStr">
        <is>
          <t>徐敏娟</t>
        </is>
      </c>
      <c r="H335" s="503" t="inlineStr">
        <is>
          <t>/</t>
        </is>
      </c>
      <c r="I335" s="237" t="inlineStr">
        <is>
          <t>早餐</t>
        </is>
      </c>
      <c r="J335" s="219" t="inlineStr">
        <is>
          <t>王明辉</t>
        </is>
      </c>
      <c r="K335" s="545">
        <f>LET(k,D335&amp;"|"&amp;E335&amp;"|"&amp;H335&amp;"|"&amp;I335&amp;"|"&amp;J335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35" s="546" t="n"/>
      <c r="M335" s="224" t="n"/>
      <c r="N335" s="253" t="n"/>
      <c r="O335" s="548" t="n">
        <v>0</v>
      </c>
      <c r="P335" s="552" t="n">
        <v>0.16</v>
      </c>
      <c r="Q335" s="461">
        <f>K335*P335</f>
        <v/>
      </c>
      <c r="R335" s="461" t="n"/>
      <c r="S335" s="461">
        <f>Q335-R335</f>
        <v/>
      </c>
      <c r="T335" s="235" t="n">
        <v>0</v>
      </c>
      <c r="U335" s="461">
        <f>K335*T335</f>
        <v/>
      </c>
      <c r="V335" s="461" t="n"/>
      <c r="W335" s="461">
        <f>U335-V335</f>
        <v/>
      </c>
      <c r="X335" s="235" t="n">
        <v>0</v>
      </c>
      <c r="Y335" s="461">
        <f>K335*X335</f>
        <v/>
      </c>
      <c r="Z335" s="461" t="n"/>
      <c r="AA335" s="461">
        <f>Y335-Z335</f>
        <v/>
      </c>
      <c r="AB335" s="235" t="n">
        <v>0</v>
      </c>
      <c r="AC335" s="461">
        <f>K335*AB335</f>
        <v/>
      </c>
      <c r="AD335" s="461" t="n"/>
      <c r="AE335" s="461">
        <f>AC335-AD335</f>
        <v/>
      </c>
      <c r="AF335" s="235" t="n">
        <v>0</v>
      </c>
      <c r="AG335" s="461">
        <f>K335*AF335</f>
        <v/>
      </c>
      <c r="AH335" s="461" t="n"/>
      <c r="AI335" s="461">
        <f>AG335-AH335</f>
        <v/>
      </c>
      <c r="AJ335" s="235" t="n">
        <v>0</v>
      </c>
      <c r="AK335" s="461">
        <f>K335*AJ335</f>
        <v/>
      </c>
      <c r="AL335" s="461" t="n"/>
      <c r="AM335" s="461">
        <f>AK335-AL335</f>
        <v/>
      </c>
      <c r="AN335" s="235" t="n">
        <v>0</v>
      </c>
      <c r="AO335" s="461">
        <f>K335*AN335</f>
        <v/>
      </c>
      <c r="AP335" s="461" t="n"/>
      <c r="AQ335" s="461">
        <f>AO335-AP335</f>
        <v/>
      </c>
      <c r="AR335" s="461" t="n">
        <v>0</v>
      </c>
      <c r="AS335" s="461">
        <f>K335*AR335</f>
        <v/>
      </c>
      <c r="AT335" s="461" t="n"/>
      <c r="AU335" s="461">
        <f>AS335-AT335</f>
        <v/>
      </c>
      <c r="AV335" s="235" t="n">
        <v>0</v>
      </c>
      <c r="AW335" s="461">
        <f>K335*AV335</f>
        <v/>
      </c>
      <c r="AX335" s="461" t="n"/>
      <c r="AY335" s="461">
        <f>AW335-AX335</f>
        <v/>
      </c>
      <c r="AZ335" s="461" t="inlineStr">
        <is>
          <t>按实</t>
        </is>
      </c>
      <c r="BA335" s="461">
        <f>BB335</f>
        <v/>
      </c>
      <c r="BB335" s="461" t="n"/>
      <c r="BC335" s="461">
        <f>BA335-BB335</f>
        <v/>
      </c>
      <c r="BD335" s="235" t="n">
        <v>0</v>
      </c>
      <c r="BE335" s="461">
        <f>K335*BD335</f>
        <v/>
      </c>
      <c r="BF335" s="461" t="n"/>
      <c r="BG335" s="461">
        <f>BE335-BF335</f>
        <v/>
      </c>
      <c r="BH335" s="235" t="n">
        <v>0</v>
      </c>
      <c r="BI335" s="461">
        <f>K335*BH335</f>
        <v/>
      </c>
      <c r="BJ335" s="461" t="n"/>
      <c r="BK335" s="461">
        <f>BI335-BJ335</f>
        <v/>
      </c>
      <c r="BL335" s="461" t="inlineStr">
        <is>
          <t>按实</t>
        </is>
      </c>
      <c r="BM335" s="220">
        <f>BN335</f>
        <v/>
      </c>
      <c r="BN335" s="592" t="n"/>
      <c r="BO335" s="220">
        <f>BM335-BN335</f>
        <v/>
      </c>
      <c r="BP335" s="220">
        <f>N335+Q335+U335+Y335+AC335+AG335+AK335+AO335+AS335+AW335+BA335+BE335+BI335+BM335</f>
        <v/>
      </c>
      <c r="BQ335" s="220">
        <f>N335+R335+V335+Z335+AD335+AH335+AL335+AP335+AT335+AX335+BB335+BF335+BJ335+BN335</f>
        <v/>
      </c>
      <c r="BR335" s="220">
        <f>BP335-BQ335</f>
        <v/>
      </c>
      <c r="BS335" s="254" t="inlineStr">
        <is>
          <t>/</t>
        </is>
      </c>
      <c r="BT335" s="229" t="inlineStr">
        <is>
          <t>/</t>
        </is>
      </c>
      <c r="BU335" s="230" t="inlineStr">
        <is>
          <t>1、虫害消杀：项目反馈不收取，包含在服务费中；
2、装修折旧费：项目反馈不收取，包含在服务费中；
3、卫生费：项目反馈不收取，包含在服务费中；
4、能源费：项目反馈不收取，包含在服务费中；</t>
        </is>
      </c>
      <c r="BV335" s="230" t="n"/>
      <c r="BW335" s="534" t="n"/>
    </row>
    <row r="336" ht="12" customFormat="1" customHeight="1" s="209">
      <c r="A336" s="219" t="n">
        <v>388</v>
      </c>
      <c r="B336" s="220" t="inlineStr">
        <is>
          <t>KQCY0388</t>
        </is>
      </c>
      <c r="C336" s="221" t="inlineStr">
        <is>
          <t>餐饮六分部</t>
        </is>
      </c>
      <c r="D336" s="221" t="inlineStr">
        <is>
          <t>CF341</t>
        </is>
      </c>
      <c r="E336" s="221" t="inlineStr">
        <is>
          <t>扬大荷花池校区二楼食堂</t>
        </is>
      </c>
      <c r="F336" s="219" t="inlineStr">
        <is>
          <t>人员服务外包</t>
        </is>
      </c>
      <c r="G336" s="222" t="inlineStr">
        <is>
          <t>徐敏娟</t>
        </is>
      </c>
      <c r="H336" s="461" t="inlineStr">
        <is>
          <t>/</t>
        </is>
      </c>
      <c r="I336" s="239" t="inlineStr">
        <is>
          <t>/</t>
        </is>
      </c>
      <c r="J336" s="239" t="inlineStr">
        <is>
          <t>/</t>
        </is>
      </c>
      <c r="K336" s="545">
        <f>LET(k,D336&amp;"|"&amp;E336&amp;"|"&amp;H336&amp;"|"&amp;I336&amp;"|"&amp;J336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36" s="546" t="n"/>
      <c r="M336" s="235" t="n"/>
      <c r="N336" s="253" t="n"/>
      <c r="O336" s="548" t="n">
        <v>0</v>
      </c>
      <c r="P336" s="235" t="n">
        <v>0</v>
      </c>
      <c r="Q336" s="461">
        <f>K336*P336</f>
        <v/>
      </c>
      <c r="R336" s="461" t="n"/>
      <c r="S336" s="461">
        <f>Q336-R336</f>
        <v/>
      </c>
      <c r="T336" s="235" t="n">
        <v>0</v>
      </c>
      <c r="U336" s="461">
        <f>K336*T336</f>
        <v/>
      </c>
      <c r="V336" s="461" t="n"/>
      <c r="W336" s="461">
        <f>U336-V336</f>
        <v/>
      </c>
      <c r="X336" s="235" t="n">
        <v>0</v>
      </c>
      <c r="Y336" s="461">
        <f>K336*X336</f>
        <v/>
      </c>
      <c r="Z336" s="461" t="n"/>
      <c r="AA336" s="461">
        <f>Y336-Z336</f>
        <v/>
      </c>
      <c r="AB336" s="235" t="n">
        <v>0</v>
      </c>
      <c r="AC336" s="461">
        <f>K336*AB336</f>
        <v/>
      </c>
      <c r="AD336" s="461" t="n"/>
      <c r="AE336" s="461">
        <f>AC336-AD336</f>
        <v/>
      </c>
      <c r="AF336" s="235" t="n">
        <v>0</v>
      </c>
      <c r="AG336" s="461">
        <f>K336*AF336</f>
        <v/>
      </c>
      <c r="AH336" s="461" t="n"/>
      <c r="AI336" s="461">
        <f>AG336-AH336</f>
        <v/>
      </c>
      <c r="AJ336" s="235" t="n">
        <v>0</v>
      </c>
      <c r="AK336" s="461">
        <f>K336*AJ336</f>
        <v/>
      </c>
      <c r="AL336" s="461" t="n"/>
      <c r="AM336" s="461">
        <f>AK336-AL336</f>
        <v/>
      </c>
      <c r="AN336" s="235" t="n">
        <v>0</v>
      </c>
      <c r="AO336" s="461">
        <f>K336*AN336</f>
        <v/>
      </c>
      <c r="AP336" s="227" t="n"/>
      <c r="AQ336" s="461">
        <f>AO336-AP336</f>
        <v/>
      </c>
      <c r="AR336" s="461" t="n"/>
      <c r="AS336" s="461">
        <f>K336*AR336</f>
        <v/>
      </c>
      <c r="AT336" s="462" t="n"/>
      <c r="AU336" s="461">
        <f>AS336-AT336</f>
        <v/>
      </c>
      <c r="AV336" s="227" t="n">
        <v>0</v>
      </c>
      <c r="AW336" s="461">
        <f>K336*AV336</f>
        <v/>
      </c>
      <c r="AX336" s="461" t="n"/>
      <c r="AY336" s="461">
        <f>AW336-AX336</f>
        <v/>
      </c>
      <c r="AZ336" s="235" t="n">
        <v>0</v>
      </c>
      <c r="BA336" s="461">
        <f>K336*AZ336</f>
        <v/>
      </c>
      <c r="BB336" s="461" t="n"/>
      <c r="BC336" s="461">
        <f>BA336-BB336</f>
        <v/>
      </c>
      <c r="BD336" s="461" t="n"/>
      <c r="BE336" s="461">
        <f>K336*BD336</f>
        <v/>
      </c>
      <c r="BF336" s="461" t="n"/>
      <c r="BG336" s="461">
        <f>BE336-BF336</f>
        <v/>
      </c>
      <c r="BH336" s="461" t="n"/>
      <c r="BI336" s="461">
        <f>K336*BH336</f>
        <v/>
      </c>
      <c r="BJ336" s="461" t="n"/>
      <c r="BK336" s="461">
        <f>BI336-BJ336</f>
        <v/>
      </c>
      <c r="BL336" s="461" t="n">
        <v>0</v>
      </c>
      <c r="BM336" s="220">
        <f>K336*BL336</f>
        <v/>
      </c>
      <c r="BN336" s="220" t="n"/>
      <c r="BO336" s="220">
        <f>BM336-BN336</f>
        <v/>
      </c>
      <c r="BP336" s="220">
        <f>N336+Q336+U336+Y336+AC336+AG336+AK336+AO336+AS336+AW336+BA336+BE336+BI336+BM336</f>
        <v/>
      </c>
      <c r="BQ336" s="220">
        <f>N336+R336+V336+Z336+AD336+AH336+AL336+AP336+AT336+AX336+BB336+BF336+BJ336+BN336</f>
        <v/>
      </c>
      <c r="BR336" s="220">
        <f>BP336-BQ336</f>
        <v/>
      </c>
      <c r="BS336" s="229" t="n">
        <v>0.11</v>
      </c>
      <c r="BT336" s="229" t="inlineStr">
        <is>
          <t>/</t>
        </is>
      </c>
      <c r="BU336" s="230" t="inlineStr">
        <is>
          <t>1、自营未实际经营；</t>
        </is>
      </c>
      <c r="BV336" s="230" t="n"/>
      <c r="BW336" s="534" t="n"/>
    </row>
    <row r="337" ht="48" customFormat="1" customHeight="1" s="209">
      <c r="A337" s="219" t="n">
        <v>389</v>
      </c>
      <c r="B337" s="220" t="inlineStr">
        <is>
          <t>KQCY0389</t>
        </is>
      </c>
      <c r="C337" s="221" t="inlineStr">
        <is>
          <t>餐饮六分部</t>
        </is>
      </c>
      <c r="D337" s="221" t="inlineStr">
        <is>
          <t>CF341</t>
        </is>
      </c>
      <c r="E337" s="221" t="inlineStr">
        <is>
          <t>扬大荷花池校区二楼食堂</t>
        </is>
      </c>
      <c r="F337" s="219" t="inlineStr">
        <is>
          <t>人员服务外包</t>
        </is>
      </c>
      <c r="G337" s="222" t="inlineStr">
        <is>
          <t>徐敏娟</t>
        </is>
      </c>
      <c r="H337" s="219" t="inlineStr">
        <is>
          <t>第一班组</t>
        </is>
      </c>
      <c r="I337" s="237" t="inlineStr">
        <is>
          <t>麻辣烫(麻辣拌、麻酱拌、小碗菜、盖浇饭、猪脚饭)</t>
        </is>
      </c>
      <c r="J337" s="219" t="inlineStr">
        <is>
          <t>于士位</t>
        </is>
      </c>
      <c r="K337" s="545">
        <f>LET(k,D337&amp;"|"&amp;E337&amp;"|"&amp;H337&amp;"|"&amp;I337&amp;"|"&amp;J337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37" s="546" t="n"/>
      <c r="M337" s="224" t="n"/>
      <c r="N337" s="253" t="n">
        <v>9370.530000000001</v>
      </c>
      <c r="O337" s="548" t="n">
        <v>1668000</v>
      </c>
      <c r="P337" s="552" t="n">
        <v>0.08500000000000001</v>
      </c>
      <c r="Q337" s="461">
        <f>(K337/0.27)*P337</f>
        <v/>
      </c>
      <c r="R337" s="461" t="n"/>
      <c r="S337" s="461">
        <f>Q337-R337</f>
        <v/>
      </c>
      <c r="T337" s="235" t="n">
        <v>0</v>
      </c>
      <c r="U337" s="461">
        <f>K337*T337</f>
        <v/>
      </c>
      <c r="V337" s="461" t="n"/>
      <c r="W337" s="461">
        <f>U337-V337</f>
        <v/>
      </c>
      <c r="X337" s="235" t="n">
        <v>0</v>
      </c>
      <c r="Y337" s="461">
        <f>K337*X337</f>
        <v/>
      </c>
      <c r="Z337" s="461" t="n"/>
      <c r="AA337" s="461">
        <f>Y337-Z337</f>
        <v/>
      </c>
      <c r="AB337" s="235" t="n">
        <v>0</v>
      </c>
      <c r="AC337" s="461">
        <f>K337*AB337</f>
        <v/>
      </c>
      <c r="AD337" s="461" t="n"/>
      <c r="AE337" s="461">
        <f>AC337-AD337</f>
        <v/>
      </c>
      <c r="AF337" s="235" t="n">
        <v>0</v>
      </c>
      <c r="AG337" s="461">
        <f>K337*AF337</f>
        <v/>
      </c>
      <c r="AH337" s="461" t="n"/>
      <c r="AI337" s="461">
        <f>AG337-AH337</f>
        <v/>
      </c>
      <c r="AJ337" s="235" t="n">
        <v>0</v>
      </c>
      <c r="AK337" s="461">
        <f>K337*AJ337</f>
        <v/>
      </c>
      <c r="AL337" s="461" t="n"/>
      <c r="AM337" s="461">
        <f>AK337-AL337</f>
        <v/>
      </c>
      <c r="AN337" s="235" t="n">
        <v>0</v>
      </c>
      <c r="AO337" s="461">
        <f>K337*AN337</f>
        <v/>
      </c>
      <c r="AP337" s="461" t="n"/>
      <c r="AQ337" s="461">
        <f>AO337-AP337</f>
        <v/>
      </c>
      <c r="AR337" s="461" t="n">
        <v>0</v>
      </c>
      <c r="AS337" s="461">
        <f>K337*AR337</f>
        <v/>
      </c>
      <c r="AT337" s="461" t="n"/>
      <c r="AU337" s="461">
        <f>AS337-AT337</f>
        <v/>
      </c>
      <c r="AV337" s="235" t="n">
        <v>0</v>
      </c>
      <c r="AW337" s="461">
        <f>K337*AV337</f>
        <v/>
      </c>
      <c r="AX337" s="461" t="n"/>
      <c r="AY337" s="461">
        <f>AW337-AX337</f>
        <v/>
      </c>
      <c r="AZ337" s="235" t="inlineStr">
        <is>
          <t>按实</t>
        </is>
      </c>
      <c r="BA337" s="461">
        <f>BB337</f>
        <v/>
      </c>
      <c r="BB337" s="461" t="n">
        <v>0</v>
      </c>
      <c r="BC337" s="461">
        <f>BA337-BB337</f>
        <v/>
      </c>
      <c r="BD337" s="461" t="n">
        <v>0</v>
      </c>
      <c r="BE337" s="461">
        <f>K337*BD337</f>
        <v/>
      </c>
      <c r="BF337" s="461" t="n"/>
      <c r="BG337" s="461">
        <f>BE337-BF337</f>
        <v/>
      </c>
      <c r="BH337" s="461" t="n">
        <v>0</v>
      </c>
      <c r="BI337" s="461">
        <f>K337*BH337</f>
        <v/>
      </c>
      <c r="BJ337" s="235" t="n"/>
      <c r="BK337" s="461">
        <f>BI337-BJ337</f>
        <v/>
      </c>
      <c r="BL337" s="235" t="inlineStr">
        <is>
          <t>按实</t>
        </is>
      </c>
      <c r="BM337" s="220">
        <f>BN337</f>
        <v/>
      </c>
      <c r="BN337" s="220" t="n"/>
      <c r="BO337" s="220">
        <f>BM337-BN337</f>
        <v/>
      </c>
      <c r="BP337" s="220">
        <f>N337+Q337+U337+Y337+AC337+AG337+AK337+AO337+AS337+AW337+BA337+BE337+BI337+BM337</f>
        <v/>
      </c>
      <c r="BQ337" s="220">
        <f>N337+R337+V337+Z337+AD337+AH337+AL337+AP337+AT337+AX337+BB337+BF337+BJ337+BN337</f>
        <v/>
      </c>
      <c r="BR337" s="220">
        <f>BP337-BQ337</f>
        <v/>
      </c>
      <c r="BS337" s="254" t="inlineStr">
        <is>
          <t>/</t>
        </is>
      </c>
      <c r="BT337" s="229" t="inlineStr">
        <is>
          <t>/</t>
        </is>
      </c>
      <c r="BU337" s="230" t="inlineStr">
        <is>
          <t>1、卫生费：项目反馈不收取，包含在服务费中；</t>
        </is>
      </c>
      <c r="BV337" s="230" t="inlineStr">
        <is>
          <t xml:space="preserve">1、签订期间：2026.3-7月；
2、指标按照全年换算；
</t>
        </is>
      </c>
      <c r="BW337" s="534" t="n"/>
    </row>
    <row r="338" ht="48" customFormat="1" customHeight="1" s="209">
      <c r="A338" s="219" t="n">
        <v>390</v>
      </c>
      <c r="B338" s="220" t="inlineStr">
        <is>
          <t>KQCY0390</t>
        </is>
      </c>
      <c r="C338" s="221" t="inlineStr">
        <is>
          <t>餐饮六分部</t>
        </is>
      </c>
      <c r="D338" s="221" t="inlineStr">
        <is>
          <t>CF341</t>
        </is>
      </c>
      <c r="E338" s="221" t="inlineStr">
        <is>
          <t>扬大荷花池校区二楼食堂</t>
        </is>
      </c>
      <c r="F338" s="219" t="inlineStr">
        <is>
          <t>人员服务外包</t>
        </is>
      </c>
      <c r="G338" s="222" t="inlineStr">
        <is>
          <t>徐敏娟</t>
        </is>
      </c>
      <c r="H338" s="219" t="inlineStr">
        <is>
          <t>第二班组</t>
        </is>
      </c>
      <c r="I338" s="237" t="inlineStr">
        <is>
          <t>烤鸭饭</t>
        </is>
      </c>
      <c r="J338" s="219" t="inlineStr">
        <is>
          <t>吴异</t>
        </is>
      </c>
      <c r="K338" s="545">
        <f>LET(k,D338&amp;"|"&amp;E338&amp;"|"&amp;H338&amp;"|"&amp;I338&amp;"|"&amp;J338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38" s="546" t="n"/>
      <c r="M338" s="224" t="n"/>
      <c r="N338" s="253" t="n"/>
      <c r="O338" s="548" t="n">
        <v>984000</v>
      </c>
      <c r="P338" s="552" t="n">
        <v>0.08500000000000001</v>
      </c>
      <c r="Q338" s="461">
        <f>(K338/0.27)*P338</f>
        <v/>
      </c>
      <c r="R338" s="461" t="n"/>
      <c r="S338" s="461">
        <f>Q338-R338</f>
        <v/>
      </c>
      <c r="T338" s="235" t="n">
        <v>0</v>
      </c>
      <c r="U338" s="461">
        <f>K338*T338</f>
        <v/>
      </c>
      <c r="V338" s="461" t="n"/>
      <c r="W338" s="461">
        <f>U338-V338</f>
        <v/>
      </c>
      <c r="X338" s="235" t="n">
        <v>0</v>
      </c>
      <c r="Y338" s="461">
        <f>K338*X338</f>
        <v/>
      </c>
      <c r="Z338" s="461" t="n"/>
      <c r="AA338" s="461">
        <f>Y338-Z338</f>
        <v/>
      </c>
      <c r="AB338" s="235" t="n">
        <v>0</v>
      </c>
      <c r="AC338" s="461">
        <f>K338*AB338</f>
        <v/>
      </c>
      <c r="AD338" s="461" t="n"/>
      <c r="AE338" s="461">
        <f>AC338-AD338</f>
        <v/>
      </c>
      <c r="AF338" s="235" t="n">
        <v>0</v>
      </c>
      <c r="AG338" s="461">
        <f>K338*AF338</f>
        <v/>
      </c>
      <c r="AH338" s="461" t="n"/>
      <c r="AI338" s="461">
        <f>AG338-AH338</f>
        <v/>
      </c>
      <c r="AJ338" s="235" t="n">
        <v>0</v>
      </c>
      <c r="AK338" s="461">
        <f>K338*AJ338</f>
        <v/>
      </c>
      <c r="AL338" s="461" t="n"/>
      <c r="AM338" s="461">
        <f>AK338-AL338</f>
        <v/>
      </c>
      <c r="AN338" s="235" t="n">
        <v>0</v>
      </c>
      <c r="AO338" s="461">
        <f>K338*AN338</f>
        <v/>
      </c>
      <c r="AP338" s="461" t="n"/>
      <c r="AQ338" s="461">
        <f>AO338-AP338</f>
        <v/>
      </c>
      <c r="AR338" s="461" t="n">
        <v>0</v>
      </c>
      <c r="AS338" s="461">
        <f>K338*AR338</f>
        <v/>
      </c>
      <c r="AT338" s="461" t="n"/>
      <c r="AU338" s="461">
        <f>AS338-AT338</f>
        <v/>
      </c>
      <c r="AV338" s="235" t="n">
        <v>0</v>
      </c>
      <c r="AW338" s="461">
        <f>K338*AV338</f>
        <v/>
      </c>
      <c r="AX338" s="461" t="n"/>
      <c r="AY338" s="461">
        <f>AW338-AX338</f>
        <v/>
      </c>
      <c r="AZ338" s="235" t="inlineStr">
        <is>
          <t>按实</t>
        </is>
      </c>
      <c r="BA338" s="461">
        <f>BB338</f>
        <v/>
      </c>
      <c r="BB338" s="461" t="n"/>
      <c r="BC338" s="461">
        <f>BA338-BB338</f>
        <v/>
      </c>
      <c r="BD338" s="461" t="n">
        <v>0</v>
      </c>
      <c r="BE338" s="461">
        <f>K338*BD338</f>
        <v/>
      </c>
      <c r="BF338" s="461" t="n"/>
      <c r="BG338" s="461">
        <f>BE338-BF338</f>
        <v/>
      </c>
      <c r="BH338" s="461" t="n">
        <v>0</v>
      </c>
      <c r="BI338" s="461">
        <f>K338*BH338</f>
        <v/>
      </c>
      <c r="BJ338" s="235" t="n"/>
      <c r="BK338" s="461">
        <f>BI338-BJ338</f>
        <v/>
      </c>
      <c r="BL338" s="235" t="inlineStr">
        <is>
          <t>按实</t>
        </is>
      </c>
      <c r="BM338" s="220">
        <f>BN338</f>
        <v/>
      </c>
      <c r="BN338" s="220" t="n"/>
      <c r="BO338" s="220">
        <f>BM338-BN338</f>
        <v/>
      </c>
      <c r="BP338" s="220">
        <f>N338+Q338+U338+Y338+AC338+AG338+AK338+AO338+AS338+AW338+BA338+BE338+BI338+BM338</f>
        <v/>
      </c>
      <c r="BQ338" s="220">
        <f>N338+R338+V338+Z338+AD338+AH338+AL338+AP338+AT338+AX338+BB338+BF338+BJ338+BN338</f>
        <v/>
      </c>
      <c r="BR338" s="220">
        <f>BP338-BQ338</f>
        <v/>
      </c>
      <c r="BS338" s="254" t="inlineStr">
        <is>
          <t>/</t>
        </is>
      </c>
      <c r="BT338" s="229" t="inlineStr">
        <is>
          <t>/</t>
        </is>
      </c>
      <c r="BU338" s="230" t="inlineStr">
        <is>
          <t>1、卫生费：项目反馈不收取，包含在服务费中；</t>
        </is>
      </c>
      <c r="BV338" s="230" t="inlineStr">
        <is>
          <t xml:space="preserve">1、签订期间：2026.3-7月；
2、指标按照全年换算；
</t>
        </is>
      </c>
      <c r="BW338" s="534" t="n"/>
    </row>
    <row r="339" ht="48" customFormat="1" customHeight="1" s="209">
      <c r="A339" s="219" t="n">
        <v>391</v>
      </c>
      <c r="B339" s="220" t="inlineStr">
        <is>
          <t>KQCY0391</t>
        </is>
      </c>
      <c r="C339" s="221" t="inlineStr">
        <is>
          <t>餐饮六分部</t>
        </is>
      </c>
      <c r="D339" s="221" t="inlineStr">
        <is>
          <t>CF341</t>
        </is>
      </c>
      <c r="E339" s="221" t="inlineStr">
        <is>
          <t>扬大荷花池校区二楼食堂</t>
        </is>
      </c>
      <c r="F339" s="219" t="inlineStr">
        <is>
          <t>人员服务外包</t>
        </is>
      </c>
      <c r="G339" s="222" t="inlineStr">
        <is>
          <t>徐敏娟</t>
        </is>
      </c>
      <c r="H339" s="219" t="inlineStr">
        <is>
          <t>第三班组</t>
        </is>
      </c>
      <c r="I339" s="237" t="inlineStr">
        <is>
          <t>酸菜鱼(砂锅)</t>
        </is>
      </c>
      <c r="J339" s="219" t="inlineStr">
        <is>
          <t>邱康兴</t>
        </is>
      </c>
      <c r="K339" s="545">
        <f>LET(k,D339&amp;"|"&amp;E339&amp;"|"&amp;H339&amp;"|"&amp;I339&amp;"|"&amp;J339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39" s="546" t="n"/>
      <c r="M339" s="224" t="n"/>
      <c r="N339" s="253" t="n"/>
      <c r="O339" s="548" t="n">
        <v>662400</v>
      </c>
      <c r="P339" s="552" t="n">
        <v>0.08500000000000001</v>
      </c>
      <c r="Q339" s="461">
        <f>(K339/0.27)*P339</f>
        <v/>
      </c>
      <c r="R339" s="461" t="n"/>
      <c r="S339" s="461">
        <f>Q339-R339</f>
        <v/>
      </c>
      <c r="T339" s="235" t="n">
        <v>0</v>
      </c>
      <c r="U339" s="461">
        <f>K339*T339</f>
        <v/>
      </c>
      <c r="V339" s="461" t="n"/>
      <c r="W339" s="461">
        <f>U339-V339</f>
        <v/>
      </c>
      <c r="X339" s="235" t="n">
        <v>0</v>
      </c>
      <c r="Y339" s="461">
        <f>K339*X339</f>
        <v/>
      </c>
      <c r="Z339" s="461" t="n"/>
      <c r="AA339" s="461">
        <f>Y339-Z339</f>
        <v/>
      </c>
      <c r="AB339" s="235" t="n">
        <v>0</v>
      </c>
      <c r="AC339" s="461">
        <f>K339*AB339</f>
        <v/>
      </c>
      <c r="AD339" s="461" t="n"/>
      <c r="AE339" s="461">
        <f>AC339-AD339</f>
        <v/>
      </c>
      <c r="AF339" s="235" t="n">
        <v>0</v>
      </c>
      <c r="AG339" s="461">
        <f>K339*AF339</f>
        <v/>
      </c>
      <c r="AH339" s="461" t="n"/>
      <c r="AI339" s="461">
        <f>AG339-AH339</f>
        <v/>
      </c>
      <c r="AJ339" s="235" t="n">
        <v>0</v>
      </c>
      <c r="AK339" s="461">
        <f>K339*AJ339</f>
        <v/>
      </c>
      <c r="AL339" s="461" t="n"/>
      <c r="AM339" s="461">
        <f>AK339-AL339</f>
        <v/>
      </c>
      <c r="AN339" s="235" t="n">
        <v>0</v>
      </c>
      <c r="AO339" s="461">
        <f>K339*AN339</f>
        <v/>
      </c>
      <c r="AP339" s="461" t="n"/>
      <c r="AQ339" s="461">
        <f>AO339-AP339</f>
        <v/>
      </c>
      <c r="AR339" s="461" t="n">
        <v>0</v>
      </c>
      <c r="AS339" s="461">
        <f>K339*AR339</f>
        <v/>
      </c>
      <c r="AT339" s="461" t="n"/>
      <c r="AU339" s="461">
        <f>AS339-AT339</f>
        <v/>
      </c>
      <c r="AV339" s="235" t="n">
        <v>0</v>
      </c>
      <c r="AW339" s="461">
        <f>K339*AV339</f>
        <v/>
      </c>
      <c r="AX339" s="461" t="n"/>
      <c r="AY339" s="461">
        <f>AW339-AX339</f>
        <v/>
      </c>
      <c r="AZ339" s="235" t="inlineStr">
        <is>
          <t>按实</t>
        </is>
      </c>
      <c r="BA339" s="461">
        <f>BB339</f>
        <v/>
      </c>
      <c r="BB339" s="461" t="n"/>
      <c r="BC339" s="461">
        <f>BA339-BB339</f>
        <v/>
      </c>
      <c r="BD339" s="461" t="n">
        <v>0</v>
      </c>
      <c r="BE339" s="461">
        <f>K339*BD339</f>
        <v/>
      </c>
      <c r="BF339" s="461" t="n"/>
      <c r="BG339" s="461">
        <f>BE339-BF339</f>
        <v/>
      </c>
      <c r="BH339" s="461" t="n">
        <v>0</v>
      </c>
      <c r="BI339" s="461">
        <f>K339*BH339</f>
        <v/>
      </c>
      <c r="BJ339" s="235" t="n"/>
      <c r="BK339" s="461">
        <f>BI339-BJ339</f>
        <v/>
      </c>
      <c r="BL339" s="235" t="inlineStr">
        <is>
          <t>按实</t>
        </is>
      </c>
      <c r="BM339" s="220">
        <f>BN339</f>
        <v/>
      </c>
      <c r="BN339" s="220" t="n"/>
      <c r="BO339" s="220">
        <f>BM339-BN339</f>
        <v/>
      </c>
      <c r="BP339" s="220">
        <f>N339+Q339+U339+Y339+AC339+AG339+AK339+AO339+AS339+AW339+BA339+BE339+BI339+BM339</f>
        <v/>
      </c>
      <c r="BQ339" s="220">
        <f>N339+R339+V339+Z339+AD339+AH339+AL339+AP339+AT339+AX339+BB339+BF339+BJ339+BN339</f>
        <v/>
      </c>
      <c r="BR339" s="220">
        <f>BP339-BQ339</f>
        <v/>
      </c>
      <c r="BS339" s="254" t="inlineStr">
        <is>
          <t>/</t>
        </is>
      </c>
      <c r="BT339" s="229" t="inlineStr">
        <is>
          <t>/</t>
        </is>
      </c>
      <c r="BU339" s="230" t="inlineStr">
        <is>
          <t>1、卫生费：项目反馈不收取，包含在服务费中；</t>
        </is>
      </c>
      <c r="BV339" s="230" t="inlineStr">
        <is>
          <t xml:space="preserve">1、签订期间：2026.3-7月；
2、指标按照全年换算；
</t>
        </is>
      </c>
      <c r="BW339" s="534" t="n"/>
    </row>
    <row r="340" ht="48" customFormat="1" customHeight="1" s="209">
      <c r="A340" s="219" t="n">
        <v>392</v>
      </c>
      <c r="B340" s="220" t="inlineStr">
        <is>
          <t>KQCY0392</t>
        </is>
      </c>
      <c r="C340" s="221" t="inlineStr">
        <is>
          <t>餐饮六分部</t>
        </is>
      </c>
      <c r="D340" s="221" t="inlineStr">
        <is>
          <t>CF341</t>
        </is>
      </c>
      <c r="E340" s="221" t="inlineStr">
        <is>
          <t>扬大荷花池校区二楼食堂</t>
        </is>
      </c>
      <c r="F340" s="219" t="inlineStr">
        <is>
          <t>人员服务外包</t>
        </is>
      </c>
      <c r="G340" s="222" t="inlineStr">
        <is>
          <t>徐敏娟</t>
        </is>
      </c>
      <c r="H340" s="219" t="inlineStr">
        <is>
          <t>第四班组</t>
        </is>
      </c>
      <c r="I340" s="237" t="inlineStr">
        <is>
          <t>瓦香鸡</t>
        </is>
      </c>
      <c r="J340" s="219" t="inlineStr">
        <is>
          <t>董伟</t>
        </is>
      </c>
      <c r="K340" s="545">
        <f>LET(k,D340&amp;"|"&amp;E340&amp;"|"&amp;H340&amp;"|"&amp;I340&amp;"|"&amp;J340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40" s="546" t="n"/>
      <c r="M340" s="224" t="n"/>
      <c r="N340" s="253" t="n"/>
      <c r="O340" s="548" t="n">
        <v>367200</v>
      </c>
      <c r="P340" s="552" t="n">
        <v>0.08500000000000001</v>
      </c>
      <c r="Q340" s="461">
        <f>(K340/0.27)*P340</f>
        <v/>
      </c>
      <c r="R340" s="461" t="n"/>
      <c r="S340" s="461">
        <f>Q340-R340</f>
        <v/>
      </c>
      <c r="T340" s="235" t="n">
        <v>0</v>
      </c>
      <c r="U340" s="461">
        <f>K340*T340</f>
        <v/>
      </c>
      <c r="V340" s="461" t="n"/>
      <c r="W340" s="461">
        <f>U340-V340</f>
        <v/>
      </c>
      <c r="X340" s="235" t="n">
        <v>0</v>
      </c>
      <c r="Y340" s="461">
        <f>K340*X340</f>
        <v/>
      </c>
      <c r="Z340" s="461" t="n"/>
      <c r="AA340" s="461">
        <f>Y340-Z340</f>
        <v/>
      </c>
      <c r="AB340" s="235" t="n">
        <v>0</v>
      </c>
      <c r="AC340" s="461">
        <f>K340*AB340</f>
        <v/>
      </c>
      <c r="AD340" s="461" t="n"/>
      <c r="AE340" s="461">
        <f>AC340-AD340</f>
        <v/>
      </c>
      <c r="AF340" s="235" t="n">
        <v>0</v>
      </c>
      <c r="AG340" s="461">
        <f>K340*AF340</f>
        <v/>
      </c>
      <c r="AH340" s="461" t="n"/>
      <c r="AI340" s="461">
        <f>AG340-AH340</f>
        <v/>
      </c>
      <c r="AJ340" s="235" t="n">
        <v>0</v>
      </c>
      <c r="AK340" s="461">
        <f>K340*AJ340</f>
        <v/>
      </c>
      <c r="AL340" s="461" t="n"/>
      <c r="AM340" s="461">
        <f>AK340-AL340</f>
        <v/>
      </c>
      <c r="AN340" s="235" t="n">
        <v>0</v>
      </c>
      <c r="AO340" s="461">
        <f>K340*AN340</f>
        <v/>
      </c>
      <c r="AP340" s="461" t="n"/>
      <c r="AQ340" s="461">
        <f>AO340-AP340</f>
        <v/>
      </c>
      <c r="AR340" s="461" t="n">
        <v>0</v>
      </c>
      <c r="AS340" s="461">
        <f>K340*AR340</f>
        <v/>
      </c>
      <c r="AT340" s="461" t="n"/>
      <c r="AU340" s="461">
        <f>AS340-AT340</f>
        <v/>
      </c>
      <c r="AV340" s="235" t="n">
        <v>0</v>
      </c>
      <c r="AW340" s="461">
        <f>K340*AV340</f>
        <v/>
      </c>
      <c r="AX340" s="461" t="n"/>
      <c r="AY340" s="461">
        <f>AW340-AX340</f>
        <v/>
      </c>
      <c r="AZ340" s="235" t="inlineStr">
        <is>
          <t>按实</t>
        </is>
      </c>
      <c r="BA340" s="461">
        <f>BB340</f>
        <v/>
      </c>
      <c r="BB340" s="461" t="n"/>
      <c r="BC340" s="461">
        <f>BA340-BB340</f>
        <v/>
      </c>
      <c r="BD340" s="461" t="n">
        <v>0</v>
      </c>
      <c r="BE340" s="461">
        <f>K340*BD340</f>
        <v/>
      </c>
      <c r="BF340" s="461" t="n"/>
      <c r="BG340" s="461">
        <f>BE340-BF340</f>
        <v/>
      </c>
      <c r="BH340" s="461" t="n">
        <v>0</v>
      </c>
      <c r="BI340" s="461">
        <f>K340*BH340</f>
        <v/>
      </c>
      <c r="BJ340" s="235" t="n"/>
      <c r="BK340" s="461">
        <f>BI340-BJ340</f>
        <v/>
      </c>
      <c r="BL340" s="235" t="inlineStr">
        <is>
          <t>按实</t>
        </is>
      </c>
      <c r="BM340" s="220">
        <f>BN340</f>
        <v/>
      </c>
      <c r="BN340" s="220" t="n"/>
      <c r="BO340" s="220">
        <f>BM340-BN340</f>
        <v/>
      </c>
      <c r="BP340" s="220">
        <f>N340+Q340+U340+Y340+AC340+AG340+AK340+AO340+AS340+AW340+BA340+BE340+BI340+BM340</f>
        <v/>
      </c>
      <c r="BQ340" s="220">
        <f>N340+R340+V340+Z340+AD340+AH340+AL340+AP340+AT340+AX340+BB340+BF340+BJ340+BN340</f>
        <v/>
      </c>
      <c r="BR340" s="220">
        <f>BP340-BQ340</f>
        <v/>
      </c>
      <c r="BS340" s="254" t="inlineStr">
        <is>
          <t>/</t>
        </is>
      </c>
      <c r="BT340" s="229" t="inlineStr">
        <is>
          <t>/</t>
        </is>
      </c>
      <c r="BU340" s="230" t="inlineStr">
        <is>
          <t>1、卫生费：项目反馈不收取，包含在服务费中；</t>
        </is>
      </c>
      <c r="BV340" s="230" t="inlineStr">
        <is>
          <t xml:space="preserve">1、签订期间：2026.3-7月；
2、指标按照全年换算；
</t>
        </is>
      </c>
      <c r="BW340" s="534" t="n"/>
    </row>
    <row r="341" ht="48" customFormat="1" customHeight="1" s="209">
      <c r="A341" s="219" t="n">
        <v>393</v>
      </c>
      <c r="B341" s="220" t="inlineStr">
        <is>
          <t>KQCY0393</t>
        </is>
      </c>
      <c r="C341" s="221" t="inlineStr">
        <is>
          <t>餐饮六分部</t>
        </is>
      </c>
      <c r="D341" s="221" t="inlineStr">
        <is>
          <t>CF341</t>
        </is>
      </c>
      <c r="E341" s="221" t="inlineStr">
        <is>
          <t>扬大荷花池校区二楼食堂</t>
        </is>
      </c>
      <c r="F341" s="219" t="inlineStr">
        <is>
          <t>人员服务外包</t>
        </is>
      </c>
      <c r="G341" s="222" t="inlineStr">
        <is>
          <t>徐敏娟</t>
        </is>
      </c>
      <c r="H341" s="219" t="inlineStr">
        <is>
          <t>第五班组</t>
        </is>
      </c>
      <c r="I341" s="237" t="inlineStr">
        <is>
          <t>水饺(馄饨)</t>
        </is>
      </c>
      <c r="J341" s="219" t="inlineStr">
        <is>
          <t>周凯</t>
        </is>
      </c>
      <c r="K341" s="545">
        <f>LET(k,D341&amp;"|"&amp;E341&amp;"|"&amp;H341&amp;"|"&amp;I341&amp;"|"&amp;J341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41" s="546" t="n"/>
      <c r="M341" s="224" t="n"/>
      <c r="N341" s="253" t="n"/>
      <c r="O341" s="548" t="n">
        <v>316800</v>
      </c>
      <c r="P341" s="552" t="n">
        <v>0.08500000000000001</v>
      </c>
      <c r="Q341" s="461">
        <f>(K341/0.27)*P341</f>
        <v/>
      </c>
      <c r="R341" s="461" t="n"/>
      <c r="S341" s="461">
        <f>Q341-R341</f>
        <v/>
      </c>
      <c r="T341" s="235" t="n">
        <v>0</v>
      </c>
      <c r="U341" s="461">
        <f>K341*T341</f>
        <v/>
      </c>
      <c r="V341" s="461" t="n"/>
      <c r="W341" s="461">
        <f>U341-V341</f>
        <v/>
      </c>
      <c r="X341" s="235" t="n">
        <v>0</v>
      </c>
      <c r="Y341" s="461">
        <f>K341*X341</f>
        <v/>
      </c>
      <c r="Z341" s="461" t="n"/>
      <c r="AA341" s="461">
        <f>Y341-Z341</f>
        <v/>
      </c>
      <c r="AB341" s="235" t="n">
        <v>0</v>
      </c>
      <c r="AC341" s="461">
        <f>K341*AB341</f>
        <v/>
      </c>
      <c r="AD341" s="461" t="n"/>
      <c r="AE341" s="461">
        <f>AC341-AD341</f>
        <v/>
      </c>
      <c r="AF341" s="235" t="n">
        <v>0</v>
      </c>
      <c r="AG341" s="461">
        <f>K341*AF341</f>
        <v/>
      </c>
      <c r="AH341" s="461" t="n"/>
      <c r="AI341" s="461">
        <f>AG341-AH341</f>
        <v/>
      </c>
      <c r="AJ341" s="235" t="n">
        <v>0</v>
      </c>
      <c r="AK341" s="461">
        <f>K341*AJ341</f>
        <v/>
      </c>
      <c r="AL341" s="480" t="n"/>
      <c r="AM341" s="461">
        <f>AK341-AL341</f>
        <v/>
      </c>
      <c r="AN341" s="235" t="n">
        <v>0</v>
      </c>
      <c r="AO341" s="461">
        <f>K341*AN341</f>
        <v/>
      </c>
      <c r="AP341" s="461" t="n"/>
      <c r="AQ341" s="461">
        <f>AO341-AP341</f>
        <v/>
      </c>
      <c r="AR341" s="461" t="n">
        <v>0</v>
      </c>
      <c r="AS341" s="461">
        <f>K341*AR341</f>
        <v/>
      </c>
      <c r="AT341" s="461" t="n"/>
      <c r="AU341" s="461">
        <f>AS341-AT341</f>
        <v/>
      </c>
      <c r="AV341" s="235" t="n">
        <v>0</v>
      </c>
      <c r="AW341" s="461">
        <f>K341*AV341</f>
        <v/>
      </c>
      <c r="AX341" s="461" t="n"/>
      <c r="AY341" s="461">
        <f>AW341-AX341</f>
        <v/>
      </c>
      <c r="AZ341" s="235" t="inlineStr">
        <is>
          <t>按实</t>
        </is>
      </c>
      <c r="BA341" s="461">
        <f>BB341</f>
        <v/>
      </c>
      <c r="BB341" s="461" t="n"/>
      <c r="BC341" s="461">
        <f>BA341-BB341</f>
        <v/>
      </c>
      <c r="BD341" s="461" t="n">
        <v>0</v>
      </c>
      <c r="BE341" s="461">
        <f>K341*BD341</f>
        <v/>
      </c>
      <c r="BF341" s="461" t="n"/>
      <c r="BG341" s="461">
        <f>BE341-BF341</f>
        <v/>
      </c>
      <c r="BH341" s="461" t="n">
        <v>0</v>
      </c>
      <c r="BI341" s="461">
        <f>K341*BH341</f>
        <v/>
      </c>
      <c r="BJ341" s="235" t="n"/>
      <c r="BK341" s="461">
        <f>BI341-BJ341</f>
        <v/>
      </c>
      <c r="BL341" s="235" t="inlineStr">
        <is>
          <t>按实</t>
        </is>
      </c>
      <c r="BM341" s="220">
        <f>BN341</f>
        <v/>
      </c>
      <c r="BN341" s="220" t="n"/>
      <c r="BO341" s="220">
        <f>BM341-BN341</f>
        <v/>
      </c>
      <c r="BP341" s="220">
        <f>N341+Q341+U341+Y341+AC341+AG341+AK341+AO341+AS341+AW341+BA341+BE341+BI341+BM341</f>
        <v/>
      </c>
      <c r="BQ341" s="220">
        <f>N341+R341+V341+Z341+AD341+AH341+AL341+AP341+AT341+AX341+BB341+BF341+BJ341+BN341</f>
        <v/>
      </c>
      <c r="BR341" s="220">
        <f>BP341-BQ341</f>
        <v/>
      </c>
      <c r="BS341" s="254" t="inlineStr">
        <is>
          <t>/</t>
        </is>
      </c>
      <c r="BT341" s="229" t="inlineStr">
        <is>
          <t>/</t>
        </is>
      </c>
      <c r="BU341" s="230" t="inlineStr">
        <is>
          <t>1、卫生费：项目反馈不收取，包含在服务费中；</t>
        </is>
      </c>
      <c r="BV341" s="230" t="inlineStr">
        <is>
          <t xml:space="preserve">1、签订期间：2026.3-7月；
2、指标按照全年换算；
</t>
        </is>
      </c>
      <c r="BW341" s="534" t="n"/>
    </row>
    <row r="342" ht="48" customFormat="1" customHeight="1" s="209">
      <c r="A342" s="219" t="n">
        <v>394</v>
      </c>
      <c r="B342" s="220" t="inlineStr">
        <is>
          <t>KQCY0394</t>
        </is>
      </c>
      <c r="C342" s="221" t="inlineStr">
        <is>
          <t>餐饮六分部</t>
        </is>
      </c>
      <c r="D342" s="221" t="inlineStr">
        <is>
          <t>CF341</t>
        </is>
      </c>
      <c r="E342" s="221" t="inlineStr">
        <is>
          <t>扬大荷花池校区二楼食堂</t>
        </is>
      </c>
      <c r="F342" s="219" t="inlineStr">
        <is>
          <t>人员服务外包</t>
        </is>
      </c>
      <c r="G342" s="222" t="inlineStr">
        <is>
          <t>徐敏娟</t>
        </is>
      </c>
      <c r="H342" s="219" t="inlineStr">
        <is>
          <t>第六班组</t>
        </is>
      </c>
      <c r="I342" s="237" t="inlineStr">
        <is>
          <t>川湘菜</t>
        </is>
      </c>
      <c r="J342" s="219" t="inlineStr">
        <is>
          <t>刘诚诚</t>
        </is>
      </c>
      <c r="K342" s="545">
        <f>LET(k,D342&amp;"|"&amp;E342&amp;"|"&amp;H342&amp;"|"&amp;I342&amp;"|"&amp;J342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42" s="546" t="n"/>
      <c r="M342" s="224" t="n"/>
      <c r="N342" s="253" t="n"/>
      <c r="O342" s="548" t="n">
        <v>2232000</v>
      </c>
      <c r="P342" s="552" t="n">
        <v>0.08500000000000001</v>
      </c>
      <c r="Q342" s="461">
        <f>(K342/0.27)*P342</f>
        <v/>
      </c>
      <c r="R342" s="461" t="n"/>
      <c r="S342" s="461">
        <f>Q342-R342</f>
        <v/>
      </c>
      <c r="T342" s="235" t="n">
        <v>0</v>
      </c>
      <c r="U342" s="461">
        <f>K342*T342</f>
        <v/>
      </c>
      <c r="V342" s="461" t="n"/>
      <c r="W342" s="461">
        <f>U342-V342</f>
        <v/>
      </c>
      <c r="X342" s="235" t="n">
        <v>0</v>
      </c>
      <c r="Y342" s="461">
        <f>K342*X342</f>
        <v/>
      </c>
      <c r="Z342" s="461" t="n"/>
      <c r="AA342" s="461">
        <f>Y342-Z342</f>
        <v/>
      </c>
      <c r="AB342" s="235" t="n">
        <v>0</v>
      </c>
      <c r="AC342" s="461">
        <f>K342*AB342</f>
        <v/>
      </c>
      <c r="AD342" s="461" t="n"/>
      <c r="AE342" s="461">
        <f>AC342-AD342</f>
        <v/>
      </c>
      <c r="AF342" s="235" t="n">
        <v>0</v>
      </c>
      <c r="AG342" s="461">
        <f>K342*AF342</f>
        <v/>
      </c>
      <c r="AH342" s="461" t="n"/>
      <c r="AI342" s="461">
        <f>AG342-AH342</f>
        <v/>
      </c>
      <c r="AJ342" s="235" t="n">
        <v>0</v>
      </c>
      <c r="AK342" s="461">
        <f>K342*AJ342</f>
        <v/>
      </c>
      <c r="AL342" s="461" t="n"/>
      <c r="AM342" s="461">
        <f>AK342-AL342</f>
        <v/>
      </c>
      <c r="AN342" s="235" t="n">
        <v>0</v>
      </c>
      <c r="AO342" s="461">
        <f>K342*AN342</f>
        <v/>
      </c>
      <c r="AP342" s="461" t="n"/>
      <c r="AQ342" s="461">
        <f>AO342-AP342</f>
        <v/>
      </c>
      <c r="AR342" s="461" t="n">
        <v>0</v>
      </c>
      <c r="AS342" s="461">
        <f>K342*AR342</f>
        <v/>
      </c>
      <c r="AT342" s="461" t="n"/>
      <c r="AU342" s="461">
        <f>AS342-AT342</f>
        <v/>
      </c>
      <c r="AV342" s="235" t="n">
        <v>0</v>
      </c>
      <c r="AW342" s="461">
        <f>K342*AV342</f>
        <v/>
      </c>
      <c r="AX342" s="461" t="n"/>
      <c r="AY342" s="461">
        <f>AW342-AX342</f>
        <v/>
      </c>
      <c r="AZ342" s="235" t="inlineStr">
        <is>
          <t>按实</t>
        </is>
      </c>
      <c r="BA342" s="461">
        <f>BB342</f>
        <v/>
      </c>
      <c r="BB342" s="461" t="n"/>
      <c r="BC342" s="461">
        <f>BA342-BB342</f>
        <v/>
      </c>
      <c r="BD342" s="461" t="n">
        <v>0</v>
      </c>
      <c r="BE342" s="461">
        <f>K342*BD342</f>
        <v/>
      </c>
      <c r="BF342" s="461" t="n"/>
      <c r="BG342" s="461">
        <f>BE342-BF342</f>
        <v/>
      </c>
      <c r="BH342" s="461" t="n">
        <v>0</v>
      </c>
      <c r="BI342" s="461">
        <f>K342*BH342</f>
        <v/>
      </c>
      <c r="BJ342" s="235" t="n"/>
      <c r="BK342" s="461">
        <f>BI342-BJ342</f>
        <v/>
      </c>
      <c r="BL342" s="235" t="inlineStr">
        <is>
          <t>按实</t>
        </is>
      </c>
      <c r="BM342" s="220">
        <f>BN342</f>
        <v/>
      </c>
      <c r="BN342" s="220" t="n"/>
      <c r="BO342" s="220">
        <f>BM342-BN342</f>
        <v/>
      </c>
      <c r="BP342" s="220">
        <f>N342+Q342+U342+Y342+AC342+AG342+AK342+AO342+AS342+AW342+BA342+BE342+BI342+BM342</f>
        <v/>
      </c>
      <c r="BQ342" s="220">
        <f>N342+R342+V342+Z342+AD342+AH342+AL342+AP342+AT342+AX342+BB342+BF342+BJ342+BN342</f>
        <v/>
      </c>
      <c r="BR342" s="220">
        <f>BP342-BQ342</f>
        <v/>
      </c>
      <c r="BS342" s="254" t="inlineStr">
        <is>
          <t>/</t>
        </is>
      </c>
      <c r="BT342" s="229" t="inlineStr">
        <is>
          <t>/</t>
        </is>
      </c>
      <c r="BU342" s="230" t="inlineStr">
        <is>
          <t>1、卫生费：项目反馈不收取，包含在服务费中；</t>
        </is>
      </c>
      <c r="BV342" s="230" t="inlineStr">
        <is>
          <t xml:space="preserve">1、签订期间：2026.3-7月；
2、指标按照全年换算；
</t>
        </is>
      </c>
      <c r="BW342" s="534" t="n"/>
    </row>
    <row r="343" ht="48" customFormat="1" customHeight="1" s="209">
      <c r="A343" s="219" t="n">
        <v>395</v>
      </c>
      <c r="B343" s="220" t="inlineStr">
        <is>
          <t>KQCY0395</t>
        </is>
      </c>
      <c r="C343" s="221" t="inlineStr">
        <is>
          <t>餐饮六分部</t>
        </is>
      </c>
      <c r="D343" s="221" t="inlineStr">
        <is>
          <t>CF341</t>
        </is>
      </c>
      <c r="E343" s="221" t="inlineStr">
        <is>
          <t>扬大荷花池校区二楼食堂</t>
        </is>
      </c>
      <c r="F343" s="219" t="inlineStr">
        <is>
          <t>人员服务外包</t>
        </is>
      </c>
      <c r="G343" s="222" t="inlineStr">
        <is>
          <t>徐敏娟</t>
        </is>
      </c>
      <c r="H343" s="219" t="inlineStr">
        <is>
          <t>第七班组</t>
        </is>
      </c>
      <c r="I343" s="237" t="inlineStr">
        <is>
          <t>烤盘饭</t>
        </is>
      </c>
      <c r="J343" s="219" t="inlineStr">
        <is>
          <t>曹清红</t>
        </is>
      </c>
      <c r="K343" s="545">
        <f>LET(k,D343&amp;"|"&amp;E343&amp;"|"&amp;H343&amp;"|"&amp;I343&amp;"|"&amp;J343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43" s="546" t="n"/>
      <c r="M343" s="224" t="n"/>
      <c r="N343" s="253" t="n"/>
      <c r="O343" s="548" t="n">
        <v>655200</v>
      </c>
      <c r="P343" s="552" t="n">
        <v>0.08500000000000001</v>
      </c>
      <c r="Q343" s="461">
        <f>(K343/0.27)*P343</f>
        <v/>
      </c>
      <c r="R343" s="461" t="n"/>
      <c r="S343" s="461">
        <f>Q343-R343</f>
        <v/>
      </c>
      <c r="T343" s="235" t="n">
        <v>0</v>
      </c>
      <c r="U343" s="461">
        <f>K343*T343</f>
        <v/>
      </c>
      <c r="V343" s="461" t="n"/>
      <c r="W343" s="461">
        <f>U343-V343</f>
        <v/>
      </c>
      <c r="X343" s="235" t="n">
        <v>0</v>
      </c>
      <c r="Y343" s="461">
        <f>K343*X343</f>
        <v/>
      </c>
      <c r="Z343" s="461" t="n"/>
      <c r="AA343" s="461">
        <f>Y343-Z343</f>
        <v/>
      </c>
      <c r="AB343" s="235" t="n">
        <v>0</v>
      </c>
      <c r="AC343" s="461">
        <f>K343*AB343</f>
        <v/>
      </c>
      <c r="AD343" s="461" t="n"/>
      <c r="AE343" s="461">
        <f>AC343-AD343</f>
        <v/>
      </c>
      <c r="AF343" s="235" t="n">
        <v>0</v>
      </c>
      <c r="AG343" s="461">
        <f>K343*AF343</f>
        <v/>
      </c>
      <c r="AH343" s="461" t="n"/>
      <c r="AI343" s="461">
        <f>AG343-AH343</f>
        <v/>
      </c>
      <c r="AJ343" s="235" t="n">
        <v>0</v>
      </c>
      <c r="AK343" s="461">
        <f>K343*AJ343</f>
        <v/>
      </c>
      <c r="AL343" s="461" t="n"/>
      <c r="AM343" s="461">
        <f>AK343-AL343</f>
        <v/>
      </c>
      <c r="AN343" s="235" t="n">
        <v>0</v>
      </c>
      <c r="AO343" s="461">
        <f>K343*AN343</f>
        <v/>
      </c>
      <c r="AP343" s="461" t="n"/>
      <c r="AQ343" s="461">
        <f>AO343-AP343</f>
        <v/>
      </c>
      <c r="AR343" s="461" t="n">
        <v>0</v>
      </c>
      <c r="AS343" s="461">
        <f>K343*AR343</f>
        <v/>
      </c>
      <c r="AT343" s="461" t="n"/>
      <c r="AU343" s="461">
        <f>AS343-AT343</f>
        <v/>
      </c>
      <c r="AV343" s="235" t="n">
        <v>0</v>
      </c>
      <c r="AW343" s="461">
        <f>K343*AV343</f>
        <v/>
      </c>
      <c r="AX343" s="461" t="n"/>
      <c r="AY343" s="461">
        <f>AW343-AX343</f>
        <v/>
      </c>
      <c r="AZ343" s="235" t="inlineStr">
        <is>
          <t>按实</t>
        </is>
      </c>
      <c r="BA343" s="461">
        <f>BB343</f>
        <v/>
      </c>
      <c r="BB343" s="461" t="n"/>
      <c r="BC343" s="461">
        <f>BA343-BB343</f>
        <v/>
      </c>
      <c r="BD343" s="461" t="n">
        <v>0</v>
      </c>
      <c r="BE343" s="461">
        <f>K343*BD343</f>
        <v/>
      </c>
      <c r="BF343" s="461" t="n"/>
      <c r="BG343" s="461">
        <f>BE343-BF343</f>
        <v/>
      </c>
      <c r="BH343" s="461" t="n">
        <v>0</v>
      </c>
      <c r="BI343" s="461">
        <f>K343*BH343</f>
        <v/>
      </c>
      <c r="BJ343" s="235" t="n"/>
      <c r="BK343" s="461">
        <f>BI343-BJ343</f>
        <v/>
      </c>
      <c r="BL343" s="235" t="inlineStr">
        <is>
          <t>按实</t>
        </is>
      </c>
      <c r="BM343" s="220">
        <f>BN343</f>
        <v/>
      </c>
      <c r="BN343" s="220" t="n"/>
      <c r="BO343" s="220">
        <f>BM343-BN343</f>
        <v/>
      </c>
      <c r="BP343" s="220">
        <f>N343+Q343+U343+Y343+AC343+AG343+AK343+AO343+AS343+AW343+BA343+BE343+BI343+BM343</f>
        <v/>
      </c>
      <c r="BQ343" s="220">
        <f>N343+R343+V343+Z343+AD343+AH343+AL343+AP343+AT343+AX343+BB343+BF343+BJ343+BN343</f>
        <v/>
      </c>
      <c r="BR343" s="220">
        <f>BP343-BQ343</f>
        <v/>
      </c>
      <c r="BS343" s="254" t="inlineStr">
        <is>
          <t>/</t>
        </is>
      </c>
      <c r="BT343" s="229" t="inlineStr">
        <is>
          <t>/</t>
        </is>
      </c>
      <c r="BU343" s="230" t="inlineStr">
        <is>
          <t>1、卫生费：项目反馈不收取，包含在服务费中；</t>
        </is>
      </c>
      <c r="BV343" s="230" t="inlineStr">
        <is>
          <t xml:space="preserve">1、签订期间：2026.3-7月；
2、指标按照全年换算；
</t>
        </is>
      </c>
      <c r="BW343" s="534" t="n"/>
    </row>
    <row r="344" ht="24" customFormat="1" customHeight="1" s="209">
      <c r="A344" s="219" t="n">
        <v>396</v>
      </c>
      <c r="B344" s="220" t="inlineStr">
        <is>
          <t>KQCY0396</t>
        </is>
      </c>
      <c r="C344" s="221" t="inlineStr">
        <is>
          <t>餐饮六分部</t>
        </is>
      </c>
      <c r="D344" s="221" t="inlineStr">
        <is>
          <t>CF341</t>
        </is>
      </c>
      <c r="E344" s="221" t="inlineStr">
        <is>
          <t>扬大荷花池校区二楼食堂</t>
        </is>
      </c>
      <c r="F344" s="219" t="inlineStr">
        <is>
          <t>人员服务外包</t>
        </is>
      </c>
      <c r="G344" s="222" t="inlineStr">
        <is>
          <t>徐敏娟</t>
        </is>
      </c>
      <c r="H344" s="219" t="inlineStr">
        <is>
          <t>第八班组</t>
        </is>
      </c>
      <c r="I344" s="237" t="inlineStr">
        <is>
          <t>黄焖鸡(黑鸭煲、拌面拌粉)</t>
        </is>
      </c>
      <c r="J344" s="219" t="inlineStr">
        <is>
          <t>刘发治</t>
        </is>
      </c>
      <c r="K344" s="545">
        <f>LET(k,D344&amp;"|"&amp;E344&amp;"|"&amp;H344&amp;"|"&amp;I344&amp;"|"&amp;J344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44" s="546" t="n"/>
      <c r="M344" s="224" t="n"/>
      <c r="N344" s="253" t="n"/>
      <c r="O344" s="548" t="n">
        <v>662400</v>
      </c>
      <c r="P344" s="552" t="n">
        <v>0.08500000000000001</v>
      </c>
      <c r="Q344" s="461">
        <f>(K344/0.27)*P344</f>
        <v/>
      </c>
      <c r="R344" s="461" t="n"/>
      <c r="S344" s="461">
        <f>Q344-R344</f>
        <v/>
      </c>
      <c r="T344" s="235" t="n">
        <v>0</v>
      </c>
      <c r="U344" s="461">
        <f>K344*T344</f>
        <v/>
      </c>
      <c r="V344" s="461" t="n"/>
      <c r="W344" s="461">
        <f>U344-V344</f>
        <v/>
      </c>
      <c r="X344" s="235" t="n">
        <v>0</v>
      </c>
      <c r="Y344" s="461">
        <f>K344*X344</f>
        <v/>
      </c>
      <c r="Z344" s="461" t="n"/>
      <c r="AA344" s="461">
        <f>Y344-Z344</f>
        <v/>
      </c>
      <c r="AB344" s="235" t="n">
        <v>0</v>
      </c>
      <c r="AC344" s="461">
        <f>K344*AB344</f>
        <v/>
      </c>
      <c r="AD344" s="461" t="n"/>
      <c r="AE344" s="461">
        <f>AC344-AD344</f>
        <v/>
      </c>
      <c r="AF344" s="235" t="n">
        <v>0</v>
      </c>
      <c r="AG344" s="461">
        <f>K344*AF344</f>
        <v/>
      </c>
      <c r="AH344" s="461" t="n"/>
      <c r="AI344" s="461">
        <f>AG344-AH344</f>
        <v/>
      </c>
      <c r="AJ344" s="235" t="n">
        <v>0</v>
      </c>
      <c r="AK344" s="461">
        <f>K344*AJ344</f>
        <v/>
      </c>
      <c r="AL344" s="461" t="n"/>
      <c r="AM344" s="461">
        <f>AK344-AL344</f>
        <v/>
      </c>
      <c r="AN344" s="235" t="n">
        <v>0</v>
      </c>
      <c r="AO344" s="461">
        <f>K344*AN344</f>
        <v/>
      </c>
      <c r="AP344" s="461" t="n"/>
      <c r="AQ344" s="461">
        <f>AO344-AP344</f>
        <v/>
      </c>
      <c r="AR344" s="461" t="n">
        <v>0</v>
      </c>
      <c r="AS344" s="461">
        <f>K344*AR344</f>
        <v/>
      </c>
      <c r="AT344" s="461" t="n"/>
      <c r="AU344" s="461">
        <f>AS344-AT344</f>
        <v/>
      </c>
      <c r="AV344" s="235" t="n">
        <v>0</v>
      </c>
      <c r="AW344" s="461">
        <f>K344*AV344</f>
        <v/>
      </c>
      <c r="AX344" s="461" t="n"/>
      <c r="AY344" s="461">
        <f>AW344-AX344</f>
        <v/>
      </c>
      <c r="AZ344" s="235" t="inlineStr">
        <is>
          <t>按实</t>
        </is>
      </c>
      <c r="BA344" s="461">
        <f>BB344</f>
        <v/>
      </c>
      <c r="BB344" s="461" t="n"/>
      <c r="BC344" s="461">
        <f>BA344-BB344</f>
        <v/>
      </c>
      <c r="BD344" s="461" t="n">
        <v>0</v>
      </c>
      <c r="BE344" s="461">
        <f>K344*BD344</f>
        <v/>
      </c>
      <c r="BF344" s="461" t="n"/>
      <c r="BG344" s="461">
        <f>BE344-BF344</f>
        <v/>
      </c>
      <c r="BH344" s="461" t="n">
        <v>0</v>
      </c>
      <c r="BI344" s="461">
        <f>K344*BH344</f>
        <v/>
      </c>
      <c r="BJ344" s="235" t="n"/>
      <c r="BK344" s="461">
        <f>BI344-BJ344</f>
        <v/>
      </c>
      <c r="BL344" s="235" t="inlineStr">
        <is>
          <t>按实</t>
        </is>
      </c>
      <c r="BM344" s="220">
        <f>BN344</f>
        <v/>
      </c>
      <c r="BN344" s="220" t="n"/>
      <c r="BO344" s="220">
        <f>BM344-BN344</f>
        <v/>
      </c>
      <c r="BP344" s="220">
        <f>N344+Q344+U344+Y344+AC344+AG344+AK344+AO344+AS344+AW344+BA344+BE344+BI344+BM344</f>
        <v/>
      </c>
      <c r="BQ344" s="220">
        <f>N344+R344+V344+Z344+AD344+AH344+AL344+AP344+AT344+AX344+BB344+BF344+BJ344+BN344</f>
        <v/>
      </c>
      <c r="BR344" s="220">
        <f>BP344-BQ344</f>
        <v/>
      </c>
      <c r="BS344" s="254" t="inlineStr">
        <is>
          <t>/</t>
        </is>
      </c>
      <c r="BT344" s="229" t="inlineStr">
        <is>
          <t>/</t>
        </is>
      </c>
      <c r="BU344" s="230" t="inlineStr">
        <is>
          <t>1、卫生费：项目反馈不收取，包含在服务费中；</t>
        </is>
      </c>
      <c r="BV344" s="230" t="inlineStr">
        <is>
          <t>1、签订期间：2026.3-7月；
2、指标按照全年换算；</t>
        </is>
      </c>
      <c r="BW344" s="534" t="n"/>
    </row>
    <row r="345" ht="36" customFormat="1" customHeight="1" s="209">
      <c r="A345" s="219" t="n">
        <v>398</v>
      </c>
      <c r="B345" s="220" t="inlineStr">
        <is>
          <t>KQCY0398</t>
        </is>
      </c>
      <c r="C345" s="221" t="inlineStr">
        <is>
          <t>餐饮六分部</t>
        </is>
      </c>
      <c r="D345" s="221" t="inlineStr">
        <is>
          <t>CF213</t>
        </is>
      </c>
      <c r="E345" s="242" t="inlineStr">
        <is>
          <t>苏州大脑营行餐厅</t>
        </is>
      </c>
      <c r="F345" s="219" t="inlineStr">
        <is>
          <t>分组作业</t>
        </is>
      </c>
      <c r="G345" s="243" t="inlineStr">
        <is>
          <t>郑虎</t>
        </is>
      </c>
      <c r="H345" s="222" t="inlineStr">
        <is>
          <t>第一班组</t>
        </is>
      </c>
      <c r="I345" s="237" t="inlineStr">
        <is>
          <t>湘菜</t>
        </is>
      </c>
      <c r="J345" s="222" t="inlineStr">
        <is>
          <t>李勇</t>
        </is>
      </c>
      <c r="K345" s="572">
        <f>LET(k,D345&amp;"|"&amp;E345&amp;"|"&amp;H345&amp;"|"&amp;I345&amp;"|"&amp;J345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45" s="546" t="n"/>
      <c r="M345" s="224" t="n"/>
      <c r="N345" s="547" t="n"/>
      <c r="O345" s="548" t="n">
        <v>621000</v>
      </c>
      <c r="P345" s="247" t="n">
        <v>0.12</v>
      </c>
      <c r="Q345" s="461">
        <f>K345*P345</f>
        <v/>
      </c>
      <c r="R345" s="557" t="n">
        <v>11703.24</v>
      </c>
      <c r="S345" s="461">
        <f>Q345-R345</f>
        <v/>
      </c>
      <c r="T345" s="235" t="n">
        <v>0.01</v>
      </c>
      <c r="U345" s="461">
        <f>K345*T345</f>
        <v/>
      </c>
      <c r="V345" s="558" t="n">
        <v>975.27</v>
      </c>
      <c r="W345" s="249">
        <f>U345-V345</f>
        <v/>
      </c>
      <c r="X345" s="235" t="n">
        <v>0</v>
      </c>
      <c r="Y345" s="461">
        <f>K345*X345</f>
        <v/>
      </c>
      <c r="Z345" s="461" t="n"/>
      <c r="AA345" s="461">
        <f>Y345-Z345</f>
        <v/>
      </c>
      <c r="AB345" s="235" t="n">
        <v>0</v>
      </c>
      <c r="AC345" s="461">
        <f>K345*AB345</f>
        <v/>
      </c>
      <c r="AD345" s="461" t="n"/>
      <c r="AE345" s="461">
        <f>AC345-AD345</f>
        <v/>
      </c>
      <c r="AF345" s="247" t="n">
        <v>0</v>
      </c>
      <c r="AG345" s="461">
        <f>K345*AF345</f>
        <v/>
      </c>
      <c r="AH345" s="461" t="n"/>
      <c r="AI345" s="461">
        <f>AG345-AH345</f>
        <v/>
      </c>
      <c r="AJ345" s="247" t="n">
        <v>0</v>
      </c>
      <c r="AK345" s="461">
        <f>K345*AJ345</f>
        <v/>
      </c>
      <c r="AL345" s="461" t="n"/>
      <c r="AM345" s="461">
        <f>AK345-AL345</f>
        <v/>
      </c>
      <c r="AN345" s="235" t="n">
        <v>0</v>
      </c>
      <c r="AO345" s="461">
        <f>K345*AN345</f>
        <v/>
      </c>
      <c r="AP345" s="461" t="n"/>
      <c r="AQ345" s="461">
        <f>AO345-AP345</f>
        <v/>
      </c>
      <c r="AR345" s="461" t="n">
        <v>0.03</v>
      </c>
      <c r="AS345" s="461">
        <f>K345*AR345</f>
        <v/>
      </c>
      <c r="AT345" s="558" t="n">
        <v>2925.81</v>
      </c>
      <c r="AU345" s="461">
        <f>AS345-AT345</f>
        <v/>
      </c>
      <c r="AV345" s="247" t="n">
        <v>0.08</v>
      </c>
      <c r="AW345" s="461">
        <f>K345*AV345</f>
        <v/>
      </c>
      <c r="AX345" s="557" t="n">
        <v>7802.16</v>
      </c>
      <c r="AY345" s="557">
        <f>AW345-AX345</f>
        <v/>
      </c>
      <c r="AZ345" s="279" t="inlineStr">
        <is>
          <t>垃圾清运500元/月</t>
        </is>
      </c>
      <c r="BA345" s="461" t="n">
        <v>500</v>
      </c>
      <c r="BB345" s="461" t="n">
        <v>500</v>
      </c>
      <c r="BC345" s="461">
        <f>BA345-BB345</f>
        <v/>
      </c>
      <c r="BD345" s="235" t="inlineStr">
        <is>
          <t>代垫税费6％</t>
        </is>
      </c>
      <c r="BE345" s="461">
        <f>K345/1.06*6%</f>
        <v/>
      </c>
      <c r="BF345" s="558" t="n">
        <v>5520.39622641509</v>
      </c>
      <c r="BG345" s="249" t="n">
        <v>0</v>
      </c>
      <c r="BH345" s="235" t="n">
        <v>0</v>
      </c>
      <c r="BI345" s="461">
        <f>K345*BH345</f>
        <v/>
      </c>
      <c r="BJ345" s="235" t="n"/>
      <c r="BK345" s="461">
        <f>BI345-BJ345</f>
        <v/>
      </c>
      <c r="BL345" s="235" t="inlineStr">
        <is>
          <t>按实结算</t>
        </is>
      </c>
      <c r="BM345" s="558" t="n">
        <v>33052.37</v>
      </c>
      <c r="BN345" s="558" t="n">
        <v>33052.37</v>
      </c>
      <c r="BO345" s="220">
        <f>BM345-BN345</f>
        <v/>
      </c>
      <c r="BP345" s="220">
        <f>N345+Q345+U345+Y345+AC345+AG345+AK345+AO345+AS345+AW345+BA345+BE345+BI345+BM345</f>
        <v/>
      </c>
      <c r="BQ345" s="220">
        <f>N345+R345+V345+Z345+AD345+AH345+AL345+AP345+AT345+AX345+BB345+BF345+BJ345+BN345</f>
        <v/>
      </c>
      <c r="BR345" s="220">
        <f>BP345-BQ345</f>
        <v/>
      </c>
      <c r="BS345" s="247" t="inlineStr">
        <is>
          <t>/</t>
        </is>
      </c>
      <c r="BT345" s="461" t="inlineStr">
        <is>
          <t>/</t>
        </is>
      </c>
      <c r="BU345" s="250" t="inlineStr">
        <is>
          <t>1、采购费：收取2%，分组作业未分摊，服务费已包含；
2、甲方管理费：收取5%，分组作业未分摊，服务费已包含</t>
        </is>
      </c>
      <c r="BV345" s="230" t="inlineStr">
        <is>
          <t xml:space="preserve">
1、签订期间：2026.1.1-2026.12.31；</t>
        </is>
      </c>
      <c r="BW345" s="534" t="n"/>
    </row>
    <row r="346" ht="36" customFormat="1" customHeight="1" s="209">
      <c r="A346" s="219" t="n">
        <v>399</v>
      </c>
      <c r="B346" s="220" t="inlineStr">
        <is>
          <t>KQCY0399</t>
        </is>
      </c>
      <c r="C346" s="221" t="inlineStr">
        <is>
          <t>餐饮六分部</t>
        </is>
      </c>
      <c r="D346" s="221" t="inlineStr">
        <is>
          <t>CF213</t>
        </is>
      </c>
      <c r="E346" s="242" t="inlineStr">
        <is>
          <t>苏州大脑营行餐厅</t>
        </is>
      </c>
      <c r="F346" s="219" t="inlineStr">
        <is>
          <t>分组作业</t>
        </is>
      </c>
      <c r="G346" s="243" t="inlineStr">
        <is>
          <t>郑虎</t>
        </is>
      </c>
      <c r="H346" s="222" t="inlineStr">
        <is>
          <t>第二班组</t>
        </is>
      </c>
      <c r="I346" s="237" t="inlineStr">
        <is>
          <t>猪脚饭（酸菜鱼、米线、鸭血粉丝）</t>
        </is>
      </c>
      <c r="J346" s="222" t="inlineStr">
        <is>
          <t>黄永利</t>
        </is>
      </c>
      <c r="K346" s="593">
        <f>LET(k,D346&amp;"|"&amp;E346&amp;"|"&amp;H346&amp;"|"&amp;I346&amp;"|"&amp;J346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46" s="546" t="n"/>
      <c r="M346" s="224" t="n"/>
      <c r="N346" s="547" t="n"/>
      <c r="O346" s="548" t="n">
        <v>610000</v>
      </c>
      <c r="P346" s="247" t="n">
        <v>0.12</v>
      </c>
      <c r="Q346" s="461">
        <f>K346*P346</f>
        <v/>
      </c>
      <c r="R346" s="557" t="n">
        <v>7496.6412</v>
      </c>
      <c r="S346" s="461">
        <f>Q346-R346</f>
        <v/>
      </c>
      <c r="T346" s="235" t="n">
        <v>0.01</v>
      </c>
      <c r="U346" s="461">
        <f>K346*T346</f>
        <v/>
      </c>
      <c r="V346" s="558" t="n">
        <v>624.7201</v>
      </c>
      <c r="W346" s="249">
        <f>U346-V346</f>
        <v/>
      </c>
      <c r="X346" s="235" t="n">
        <v>0</v>
      </c>
      <c r="Y346" s="461">
        <f>K346*X346</f>
        <v/>
      </c>
      <c r="Z346" s="461" t="n"/>
      <c r="AA346" s="461">
        <f>Y346-Z346</f>
        <v/>
      </c>
      <c r="AB346" s="235" t="n">
        <v>0</v>
      </c>
      <c r="AC346" s="461">
        <f>K346*AB346</f>
        <v/>
      </c>
      <c r="AD346" s="461" t="n"/>
      <c r="AE346" s="461">
        <f>AC346-AD346</f>
        <v/>
      </c>
      <c r="AF346" s="247" t="n">
        <v>0</v>
      </c>
      <c r="AG346" s="461">
        <f>K346*AF346</f>
        <v/>
      </c>
      <c r="AH346" s="461" t="n"/>
      <c r="AI346" s="461">
        <f>AG346-AH346</f>
        <v/>
      </c>
      <c r="AJ346" s="247" t="n">
        <v>0</v>
      </c>
      <c r="AK346" s="461">
        <f>K346*AJ346</f>
        <v/>
      </c>
      <c r="AL346" s="461" t="n"/>
      <c r="AM346" s="461">
        <f>AK346-AL346</f>
        <v/>
      </c>
      <c r="AN346" s="235" t="n">
        <v>0</v>
      </c>
      <c r="AO346" s="461">
        <f>K346*AN346</f>
        <v/>
      </c>
      <c r="AP346" s="461" t="n"/>
      <c r="AQ346" s="461">
        <f>AO346-AP346</f>
        <v/>
      </c>
      <c r="AR346" s="461" t="n">
        <v>0.03</v>
      </c>
      <c r="AS346" s="461">
        <f>K346*AR346</f>
        <v/>
      </c>
      <c r="AT346" s="558" t="n">
        <v>1874.1603</v>
      </c>
      <c r="AU346" s="461">
        <f>AS346-AT346</f>
        <v/>
      </c>
      <c r="AV346" s="247" t="n">
        <v>0.08</v>
      </c>
      <c r="AW346" s="461">
        <f>K346*AV346</f>
        <v/>
      </c>
      <c r="AX346" s="557" t="n">
        <v>4997.7608</v>
      </c>
      <c r="AY346" s="557">
        <f>AW346-AX346</f>
        <v/>
      </c>
      <c r="AZ346" s="279" t="inlineStr">
        <is>
          <t>垃圾清运500元/月</t>
        </is>
      </c>
      <c r="BA346" s="461" t="n">
        <v>500</v>
      </c>
      <c r="BB346" s="461" t="n">
        <v>500</v>
      </c>
      <c r="BC346" s="461">
        <f>BA346-BB346</f>
        <v/>
      </c>
      <c r="BD346" s="235" t="inlineStr">
        <is>
          <t>代垫税费6％</t>
        </is>
      </c>
      <c r="BE346" s="461">
        <f>K346/1.06*6%</f>
        <v/>
      </c>
      <c r="BF346" s="558" t="n">
        <v>3536.15150943396</v>
      </c>
      <c r="BG346" s="249" t="n">
        <v>0</v>
      </c>
      <c r="BH346" s="349" t="inlineStr">
        <is>
          <t>按实</t>
        </is>
      </c>
      <c r="BI346" s="461" t="n"/>
      <c r="BJ346" s="566" t="n"/>
      <c r="BK346" s="461">
        <f>BI346-BJ346</f>
        <v/>
      </c>
      <c r="BL346" s="235" t="inlineStr">
        <is>
          <t>按实结算</t>
        </is>
      </c>
      <c r="BM346" s="558" t="n">
        <v>9799.459999999999</v>
      </c>
      <c r="BN346" s="558" t="n">
        <v>9799.459999999999</v>
      </c>
      <c r="BO346" s="220">
        <f>BM346-BN346</f>
        <v/>
      </c>
      <c r="BP346" s="220">
        <f>N346+Q346+U346+Y346+AC346+AG346+AK346+AO346+AS346+AW346+BA346+BE346+BI346+BM346</f>
        <v/>
      </c>
      <c r="BQ346" s="220">
        <f>N346+R346+V346+Z346+AD346+AH346+AL346+AP346+AT346+AX346+BB346+BF346+BJ346+BN346</f>
        <v/>
      </c>
      <c r="BR346" s="220">
        <f>BP346-BQ346</f>
        <v/>
      </c>
      <c r="BS346" s="247" t="inlineStr">
        <is>
          <t>/</t>
        </is>
      </c>
      <c r="BT346" s="461" t="inlineStr">
        <is>
          <t>/</t>
        </is>
      </c>
      <c r="BU346" s="250" t="inlineStr">
        <is>
          <t>1、采购费：收取2%，分组作业未分摊，服务费已包含；
2、甲方管理费：收取5%，分组作业未分摊，服务费已包含；</t>
        </is>
      </c>
      <c r="BV346" s="230" t="inlineStr">
        <is>
          <t xml:space="preserve">
1、签订期间：2026.1.1-2026.12.31；</t>
        </is>
      </c>
      <c r="BW346" s="534" t="n"/>
    </row>
    <row r="347" ht="24" customFormat="1" customHeight="1" s="209">
      <c r="A347" s="219" t="n">
        <v>400</v>
      </c>
      <c r="B347" s="220" t="inlineStr">
        <is>
          <t>KQCY0400</t>
        </is>
      </c>
      <c r="C347" s="221" t="inlineStr">
        <is>
          <t>餐饮六分部</t>
        </is>
      </c>
      <c r="D347" s="221" t="inlineStr">
        <is>
          <t>CF213</t>
        </is>
      </c>
      <c r="E347" s="242" t="inlineStr">
        <is>
          <t>苏州大脑营行餐厅</t>
        </is>
      </c>
      <c r="F347" s="239" t="inlineStr">
        <is>
          <t>分组作业</t>
        </is>
      </c>
      <c r="G347" s="243" t="inlineStr">
        <is>
          <t>郑虎</t>
        </is>
      </c>
      <c r="H347" s="355" t="inlineStr">
        <is>
          <t>第三班组</t>
        </is>
      </c>
      <c r="I347" s="219" t="inlineStr">
        <is>
          <t>黄焖鸡、沙县小吃</t>
        </is>
      </c>
      <c r="J347" s="222" t="inlineStr">
        <is>
          <t>苏嫩仔</t>
        </is>
      </c>
      <c r="K347" s="594">
        <f>LET(k,D347&amp;"|"&amp;E347&amp;"|"&amp;H347&amp;"|"&amp;I347&amp;"|"&amp;J347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47" s="546" t="n"/>
      <c r="M347" s="224" t="n"/>
      <c r="N347" s="547" t="n"/>
      <c r="O347" s="548" t="n"/>
      <c r="P347" s="247" t="n">
        <v>0.12</v>
      </c>
      <c r="Q347" s="461">
        <f>K347*P347</f>
        <v/>
      </c>
      <c r="R347" s="557" t="n">
        <v>8980.32</v>
      </c>
      <c r="S347" s="461">
        <f>Q347-R347</f>
        <v/>
      </c>
      <c r="T347" s="235" t="n">
        <v>0</v>
      </c>
      <c r="U347" s="461">
        <f>K347*T347</f>
        <v/>
      </c>
      <c r="V347" s="558" t="n"/>
      <c r="W347" s="249">
        <f>U347-V347</f>
        <v/>
      </c>
      <c r="X347" s="235" t="n">
        <v>0</v>
      </c>
      <c r="Y347" s="461">
        <f>K347*X347</f>
        <v/>
      </c>
      <c r="Z347" s="461" t="n"/>
      <c r="AA347" s="461">
        <f>Y347-Z347</f>
        <v/>
      </c>
      <c r="AB347" s="235" t="n">
        <v>0</v>
      </c>
      <c r="AC347" s="461">
        <f>K347*AB347</f>
        <v/>
      </c>
      <c r="AD347" s="461" t="n"/>
      <c r="AE347" s="461">
        <f>AC347-AD347</f>
        <v/>
      </c>
      <c r="AF347" s="247" t="n">
        <v>0</v>
      </c>
      <c r="AG347" s="461">
        <f>K347*AF347</f>
        <v/>
      </c>
      <c r="AH347" s="461" t="n"/>
      <c r="AI347" s="461">
        <f>AG347-AH347</f>
        <v/>
      </c>
      <c r="AJ347" s="247" t="n">
        <v>0</v>
      </c>
      <c r="AK347" s="461">
        <f>K347*AJ347</f>
        <v/>
      </c>
      <c r="AL347" s="461" t="n"/>
      <c r="AM347" s="461">
        <f>AK347-AL347</f>
        <v/>
      </c>
      <c r="AN347" s="235" t="n">
        <v>0</v>
      </c>
      <c r="AO347" s="461">
        <f>K347*AN347</f>
        <v/>
      </c>
      <c r="AP347" s="461" t="n"/>
      <c r="AQ347" s="461">
        <f>AO347-AP347</f>
        <v/>
      </c>
      <c r="AR347" s="461" t="n">
        <v>0.03</v>
      </c>
      <c r="AS347" s="461">
        <f>K347*AR347</f>
        <v/>
      </c>
      <c r="AT347" s="558" t="n">
        <v>2245.08</v>
      </c>
      <c r="AU347" s="461">
        <f>AS347-AT347</f>
        <v/>
      </c>
      <c r="AV347" s="247" t="n">
        <v>0.08</v>
      </c>
      <c r="AW347" s="461">
        <f>K347*AV347</f>
        <v/>
      </c>
      <c r="AX347" s="557" t="n">
        <v>5986.88</v>
      </c>
      <c r="AY347" s="557">
        <f>AW347-AX347</f>
        <v/>
      </c>
      <c r="AZ347" s="279" t="inlineStr">
        <is>
          <t>垃圾清运500元/月</t>
        </is>
      </c>
      <c r="BA347" s="461" t="n">
        <v>500</v>
      </c>
      <c r="BB347" s="461" t="n">
        <v>500</v>
      </c>
      <c r="BC347" s="461">
        <f>BA347-BB347</f>
        <v/>
      </c>
      <c r="BD347" s="235" t="inlineStr">
        <is>
          <t>代垫税费6％</t>
        </is>
      </c>
      <c r="BE347" s="461">
        <f>K347/1.06*6%</f>
        <v/>
      </c>
      <c r="BF347" s="558" t="n">
        <v>4236</v>
      </c>
      <c r="BG347" s="249" t="n">
        <v>0</v>
      </c>
      <c r="BH347" s="235" t="n">
        <v>0.01</v>
      </c>
      <c r="BI347" s="461" t="n">
        <v>3000</v>
      </c>
      <c r="BJ347" s="357" t="n">
        <v>3000</v>
      </c>
      <c r="BK347" s="461">
        <f>BI347-BJ347</f>
        <v/>
      </c>
      <c r="BL347" s="235" t="inlineStr">
        <is>
          <t>按实结算</t>
        </is>
      </c>
      <c r="BM347" s="595" t="n">
        <v>23427.99</v>
      </c>
      <c r="BN347" s="595" t="n">
        <v>23427.99</v>
      </c>
      <c r="BO347" s="220">
        <f>BM347-BN347</f>
        <v/>
      </c>
      <c r="BP347" s="220">
        <f>N347+Q347+U347+Y347+AC347+AG347+AK347+AO347+AS347+AW347+BA347+BE347+BI347+BM347</f>
        <v/>
      </c>
      <c r="BQ347" s="220">
        <f>N347+R347+V347+Z347+AD347+AH347+AL347+AP347+AT347+AX347+BB347+BF347+BJ347+BN347</f>
        <v/>
      </c>
      <c r="BR347" s="220">
        <f>BP347-BQ347</f>
        <v/>
      </c>
      <c r="BS347" s="247" t="n"/>
      <c r="BT347" s="461" t="n"/>
      <c r="BU347" s="250" t="n"/>
      <c r="BV347" s="230" t="n"/>
      <c r="BW347" s="534" t="n"/>
    </row>
    <row r="348" ht="48" customFormat="1" customHeight="1" s="209">
      <c r="A348" s="219" t="n">
        <v>402</v>
      </c>
      <c r="B348" s="220" t="inlineStr">
        <is>
          <t>KQCY0402</t>
        </is>
      </c>
      <c r="C348" s="221" t="inlineStr">
        <is>
          <t>餐饮六分部</t>
        </is>
      </c>
      <c r="D348" s="221" t="inlineStr">
        <is>
          <t>CF275</t>
        </is>
      </c>
      <c r="E348" s="242" t="inlineStr">
        <is>
          <t>南大苏州校区西区二食堂</t>
        </is>
      </c>
      <c r="F348" s="219" t="inlineStr">
        <is>
          <t>分组作业</t>
        </is>
      </c>
      <c r="G348" s="243" t="inlineStr">
        <is>
          <t>郑虎</t>
        </is>
      </c>
      <c r="H348" s="222" t="inlineStr">
        <is>
          <t>第一班组</t>
        </is>
      </c>
      <c r="I348" s="237" t="inlineStr">
        <is>
          <t>自选</t>
        </is>
      </c>
      <c r="J348" s="222" t="inlineStr">
        <is>
          <t>刘岩艳</t>
        </is>
      </c>
      <c r="K348" s="545">
        <f>LET(k,D348&amp;"|"&amp;E348&amp;"|"&amp;H348&amp;"|"&amp;I348&amp;"|"&amp;J348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48" s="546" t="n"/>
      <c r="M348" s="224" t="n"/>
      <c r="N348" s="359" t="n">
        <v>13321.63</v>
      </c>
      <c r="O348" s="548" t="n">
        <v>800000</v>
      </c>
      <c r="P348" s="247" t="n">
        <v>0.19</v>
      </c>
      <c r="Q348" s="461">
        <f>K348*P348</f>
        <v/>
      </c>
      <c r="R348" s="367" t="n">
        <v>19131.8543</v>
      </c>
      <c r="S348" s="461">
        <f>Q348-R348</f>
        <v/>
      </c>
      <c r="T348" s="235" t="n">
        <v>0</v>
      </c>
      <c r="U348" s="461">
        <f>K348*T348</f>
        <v/>
      </c>
      <c r="V348" s="461" t="n"/>
      <c r="W348" s="461">
        <f>U348-V348</f>
        <v/>
      </c>
      <c r="X348" s="247" t="n">
        <v>0</v>
      </c>
      <c r="Y348" s="461">
        <f>K348*X348</f>
        <v/>
      </c>
      <c r="Z348" s="554" t="n"/>
      <c r="AA348" s="461">
        <f>Y348-Z348</f>
        <v/>
      </c>
      <c r="AB348" s="551" t="n">
        <v>0</v>
      </c>
      <c r="AC348" s="461">
        <f>K348*AB348</f>
        <v/>
      </c>
      <c r="AD348" s="551" t="n"/>
      <c r="AE348" s="461">
        <f>AC348-AD348</f>
        <v/>
      </c>
      <c r="AF348" s="247" t="n">
        <v>0</v>
      </c>
      <c r="AG348" s="461">
        <f>K348*AF348</f>
        <v/>
      </c>
      <c r="AH348" s="551" t="n"/>
      <c r="AI348" s="461">
        <f>AG348-AH348</f>
        <v/>
      </c>
      <c r="AJ348" s="247" t="n">
        <v>0</v>
      </c>
      <c r="AK348" s="461">
        <f>K348*AJ348</f>
        <v/>
      </c>
      <c r="AL348" s="551" t="n"/>
      <c r="AM348" s="461">
        <f>AK348-AL348</f>
        <v/>
      </c>
      <c r="AN348" s="235" t="n">
        <v>0</v>
      </c>
      <c r="AO348" s="461">
        <f>K348*AN348</f>
        <v/>
      </c>
      <c r="AP348" s="551" t="n"/>
      <c r="AQ348" s="461">
        <f>AO348-AP348</f>
        <v/>
      </c>
      <c r="AR348" s="461" t="n">
        <v>0.03</v>
      </c>
      <c r="AS348" s="461">
        <f>K348*AR348</f>
        <v/>
      </c>
      <c r="AT348" s="359" t="n">
        <v>3020.8191</v>
      </c>
      <c r="AU348" s="461">
        <f>AS348-AT348</f>
        <v/>
      </c>
      <c r="AV348" s="284" t="n">
        <v>0</v>
      </c>
      <c r="AW348" s="461">
        <f>K348*AV348</f>
        <v/>
      </c>
      <c r="AX348" s="461" t="n"/>
      <c r="AY348" s="461">
        <f>AW348-AX348</f>
        <v/>
      </c>
      <c r="AZ348" s="551" t="inlineStr">
        <is>
          <t>按实结算</t>
        </is>
      </c>
      <c r="BA348" s="558" t="n">
        <v>1250</v>
      </c>
      <c r="BB348" s="554">
        <f>BA348</f>
        <v/>
      </c>
      <c r="BC348" s="461">
        <f>BA348-BB348</f>
        <v/>
      </c>
      <c r="BD348" s="235" t="inlineStr">
        <is>
          <t>餐具折旧费500元/月，1、2、7、8月份按实际运营天数结算</t>
        </is>
      </c>
      <c r="BE348" s="461" t="n">
        <v>500</v>
      </c>
      <c r="BF348" s="558" t="n">
        <v>500</v>
      </c>
      <c r="BG348" s="461">
        <f>BE348-BF348</f>
        <v/>
      </c>
      <c r="BH348" s="235" t="n">
        <v>0</v>
      </c>
      <c r="BI348" s="461">
        <f>K348*BH348</f>
        <v/>
      </c>
      <c r="BJ348" s="558" t="n"/>
      <c r="BK348" s="461">
        <f>BI348-BJ348</f>
        <v/>
      </c>
      <c r="BL348" s="235" t="inlineStr">
        <is>
          <t>按实结算</t>
        </is>
      </c>
      <c r="BM348" s="220">
        <f>BN348</f>
        <v/>
      </c>
      <c r="BN348" s="361" t="n">
        <v>14463.59</v>
      </c>
      <c r="BO348" s="220">
        <f>BM348-BN348</f>
        <v/>
      </c>
      <c r="BP348" s="220">
        <f>N348+Q348+U348+Y348+AC348+AG348+AK348+AO348+AS348+AW348+BA348+BE348+BI348+BM348</f>
        <v/>
      </c>
      <c r="BQ348" s="220">
        <f>N348+R348+V348+Z348+AD348+AH348+AL348+AP348+AT348+AX348+BB348+BF348+BJ348+BN348</f>
        <v/>
      </c>
      <c r="BR348" s="220">
        <f>BP348-BQ348</f>
        <v/>
      </c>
      <c r="BS348" s="247" t="inlineStr">
        <is>
          <t>/</t>
        </is>
      </c>
      <c r="BT348" s="461" t="inlineStr">
        <is>
          <t>/</t>
        </is>
      </c>
      <c r="BU348" s="230" t="inlineStr">
        <is>
          <t xml:space="preserve">1、采购费：按采购额比例5%收取，分组作业应分摊未分摊，已补分摊，采购费比例应做相应调整；                             2、服务费，分组作业应分摊未分摊，已补分摊，服务费比例应做相应调整；            </t>
        </is>
      </c>
      <c r="BV348" s="230" t="inlineStr">
        <is>
          <t xml:space="preserve">
1、签订期间：2026.1.1-2026.7.31；
2、指标按照全年换算；</t>
        </is>
      </c>
      <c r="BW348" s="534" t="n"/>
    </row>
    <row r="349" ht="48" customFormat="1" customHeight="1" s="209">
      <c r="A349" s="219" t="n">
        <v>403</v>
      </c>
      <c r="B349" s="220" t="inlineStr">
        <is>
          <t>KQCY0403</t>
        </is>
      </c>
      <c r="C349" s="221" t="inlineStr">
        <is>
          <t>餐饮六分部</t>
        </is>
      </c>
      <c r="D349" s="221" t="inlineStr">
        <is>
          <t>CF275</t>
        </is>
      </c>
      <c r="E349" s="242" t="inlineStr">
        <is>
          <t>南大苏州校区西区二食堂</t>
        </is>
      </c>
      <c r="F349" s="219" t="inlineStr">
        <is>
          <t>分组作业</t>
        </is>
      </c>
      <c r="G349" s="243" t="inlineStr">
        <is>
          <t>郑虎</t>
        </is>
      </c>
      <c r="H349" s="222" t="inlineStr">
        <is>
          <t>第二班组</t>
        </is>
      </c>
      <c r="I349" s="237" t="inlineStr">
        <is>
          <t>特色</t>
        </is>
      </c>
      <c r="J349" s="222" t="inlineStr">
        <is>
          <t>朱传兴</t>
        </is>
      </c>
      <c r="K349" s="545">
        <f>LET(k,D349&amp;"|"&amp;E349&amp;"|"&amp;H349&amp;"|"&amp;I349&amp;"|"&amp;J349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49" s="546" t="n"/>
      <c r="M349" s="224" t="n"/>
      <c r="N349" s="362" t="n">
        <v>18961.63</v>
      </c>
      <c r="O349" s="548" t="n">
        <v>640000</v>
      </c>
      <c r="P349" s="247" t="n">
        <v>0.19</v>
      </c>
      <c r="Q349" s="461">
        <f>K349*P349</f>
        <v/>
      </c>
      <c r="R349" s="367" t="n">
        <v>30168.3862</v>
      </c>
      <c r="S349" s="461">
        <f>Q349-R349</f>
        <v/>
      </c>
      <c r="T349" s="235" t="n">
        <v>0</v>
      </c>
      <c r="U349" s="461">
        <f>K349*T349</f>
        <v/>
      </c>
      <c r="V349" s="461" t="n"/>
      <c r="W349" s="461">
        <f>U349-V349</f>
        <v/>
      </c>
      <c r="X349" s="247" t="n">
        <v>0</v>
      </c>
      <c r="Y349" s="461">
        <f>K349*X349</f>
        <v/>
      </c>
      <c r="Z349" s="554" t="n"/>
      <c r="AA349" s="461">
        <f>Y349-Z349</f>
        <v/>
      </c>
      <c r="AB349" s="551" t="n">
        <v>0</v>
      </c>
      <c r="AC349" s="461">
        <f>K349*AB349</f>
        <v/>
      </c>
      <c r="AD349" s="551" t="n"/>
      <c r="AE349" s="461">
        <f>AC349-AD349</f>
        <v/>
      </c>
      <c r="AF349" s="247" t="n">
        <v>0</v>
      </c>
      <c r="AG349" s="461">
        <f>K349*AF349</f>
        <v/>
      </c>
      <c r="AH349" s="551" t="n"/>
      <c r="AI349" s="461">
        <f>AG349-AH349</f>
        <v/>
      </c>
      <c r="AJ349" s="247" t="n">
        <v>0</v>
      </c>
      <c r="AK349" s="461">
        <f>K349*AJ349</f>
        <v/>
      </c>
      <c r="AL349" s="551" t="n"/>
      <c r="AM349" s="461">
        <f>AK349-AL349</f>
        <v/>
      </c>
      <c r="AN349" s="235" t="n">
        <v>0</v>
      </c>
      <c r="AO349" s="461">
        <f>K349*AN349</f>
        <v/>
      </c>
      <c r="AP349" s="551" t="n"/>
      <c r="AQ349" s="461">
        <f>AO349-AP349</f>
        <v/>
      </c>
      <c r="AR349" s="461" t="n">
        <v>0.03</v>
      </c>
      <c r="AS349" s="461">
        <f>K349*AR349</f>
        <v/>
      </c>
      <c r="AT349" s="359" t="n">
        <v>4763.4294</v>
      </c>
      <c r="AU349" s="461">
        <f>AS349-AT349</f>
        <v/>
      </c>
      <c r="AV349" s="284" t="n">
        <v>0</v>
      </c>
      <c r="AW349" s="461">
        <f>K349*AV349</f>
        <v/>
      </c>
      <c r="AX349" s="461" t="n"/>
      <c r="AY349" s="461">
        <f>AW349-AX349</f>
        <v/>
      </c>
      <c r="AZ349" s="551" t="inlineStr">
        <is>
          <t>按实结算</t>
        </is>
      </c>
      <c r="BA349" s="558" t="n">
        <v>250</v>
      </c>
      <c r="BB349" s="554">
        <f>BA349</f>
        <v/>
      </c>
      <c r="BC349" s="461">
        <f>BA349-BB349</f>
        <v/>
      </c>
      <c r="BD349" s="235" t="inlineStr">
        <is>
          <t>餐具折旧费500元/月，1、2、7、8月份按实际运营天数结算</t>
        </is>
      </c>
      <c r="BE349" s="461" t="n">
        <v>500</v>
      </c>
      <c r="BF349" s="596" t="n">
        <v>500</v>
      </c>
      <c r="BG349" s="461">
        <f>BE349-BF349</f>
        <v/>
      </c>
      <c r="BH349" s="235" t="n">
        <v>0</v>
      </c>
      <c r="BI349" s="461">
        <f>K349*BH349</f>
        <v/>
      </c>
      <c r="BJ349" s="558" t="n"/>
      <c r="BK349" s="461">
        <f>BI349-BJ349</f>
        <v/>
      </c>
      <c r="BL349" s="235" t="inlineStr">
        <is>
          <t>按实结算</t>
        </is>
      </c>
      <c r="BM349" s="220">
        <f>BN349</f>
        <v/>
      </c>
      <c r="BN349" s="361" t="n">
        <v>54696.1</v>
      </c>
      <c r="BO349" s="220">
        <f>BM349-BN349</f>
        <v/>
      </c>
      <c r="BP349" s="220">
        <f>N349+Q349+U349+Y349+AC349+AG349+AK349+AO349+AS349+AW349+BA349+BE349+BI349+BM349</f>
        <v/>
      </c>
      <c r="BQ349" s="220">
        <f>N349+R349+V349+Z349+AD349+AH349+AL349+AP349+AT349+AX349+BB349+BF349+BJ349+BN349</f>
        <v/>
      </c>
      <c r="BR349" s="220">
        <f>BP349-BQ349</f>
        <v/>
      </c>
      <c r="BS349" s="247" t="inlineStr">
        <is>
          <t>/</t>
        </is>
      </c>
      <c r="BT349" s="461" t="inlineStr">
        <is>
          <t>/</t>
        </is>
      </c>
      <c r="BU349" s="230" t="inlineStr">
        <is>
          <t>1、采购费：按采购额比例5%收取，分组作业应分摊未分摊，已补分摊，采购费比例应做相应调整；                             2、服务费，分组作业应分摊未分摊，已补分摊，服务费比例应做相应调整；</t>
        </is>
      </c>
      <c r="BV349" s="230" t="inlineStr">
        <is>
          <t xml:space="preserve">
1、签订期间：2026.1.1-2026.7.31；
2、指标按照全年换算；</t>
        </is>
      </c>
      <c r="BW349" s="534" t="n"/>
    </row>
    <row r="350" ht="48" customFormat="1" customHeight="1" s="209">
      <c r="A350" s="219" t="n">
        <v>404</v>
      </c>
      <c r="B350" s="220" t="inlineStr">
        <is>
          <t>KQCY0404</t>
        </is>
      </c>
      <c r="C350" s="221" t="inlineStr">
        <is>
          <t>餐饮六分部</t>
        </is>
      </c>
      <c r="D350" s="221" t="inlineStr">
        <is>
          <t>CF275</t>
        </is>
      </c>
      <c r="E350" s="242" t="inlineStr">
        <is>
          <t>南大苏州校区西区二食堂</t>
        </is>
      </c>
      <c r="F350" s="219" t="inlineStr">
        <is>
          <t>分组作业</t>
        </is>
      </c>
      <c r="G350" s="243" t="inlineStr">
        <is>
          <t>郑虎</t>
        </is>
      </c>
      <c r="H350" s="222" t="inlineStr">
        <is>
          <t>第三班组</t>
        </is>
      </c>
      <c r="I350" s="237" t="inlineStr">
        <is>
          <t>早餐</t>
        </is>
      </c>
      <c r="J350" s="222" t="inlineStr">
        <is>
          <t>李嵩</t>
        </is>
      </c>
      <c r="K350" s="545">
        <f>LET(k,D350&amp;"|"&amp;E350&amp;"|"&amp;H350&amp;"|"&amp;I350&amp;"|"&amp;J350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50" s="546" t="n"/>
      <c r="M350" s="224" t="n"/>
      <c r="N350" s="359" t="n"/>
      <c r="O350" s="548" t="n">
        <v>160000</v>
      </c>
      <c r="P350" s="247" t="n">
        <v>0.19</v>
      </c>
      <c r="Q350" s="461">
        <f>K350*P350</f>
        <v/>
      </c>
      <c r="R350" s="367" t="n">
        <v>5607.8937</v>
      </c>
      <c r="S350" s="461">
        <f>Q350-R350</f>
        <v/>
      </c>
      <c r="T350" s="235" t="n">
        <v>0</v>
      </c>
      <c r="U350" s="461">
        <f>K350*T350</f>
        <v/>
      </c>
      <c r="V350" s="461" t="n"/>
      <c r="W350" s="461">
        <f>U350-V350</f>
        <v/>
      </c>
      <c r="X350" s="247" t="n">
        <v>0</v>
      </c>
      <c r="Y350" s="461">
        <f>K350*X350</f>
        <v/>
      </c>
      <c r="Z350" s="554" t="n"/>
      <c r="AA350" s="461">
        <f>Y350-Z350</f>
        <v/>
      </c>
      <c r="AB350" s="551" t="n">
        <v>0</v>
      </c>
      <c r="AC350" s="461">
        <f>K350*AB350</f>
        <v/>
      </c>
      <c r="AD350" s="551" t="n"/>
      <c r="AE350" s="461">
        <f>AC350-AD350</f>
        <v/>
      </c>
      <c r="AF350" s="247" t="n">
        <v>0</v>
      </c>
      <c r="AG350" s="461">
        <f>K350*AF350</f>
        <v/>
      </c>
      <c r="AH350" s="551" t="n"/>
      <c r="AI350" s="461">
        <f>AG350-AH350</f>
        <v/>
      </c>
      <c r="AJ350" s="247" t="n">
        <v>0</v>
      </c>
      <c r="AK350" s="461">
        <f>K350*AJ350</f>
        <v/>
      </c>
      <c r="AL350" s="551" t="n"/>
      <c r="AM350" s="461">
        <f>AK350-AL350</f>
        <v/>
      </c>
      <c r="AN350" s="235" t="n">
        <v>0</v>
      </c>
      <c r="AO350" s="461">
        <f>K350*AN350</f>
        <v/>
      </c>
      <c r="AP350" s="551" t="n"/>
      <c r="AQ350" s="461">
        <f>AO350-AP350</f>
        <v/>
      </c>
      <c r="AR350" s="461" t="n">
        <v>0.03</v>
      </c>
      <c r="AS350" s="461">
        <f>K350*AR350</f>
        <v/>
      </c>
      <c r="AT350" s="359" t="n">
        <v>885.4569</v>
      </c>
      <c r="AU350" s="461">
        <f>AS350-AT350</f>
        <v/>
      </c>
      <c r="AV350" s="284" t="n">
        <v>0</v>
      </c>
      <c r="AW350" s="461">
        <f>K350*AV350</f>
        <v/>
      </c>
      <c r="AX350" s="461" t="n"/>
      <c r="AY350" s="461">
        <f>AW350-AX350</f>
        <v/>
      </c>
      <c r="AZ350" s="551" t="inlineStr">
        <is>
          <t>按实结算</t>
        </is>
      </c>
      <c r="BA350" s="558" t="n"/>
      <c r="BB350" s="554">
        <f>BA350</f>
        <v/>
      </c>
      <c r="BC350" s="461">
        <f>BA350-BB350</f>
        <v/>
      </c>
      <c r="BD350" s="235" t="inlineStr">
        <is>
          <t>餐具折旧费500元/月，1、2、7、8月份按实际运营天数结算</t>
        </is>
      </c>
      <c r="BE350" s="461" t="n">
        <v>500</v>
      </c>
      <c r="BF350" s="596" t="n">
        <v>500</v>
      </c>
      <c r="BG350" s="461">
        <f>BE350-BF350</f>
        <v/>
      </c>
      <c r="BH350" s="235" t="n">
        <v>0</v>
      </c>
      <c r="BI350" s="461">
        <f>K350*BH350</f>
        <v/>
      </c>
      <c r="BJ350" s="558" t="n"/>
      <c r="BK350" s="461">
        <f>BI350-BJ350</f>
        <v/>
      </c>
      <c r="BL350" s="235" t="inlineStr">
        <is>
          <t>按实结算</t>
        </is>
      </c>
      <c r="BM350" s="220">
        <f>BN350</f>
        <v/>
      </c>
      <c r="BN350" s="361" t="n">
        <v>6717.1</v>
      </c>
      <c r="BO350" s="220">
        <f>BM350-BN350</f>
        <v/>
      </c>
      <c r="BP350" s="220">
        <f>N350+Q350+U350+Y350+AC350+AG350+AK350+AO350+AS350+AW350+BA350+BE350+BI350+BM350</f>
        <v/>
      </c>
      <c r="BQ350" s="220">
        <f>N350+R350+V350+Z350+AD350+AH350+AL350+AP350+AT350+AX350+BB350+BF350+BJ350+BN350</f>
        <v/>
      </c>
      <c r="BR350" s="220">
        <f>BP350-BQ350</f>
        <v/>
      </c>
      <c r="BS350" s="247" t="inlineStr">
        <is>
          <t>/</t>
        </is>
      </c>
      <c r="BT350" s="461" t="inlineStr">
        <is>
          <t>/</t>
        </is>
      </c>
      <c r="BU350" s="230" t="inlineStr">
        <is>
          <t xml:space="preserve">1、采购费：按采购额比例5%收取，分组作业应分摊未分摊，已补分摊，采购费比例应做相应调整；                             2、服务费，分组作业应分摊未分摊，已补分摊，服务费比例应做相应调整；            </t>
        </is>
      </c>
      <c r="BV350" s="230" t="inlineStr">
        <is>
          <t xml:space="preserve">
1、签订期间：2026.1.1-2026.7.31；
2、指标按照全年换算；</t>
        </is>
      </c>
      <c r="BW350" s="534" t="n"/>
    </row>
    <row r="351" ht="48" customFormat="1" customHeight="1" s="209">
      <c r="A351" s="219" t="n">
        <v>405</v>
      </c>
      <c r="B351" s="220" t="inlineStr">
        <is>
          <t>KQCY0405</t>
        </is>
      </c>
      <c r="C351" s="221" t="inlineStr">
        <is>
          <t>餐饮六分部</t>
        </is>
      </c>
      <c r="D351" s="221" t="inlineStr">
        <is>
          <t>CF275</t>
        </is>
      </c>
      <c r="E351" s="242" t="inlineStr">
        <is>
          <t>南大苏州校区西区二食堂</t>
        </is>
      </c>
      <c r="F351" s="219" t="inlineStr">
        <is>
          <t>分组作业</t>
        </is>
      </c>
      <c r="G351" s="243" t="inlineStr">
        <is>
          <t>郑虎</t>
        </is>
      </c>
      <c r="H351" s="222" t="inlineStr">
        <is>
          <t>第四班组</t>
        </is>
      </c>
      <c r="I351" s="237" t="inlineStr">
        <is>
          <t>民族风味</t>
        </is>
      </c>
      <c r="J351" s="220" t="inlineStr">
        <is>
          <t>马素女</t>
        </is>
      </c>
      <c r="K351" s="545">
        <f>LET(k,D351&amp;"|"&amp;E351&amp;"|"&amp;H351&amp;"|"&amp;I351&amp;"|"&amp;J351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51" s="546" t="n"/>
      <c r="M351" s="224" t="n"/>
      <c r="N351" s="359" t="n">
        <v>3302.63</v>
      </c>
      <c r="O351" s="548" t="n">
        <v>240000</v>
      </c>
      <c r="P351" s="247" t="n">
        <v>0.17</v>
      </c>
      <c r="Q351" s="461">
        <f>K351*P351</f>
        <v/>
      </c>
      <c r="R351" s="367" t="n">
        <v>4461.4375</v>
      </c>
      <c r="S351" s="461">
        <f>Q351-R351</f>
        <v/>
      </c>
      <c r="T351" s="235" t="n">
        <v>0</v>
      </c>
      <c r="U351" s="461">
        <f>K351*T351</f>
        <v/>
      </c>
      <c r="V351" s="461" t="n"/>
      <c r="W351" s="461">
        <f>U351-V351</f>
        <v/>
      </c>
      <c r="X351" s="247" t="n">
        <v>0</v>
      </c>
      <c r="Y351" s="461">
        <f>K351*X351</f>
        <v/>
      </c>
      <c r="Z351" s="554" t="n"/>
      <c r="AA351" s="461">
        <f>Y351-Z351</f>
        <v/>
      </c>
      <c r="AB351" s="551" t="n">
        <v>0</v>
      </c>
      <c r="AC351" s="461">
        <f>K351*AB351</f>
        <v/>
      </c>
      <c r="AD351" s="551" t="n"/>
      <c r="AE351" s="461">
        <f>AC351-AD351</f>
        <v/>
      </c>
      <c r="AF351" s="247" t="n">
        <v>0</v>
      </c>
      <c r="AG351" s="461">
        <f>K351*AF351</f>
        <v/>
      </c>
      <c r="AH351" s="551" t="n"/>
      <c r="AI351" s="461">
        <f>AG351-AH351</f>
        <v/>
      </c>
      <c r="AJ351" s="247" t="n">
        <v>0</v>
      </c>
      <c r="AK351" s="461">
        <f>K351*AJ351</f>
        <v/>
      </c>
      <c r="AL351" s="551" t="n"/>
      <c r="AM351" s="461">
        <f>AK351-AL351</f>
        <v/>
      </c>
      <c r="AN351" s="235" t="n">
        <v>0</v>
      </c>
      <c r="AO351" s="461">
        <f>K351*AN351</f>
        <v/>
      </c>
      <c r="AP351" s="551" t="n"/>
      <c r="AQ351" s="461">
        <f>AO351-AP351</f>
        <v/>
      </c>
      <c r="AR351" s="461" t="n">
        <v>0.03</v>
      </c>
      <c r="AS351" s="461">
        <f>K351*AR351</f>
        <v/>
      </c>
      <c r="AT351" s="359" t="n">
        <v>787.3125</v>
      </c>
      <c r="AU351" s="461">
        <f>AS351-AT351</f>
        <v/>
      </c>
      <c r="AV351" s="284" t="n">
        <v>0</v>
      </c>
      <c r="AW351" s="461">
        <f>K351*AV351</f>
        <v/>
      </c>
      <c r="AX351" s="461" t="n"/>
      <c r="AY351" s="461">
        <f>AW351-AX351</f>
        <v/>
      </c>
      <c r="AZ351" s="551" t="inlineStr">
        <is>
          <t>按实结算</t>
        </is>
      </c>
      <c r="BA351" s="558" t="n"/>
      <c r="BB351" s="554">
        <f>BA351</f>
        <v/>
      </c>
      <c r="BC351" s="461">
        <f>BA351-BB351</f>
        <v/>
      </c>
      <c r="BD351" s="235" t="inlineStr">
        <is>
          <t>餐具折旧费1000元/月，1、2、7、8月份按实际运营天数结算</t>
        </is>
      </c>
      <c r="BE351" s="461" t="n">
        <v>1000</v>
      </c>
      <c r="BF351" s="596" t="n">
        <v>1000</v>
      </c>
      <c r="BG351" s="461">
        <f>BE351-BF351</f>
        <v/>
      </c>
      <c r="BH351" s="235" t="n">
        <v>0</v>
      </c>
      <c r="BI351" s="461">
        <f>K351*BH351</f>
        <v/>
      </c>
      <c r="BJ351" s="558" t="n"/>
      <c r="BK351" s="461">
        <f>BI351-BJ351</f>
        <v/>
      </c>
      <c r="BL351" s="235" t="inlineStr">
        <is>
          <t>按实结算</t>
        </is>
      </c>
      <c r="BM351" s="220">
        <f>BN351</f>
        <v/>
      </c>
      <c r="BN351" s="361" t="n">
        <v>5229.15</v>
      </c>
      <c r="BO351" s="220">
        <f>BM351-BN351</f>
        <v/>
      </c>
      <c r="BP351" s="220">
        <f>N351+Q351+U351+Y351+AC351+AG351+AK351+AO351+AS351+AW351+BA351+BE351+BI351+BM351</f>
        <v/>
      </c>
      <c r="BQ351" s="220">
        <f>N351+R351+V351+Z351+AD351+AH351+AL351+AP351+AT351+AX351+BB351+BF351+BJ351+BN351</f>
        <v/>
      </c>
      <c r="BR351" s="220">
        <f>BP351-BQ351</f>
        <v/>
      </c>
      <c r="BS351" s="247" t="inlineStr">
        <is>
          <t>/</t>
        </is>
      </c>
      <c r="BT351" s="461" t="inlineStr">
        <is>
          <t>/</t>
        </is>
      </c>
      <c r="BU351" s="230" t="inlineStr">
        <is>
          <t>1、采购费：按采购额比例5%收取，分组作业应分摊未分摊，已补分摊，采购费比例应做相应调整；                             2、服务费，分组作业应分摊未分摊，已补分摊，服务费比例应做相应调整；            3、原材料：据实收取</t>
        </is>
      </c>
      <c r="BV351" s="230" t="inlineStr">
        <is>
          <t xml:space="preserve">
1、签订期间：2026.1.1-2026.7.31；
2、指标按照全年换算；</t>
        </is>
      </c>
      <c r="BW351" s="534" t="n"/>
    </row>
    <row r="352" ht="48" customFormat="1" customHeight="1" s="209">
      <c r="A352" s="219" t="n">
        <v>406</v>
      </c>
      <c r="B352" s="220" t="inlineStr">
        <is>
          <t>KQCY0406</t>
        </is>
      </c>
      <c r="C352" s="221" t="inlineStr">
        <is>
          <t>餐饮六分部</t>
        </is>
      </c>
      <c r="D352" s="221" t="inlineStr">
        <is>
          <t>CF275</t>
        </is>
      </c>
      <c r="E352" s="242" t="inlineStr">
        <is>
          <t>南大苏州校区西区二食堂</t>
        </is>
      </c>
      <c r="F352" s="219" t="inlineStr">
        <is>
          <t>分组作业</t>
        </is>
      </c>
      <c r="G352" s="243" t="inlineStr">
        <is>
          <t>郑虎</t>
        </is>
      </c>
      <c r="H352" s="222" t="inlineStr">
        <is>
          <t>第五班组</t>
        </is>
      </c>
      <c r="I352" s="237" t="inlineStr">
        <is>
          <t>卤肉饭</t>
        </is>
      </c>
      <c r="J352" s="222" t="inlineStr">
        <is>
          <t>周文琳</t>
        </is>
      </c>
      <c r="K352" s="545">
        <f>LET(k,D352&amp;"|"&amp;E352&amp;"|"&amp;H352&amp;"|"&amp;I352&amp;"|"&amp;J352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52" s="546" t="n"/>
      <c r="M352" s="224" t="n"/>
      <c r="N352" s="359" t="n">
        <v>3216.63</v>
      </c>
      <c r="O352" s="548" t="n">
        <v>320000</v>
      </c>
      <c r="P352" s="247" t="n">
        <v>0.23</v>
      </c>
      <c r="Q352" s="461">
        <f>K352*P352</f>
        <v/>
      </c>
      <c r="R352" s="367" t="n">
        <v>7222.5037</v>
      </c>
      <c r="S352" s="461">
        <f>Q352-R352</f>
        <v/>
      </c>
      <c r="T352" s="235" t="n">
        <v>0</v>
      </c>
      <c r="U352" s="461">
        <f>K352*T352</f>
        <v/>
      </c>
      <c r="V352" s="461" t="n"/>
      <c r="W352" s="461">
        <f>U352-V352</f>
        <v/>
      </c>
      <c r="X352" s="247" t="n">
        <v>0</v>
      </c>
      <c r="Y352" s="461">
        <f>K352*X352</f>
        <v/>
      </c>
      <c r="Z352" s="554" t="n"/>
      <c r="AA352" s="461">
        <f>Y352-Z352</f>
        <v/>
      </c>
      <c r="AB352" s="551" t="n">
        <v>0</v>
      </c>
      <c r="AC352" s="461">
        <f>K352*AB352</f>
        <v/>
      </c>
      <c r="AD352" s="551" t="n"/>
      <c r="AE352" s="461">
        <f>AC352-AD352</f>
        <v/>
      </c>
      <c r="AF352" s="247" t="n">
        <v>0</v>
      </c>
      <c r="AG352" s="461">
        <f>K352*AF352</f>
        <v/>
      </c>
      <c r="AH352" s="551" t="n"/>
      <c r="AI352" s="461">
        <f>AG352-AH352</f>
        <v/>
      </c>
      <c r="AJ352" s="247" t="n">
        <v>0</v>
      </c>
      <c r="AK352" s="461">
        <f>K352*AJ352</f>
        <v/>
      </c>
      <c r="AL352" s="551" t="n"/>
      <c r="AM352" s="461">
        <f>AK352-AL352</f>
        <v/>
      </c>
      <c r="AN352" s="235" t="n">
        <v>0</v>
      </c>
      <c r="AO352" s="461">
        <f>K352*AN352</f>
        <v/>
      </c>
      <c r="AP352" s="551" t="n"/>
      <c r="AQ352" s="461">
        <f>AO352-AP352</f>
        <v/>
      </c>
      <c r="AR352" s="461" t="n">
        <v>0.03</v>
      </c>
      <c r="AS352" s="461">
        <f>K352*AR352</f>
        <v/>
      </c>
      <c r="AT352" s="359" t="n">
        <v>942.0657</v>
      </c>
      <c r="AU352" s="461">
        <f>AS352-AT352</f>
        <v/>
      </c>
      <c r="AV352" s="284" t="n">
        <v>0</v>
      </c>
      <c r="AW352" s="461">
        <f>K352*AV352</f>
        <v/>
      </c>
      <c r="AX352" s="461" t="n"/>
      <c r="AY352" s="461">
        <f>AW352-AX352</f>
        <v/>
      </c>
      <c r="AZ352" s="551" t="inlineStr">
        <is>
          <t>按实结算</t>
        </is>
      </c>
      <c r="BA352" s="558" t="n"/>
      <c r="BB352" s="554">
        <f>BA352</f>
        <v/>
      </c>
      <c r="BC352" s="461">
        <f>BA352-BB352</f>
        <v/>
      </c>
      <c r="BD352" s="235" t="inlineStr">
        <is>
          <t>餐具折旧费1000元/月，1、2、7、8月份按实际运营天数结算</t>
        </is>
      </c>
      <c r="BE352" s="461" t="n">
        <v>1000</v>
      </c>
      <c r="BF352" s="596" t="n">
        <v>1000</v>
      </c>
      <c r="BG352" s="461">
        <f>BE352-BF352</f>
        <v/>
      </c>
      <c r="BH352" s="235" t="n">
        <v>0</v>
      </c>
      <c r="BI352" s="461">
        <f>K352*BH352</f>
        <v/>
      </c>
      <c r="BJ352" s="558" t="n"/>
      <c r="BK352" s="461">
        <f>BI352-BJ352</f>
        <v/>
      </c>
      <c r="BL352" s="235" t="inlineStr">
        <is>
          <t>按实结算</t>
        </is>
      </c>
      <c r="BM352" s="220">
        <f>BN352</f>
        <v/>
      </c>
      <c r="BN352" s="361" t="n">
        <v>3108.39</v>
      </c>
      <c r="BO352" s="220">
        <f>BM352-BN352</f>
        <v/>
      </c>
      <c r="BP352" s="220">
        <f>N352+Q352+U352+Y352+AC352+AG352+AK352+AO352+AS352+AW352+BA352+BE352+BI352+BM352</f>
        <v/>
      </c>
      <c r="BQ352" s="220">
        <f>N352+R352+V352+Z352+AD352+AH352+AL352+AP352+AT352+AX352+BB352+BF352+BJ352+BN352</f>
        <v/>
      </c>
      <c r="BR352" s="220">
        <f>BP352-BQ352</f>
        <v/>
      </c>
      <c r="BS352" s="247" t="inlineStr">
        <is>
          <t>/</t>
        </is>
      </c>
      <c r="BT352" s="461" t="inlineStr">
        <is>
          <t>/</t>
        </is>
      </c>
      <c r="BU352" s="230" t="inlineStr">
        <is>
          <t xml:space="preserve">1、采购费：按采购额比例5%收取，分组作业应分摊未分摊，已补分摊，采购费比例应做相应调整；                             2、服务费，分组作业应分摊未分摊，已补分摊，服务费比例应做相应调整；            </t>
        </is>
      </c>
      <c r="BV352" s="230" t="inlineStr">
        <is>
          <t xml:space="preserve">
1、签订期间：2026.1.1-2026.7.31；
2、指标按照全年换算；</t>
        </is>
      </c>
      <c r="BW352" s="534" t="n"/>
    </row>
    <row r="353" ht="48" customFormat="1" customHeight="1" s="209">
      <c r="A353" s="219" t="n">
        <v>407</v>
      </c>
      <c r="B353" s="220" t="inlineStr">
        <is>
          <t>KQCY0407</t>
        </is>
      </c>
      <c r="C353" s="221" t="inlineStr">
        <is>
          <t>餐饮六分部</t>
        </is>
      </c>
      <c r="D353" s="221" t="inlineStr">
        <is>
          <t>CF275</t>
        </is>
      </c>
      <c r="E353" s="242" t="inlineStr">
        <is>
          <t>南大苏州校区西区二食堂</t>
        </is>
      </c>
      <c r="F353" s="219" t="inlineStr">
        <is>
          <t>分组作业</t>
        </is>
      </c>
      <c r="G353" s="243" t="inlineStr">
        <is>
          <t>郑虎</t>
        </is>
      </c>
      <c r="H353" s="222" t="inlineStr">
        <is>
          <t>第六班组</t>
        </is>
      </c>
      <c r="I353" s="237" t="inlineStr">
        <is>
          <t>麻辣烫</t>
        </is>
      </c>
      <c r="J353" s="222" t="inlineStr">
        <is>
          <t>余红莹</t>
        </is>
      </c>
      <c r="K353" s="545">
        <f>LET(k,D353&amp;"|"&amp;E353&amp;"|"&amp;H353&amp;"|"&amp;I353&amp;"|"&amp;J353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53" s="546" t="n"/>
      <c r="M353" s="224" t="n"/>
      <c r="N353" s="359" t="n">
        <v>3201.63</v>
      </c>
      <c r="O353" s="548" t="n">
        <v>320000</v>
      </c>
      <c r="P353" s="247" t="n">
        <v>0.23</v>
      </c>
      <c r="Q353" s="461">
        <f>K353*P353</f>
        <v/>
      </c>
      <c r="R353" s="367" t="n">
        <v>9509.1453</v>
      </c>
      <c r="S353" s="461">
        <f>Q353-R353</f>
        <v/>
      </c>
      <c r="T353" s="235" t="n">
        <v>0</v>
      </c>
      <c r="U353" s="461">
        <f>K353*T353</f>
        <v/>
      </c>
      <c r="V353" s="461" t="n"/>
      <c r="W353" s="461">
        <f>U353-V353</f>
        <v/>
      </c>
      <c r="X353" s="247" t="n">
        <v>0</v>
      </c>
      <c r="Y353" s="461">
        <f>K353*X353</f>
        <v/>
      </c>
      <c r="Z353" s="554" t="n"/>
      <c r="AA353" s="461">
        <f>Y353-Z353</f>
        <v/>
      </c>
      <c r="AB353" s="551" t="n">
        <v>0</v>
      </c>
      <c r="AC353" s="461">
        <f>K353*AB353</f>
        <v/>
      </c>
      <c r="AD353" s="551" t="n"/>
      <c r="AE353" s="461">
        <f>AC353-AD353</f>
        <v/>
      </c>
      <c r="AF353" s="247" t="n">
        <v>0</v>
      </c>
      <c r="AG353" s="461">
        <f>K353*AF353</f>
        <v/>
      </c>
      <c r="AH353" s="551" t="n"/>
      <c r="AI353" s="461">
        <f>AG353-AH353</f>
        <v/>
      </c>
      <c r="AJ353" s="247" t="n">
        <v>0</v>
      </c>
      <c r="AK353" s="461">
        <f>K353*AJ353</f>
        <v/>
      </c>
      <c r="AL353" s="551" t="n"/>
      <c r="AM353" s="461">
        <f>AK353-AL353</f>
        <v/>
      </c>
      <c r="AN353" s="235" t="n">
        <v>0</v>
      </c>
      <c r="AO353" s="461">
        <f>K353*AN353</f>
        <v/>
      </c>
      <c r="AP353" s="551" t="n"/>
      <c r="AQ353" s="461">
        <f>AO353-AP353</f>
        <v/>
      </c>
      <c r="AR353" s="461" t="n">
        <v>0.03</v>
      </c>
      <c r="AS353" s="461">
        <f>K353*AR353</f>
        <v/>
      </c>
      <c r="AT353" s="359" t="n">
        <v>1240.3233</v>
      </c>
      <c r="AU353" s="461">
        <f>AS353-AT353</f>
        <v/>
      </c>
      <c r="AV353" s="284" t="n">
        <v>0</v>
      </c>
      <c r="AW353" s="461">
        <f>K353*AV353</f>
        <v/>
      </c>
      <c r="AX353" s="461" t="n"/>
      <c r="AY353" s="461">
        <f>AW353-AX353</f>
        <v/>
      </c>
      <c r="AZ353" s="551" t="inlineStr">
        <is>
          <t>按实结算</t>
        </is>
      </c>
      <c r="BA353" s="558" t="n"/>
      <c r="BB353" s="554">
        <f>BA353</f>
        <v/>
      </c>
      <c r="BC353" s="461">
        <f>BA353-BB353</f>
        <v/>
      </c>
      <c r="BD353" s="235" t="inlineStr">
        <is>
          <t>餐具折旧费1000元/月，1、2、7、8月份按实际运营天数结算</t>
        </is>
      </c>
      <c r="BE353" s="461" t="n">
        <v>1000</v>
      </c>
      <c r="BF353" s="596" t="n">
        <v>1000</v>
      </c>
      <c r="BG353" s="461">
        <f>BE353-BF353</f>
        <v/>
      </c>
      <c r="BH353" s="235" t="n">
        <v>0</v>
      </c>
      <c r="BI353" s="461">
        <f>K353*BH353</f>
        <v/>
      </c>
      <c r="BJ353" s="558" t="n"/>
      <c r="BK353" s="461">
        <f>BI353-BJ353</f>
        <v/>
      </c>
      <c r="BL353" s="235" t="inlineStr">
        <is>
          <t>按实结算</t>
        </is>
      </c>
      <c r="BM353" s="220">
        <f>BN353</f>
        <v/>
      </c>
      <c r="BN353" s="361" t="n">
        <v>4164.27</v>
      </c>
      <c r="BO353" s="220">
        <f>BM353-BN353</f>
        <v/>
      </c>
      <c r="BP353" s="220">
        <f>N353+Q353+U353+Y353+AC353+AG353+AK353+AO353+AS353+AW353+BA353+BE353+BI353+BM353</f>
        <v/>
      </c>
      <c r="BQ353" s="220">
        <f>N353+R353+V353+Z353+AD353+AH353+AL353+AP353+AT353+AX353+BB353+BF353+BJ353+BN353</f>
        <v/>
      </c>
      <c r="BR353" s="220">
        <f>BP353-BQ353</f>
        <v/>
      </c>
      <c r="BS353" s="247" t="inlineStr">
        <is>
          <t>/</t>
        </is>
      </c>
      <c r="BT353" s="461" t="inlineStr">
        <is>
          <t>/</t>
        </is>
      </c>
      <c r="BU353" s="230" t="inlineStr">
        <is>
          <t xml:space="preserve">1、采购费：按采购额比例5%收取，分组作业应分摊未分摊，已补分摊，采购费比例应做相应调整；                             2、服务费，分组作业应分摊未分摊，已补分摊，服务费比例应做相应调整；            </t>
        </is>
      </c>
      <c r="BV353" s="230" t="inlineStr">
        <is>
          <t xml:space="preserve">
1、签订期间：2026.1.1-2026.7.31；
2、指标按照全年换算；</t>
        </is>
      </c>
      <c r="BW353" s="534" t="n"/>
    </row>
    <row r="354" ht="48" customFormat="1" customHeight="1" s="209">
      <c r="A354" s="219" t="n">
        <v>408</v>
      </c>
      <c r="B354" s="220" t="inlineStr">
        <is>
          <t>KQCY0408</t>
        </is>
      </c>
      <c r="C354" s="221" t="inlineStr">
        <is>
          <t>餐饮六分部</t>
        </is>
      </c>
      <c r="D354" s="221" t="inlineStr">
        <is>
          <t>CF275</t>
        </is>
      </c>
      <c r="E354" s="242" t="inlineStr">
        <is>
          <t>南大苏州校区西区二食堂</t>
        </is>
      </c>
      <c r="F354" s="219" t="inlineStr">
        <is>
          <t>分组作业</t>
        </is>
      </c>
      <c r="G354" s="243" t="inlineStr">
        <is>
          <t>郑虎</t>
        </is>
      </c>
      <c r="H354" s="222" t="inlineStr">
        <is>
          <t>第七班组</t>
        </is>
      </c>
      <c r="I354" s="237" t="inlineStr">
        <is>
          <t>面条</t>
        </is>
      </c>
      <c r="J354" s="222" t="inlineStr">
        <is>
          <t>许铭鼎</t>
        </is>
      </c>
      <c r="K354" s="545">
        <f>LET(k,D354&amp;"|"&amp;E354&amp;"|"&amp;H354&amp;"|"&amp;I354&amp;"|"&amp;J354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54" s="546" t="n"/>
      <c r="M354" s="224" t="n"/>
      <c r="N354" s="364" t="n"/>
      <c r="O354" s="548" t="n">
        <v>240000</v>
      </c>
      <c r="P354" s="247" t="n">
        <v>0.23</v>
      </c>
      <c r="Q354" s="461">
        <f>K354*P354</f>
        <v/>
      </c>
      <c r="R354" s="365" t="n">
        <v>4700.1167</v>
      </c>
      <c r="S354" s="461">
        <f>Q354-R354</f>
        <v/>
      </c>
      <c r="T354" s="235" t="n">
        <v>0</v>
      </c>
      <c r="U354" s="461">
        <f>K354*T354</f>
        <v/>
      </c>
      <c r="V354" s="461" t="n"/>
      <c r="W354" s="461">
        <f>U354-V354</f>
        <v/>
      </c>
      <c r="X354" s="247" t="n">
        <v>0</v>
      </c>
      <c r="Y354" s="461">
        <f>K354*X354</f>
        <v/>
      </c>
      <c r="Z354" s="554" t="n"/>
      <c r="AA354" s="461">
        <f>Y354-Z354</f>
        <v/>
      </c>
      <c r="AB354" s="551" t="n">
        <v>0</v>
      </c>
      <c r="AC354" s="461">
        <f>K354*AB354</f>
        <v/>
      </c>
      <c r="AD354" s="551" t="n"/>
      <c r="AE354" s="461">
        <f>AC354-AD354</f>
        <v/>
      </c>
      <c r="AF354" s="247" t="n">
        <v>0</v>
      </c>
      <c r="AG354" s="461">
        <f>K354*AF354</f>
        <v/>
      </c>
      <c r="AH354" s="551" t="n"/>
      <c r="AI354" s="461">
        <f>AG354-AH354</f>
        <v/>
      </c>
      <c r="AJ354" s="247" t="n">
        <v>0</v>
      </c>
      <c r="AK354" s="461">
        <f>K354*AJ354</f>
        <v/>
      </c>
      <c r="AL354" s="551" t="n"/>
      <c r="AM354" s="461">
        <f>AK354-AL354</f>
        <v/>
      </c>
      <c r="AN354" s="235" t="n">
        <v>0</v>
      </c>
      <c r="AO354" s="461">
        <f>K354*AN354</f>
        <v/>
      </c>
      <c r="AP354" s="551" t="n"/>
      <c r="AQ354" s="461">
        <f>AO354-AP354</f>
        <v/>
      </c>
      <c r="AR354" s="461" t="n">
        <v>0.03</v>
      </c>
      <c r="AS354" s="461">
        <f>K354*AR354</f>
        <v/>
      </c>
      <c r="AT354" s="364" t="n">
        <v>613.0587</v>
      </c>
      <c r="AU354" s="461">
        <f>AS354-AT354</f>
        <v/>
      </c>
      <c r="AV354" s="284" t="n">
        <v>0</v>
      </c>
      <c r="AW354" s="461">
        <f>K354*AV354</f>
        <v/>
      </c>
      <c r="AX354" s="461" t="n"/>
      <c r="AY354" s="461">
        <f>AW354-AX354</f>
        <v/>
      </c>
      <c r="AZ354" s="551" t="inlineStr">
        <is>
          <t>按实结算</t>
        </is>
      </c>
      <c r="BA354" s="558" t="n"/>
      <c r="BB354" s="554">
        <f>BA354</f>
        <v/>
      </c>
      <c r="BC354" s="461">
        <f>BA354-BB354</f>
        <v/>
      </c>
      <c r="BD354" s="235" t="inlineStr">
        <is>
          <t>餐具折旧费1000元/月，1、2、7、8月份按实际运营天数结算</t>
        </is>
      </c>
      <c r="BE354" s="461" t="n">
        <v>1000</v>
      </c>
      <c r="BF354" s="597" t="n">
        <v>1000</v>
      </c>
      <c r="BG354" s="461">
        <f>BE354-BF354</f>
        <v/>
      </c>
      <c r="BH354" s="235" t="n">
        <v>0</v>
      </c>
      <c r="BI354" s="461">
        <f>K354*BH354</f>
        <v/>
      </c>
      <c r="BJ354" s="558" t="n"/>
      <c r="BK354" s="461">
        <f>BI354-BJ354</f>
        <v/>
      </c>
      <c r="BL354" s="235" t="inlineStr">
        <is>
          <t>按实结算</t>
        </is>
      </c>
      <c r="BM354" s="220">
        <f>BN354</f>
        <v/>
      </c>
      <c r="BN354" s="361" t="n">
        <v>3571.1</v>
      </c>
      <c r="BO354" s="220">
        <f>BM354-BN354</f>
        <v/>
      </c>
      <c r="BP354" s="220">
        <f>N354+Q354+U354+Y354+AC354+AG354+AK354+AO354+AS354+AW354+BA354+BE354+BI354+BM354</f>
        <v/>
      </c>
      <c r="BQ354" s="220">
        <f>N354+R354+V354+Z354+AD354+AH354+AL354+AP354+AT354+AX354+BB354+BF354+BJ354+BN354</f>
        <v/>
      </c>
      <c r="BR354" s="220">
        <f>BP354-BQ354</f>
        <v/>
      </c>
      <c r="BS354" s="247" t="inlineStr">
        <is>
          <t>/</t>
        </is>
      </c>
      <c r="BT354" s="461" t="inlineStr">
        <is>
          <t>/</t>
        </is>
      </c>
      <c r="BU354" s="230" t="inlineStr">
        <is>
          <t>1、采购费：按采购额比例5%收取，分组作业应分摊未分摊，已补分摊，采购费比例应做相应调整；管理费：                     2、服务费，分组作业应分摊未分摊，已补分摊，服务费比例应做相应调整；</t>
        </is>
      </c>
      <c r="BV354" s="230" t="inlineStr">
        <is>
          <t xml:space="preserve">
1、签订期间：2026.1.1-2026.7.31；
2、指标按照全年换算；</t>
        </is>
      </c>
      <c r="BW354" s="534" t="n"/>
    </row>
    <row r="355" ht="48" customFormat="1" customHeight="1" s="209">
      <c r="A355" s="219" t="n">
        <v>409</v>
      </c>
      <c r="B355" s="220" t="inlineStr">
        <is>
          <t>KQCY0409</t>
        </is>
      </c>
      <c r="C355" s="221" t="inlineStr">
        <is>
          <t>餐饮六分部</t>
        </is>
      </c>
      <c r="D355" s="221" t="inlineStr">
        <is>
          <t>CF275</t>
        </is>
      </c>
      <c r="E355" s="242" t="inlineStr">
        <is>
          <t>南大苏州校区西区二食堂</t>
        </is>
      </c>
      <c r="F355" s="219" t="inlineStr">
        <is>
          <t>分组作业</t>
        </is>
      </c>
      <c r="G355" s="243" t="inlineStr">
        <is>
          <t>郑虎</t>
        </is>
      </c>
      <c r="H355" s="222" t="inlineStr">
        <is>
          <t>第八班组</t>
        </is>
      </c>
      <c r="I355" s="237" t="inlineStr">
        <is>
          <t>辣椒炒肉</t>
        </is>
      </c>
      <c r="J355" s="222" t="inlineStr">
        <is>
          <t>吴海龙</t>
        </is>
      </c>
      <c r="K355" s="545">
        <f>LET(k,D355&amp;"|"&amp;E355&amp;"|"&amp;H355&amp;"|"&amp;I355&amp;"|"&amp;J355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55" s="546" t="n"/>
      <c r="M355" s="224" t="n"/>
      <c r="N355" s="364" t="n">
        <v>11201.63</v>
      </c>
      <c r="O355" s="548" t="n">
        <v>320000</v>
      </c>
      <c r="P355" s="247" t="n">
        <v>0.23</v>
      </c>
      <c r="Q355" s="461">
        <f>K355*P355</f>
        <v/>
      </c>
      <c r="R355" s="365" t="n">
        <v>9297.087600000001</v>
      </c>
      <c r="S355" s="461">
        <f>Q355-R355</f>
        <v/>
      </c>
      <c r="T355" s="235" t="n">
        <v>0</v>
      </c>
      <c r="U355" s="461">
        <f>K355*T355</f>
        <v/>
      </c>
      <c r="V355" s="461" t="n"/>
      <c r="W355" s="461">
        <f>U355-V355</f>
        <v/>
      </c>
      <c r="X355" s="247" t="n">
        <v>0</v>
      </c>
      <c r="Y355" s="461">
        <f>K355*X355</f>
        <v/>
      </c>
      <c r="Z355" s="554" t="n"/>
      <c r="AA355" s="461">
        <f>Y355-Z355</f>
        <v/>
      </c>
      <c r="AB355" s="551" t="n">
        <v>0</v>
      </c>
      <c r="AC355" s="461">
        <f>K355*AB355</f>
        <v/>
      </c>
      <c r="AD355" s="551" t="n"/>
      <c r="AE355" s="461">
        <f>AC355-AD355</f>
        <v/>
      </c>
      <c r="AF355" s="247" t="n">
        <v>0</v>
      </c>
      <c r="AG355" s="461">
        <f>K355*AF355</f>
        <v/>
      </c>
      <c r="AH355" s="551" t="n"/>
      <c r="AI355" s="461">
        <f>AG355-AH355</f>
        <v/>
      </c>
      <c r="AJ355" s="247" t="n">
        <v>0</v>
      </c>
      <c r="AK355" s="461">
        <f>K355*AJ355</f>
        <v/>
      </c>
      <c r="AL355" s="551" t="n"/>
      <c r="AM355" s="461">
        <f>AK355-AL355</f>
        <v/>
      </c>
      <c r="AN355" s="235" t="n">
        <v>0</v>
      </c>
      <c r="AO355" s="461">
        <f>K355*AN355</f>
        <v/>
      </c>
      <c r="AP355" s="551" t="n"/>
      <c r="AQ355" s="461">
        <f>AO355-AP355</f>
        <v/>
      </c>
      <c r="AR355" s="461" t="n">
        <v>0.03</v>
      </c>
      <c r="AS355" s="461">
        <f>K355*AR355</f>
        <v/>
      </c>
      <c r="AT355" s="364" t="n">
        <v>1212.6636</v>
      </c>
      <c r="AU355" s="461">
        <f>AS355-AT355</f>
        <v/>
      </c>
      <c r="AV355" s="284" t="n">
        <v>0</v>
      </c>
      <c r="AW355" s="461">
        <f>K355*AV355</f>
        <v/>
      </c>
      <c r="AX355" s="461" t="n"/>
      <c r="AY355" s="461">
        <f>AW355-AX355</f>
        <v/>
      </c>
      <c r="AZ355" s="551" t="inlineStr">
        <is>
          <t>按实结算</t>
        </is>
      </c>
      <c r="BA355" s="558" t="n">
        <v>250</v>
      </c>
      <c r="BB355" s="554">
        <f>BA355</f>
        <v/>
      </c>
      <c r="BC355" s="461">
        <f>BA355-BB355</f>
        <v/>
      </c>
      <c r="BD355" s="235" t="inlineStr">
        <is>
          <t>餐具折旧费1000元/月，1、2、7、8月份按实际运营天数结算</t>
        </is>
      </c>
      <c r="BE355" s="461" t="n">
        <v>1000</v>
      </c>
      <c r="BF355" s="597" t="n">
        <v>1000</v>
      </c>
      <c r="BG355" s="461">
        <f>BE355-BF355</f>
        <v/>
      </c>
      <c r="BH355" s="235" t="n">
        <v>0</v>
      </c>
      <c r="BI355" s="461">
        <f>K355*BH355</f>
        <v/>
      </c>
      <c r="BJ355" s="558" t="n"/>
      <c r="BK355" s="461">
        <f>BI355-BJ355</f>
        <v/>
      </c>
      <c r="BL355" s="235" t="inlineStr">
        <is>
          <t>按实结算</t>
        </is>
      </c>
      <c r="BM355" s="220">
        <f>BN355</f>
        <v/>
      </c>
      <c r="BN355" s="361" t="n">
        <v>13981.01</v>
      </c>
      <c r="BO355" s="220">
        <f>BM355-BN355</f>
        <v/>
      </c>
      <c r="BP355" s="220">
        <f>N355+Q355+U355+Y355+AC355+AG355+AK355+AO355+AS355+AW355+BA355+BE355+BI355+BM355</f>
        <v/>
      </c>
      <c r="BQ355" s="220">
        <f>N355+R355+V355+Z355+AD355+AH355+AL355+AP355+AT355+AX355+BB355+BF355+BJ355+BN355</f>
        <v/>
      </c>
      <c r="BR355" s="220">
        <f>BP355-BQ355</f>
        <v/>
      </c>
      <c r="BS355" s="247" t="inlineStr">
        <is>
          <t>/</t>
        </is>
      </c>
      <c r="BT355" s="461" t="inlineStr">
        <is>
          <t>/</t>
        </is>
      </c>
      <c r="BU355" s="230" t="inlineStr">
        <is>
          <t xml:space="preserve">1、采购费：按采购额比例5%收取，分组作业应分摊未分摊，已补分摊，采购费比例应做相应调整；                             2、服务费，分组作业应分摊未分摊，已补分摊，服务费比例应做相应调整；            </t>
        </is>
      </c>
      <c r="BV355" s="230" t="inlineStr">
        <is>
          <t xml:space="preserve">
1、签订期间：2026.1.1-2026.7.31；
2、指标按照全年换算；</t>
        </is>
      </c>
      <c r="BW355" s="534" t="n"/>
    </row>
    <row r="356" ht="48" customFormat="1" customHeight="1" s="209">
      <c r="A356" s="219" t="n">
        <v>410</v>
      </c>
      <c r="B356" s="220" t="inlineStr">
        <is>
          <t>KQCY0410</t>
        </is>
      </c>
      <c r="C356" s="221" t="inlineStr">
        <is>
          <t>餐饮六分部</t>
        </is>
      </c>
      <c r="D356" s="221" t="inlineStr">
        <is>
          <t>CF275</t>
        </is>
      </c>
      <c r="E356" s="242" t="inlineStr">
        <is>
          <t>南大苏州校区西区二食堂</t>
        </is>
      </c>
      <c r="F356" s="219" t="inlineStr">
        <is>
          <t>分组作业</t>
        </is>
      </c>
      <c r="G356" s="243" t="inlineStr">
        <is>
          <t>郑虎</t>
        </is>
      </c>
      <c r="H356" s="222" t="inlineStr">
        <is>
          <t>第九班组</t>
        </is>
      </c>
      <c r="I356" s="237" t="inlineStr">
        <is>
          <t>瓦香鸡</t>
        </is>
      </c>
      <c r="J356" s="222" t="inlineStr">
        <is>
          <t>仲海洋</t>
        </is>
      </c>
      <c r="K356" s="545">
        <f>LET(k,D356&amp;"|"&amp;E356&amp;"|"&amp;H356&amp;"|"&amp;I356&amp;"|"&amp;J356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56" s="546" t="n"/>
      <c r="M356" s="224" t="n"/>
      <c r="N356" s="364" t="n">
        <v>7201.63</v>
      </c>
      <c r="O356" s="548" t="n">
        <v>240000</v>
      </c>
      <c r="P356" s="247" t="n">
        <v>0.23</v>
      </c>
      <c r="Q356" s="461">
        <f>K356*P356</f>
        <v/>
      </c>
      <c r="R356" s="365" t="n">
        <v>5525.1451</v>
      </c>
      <c r="S356" s="461">
        <f>Q356-R356</f>
        <v/>
      </c>
      <c r="T356" s="235" t="n">
        <v>0</v>
      </c>
      <c r="U356" s="461">
        <f>K356*T356</f>
        <v/>
      </c>
      <c r="V356" s="461" t="n"/>
      <c r="W356" s="461">
        <f>U356-V356</f>
        <v/>
      </c>
      <c r="X356" s="247" t="n">
        <v>0</v>
      </c>
      <c r="Y356" s="461">
        <f>K356*X356</f>
        <v/>
      </c>
      <c r="Z356" s="554" t="n"/>
      <c r="AA356" s="461">
        <f>Y356-Z356</f>
        <v/>
      </c>
      <c r="AB356" s="551" t="n">
        <v>0</v>
      </c>
      <c r="AC356" s="461">
        <f>K356*AB356</f>
        <v/>
      </c>
      <c r="AD356" s="551" t="n"/>
      <c r="AE356" s="461">
        <f>AC356-AD356</f>
        <v/>
      </c>
      <c r="AF356" s="247" t="n">
        <v>0</v>
      </c>
      <c r="AG356" s="461">
        <f>K356*AF356</f>
        <v/>
      </c>
      <c r="AH356" s="551" t="n"/>
      <c r="AI356" s="461">
        <f>AG356-AH356</f>
        <v/>
      </c>
      <c r="AJ356" s="247" t="n">
        <v>0</v>
      </c>
      <c r="AK356" s="461">
        <f>K356*AJ356</f>
        <v/>
      </c>
      <c r="AL356" s="551" t="n"/>
      <c r="AM356" s="461">
        <f>AK356-AL356</f>
        <v/>
      </c>
      <c r="AN356" s="235" t="n">
        <v>0</v>
      </c>
      <c r="AO356" s="461">
        <f>K356*AN356</f>
        <v/>
      </c>
      <c r="AP356" s="551" t="n"/>
      <c r="AQ356" s="461">
        <f>AO356-AP356</f>
        <v/>
      </c>
      <c r="AR356" s="461" t="n">
        <v>0.03</v>
      </c>
      <c r="AS356" s="461">
        <f>K356*AR356</f>
        <v/>
      </c>
      <c r="AT356" s="364" t="n">
        <v>720.6711</v>
      </c>
      <c r="AU356" s="461">
        <f>AS356-AT356</f>
        <v/>
      </c>
      <c r="AV356" s="284" t="n">
        <v>0</v>
      </c>
      <c r="AW356" s="461">
        <f>K356*AV356</f>
        <v/>
      </c>
      <c r="AX356" s="461" t="n"/>
      <c r="AY356" s="461">
        <f>AW356-AX356</f>
        <v/>
      </c>
      <c r="AZ356" s="551" t="inlineStr">
        <is>
          <t>按实结算</t>
        </is>
      </c>
      <c r="BA356" s="558" t="n"/>
      <c r="BB356" s="554" t="n"/>
      <c r="BC356" s="461">
        <f>BA356-BB356</f>
        <v/>
      </c>
      <c r="BD356" s="235" t="inlineStr">
        <is>
          <t>餐具折旧费1000元/月，1、2、7、8月份按实际运营天水谷结算</t>
        </is>
      </c>
      <c r="BE356" s="461" t="n">
        <v>1000</v>
      </c>
      <c r="BF356" s="597" t="n">
        <v>1000</v>
      </c>
      <c r="BG356" s="461">
        <f>BE356-BF356</f>
        <v/>
      </c>
      <c r="BH356" s="235" t="n">
        <v>0</v>
      </c>
      <c r="BI356" s="461">
        <f>K356*BH356</f>
        <v/>
      </c>
      <c r="BJ356" s="554" t="n"/>
      <c r="BK356" s="461">
        <f>BI356-BJ356</f>
        <v/>
      </c>
      <c r="BL356" s="235" t="inlineStr">
        <is>
          <t>按实结算</t>
        </is>
      </c>
      <c r="BM356" s="220">
        <f>BN356</f>
        <v/>
      </c>
      <c r="BN356" s="361" t="n">
        <v>10744.71</v>
      </c>
      <c r="BO356" s="220">
        <f>BM356-BN356</f>
        <v/>
      </c>
      <c r="BP356" s="220">
        <f>N356+Q356+U356+Y356+AC356+AG356+AK356+AO356+AS356+AW356+BA356+BE356+BI356+BM356</f>
        <v/>
      </c>
      <c r="BQ356" s="220">
        <f>N356+R356+V356+Z356+AD356+AH356+AL356+AP356+AT356+AX356+BB356+BF356+BJ356+BN356</f>
        <v/>
      </c>
      <c r="BR356" s="220">
        <f>BP356-BQ356</f>
        <v/>
      </c>
      <c r="BS356" s="247" t="inlineStr">
        <is>
          <t>/</t>
        </is>
      </c>
      <c r="BT356" s="461" t="inlineStr">
        <is>
          <t>/</t>
        </is>
      </c>
      <c r="BU356" s="230" t="inlineStr">
        <is>
          <t xml:space="preserve">1采购费：按采购额比例5%收取，分组作业应分摊未分摊，已补分摊，采购费比例应做相应调整；                             2服务费，分组作业应分摊未分摊，已补分摊，服务费比例应做相应调整；            </t>
        </is>
      </c>
      <c r="BV356" s="230" t="inlineStr">
        <is>
          <t xml:space="preserve">
1、签订期间：2026.1.1-2026.7.31；
2、指标按照全年换算；</t>
        </is>
      </c>
      <c r="BW356" s="534" t="n"/>
    </row>
    <row r="357" ht="48" customFormat="1" customHeight="1" s="209">
      <c r="A357" s="219" t="n">
        <v>411</v>
      </c>
      <c r="B357" s="220" t="inlineStr">
        <is>
          <t>KQCY0411</t>
        </is>
      </c>
      <c r="C357" s="221" t="inlineStr">
        <is>
          <t>餐饮六分部</t>
        </is>
      </c>
      <c r="D357" s="221" t="inlineStr">
        <is>
          <t>CF275</t>
        </is>
      </c>
      <c r="E357" s="242" t="inlineStr">
        <is>
          <t>南大苏州校区西区二食堂</t>
        </is>
      </c>
      <c r="F357" s="219" t="inlineStr">
        <is>
          <t>分组作业</t>
        </is>
      </c>
      <c r="G357" s="243" t="inlineStr">
        <is>
          <t>郑虎</t>
        </is>
      </c>
      <c r="H357" s="222" t="inlineStr">
        <is>
          <t>第十班组</t>
        </is>
      </c>
      <c r="I357" s="237" t="inlineStr">
        <is>
          <t>炸鸡汉堡</t>
        </is>
      </c>
      <c r="J357" s="222" t="inlineStr">
        <is>
          <t>张栗铭</t>
        </is>
      </c>
      <c r="K357" s="545">
        <f>LET(k,D357&amp;"|"&amp;E357&amp;"|"&amp;H357&amp;"|"&amp;I357&amp;"|"&amp;J357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57" s="546" t="n"/>
      <c r="M357" s="224" t="n"/>
      <c r="N357" s="359" t="n">
        <v>7201.63</v>
      </c>
      <c r="O357" s="548" t="n">
        <v>400000</v>
      </c>
      <c r="P357" s="247" t="n">
        <v>0.23</v>
      </c>
      <c r="Q357" s="461">
        <f>K357*P357</f>
        <v/>
      </c>
      <c r="R357" s="367" t="n">
        <v>6490.6391</v>
      </c>
      <c r="S357" s="461">
        <f>Q357-R357</f>
        <v/>
      </c>
      <c r="T357" s="235" t="n">
        <v>0</v>
      </c>
      <c r="U357" s="461">
        <f>K357*T357</f>
        <v/>
      </c>
      <c r="V357" s="461" t="n"/>
      <c r="W357" s="461">
        <f>U357-V357</f>
        <v/>
      </c>
      <c r="X357" s="247" t="n">
        <v>0</v>
      </c>
      <c r="Y357" s="461">
        <f>K357*X357</f>
        <v/>
      </c>
      <c r="Z357" s="554" t="n"/>
      <c r="AA357" s="461">
        <f>Y357-Z357</f>
        <v/>
      </c>
      <c r="AB357" s="551" t="n">
        <v>0</v>
      </c>
      <c r="AC357" s="461">
        <f>K357*AB357</f>
        <v/>
      </c>
      <c r="AD357" s="551" t="n"/>
      <c r="AE357" s="461">
        <f>AC357-AD357</f>
        <v/>
      </c>
      <c r="AF357" s="247" t="n">
        <v>0</v>
      </c>
      <c r="AG357" s="461">
        <f>K357*AF357</f>
        <v/>
      </c>
      <c r="AH357" s="551" t="n"/>
      <c r="AI357" s="461">
        <f>AG357-AH357</f>
        <v/>
      </c>
      <c r="AJ357" s="247" t="n">
        <v>0</v>
      </c>
      <c r="AK357" s="461">
        <f>K357*AJ357</f>
        <v/>
      </c>
      <c r="AL357" s="551" t="n"/>
      <c r="AM357" s="461">
        <f>AK357-AL357</f>
        <v/>
      </c>
      <c r="AN357" s="235" t="n">
        <v>0</v>
      </c>
      <c r="AO357" s="461">
        <f>K357*AN357</f>
        <v/>
      </c>
      <c r="AP357" s="551" t="n"/>
      <c r="AQ357" s="461">
        <f>AO357-AP357</f>
        <v/>
      </c>
      <c r="AR357" s="461" t="n">
        <v>0.03</v>
      </c>
      <c r="AS357" s="461">
        <f>K357*AR357</f>
        <v/>
      </c>
      <c r="AT357" s="359" t="n">
        <v>846.6051</v>
      </c>
      <c r="AU357" s="461">
        <f>AS357-AT357</f>
        <v/>
      </c>
      <c r="AV357" s="284" t="n">
        <v>0</v>
      </c>
      <c r="AW357" s="461">
        <f>K357*AV357</f>
        <v/>
      </c>
      <c r="AX357" s="461" t="n"/>
      <c r="AY357" s="461">
        <f>AW357-AX357</f>
        <v/>
      </c>
      <c r="AZ357" s="551" t="inlineStr">
        <is>
          <t>按实结算</t>
        </is>
      </c>
      <c r="BA357" s="558" t="n"/>
      <c r="BB357" s="554" t="n"/>
      <c r="BC357" s="461">
        <f>BA357-BB357</f>
        <v/>
      </c>
      <c r="BD357" s="235" t="inlineStr">
        <is>
          <t>餐具折旧费1000元/月，1、2、7、8月份按实际运营天数结算</t>
        </is>
      </c>
      <c r="BE357" s="461" t="n">
        <v>1000</v>
      </c>
      <c r="BF357" s="596" t="n">
        <v>1000</v>
      </c>
      <c r="BG357" s="461">
        <f>BE357-BF357</f>
        <v/>
      </c>
      <c r="BH357" s="235" t="n">
        <v>0</v>
      </c>
      <c r="BI357" s="461">
        <f>K357*BH357</f>
        <v/>
      </c>
      <c r="BJ357" s="554" t="n"/>
      <c r="BK357" s="461">
        <f>BI357-BJ357</f>
        <v/>
      </c>
      <c r="BL357" s="235" t="inlineStr">
        <is>
          <t>按实结算</t>
        </is>
      </c>
      <c r="BM357" s="220">
        <f>BN357</f>
        <v/>
      </c>
      <c r="BN357" s="361" t="n">
        <v>1470.5</v>
      </c>
      <c r="BO357" s="220">
        <f>BM357-BN357</f>
        <v/>
      </c>
      <c r="BP357" s="220">
        <f>N357+Q357+U357+Y357+AC357+AG357+AK357+AO357+AS357+AW357+BA357+BE357+BI357+BM357</f>
        <v/>
      </c>
      <c r="BQ357" s="220">
        <f>N357+R357+V357+Z357+AD357+AH357+AL357+AP357+AT357+AX357+BB357+BF357+BJ357+BN357</f>
        <v/>
      </c>
      <c r="BR357" s="220">
        <f>BP357-BQ357</f>
        <v/>
      </c>
      <c r="BS357" s="247" t="inlineStr">
        <is>
          <t>/</t>
        </is>
      </c>
      <c r="BT357" s="461" t="inlineStr">
        <is>
          <t>/</t>
        </is>
      </c>
      <c r="BU357" s="230" t="inlineStr">
        <is>
          <t xml:space="preserve">1、采购费：按采购额比例5%收取，分组作业应分摊未分摊，已补分摊，采购费比例应做相应调整；                             2、服务费，分组作业应分摊未分摊，已补分摊，服务费比例应做相应调整；            </t>
        </is>
      </c>
      <c r="BV357" s="230" t="inlineStr">
        <is>
          <t xml:space="preserve">
1、签订期间：2026.1.1-2026.7.31；
2、指标按照全年换算；</t>
        </is>
      </c>
      <c r="BW357" s="534" t="n"/>
    </row>
    <row r="358" ht="48" customFormat="1" customHeight="1" s="209">
      <c r="A358" s="219" t="n">
        <v>412</v>
      </c>
      <c r="B358" s="220" t="inlineStr">
        <is>
          <t>KQCY0412</t>
        </is>
      </c>
      <c r="C358" s="221" t="inlineStr">
        <is>
          <t>餐饮六分部</t>
        </is>
      </c>
      <c r="D358" s="221" t="inlineStr">
        <is>
          <t>CF275</t>
        </is>
      </c>
      <c r="E358" s="242" t="inlineStr">
        <is>
          <t>南大苏州校区西区二食堂</t>
        </is>
      </c>
      <c r="F358" s="219" t="inlineStr">
        <is>
          <t>分组作业</t>
        </is>
      </c>
      <c r="G358" s="243" t="inlineStr">
        <is>
          <t>郑虎</t>
        </is>
      </c>
      <c r="H358" s="222" t="inlineStr">
        <is>
          <t>第十一班组</t>
        </is>
      </c>
      <c r="I358" s="237" t="inlineStr">
        <is>
          <t>淮南牛肉汤</t>
        </is>
      </c>
      <c r="J358" s="222" t="inlineStr">
        <is>
          <t>钱年英</t>
        </is>
      </c>
      <c r="K358" s="545">
        <f>LET(k,D358&amp;"|"&amp;E358&amp;"|"&amp;H358&amp;"|"&amp;I358&amp;"|"&amp;J358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58" s="546" t="n"/>
      <c r="M358" s="224" t="n"/>
      <c r="N358" s="359" t="n">
        <v>2099</v>
      </c>
      <c r="O358" s="548" t="n">
        <v>240000</v>
      </c>
      <c r="P358" s="247" t="n">
        <v>0.23</v>
      </c>
      <c r="Q358" s="461">
        <f>K358*P358</f>
        <v/>
      </c>
      <c r="R358" s="367" t="n">
        <v>4844.697</v>
      </c>
      <c r="S358" s="461">
        <f>Q358-R358</f>
        <v/>
      </c>
      <c r="T358" s="235" t="n">
        <v>0</v>
      </c>
      <c r="U358" s="461">
        <f>K358*T358</f>
        <v/>
      </c>
      <c r="V358" s="461" t="n"/>
      <c r="W358" s="461">
        <f>U358-V358</f>
        <v/>
      </c>
      <c r="X358" s="247" t="n">
        <v>0</v>
      </c>
      <c r="Y358" s="461">
        <f>K358*X358</f>
        <v/>
      </c>
      <c r="Z358" s="554" t="n"/>
      <c r="AA358" s="461">
        <f>Y358-Z358</f>
        <v/>
      </c>
      <c r="AB358" s="551" t="n">
        <v>0</v>
      </c>
      <c r="AC358" s="461">
        <f>K358*AB358</f>
        <v/>
      </c>
      <c r="AD358" s="551" t="n"/>
      <c r="AE358" s="461">
        <f>AC358-AD358</f>
        <v/>
      </c>
      <c r="AF358" s="247" t="n">
        <v>0</v>
      </c>
      <c r="AG358" s="461">
        <f>K358*AF358</f>
        <v/>
      </c>
      <c r="AH358" s="551" t="n"/>
      <c r="AI358" s="461">
        <f>AG358-AH358</f>
        <v/>
      </c>
      <c r="AJ358" s="247" t="n">
        <v>0</v>
      </c>
      <c r="AK358" s="461">
        <f>K358*AJ358</f>
        <v/>
      </c>
      <c r="AL358" s="551" t="n"/>
      <c r="AM358" s="461">
        <f>AK358-AL358</f>
        <v/>
      </c>
      <c r="AN358" s="235" t="n">
        <v>0</v>
      </c>
      <c r="AO358" s="461">
        <f>K358*AN358</f>
        <v/>
      </c>
      <c r="AP358" s="551" t="n"/>
      <c r="AQ358" s="461">
        <f>AO358-AP358</f>
        <v/>
      </c>
      <c r="AR358" s="461" t="n">
        <v>0.03</v>
      </c>
      <c r="AS358" s="461">
        <f>K358*AR358</f>
        <v/>
      </c>
      <c r="AT358" s="359" t="n">
        <v>631.917</v>
      </c>
      <c r="AU358" s="461">
        <f>AS358-AT358</f>
        <v/>
      </c>
      <c r="AV358" s="284" t="n">
        <v>0</v>
      </c>
      <c r="AW358" s="461">
        <f>K358*AV358</f>
        <v/>
      </c>
      <c r="AX358" s="461" t="n"/>
      <c r="AY358" s="461">
        <f>AW358-AX358</f>
        <v/>
      </c>
      <c r="AZ358" s="551" t="inlineStr">
        <is>
          <t>按实结算</t>
        </is>
      </c>
      <c r="BA358" s="558" t="n"/>
      <c r="BB358" s="554" t="n"/>
      <c r="BC358" s="461">
        <f>BA358-BB358</f>
        <v/>
      </c>
      <c r="BD358" s="235" t="inlineStr">
        <is>
          <t>餐具折旧费1000元/月，1、2、7、8月份按实际运营天数结算</t>
        </is>
      </c>
      <c r="BE358" s="461" t="n">
        <v>1000</v>
      </c>
      <c r="BF358" s="596" t="n">
        <v>1000</v>
      </c>
      <c r="BG358" s="461">
        <f>BE358-BF358</f>
        <v/>
      </c>
      <c r="BH358" s="235" t="n">
        <v>0</v>
      </c>
      <c r="BI358" s="461">
        <f>K358*BH358</f>
        <v/>
      </c>
      <c r="BJ358" s="554" t="n"/>
      <c r="BK358" s="461">
        <f>BI358-BJ358</f>
        <v/>
      </c>
      <c r="BL358" s="235" t="inlineStr">
        <is>
          <t>按实结算</t>
        </is>
      </c>
      <c r="BM358" s="220">
        <f>BN358</f>
        <v/>
      </c>
      <c r="BN358" s="361" t="n">
        <v>5615.36</v>
      </c>
      <c r="BO358" s="220">
        <f>BM358-BN358</f>
        <v/>
      </c>
      <c r="BP358" s="220">
        <f>N358+Q358+U358+Y358+AC358+AG358+AK358+AO358+AS358+AW358+BA358+BE358+BI358+BM358</f>
        <v/>
      </c>
      <c r="BQ358" s="220">
        <f>N358+R358+V358+Z358+AD358+AH358+AL358+AP358+AT358+AX358+BB358+BF358+BJ358+BN358</f>
        <v/>
      </c>
      <c r="BR358" s="220">
        <f>BP358-BQ358</f>
        <v/>
      </c>
      <c r="BS358" s="247" t="inlineStr">
        <is>
          <t>/</t>
        </is>
      </c>
      <c r="BT358" s="461" t="inlineStr">
        <is>
          <t>/</t>
        </is>
      </c>
      <c r="BU358" s="230" t="inlineStr">
        <is>
          <t xml:space="preserve">1、采购费：按采购额比例5%收取，分组作业应分摊未分摊，已补分摊，采购费比例应做相应调整；                             2、服务费，分组作业应分摊未分摊，已补分摊，服务费比例应做相应调整；            </t>
        </is>
      </c>
      <c r="BV358" s="230" t="inlineStr">
        <is>
          <t xml:space="preserve">
1、签订期间：2026.1.1-2026.7.31；
2、指标按照全年换算；</t>
        </is>
      </c>
      <c r="BW358" s="534" t="n"/>
    </row>
    <row r="359" ht="72" customFormat="1" customHeight="1" s="209">
      <c r="A359" s="219" t="n">
        <v>413</v>
      </c>
      <c r="B359" s="220" t="inlineStr">
        <is>
          <t>KQCY0413</t>
        </is>
      </c>
      <c r="C359" s="221" t="inlineStr">
        <is>
          <t>餐饮六分部</t>
        </is>
      </c>
      <c r="D359" s="221" t="inlineStr">
        <is>
          <t>CF275</t>
        </is>
      </c>
      <c r="E359" s="242" t="inlineStr">
        <is>
          <t>南大苏州校区西区二食堂</t>
        </is>
      </c>
      <c r="F359" s="219" t="inlineStr">
        <is>
          <t>分组作业</t>
        </is>
      </c>
      <c r="G359" s="243" t="inlineStr">
        <is>
          <t>郑虎</t>
        </is>
      </c>
      <c r="H359" s="222" t="inlineStr">
        <is>
          <t>第十二班组</t>
        </is>
      </c>
      <c r="I359" s="237" t="inlineStr">
        <is>
          <t>面点</t>
        </is>
      </c>
      <c r="J359" s="222" t="inlineStr">
        <is>
          <t>陈天燕</t>
        </is>
      </c>
      <c r="K359" s="545">
        <f>LET(k,D359&amp;"|"&amp;E359&amp;"|"&amp;H359&amp;"|"&amp;I359&amp;"|"&amp;J359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59" s="546" t="n"/>
      <c r="M359" s="224" t="n"/>
      <c r="N359" s="359" t="n">
        <v>10247.26</v>
      </c>
      <c r="O359" s="548" t="n">
        <v>80000</v>
      </c>
      <c r="P359" s="247" t="n">
        <v>0.07000000000000001</v>
      </c>
      <c r="Q359" s="461">
        <f>K359*P359</f>
        <v/>
      </c>
      <c r="R359" s="367" t="n">
        <v>2490.3123</v>
      </c>
      <c r="S359" s="461">
        <f>Q359-R359</f>
        <v/>
      </c>
      <c r="T359" s="235" t="n">
        <v>0</v>
      </c>
      <c r="U359" s="461">
        <f>K359*T359</f>
        <v/>
      </c>
      <c r="V359" s="461" t="n"/>
      <c r="W359" s="461">
        <f>U359-V359</f>
        <v/>
      </c>
      <c r="X359" s="247" t="n">
        <v>0</v>
      </c>
      <c r="Y359" s="461">
        <f>K359*X359</f>
        <v/>
      </c>
      <c r="Z359" s="554" t="n"/>
      <c r="AA359" s="461">
        <f>Y359-Z359</f>
        <v/>
      </c>
      <c r="AB359" s="235" t="n">
        <v>0</v>
      </c>
      <c r="AC359" s="461">
        <f>K359*AB359</f>
        <v/>
      </c>
      <c r="AD359" s="551" t="n"/>
      <c r="AE359" s="461">
        <f>AC359-AD359</f>
        <v/>
      </c>
      <c r="AF359" s="247" t="n">
        <v>0</v>
      </c>
      <c r="AG359" s="461">
        <f>K359*AF359</f>
        <v/>
      </c>
      <c r="AH359" s="551" t="n"/>
      <c r="AI359" s="461">
        <f>AG359-AH359</f>
        <v/>
      </c>
      <c r="AJ359" s="247" t="n">
        <v>0</v>
      </c>
      <c r="AK359" s="461">
        <f>K359*AJ359</f>
        <v/>
      </c>
      <c r="AL359" s="551" t="n"/>
      <c r="AM359" s="461">
        <f>AK359-AL359</f>
        <v/>
      </c>
      <c r="AN359" s="235" t="n">
        <v>0</v>
      </c>
      <c r="AO359" s="461">
        <f>K359*AN359</f>
        <v/>
      </c>
      <c r="AP359" s="551" t="n"/>
      <c r="AQ359" s="461">
        <f>AO359-AP359</f>
        <v/>
      </c>
      <c r="AR359" s="461" t="n">
        <v>0.03</v>
      </c>
      <c r="AS359" s="461">
        <f>K359*AR359</f>
        <v/>
      </c>
      <c r="AT359" s="359" t="n">
        <v>1067.2767</v>
      </c>
      <c r="AU359" s="461">
        <f>AS359-AT359</f>
        <v/>
      </c>
      <c r="AV359" s="284" t="n">
        <v>0</v>
      </c>
      <c r="AW359" s="461">
        <f>K359*AV359</f>
        <v/>
      </c>
      <c r="AX359" s="461" t="n"/>
      <c r="AY359" s="461">
        <f>AW359-AX359</f>
        <v/>
      </c>
      <c r="AZ359" s="551" t="inlineStr">
        <is>
          <t>按实结算</t>
        </is>
      </c>
      <c r="BA359" s="558" t="n"/>
      <c r="BB359" s="554" t="n"/>
      <c r="BC359" s="461">
        <f>BA359-BB359</f>
        <v/>
      </c>
      <c r="BD359" s="235" t="n">
        <v>0</v>
      </c>
      <c r="BE359" s="461">
        <f>K359*BD359</f>
        <v/>
      </c>
      <c r="BF359" s="596" t="n"/>
      <c r="BG359" s="461">
        <f>BE359-BF359</f>
        <v/>
      </c>
      <c r="BH359" s="235" t="n">
        <v>0</v>
      </c>
      <c r="BI359" s="461">
        <f>K359*BH359</f>
        <v/>
      </c>
      <c r="BJ359" s="554" t="n"/>
      <c r="BK359" s="461">
        <f>BI359-BJ359</f>
        <v/>
      </c>
      <c r="BL359" s="235" t="inlineStr">
        <is>
          <t>按实结算</t>
        </is>
      </c>
      <c r="BM359" s="367" t="n"/>
      <c r="BN359" s="361" t="n">
        <v>0</v>
      </c>
      <c r="BO359" s="220">
        <f>BM359-BN359</f>
        <v/>
      </c>
      <c r="BP359" s="220">
        <f>N359+Q359+U359+Y359+AC359+AG359+AK359+AO359+AS359+AW359+BA359+BE359+BI359+BM359</f>
        <v/>
      </c>
      <c r="BQ359" s="220">
        <f>N359+R359+V359+Z359+AD359+AH359+AL359+AP359+AT359+AX359+BB359+BF359+BJ359+BN359</f>
        <v/>
      </c>
      <c r="BR359" s="220">
        <f>BP359-BQ359</f>
        <v/>
      </c>
      <c r="BS359" s="247" t="inlineStr">
        <is>
          <t>/</t>
        </is>
      </c>
      <c r="BT359" s="461" t="inlineStr">
        <is>
          <t>/</t>
        </is>
      </c>
      <c r="BU359" s="230" t="inlineStr">
        <is>
          <t>1、采购费：按采购额比例5%收取，分组作业应分摊未分摊，已补分摊，采购费比例应做相应调整；                             2、服务费，分组作业应分摊未分摊，已补分摊，服务费比例应做相应调整；                            3、装修折旧：80000元/年，分组作业未分摊，服务费已包含；</t>
        </is>
      </c>
      <c r="BV359" s="230" t="inlineStr">
        <is>
          <t xml:space="preserve">
1、签订期间：2026.1.1-2026.7.31；
2、指标按照全年换算；</t>
        </is>
      </c>
      <c r="BW359" s="534" t="n"/>
    </row>
    <row r="360" ht="12" customFormat="1" customHeight="1" s="209">
      <c r="A360" s="219" t="n">
        <v>416</v>
      </c>
      <c r="B360" s="220" t="inlineStr">
        <is>
          <t>KQCY0416</t>
        </is>
      </c>
      <c r="C360" s="221" t="inlineStr">
        <is>
          <t>餐饮六分部</t>
        </is>
      </c>
      <c r="D360" s="221" t="inlineStr">
        <is>
          <t>CF191</t>
        </is>
      </c>
      <c r="E360" s="221" t="inlineStr">
        <is>
          <t>苏州旭辉彩园餐厅</t>
        </is>
      </c>
      <c r="F360" s="219" t="inlineStr">
        <is>
          <t>人员服务外包</t>
        </is>
      </c>
      <c r="G360" s="222" t="inlineStr">
        <is>
          <t>张镁镁</t>
        </is>
      </c>
      <c r="H360" s="222" t="inlineStr">
        <is>
          <t>/</t>
        </is>
      </c>
      <c r="I360" s="237" t="inlineStr">
        <is>
          <t>/</t>
        </is>
      </c>
      <c r="J360" s="222" t="inlineStr">
        <is>
          <t>/</t>
        </is>
      </c>
      <c r="K360" s="545">
        <f>LET(k,D360&amp;"|"&amp;E360&amp;"|"&amp;H360&amp;"|"&amp;I360&amp;"|"&amp;J360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60" s="546" t="n"/>
      <c r="M360" s="224" t="n"/>
      <c r="N360" s="547" t="n"/>
      <c r="O360" s="598" t="n">
        <v>2084000</v>
      </c>
      <c r="P360" s="284" t="n">
        <v>0</v>
      </c>
      <c r="Q360" s="461">
        <f>K360*P360</f>
        <v/>
      </c>
      <c r="R360" s="227" t="n"/>
      <c r="S360" s="461">
        <f>Q360-R360</f>
        <v/>
      </c>
      <c r="T360" s="227" t="n">
        <v>0</v>
      </c>
      <c r="U360" s="461">
        <f>K360*T360</f>
        <v/>
      </c>
      <c r="V360" s="227" t="n"/>
      <c r="W360" s="461">
        <f>U360-V360</f>
        <v/>
      </c>
      <c r="X360" s="227" t="n">
        <v>0</v>
      </c>
      <c r="Y360" s="461">
        <f>K360*X360</f>
        <v/>
      </c>
      <c r="Z360" s="227" t="n"/>
      <c r="AA360" s="461">
        <f>Y360-Z360</f>
        <v/>
      </c>
      <c r="AB360" s="227" t="n">
        <v>0</v>
      </c>
      <c r="AC360" s="461">
        <f>K360*AB360</f>
        <v/>
      </c>
      <c r="AD360" s="227" t="n"/>
      <c r="AE360" s="461">
        <f>AC360-AD360</f>
        <v/>
      </c>
      <c r="AF360" s="227" t="n">
        <v>0</v>
      </c>
      <c r="AG360" s="461">
        <f>K360*AF360</f>
        <v/>
      </c>
      <c r="AH360" s="227" t="n"/>
      <c r="AI360" s="461">
        <f>AG360-AH360</f>
        <v/>
      </c>
      <c r="AJ360" s="227" t="n">
        <v>0</v>
      </c>
      <c r="AK360" s="461">
        <f>K360*AJ360</f>
        <v/>
      </c>
      <c r="AL360" s="227" t="n"/>
      <c r="AM360" s="461">
        <f>AK360-AL360</f>
        <v/>
      </c>
      <c r="AN360" s="227" t="n">
        <v>0</v>
      </c>
      <c r="AO360" s="461">
        <f>K360*AN360</f>
        <v/>
      </c>
      <c r="AP360" s="461" t="n"/>
      <c r="AQ360" s="461">
        <f>AO360-AP360</f>
        <v/>
      </c>
      <c r="AR360" s="461" t="n">
        <v>0</v>
      </c>
      <c r="AS360" s="461">
        <f>K360*AR360</f>
        <v/>
      </c>
      <c r="AT360" s="227" t="n"/>
      <c r="AU360" s="461">
        <f>AS360-AT360</f>
        <v/>
      </c>
      <c r="AV360" s="284" t="n">
        <v>0</v>
      </c>
      <c r="AW360" s="461">
        <f>K360*AV360</f>
        <v/>
      </c>
      <c r="AX360" s="227" t="n"/>
      <c r="AY360" s="461">
        <f>AW360-AX360</f>
        <v/>
      </c>
      <c r="AZ360" s="227" t="n">
        <v>0</v>
      </c>
      <c r="BA360" s="461">
        <f>K360*AZ360</f>
        <v/>
      </c>
      <c r="BB360" s="461" t="n"/>
      <c r="BC360" s="461">
        <f>BA360-BB360</f>
        <v/>
      </c>
      <c r="BD360" s="461" t="n"/>
      <c r="BE360" s="461">
        <f>K360*BD360</f>
        <v/>
      </c>
      <c r="BF360" s="461" t="n"/>
      <c r="BG360" s="461">
        <f>BE360-BF360</f>
        <v/>
      </c>
      <c r="BH360" s="461" t="n"/>
      <c r="BI360" s="461">
        <f>K360*BH360</f>
        <v/>
      </c>
      <c r="BJ360" s="461" t="n"/>
      <c r="BK360" s="461">
        <f>BI360-BJ360</f>
        <v/>
      </c>
      <c r="BL360" s="461" t="n">
        <v>0</v>
      </c>
      <c r="BM360" s="220">
        <f>K360*BL360</f>
        <v/>
      </c>
      <c r="BN360" s="220" t="n"/>
      <c r="BO360" s="220">
        <f>BM360-BN360</f>
        <v/>
      </c>
      <c r="BP360" s="220">
        <f>N360+Q360+U360+Y360+AC360+AG360+AK360+AO360+AS360+AW360+BA360+BE360+BI360+BM360</f>
        <v/>
      </c>
      <c r="BQ360" s="220">
        <f>N360+R360+V360+Z360+AD360+AH360+AL360+AP360+AT360+AX360+BB360+BF360+BJ360+BN360</f>
        <v/>
      </c>
      <c r="BR360" s="220">
        <f>BP360-BQ360</f>
        <v/>
      </c>
      <c r="BS360" s="254" t="n">
        <v>0.08</v>
      </c>
      <c r="BT360" s="229" t="inlineStr">
        <is>
          <t>/</t>
        </is>
      </c>
      <c r="BU360" s="230" t="n"/>
      <c r="BV360" s="230" t="n"/>
      <c r="BW360" s="534" t="n"/>
    </row>
    <row r="361" ht="60" customFormat="1" customHeight="1" s="209">
      <c r="A361" s="219" t="n">
        <v>418</v>
      </c>
      <c r="B361" s="220" t="inlineStr">
        <is>
          <t>KQCY0418</t>
        </is>
      </c>
      <c r="C361" s="221" t="inlineStr">
        <is>
          <t>餐饮六分部</t>
        </is>
      </c>
      <c r="D361" s="221" t="inlineStr">
        <is>
          <t>CF479</t>
        </is>
      </c>
      <c r="E361" s="221" t="inlineStr">
        <is>
          <t>江苏省交通技师学院第一食堂</t>
        </is>
      </c>
      <c r="F361" s="219" t="inlineStr">
        <is>
          <t>分组作业</t>
        </is>
      </c>
      <c r="G361" s="222" t="inlineStr">
        <is>
          <t>卫屹</t>
        </is>
      </c>
      <c r="H361" s="222" t="inlineStr">
        <is>
          <t>第一班组</t>
        </is>
      </c>
      <c r="I361" s="237" t="inlineStr">
        <is>
          <t>八大碗</t>
        </is>
      </c>
      <c r="J361" s="222" t="inlineStr">
        <is>
          <t>丁秀梅</t>
        </is>
      </c>
      <c r="K361" s="545">
        <f>LET(k,D361&amp;"|"&amp;E361&amp;"|"&amp;H361&amp;"|"&amp;I361&amp;"|"&amp;J361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61" s="546" t="n"/>
      <c r="M361" s="224" t="n"/>
      <c r="N361" s="547" t="n"/>
      <c r="O361" s="548" t="n">
        <v>340000</v>
      </c>
      <c r="P361" s="235" t="n">
        <v>0.27</v>
      </c>
      <c r="Q361" s="461">
        <f>K361*P361</f>
        <v/>
      </c>
      <c r="R361" s="599" t="n"/>
      <c r="S361" s="461">
        <f>Q361-R361</f>
        <v/>
      </c>
      <c r="T361" s="235" t="n">
        <v>0</v>
      </c>
      <c r="U361" s="461">
        <f>K361*T361</f>
        <v/>
      </c>
      <c r="V361" s="461" t="n"/>
      <c r="W361" s="461">
        <f>U361-V361</f>
        <v/>
      </c>
      <c r="X361" s="235" t="n">
        <v>0</v>
      </c>
      <c r="Y361" s="461">
        <f>K361*X361</f>
        <v/>
      </c>
      <c r="Z361" s="461" t="n"/>
      <c r="AA361" s="461">
        <f>Y361-Z361</f>
        <v/>
      </c>
      <c r="AB361" s="235" t="n">
        <v>0</v>
      </c>
      <c r="AC361" s="461">
        <f>K361*AB361</f>
        <v/>
      </c>
      <c r="AD361" s="461" t="n"/>
      <c r="AE361" s="461">
        <f>AC361-AD361</f>
        <v/>
      </c>
      <c r="AF361" s="235" t="n">
        <v>0</v>
      </c>
      <c r="AG361" s="461">
        <f>K361*AF361</f>
        <v/>
      </c>
      <c r="AH361" s="461" t="n"/>
      <c r="AI361" s="461">
        <f>AG361-AH361</f>
        <v/>
      </c>
      <c r="AJ361" s="235" t="n">
        <v>0</v>
      </c>
      <c r="AK361" s="461">
        <f>K361*AJ361</f>
        <v/>
      </c>
      <c r="AL361" s="461" t="n"/>
      <c r="AM361" s="461">
        <f>AK361-AL361</f>
        <v/>
      </c>
      <c r="AN361" s="235" t="n">
        <v>0</v>
      </c>
      <c r="AO361" s="461">
        <f>K361*AN361</f>
        <v/>
      </c>
      <c r="AP361" s="461" t="n"/>
      <c r="AQ361" s="461">
        <f>AO361-AP361</f>
        <v/>
      </c>
      <c r="AR361" s="461" t="n">
        <v>0</v>
      </c>
      <c r="AS361" s="461">
        <f>K361*AR361</f>
        <v/>
      </c>
      <c r="AT361" s="263" t="n"/>
      <c r="AU361" s="340">
        <f>AS361-AT361</f>
        <v/>
      </c>
      <c r="AV361" s="235" t="n">
        <v>0</v>
      </c>
      <c r="AW361" s="461">
        <f>K361*AV361</f>
        <v/>
      </c>
      <c r="AX361" s="263" t="n"/>
      <c r="AY361" s="461">
        <f>AW361-AX361</f>
        <v/>
      </c>
      <c r="AZ361" s="235" t="inlineStr">
        <is>
          <t>按实</t>
        </is>
      </c>
      <c r="BA361" s="461">
        <f>BB361</f>
        <v/>
      </c>
      <c r="BB361" s="461" t="n"/>
      <c r="BC361" s="461">
        <f>BA361-BB361</f>
        <v/>
      </c>
      <c r="BD361" s="235" t="n">
        <v>0</v>
      </c>
      <c r="BE361" s="461">
        <f>K361*BD361</f>
        <v/>
      </c>
      <c r="BF361" s="461" t="n"/>
      <c r="BG361" s="461">
        <f>BE361-BF361</f>
        <v/>
      </c>
      <c r="BH361" s="235" t="n">
        <v>0</v>
      </c>
      <c r="BI361" s="461">
        <f>K361*BH361</f>
        <v/>
      </c>
      <c r="BJ361" s="461" t="n"/>
      <c r="BK361" s="461">
        <f>BI361-BJ361</f>
        <v/>
      </c>
      <c r="BL361" s="235" t="inlineStr">
        <is>
          <t>按实</t>
        </is>
      </c>
      <c r="BM361" s="220">
        <f>BN361</f>
        <v/>
      </c>
      <c r="BN361" s="220" t="n"/>
      <c r="BO361" s="220">
        <f>BM361-BN361</f>
        <v/>
      </c>
      <c r="BP361" s="220">
        <f>N361+Q361+U361+Y361+AC361+AG361+AK361+AO361+AS361+AW361+BA361+BE361+BI361+BM361</f>
        <v/>
      </c>
      <c r="BQ361" s="220">
        <f>N361+R361+V361+Z361+AD361+AH361+AL361+AP361+AT361+AX361+BB361+BF361+BJ361+BN361</f>
        <v/>
      </c>
      <c r="BR361" s="370">
        <f>BP361-BQ361</f>
        <v/>
      </c>
      <c r="BS361" s="549" t="inlineStr">
        <is>
          <t>/</t>
        </is>
      </c>
      <c r="BT361" s="549" t="inlineStr">
        <is>
          <t>/</t>
        </is>
      </c>
      <c r="BU361" s="230" t="inlineStr">
        <is>
          <t>1、共建活动费：校园美食节费用，未分摊共建活动费，服务费包含未拆分
2、装修折旧费：服务费包含未拆分
3、卫生费：服务费包含未拆分
4、能源费：服务费包含未拆分</t>
        </is>
      </c>
      <c r="BV361" s="230" t="inlineStr">
        <is>
          <t>1、签订期间：2026.3.6-2026.7.30；
2、指标按照全年换算；</t>
        </is>
      </c>
      <c r="BW361" s="534" t="n"/>
    </row>
    <row r="362" ht="60" customFormat="1" customHeight="1" s="209">
      <c r="A362" s="219" t="n">
        <v>419</v>
      </c>
      <c r="B362" s="220" t="inlineStr">
        <is>
          <t>KQCY0419</t>
        </is>
      </c>
      <c r="C362" s="221" t="inlineStr">
        <is>
          <t>餐饮六分部</t>
        </is>
      </c>
      <c r="D362" s="221" t="inlineStr">
        <is>
          <t>CF479</t>
        </is>
      </c>
      <c r="E362" s="221" t="inlineStr">
        <is>
          <t>江苏省交通技师学院第一食堂</t>
        </is>
      </c>
      <c r="F362" s="219" t="inlineStr">
        <is>
          <t>分组作业</t>
        </is>
      </c>
      <c r="G362" s="222" t="inlineStr">
        <is>
          <t>卫屹</t>
        </is>
      </c>
      <c r="H362" s="222" t="inlineStr">
        <is>
          <t>第二班组</t>
        </is>
      </c>
      <c r="I362" s="237" t="inlineStr">
        <is>
          <t>牛肉汤</t>
        </is>
      </c>
      <c r="J362" s="222" t="inlineStr">
        <is>
          <t>范义龙</t>
        </is>
      </c>
      <c r="K362" s="545">
        <f>LET(k,D362&amp;"|"&amp;E362&amp;"|"&amp;H362&amp;"|"&amp;I362&amp;"|"&amp;J362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62" s="546" t="n"/>
      <c r="M362" s="224" t="n"/>
      <c r="N362" s="547" t="n"/>
      <c r="O362" s="548" t="n">
        <v>296000</v>
      </c>
      <c r="P362" s="235" t="n">
        <v>0.19</v>
      </c>
      <c r="Q362" s="461">
        <f>K362*P362</f>
        <v/>
      </c>
      <c r="R362" s="599" t="n"/>
      <c r="S362" s="461">
        <f>Q362-R362</f>
        <v/>
      </c>
      <c r="T362" s="235" t="n">
        <v>0</v>
      </c>
      <c r="U362" s="461">
        <f>K362*T362</f>
        <v/>
      </c>
      <c r="V362" s="461" t="n"/>
      <c r="W362" s="461">
        <f>U362-V362</f>
        <v/>
      </c>
      <c r="X362" s="235" t="n">
        <v>0</v>
      </c>
      <c r="Y362" s="461">
        <f>K362*X362</f>
        <v/>
      </c>
      <c r="Z362" s="461" t="n"/>
      <c r="AA362" s="461">
        <f>Y362-Z362</f>
        <v/>
      </c>
      <c r="AB362" s="235" t="n">
        <v>0</v>
      </c>
      <c r="AC362" s="461">
        <f>K362*AB362</f>
        <v/>
      </c>
      <c r="AD362" s="461" t="n"/>
      <c r="AE362" s="461">
        <f>AC362-AD362</f>
        <v/>
      </c>
      <c r="AF362" s="235" t="n">
        <v>0</v>
      </c>
      <c r="AG362" s="461">
        <f>K362*AF362</f>
        <v/>
      </c>
      <c r="AH362" s="461" t="n"/>
      <c r="AI362" s="461">
        <f>AG362-AH362</f>
        <v/>
      </c>
      <c r="AJ362" s="235" t="n">
        <v>0</v>
      </c>
      <c r="AK362" s="461">
        <f>K362*AJ362</f>
        <v/>
      </c>
      <c r="AL362" s="461" t="n"/>
      <c r="AM362" s="461">
        <f>AK362-AL362</f>
        <v/>
      </c>
      <c r="AN362" s="235" t="n">
        <v>0</v>
      </c>
      <c r="AO362" s="461">
        <f>K362*AN362</f>
        <v/>
      </c>
      <c r="AP362" s="461" t="n"/>
      <c r="AQ362" s="461">
        <f>AO362-AP362</f>
        <v/>
      </c>
      <c r="AR362" s="461" t="n">
        <v>0.035</v>
      </c>
      <c r="AS362" s="461">
        <f>K362*AR362</f>
        <v/>
      </c>
      <c r="AT362" s="258" t="n"/>
      <c r="AU362" s="340">
        <f>AS362-AT362</f>
        <v/>
      </c>
      <c r="AV362" s="235" t="inlineStr">
        <is>
          <t>按实</t>
        </is>
      </c>
      <c r="AW362" s="461">
        <f>AX362</f>
        <v/>
      </c>
      <c r="AX362" s="258" t="n"/>
      <c r="AY362" s="461">
        <f>AW362-AX362</f>
        <v/>
      </c>
      <c r="AZ362" s="235" t="inlineStr">
        <is>
          <t>按实</t>
        </is>
      </c>
      <c r="BA362" s="461">
        <f>BB362</f>
        <v/>
      </c>
      <c r="BB362" s="461" t="n"/>
      <c r="BC362" s="461">
        <f>BA362-BB362</f>
        <v/>
      </c>
      <c r="BD362" s="235" t="n">
        <v>0</v>
      </c>
      <c r="BE362" s="461">
        <f>K362*BD362</f>
        <v/>
      </c>
      <c r="BF362" s="461" t="n"/>
      <c r="BG362" s="461">
        <f>BE362-BF362</f>
        <v/>
      </c>
      <c r="BH362" s="235" t="n">
        <v>0</v>
      </c>
      <c r="BI362" s="461">
        <f>K362*BH362</f>
        <v/>
      </c>
      <c r="BJ362" s="461" t="n"/>
      <c r="BK362" s="461">
        <f>BI362-BJ362</f>
        <v/>
      </c>
      <c r="BL362" s="235" t="inlineStr">
        <is>
          <t>按实</t>
        </is>
      </c>
      <c r="BM362" s="220">
        <f>BN362</f>
        <v/>
      </c>
      <c r="BN362" s="220" t="n"/>
      <c r="BO362" s="220">
        <f>BM362-BN362</f>
        <v/>
      </c>
      <c r="BP362" s="220">
        <f>N362+Q362+U362+Y362+AC362+AG362+AK362+AO362+AS362+AW362+BA362+BE362+BI362+BM362</f>
        <v/>
      </c>
      <c r="BQ362" s="220">
        <f>N362+R362+V362+Z362+AD362+AH362+AL362+AP362+AT362+AX362+BB362+BF362+BJ362+BN362</f>
        <v/>
      </c>
      <c r="BR362" s="370">
        <f>BP362-BQ362</f>
        <v/>
      </c>
      <c r="BS362" s="549" t="inlineStr">
        <is>
          <t>/</t>
        </is>
      </c>
      <c r="BT362" s="549" t="inlineStr">
        <is>
          <t>/</t>
        </is>
      </c>
      <c r="BU362" s="230" t="inlineStr">
        <is>
          <t>1、共建活动费：校园美食节费用，未分摊共建活动费，服务费包含未拆分
2、装修折旧费：服务费包含未拆分
3、卫生费：服务费包含未拆分
4、能源费：服务费包含未拆分</t>
        </is>
      </c>
      <c r="BV362" s="230" t="inlineStr">
        <is>
          <t>1、签订期间：2026.3.6-2026.7.30；
2、指标按照全年换算；</t>
        </is>
      </c>
      <c r="BW362" s="534" t="n"/>
    </row>
    <row r="363" ht="96" customFormat="1" customHeight="1" s="209">
      <c r="A363" s="219" t="n">
        <v>420</v>
      </c>
      <c r="B363" s="220" t="inlineStr">
        <is>
          <t>KQCY0420</t>
        </is>
      </c>
      <c r="C363" s="221" t="inlineStr">
        <is>
          <t>餐饮六分部</t>
        </is>
      </c>
      <c r="D363" s="221" t="inlineStr">
        <is>
          <t>CF479</t>
        </is>
      </c>
      <c r="E363" s="221" t="inlineStr">
        <is>
          <t>江苏省交通技师学院第一食堂</t>
        </is>
      </c>
      <c r="F363" s="219" t="inlineStr">
        <is>
          <t>分组作业</t>
        </is>
      </c>
      <c r="G363" s="222" t="inlineStr">
        <is>
          <t>卫屹</t>
        </is>
      </c>
      <c r="H363" s="222" t="inlineStr">
        <is>
          <t>第三班组</t>
        </is>
      </c>
      <c r="I363" s="237" t="inlineStr">
        <is>
          <t>基本大伙</t>
        </is>
      </c>
      <c r="J363" s="222" t="inlineStr">
        <is>
          <t>查启清</t>
        </is>
      </c>
      <c r="K363" s="545">
        <f>LET(k,D363&amp;"|"&amp;E363&amp;"|"&amp;H363&amp;"|"&amp;I363&amp;"|"&amp;J363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63" s="546" t="n"/>
      <c r="M363" s="224" t="n"/>
      <c r="N363" s="547" t="n"/>
      <c r="O363" s="548" t="n">
        <v>1440000</v>
      </c>
      <c r="P363" s="247" t="inlineStr">
        <is>
          <t>22-23.5%
（18万元 23.5%
20万元 23%
22万元 22.5%
24万元及以上22%）</t>
        </is>
      </c>
      <c r="Q363" s="461">
        <f>K363*23.5%</f>
        <v/>
      </c>
      <c r="R363" s="599" t="n"/>
      <c r="S363" s="461">
        <f>Q363-R363</f>
        <v/>
      </c>
      <c r="T363" s="235" t="n">
        <v>0</v>
      </c>
      <c r="U363" s="461">
        <f>K363*T363</f>
        <v/>
      </c>
      <c r="V363" s="461" t="n"/>
      <c r="W363" s="461">
        <f>U363-V363</f>
        <v/>
      </c>
      <c r="X363" s="235" t="n">
        <v>0</v>
      </c>
      <c r="Y363" s="461">
        <f>K363*X363</f>
        <v/>
      </c>
      <c r="Z363" s="461" t="n"/>
      <c r="AA363" s="461">
        <f>Y363-Z363</f>
        <v/>
      </c>
      <c r="AB363" s="235" t="n">
        <v>0</v>
      </c>
      <c r="AC363" s="461">
        <f>K363*AB363</f>
        <v/>
      </c>
      <c r="AD363" s="461" t="n"/>
      <c r="AE363" s="461">
        <f>AC363-AD363</f>
        <v/>
      </c>
      <c r="AF363" s="235" t="n">
        <v>0</v>
      </c>
      <c r="AG363" s="461">
        <f>K363*AF363</f>
        <v/>
      </c>
      <c r="AH363" s="461" t="n"/>
      <c r="AI363" s="461">
        <f>AG363-AH363</f>
        <v/>
      </c>
      <c r="AJ363" s="235" t="n">
        <v>0</v>
      </c>
      <c r="AK363" s="461">
        <f>K363*AJ363</f>
        <v/>
      </c>
      <c r="AL363" s="461" t="n"/>
      <c r="AM363" s="461">
        <f>AK363-AL363</f>
        <v/>
      </c>
      <c r="AN363" s="235" t="n">
        <v>0</v>
      </c>
      <c r="AO363" s="461">
        <f>K363*AN363</f>
        <v/>
      </c>
      <c r="AP363" s="461" t="n"/>
      <c r="AQ363" s="461">
        <f>AO363-AP363</f>
        <v/>
      </c>
      <c r="AR363" s="461" t="n">
        <v>0</v>
      </c>
      <c r="AS363" s="461">
        <f>K363*AR363</f>
        <v/>
      </c>
      <c r="AT363" s="263" t="n"/>
      <c r="AU363" s="340">
        <f>AS363-AT363</f>
        <v/>
      </c>
      <c r="AV363" s="235" t="n">
        <v>0</v>
      </c>
      <c r="AW363" s="461">
        <f>K363*AV363</f>
        <v/>
      </c>
      <c r="AX363" s="263" t="n"/>
      <c r="AY363" s="461">
        <f>AW363-AX363</f>
        <v/>
      </c>
      <c r="AZ363" s="235" t="inlineStr">
        <is>
          <t>按实</t>
        </is>
      </c>
      <c r="BA363" s="461">
        <f>BB363</f>
        <v/>
      </c>
      <c r="BB363" s="461" t="n"/>
      <c r="BC363" s="461">
        <f>BA363-BB363</f>
        <v/>
      </c>
      <c r="BD363" s="235" t="n">
        <v>0</v>
      </c>
      <c r="BE363" s="461">
        <f>K363*BD363</f>
        <v/>
      </c>
      <c r="BF363" s="461" t="n"/>
      <c r="BG363" s="461">
        <f>BE363-BF363</f>
        <v/>
      </c>
      <c r="BH363" s="235" t="n">
        <v>0</v>
      </c>
      <c r="BI363" s="461">
        <f>K363*BH363</f>
        <v/>
      </c>
      <c r="BJ363" s="461" t="n"/>
      <c r="BK363" s="461">
        <f>BI363-BJ363</f>
        <v/>
      </c>
      <c r="BL363" s="235" t="inlineStr">
        <is>
          <t>按实</t>
        </is>
      </c>
      <c r="BM363" s="220">
        <f>BN363</f>
        <v/>
      </c>
      <c r="BN363" s="220" t="n"/>
      <c r="BO363" s="220">
        <f>BM363-BN363</f>
        <v/>
      </c>
      <c r="BP363" s="220">
        <f>N363+Q363+U363+Y363+AC363+AG363+AK363+AO363+AS363+AW363+BA363+BE363+BI363+BM363</f>
        <v/>
      </c>
      <c r="BQ363" s="220">
        <f>N363+R363+V363+Z363+AD363+AH363+AL363+AP363+AT363+AX363+BB363+BF363+BJ363+BN363</f>
        <v/>
      </c>
      <c r="BR363" s="370">
        <f>BP363-BQ363</f>
        <v/>
      </c>
      <c r="BS363" s="549" t="inlineStr">
        <is>
          <t>/</t>
        </is>
      </c>
      <c r="BT363" s="549" t="inlineStr">
        <is>
          <t>/</t>
        </is>
      </c>
      <c r="BU363" s="230" t="inlineStr">
        <is>
          <t>1、共建活动费：校园美食节费用，未分摊共建活动费，服务费包含未拆分
2、装修折旧费：服务费包含未拆分
3、卫生费：服务费包含未拆分
4、能源费：服务费包含未拆分</t>
        </is>
      </c>
      <c r="BV363" s="230" t="inlineStr">
        <is>
          <t>1、签订期间：2026.3.6-2026.7.30；
2、指标按照全年换算；</t>
        </is>
      </c>
      <c r="BW363" s="534" t="n"/>
    </row>
    <row r="364" ht="60" customFormat="1" customHeight="1" s="209">
      <c r="A364" s="219" t="n">
        <v>421</v>
      </c>
      <c r="B364" s="220" t="inlineStr">
        <is>
          <t>KQCY0421</t>
        </is>
      </c>
      <c r="C364" s="221" t="inlineStr">
        <is>
          <t>餐饮六分部</t>
        </is>
      </c>
      <c r="D364" s="221" t="inlineStr">
        <is>
          <t>CF479</t>
        </is>
      </c>
      <c r="E364" s="221" t="inlineStr">
        <is>
          <t>江苏省交通技师学院第一食堂</t>
        </is>
      </c>
      <c r="F364" s="219" t="inlineStr">
        <is>
          <t>分组作业</t>
        </is>
      </c>
      <c r="G364" s="222" t="inlineStr">
        <is>
          <t>卫屹</t>
        </is>
      </c>
      <c r="H364" s="222" t="inlineStr">
        <is>
          <t>第四班组</t>
        </is>
      </c>
      <c r="I364" s="237" t="inlineStr">
        <is>
          <t>早餐</t>
        </is>
      </c>
      <c r="J364" s="222" t="inlineStr">
        <is>
          <t>苏广前</t>
        </is>
      </c>
      <c r="K364" s="545">
        <f>LET(k,D364&amp;"|"&amp;E364&amp;"|"&amp;H364&amp;"|"&amp;I364&amp;"|"&amp;J364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64" s="546" t="n"/>
      <c r="M364" s="224" t="n"/>
      <c r="N364" s="547" t="n"/>
      <c r="O364" s="548" t="n">
        <v>800000</v>
      </c>
      <c r="P364" s="235" t="n">
        <v>0.19</v>
      </c>
      <c r="Q364" s="461">
        <f>K364*P364</f>
        <v/>
      </c>
      <c r="R364" s="599" t="n"/>
      <c r="S364" s="461">
        <f>Q364-R364</f>
        <v/>
      </c>
      <c r="T364" s="235" t="n">
        <v>0</v>
      </c>
      <c r="U364" s="461">
        <f>K364*T364</f>
        <v/>
      </c>
      <c r="V364" s="461" t="n"/>
      <c r="W364" s="461">
        <f>U364-V364</f>
        <v/>
      </c>
      <c r="X364" s="235" t="n">
        <v>0</v>
      </c>
      <c r="Y364" s="461">
        <f>K364*X364</f>
        <v/>
      </c>
      <c r="Z364" s="461" t="n"/>
      <c r="AA364" s="461">
        <f>Y364-Z364</f>
        <v/>
      </c>
      <c r="AB364" s="235" t="n">
        <v>0</v>
      </c>
      <c r="AC364" s="461">
        <f>K364*AB364</f>
        <v/>
      </c>
      <c r="AD364" s="461" t="n"/>
      <c r="AE364" s="461">
        <f>AC364-AD364</f>
        <v/>
      </c>
      <c r="AF364" s="235" t="n">
        <v>0</v>
      </c>
      <c r="AG364" s="461">
        <f>K364*AF364</f>
        <v/>
      </c>
      <c r="AH364" s="461" t="n"/>
      <c r="AI364" s="461">
        <f>AG364-AH364</f>
        <v/>
      </c>
      <c r="AJ364" s="235" t="n">
        <v>0</v>
      </c>
      <c r="AK364" s="461">
        <f>K364*AJ364</f>
        <v/>
      </c>
      <c r="AL364" s="461" t="n"/>
      <c r="AM364" s="461">
        <f>AK364-AL364</f>
        <v/>
      </c>
      <c r="AN364" s="235" t="n">
        <v>0</v>
      </c>
      <c r="AO364" s="461">
        <f>K364*AN364</f>
        <v/>
      </c>
      <c r="AP364" s="461" t="n"/>
      <c r="AQ364" s="461">
        <f>AO364-AP364</f>
        <v/>
      </c>
      <c r="AR364" s="461" t="n">
        <v>0.035</v>
      </c>
      <c r="AS364" s="461">
        <f>K364*AR364</f>
        <v/>
      </c>
      <c r="AT364" s="258" t="n"/>
      <c r="AU364" s="340">
        <f>AS364-AT364</f>
        <v/>
      </c>
      <c r="AV364" s="235" t="inlineStr">
        <is>
          <t>按实</t>
        </is>
      </c>
      <c r="AW364" s="461">
        <f>AX364</f>
        <v/>
      </c>
      <c r="AX364" s="258" t="n"/>
      <c r="AY364" s="461">
        <f>AW364-AX364</f>
        <v/>
      </c>
      <c r="AZ364" s="235" t="inlineStr">
        <is>
          <t>按实</t>
        </is>
      </c>
      <c r="BA364" s="461">
        <f>BB364</f>
        <v/>
      </c>
      <c r="BB364" s="461" t="n"/>
      <c r="BC364" s="461">
        <f>BA364-BB364</f>
        <v/>
      </c>
      <c r="BD364" s="235" t="n">
        <v>0</v>
      </c>
      <c r="BE364" s="461">
        <f>K364*BD364</f>
        <v/>
      </c>
      <c r="BF364" s="461" t="n"/>
      <c r="BG364" s="461">
        <f>BE364-BF364</f>
        <v/>
      </c>
      <c r="BH364" s="235" t="n">
        <v>0</v>
      </c>
      <c r="BI364" s="461">
        <f>K364*BH364</f>
        <v/>
      </c>
      <c r="BJ364" s="461" t="n"/>
      <c r="BK364" s="461">
        <f>BI364-BJ364</f>
        <v/>
      </c>
      <c r="BL364" s="235" t="inlineStr">
        <is>
          <t>按实</t>
        </is>
      </c>
      <c r="BM364" s="220">
        <f>BN364</f>
        <v/>
      </c>
      <c r="BN364" s="220" t="n"/>
      <c r="BO364" s="220">
        <f>BM364-BN364</f>
        <v/>
      </c>
      <c r="BP364" s="220">
        <f>N364+Q364+U364+Y364+AC364+AG364+AK364+AO364+AS364+AW364+BA364+BE364+BI364+BM364</f>
        <v/>
      </c>
      <c r="BQ364" s="220">
        <f>N364+R364+V364+Z364+AD364+AH364+AL364+AP364+AT364+AX364+BB364+BF364+BJ364+BN364</f>
        <v/>
      </c>
      <c r="BR364" s="370">
        <f>BP364-BQ364</f>
        <v/>
      </c>
      <c r="BS364" s="549" t="inlineStr">
        <is>
          <t>/</t>
        </is>
      </c>
      <c r="BT364" s="549" t="inlineStr">
        <is>
          <t>/</t>
        </is>
      </c>
      <c r="BU364" s="230" t="inlineStr">
        <is>
          <t>1、共建活动费：校园美食节费用，未分摊共建活动费，服务费包含未拆分
2、装修折旧费：服务费包含未拆分
3、卫生费：服务费包含未拆分
4、能源费：服务费包含未拆分</t>
        </is>
      </c>
      <c r="BV364" s="230" t="inlineStr">
        <is>
          <t>1、签订期间：2026.3.6-2026.7.30；
2、指标按照全年换算；</t>
        </is>
      </c>
      <c r="BW364" s="534" t="n"/>
    </row>
    <row r="365" ht="60" customFormat="1" customHeight="1" s="209">
      <c r="A365" s="219" t="n">
        <v>422</v>
      </c>
      <c r="B365" s="220" t="inlineStr">
        <is>
          <t>KQCY0422</t>
        </is>
      </c>
      <c r="C365" s="221" t="inlineStr">
        <is>
          <t>餐饮六分部</t>
        </is>
      </c>
      <c r="D365" s="221" t="inlineStr">
        <is>
          <t>CF479</t>
        </is>
      </c>
      <c r="E365" s="221" t="inlineStr">
        <is>
          <t>江苏省交通技师学院第一食堂</t>
        </is>
      </c>
      <c r="F365" s="219" t="inlineStr">
        <is>
          <t>分组作业</t>
        </is>
      </c>
      <c r="G365" s="222" t="inlineStr">
        <is>
          <t>卫屹</t>
        </is>
      </c>
      <c r="H365" s="222" t="inlineStr">
        <is>
          <t>第五班组</t>
        </is>
      </c>
      <c r="I365" s="237" t="inlineStr">
        <is>
          <t>面条</t>
        </is>
      </c>
      <c r="J365" s="222" t="inlineStr">
        <is>
          <t>李炳志</t>
        </is>
      </c>
      <c r="K365" s="545">
        <f>LET(k,D365&amp;"|"&amp;E365&amp;"|"&amp;H365&amp;"|"&amp;I365&amp;"|"&amp;J365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65" s="546" t="n"/>
      <c r="M365" s="224" t="n"/>
      <c r="N365" s="547" t="n"/>
      <c r="O365" s="548" t="n">
        <v>290000</v>
      </c>
      <c r="P365" s="235" t="n">
        <v>0.19</v>
      </c>
      <c r="Q365" s="461">
        <f>K365*P365</f>
        <v/>
      </c>
      <c r="R365" s="599" t="n"/>
      <c r="S365" s="461">
        <f>Q365-R365</f>
        <v/>
      </c>
      <c r="T365" s="235" t="n">
        <v>0</v>
      </c>
      <c r="U365" s="461">
        <f>K365*T365</f>
        <v/>
      </c>
      <c r="V365" s="461" t="n"/>
      <c r="W365" s="461">
        <f>U365-V365</f>
        <v/>
      </c>
      <c r="X365" s="235" t="n">
        <v>0</v>
      </c>
      <c r="Y365" s="461">
        <f>K365*X365</f>
        <v/>
      </c>
      <c r="Z365" s="461" t="n"/>
      <c r="AA365" s="461">
        <f>Y365-Z365</f>
        <v/>
      </c>
      <c r="AB365" s="235" t="n">
        <v>0</v>
      </c>
      <c r="AC365" s="461">
        <f>K365*AB365</f>
        <v/>
      </c>
      <c r="AD365" s="461" t="n"/>
      <c r="AE365" s="461">
        <f>AC365-AD365</f>
        <v/>
      </c>
      <c r="AF365" s="235" t="n">
        <v>0</v>
      </c>
      <c r="AG365" s="461">
        <f>K365*AF365</f>
        <v/>
      </c>
      <c r="AH365" s="461" t="n"/>
      <c r="AI365" s="461">
        <f>AG365-AH365</f>
        <v/>
      </c>
      <c r="AJ365" s="235" t="n">
        <v>0</v>
      </c>
      <c r="AK365" s="461">
        <f>K365*AJ365</f>
        <v/>
      </c>
      <c r="AL365" s="461" t="n"/>
      <c r="AM365" s="461">
        <f>AK365-AL365</f>
        <v/>
      </c>
      <c r="AN365" s="235" t="n">
        <v>0</v>
      </c>
      <c r="AO365" s="461">
        <f>K365*AN365</f>
        <v/>
      </c>
      <c r="AP365" s="461" t="n"/>
      <c r="AQ365" s="461">
        <f>AO365-AP365</f>
        <v/>
      </c>
      <c r="AR365" s="461" t="n">
        <v>0.035</v>
      </c>
      <c r="AS365" s="461">
        <f>K365*AR365</f>
        <v/>
      </c>
      <c r="AT365" s="258" t="n"/>
      <c r="AU365" s="340">
        <f>AS365-AT365</f>
        <v/>
      </c>
      <c r="AV365" s="235" t="inlineStr">
        <is>
          <t>按实</t>
        </is>
      </c>
      <c r="AW365" s="461">
        <f>AX365</f>
        <v/>
      </c>
      <c r="AX365" s="258" t="n"/>
      <c r="AY365" s="461">
        <f>AW365-AX365</f>
        <v/>
      </c>
      <c r="AZ365" s="235" t="inlineStr">
        <is>
          <t>按实</t>
        </is>
      </c>
      <c r="BA365" s="461">
        <f>BB365</f>
        <v/>
      </c>
      <c r="BB365" s="461" t="n"/>
      <c r="BC365" s="461">
        <f>BA365-BB365</f>
        <v/>
      </c>
      <c r="BD365" s="235" t="n">
        <v>0</v>
      </c>
      <c r="BE365" s="461">
        <f>K365*BD365</f>
        <v/>
      </c>
      <c r="BF365" s="461" t="n"/>
      <c r="BG365" s="461">
        <f>BE365-BF365</f>
        <v/>
      </c>
      <c r="BH365" s="235" t="n">
        <v>0</v>
      </c>
      <c r="BI365" s="461">
        <f>K365*BH365</f>
        <v/>
      </c>
      <c r="BJ365" s="461" t="n"/>
      <c r="BK365" s="461">
        <f>BI365-BJ365</f>
        <v/>
      </c>
      <c r="BL365" s="235" t="inlineStr">
        <is>
          <t>按实</t>
        </is>
      </c>
      <c r="BM365" s="220">
        <f>BN365</f>
        <v/>
      </c>
      <c r="BN365" s="280" t="n"/>
      <c r="BO365" s="220">
        <f>BM365-BN365</f>
        <v/>
      </c>
      <c r="BP365" s="220">
        <f>N365+Q365+U365+Y365+AC365+AG365+AK365+AO365+AS365+AW365+BA365+BE365+BI365+BM365</f>
        <v/>
      </c>
      <c r="BQ365" s="220">
        <f>N365+R365+V365+Z365+AD365+AH365+AL365+AP365+AT365+AX365+BB365+BF365+BJ365+BN365</f>
        <v/>
      </c>
      <c r="BR365" s="370">
        <f>BP365-BQ365</f>
        <v/>
      </c>
      <c r="BS365" s="549" t="inlineStr">
        <is>
          <t>/</t>
        </is>
      </c>
      <c r="BT365" s="549" t="inlineStr">
        <is>
          <t>/</t>
        </is>
      </c>
      <c r="BU365" s="230" t="inlineStr">
        <is>
          <t>1、共建活动费：校园美食节费用，未分摊共建活动费，服务费包含未拆分
2、装修折旧费：服务费包含未拆分
3、卫生费：服务费包含未拆分
4、能源费：服务费包含未拆分</t>
        </is>
      </c>
      <c r="BV365" s="230" t="inlineStr">
        <is>
          <t>1、签订期间：2026.3.6-2026.7.30；
2、指标按照全年换算；</t>
        </is>
      </c>
      <c r="BW365" s="534" t="n"/>
    </row>
    <row r="366" ht="60" customFormat="1" customHeight="1" s="209">
      <c r="A366" s="219" t="n">
        <v>423</v>
      </c>
      <c r="B366" s="220" t="inlineStr">
        <is>
          <t>KQCY0423</t>
        </is>
      </c>
      <c r="C366" s="221" t="inlineStr">
        <is>
          <t>餐饮六分部</t>
        </is>
      </c>
      <c r="D366" s="221" t="inlineStr">
        <is>
          <t>CF479</t>
        </is>
      </c>
      <c r="E366" s="221" t="inlineStr">
        <is>
          <t>江苏省交通技师学院第一食堂</t>
        </is>
      </c>
      <c r="F366" s="219" t="inlineStr">
        <is>
          <t>分组作业</t>
        </is>
      </c>
      <c r="G366" s="222" t="inlineStr">
        <is>
          <t>卫屹</t>
        </is>
      </c>
      <c r="H366" s="222" t="inlineStr">
        <is>
          <t>第六班组</t>
        </is>
      </c>
      <c r="I366" s="237" t="inlineStr">
        <is>
          <t>水饺</t>
        </is>
      </c>
      <c r="J366" s="222" t="inlineStr">
        <is>
          <t>王金华</t>
        </is>
      </c>
      <c r="K366" s="545">
        <f>LET(k,D366&amp;"|"&amp;E366&amp;"|"&amp;H366&amp;"|"&amp;I366&amp;"|"&amp;J366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66" s="546" t="n"/>
      <c r="M366" s="224" t="n"/>
      <c r="N366" s="547" t="n"/>
      <c r="O366" s="548" t="n">
        <v>210000</v>
      </c>
      <c r="P366" s="235" t="n">
        <v>0.19</v>
      </c>
      <c r="Q366" s="461">
        <f>K366*P366</f>
        <v/>
      </c>
      <c r="R366" s="599" t="n"/>
      <c r="S366" s="461">
        <f>Q366-R366</f>
        <v/>
      </c>
      <c r="T366" s="235" t="n">
        <v>0</v>
      </c>
      <c r="U366" s="461">
        <f>K366*T366</f>
        <v/>
      </c>
      <c r="V366" s="461" t="n"/>
      <c r="W366" s="461">
        <f>U366-V366</f>
        <v/>
      </c>
      <c r="X366" s="235" t="n">
        <v>0</v>
      </c>
      <c r="Y366" s="461">
        <f>K366*X366</f>
        <v/>
      </c>
      <c r="Z366" s="461" t="n"/>
      <c r="AA366" s="461">
        <f>Y366-Z366</f>
        <v/>
      </c>
      <c r="AB366" s="235" t="n">
        <v>0</v>
      </c>
      <c r="AC366" s="461">
        <f>K366*AB366</f>
        <v/>
      </c>
      <c r="AD366" s="461" t="n"/>
      <c r="AE366" s="461">
        <f>AC366-AD366</f>
        <v/>
      </c>
      <c r="AF366" s="235" t="n">
        <v>0</v>
      </c>
      <c r="AG366" s="461">
        <f>K366*AF366</f>
        <v/>
      </c>
      <c r="AH366" s="461" t="n"/>
      <c r="AI366" s="461">
        <f>AG366-AH366</f>
        <v/>
      </c>
      <c r="AJ366" s="235" t="n">
        <v>0</v>
      </c>
      <c r="AK366" s="461">
        <f>K366*AJ366</f>
        <v/>
      </c>
      <c r="AL366" s="461" t="n"/>
      <c r="AM366" s="461">
        <f>AK366-AL366</f>
        <v/>
      </c>
      <c r="AN366" s="235" t="n">
        <v>0</v>
      </c>
      <c r="AO366" s="461">
        <f>K366*AN366</f>
        <v/>
      </c>
      <c r="AP366" s="461" t="n"/>
      <c r="AQ366" s="461">
        <f>AO366-AP366</f>
        <v/>
      </c>
      <c r="AR366" s="461" t="n">
        <v>0.035</v>
      </c>
      <c r="AS366" s="461">
        <f>K366*AR366</f>
        <v/>
      </c>
      <c r="AT366" s="263" t="n"/>
      <c r="AU366" s="340">
        <f>AS366-AT366</f>
        <v/>
      </c>
      <c r="AV366" s="235" t="inlineStr">
        <is>
          <t>按实</t>
        </is>
      </c>
      <c r="AW366" s="461">
        <f>AX366</f>
        <v/>
      </c>
      <c r="AX366" s="258" t="n"/>
      <c r="AY366" s="461">
        <f>AW366-AX366</f>
        <v/>
      </c>
      <c r="AZ366" s="235" t="inlineStr">
        <is>
          <t>按实</t>
        </is>
      </c>
      <c r="BA366" s="461">
        <f>BB366</f>
        <v/>
      </c>
      <c r="BB366" s="461" t="n"/>
      <c r="BC366" s="461">
        <f>BA366-BB366</f>
        <v/>
      </c>
      <c r="BD366" s="235" t="n">
        <v>0</v>
      </c>
      <c r="BE366" s="461">
        <f>K366*BD366</f>
        <v/>
      </c>
      <c r="BF366" s="461" t="n"/>
      <c r="BG366" s="461">
        <f>BE366-BF366</f>
        <v/>
      </c>
      <c r="BH366" s="235" t="n">
        <v>0</v>
      </c>
      <c r="BI366" s="461">
        <f>K366*BH366</f>
        <v/>
      </c>
      <c r="BJ366" s="461" t="n"/>
      <c r="BK366" s="461">
        <f>BI366-BJ366</f>
        <v/>
      </c>
      <c r="BL366" s="235" t="inlineStr">
        <is>
          <t>按实</t>
        </is>
      </c>
      <c r="BM366" s="220">
        <f>BN366</f>
        <v/>
      </c>
      <c r="BN366" s="280" t="n"/>
      <c r="BO366" s="220">
        <f>BM366-BN366</f>
        <v/>
      </c>
      <c r="BP366" s="220">
        <f>N366+Q366+U366+Y366+AC366+AG366+AK366+AO366+AS366+AW366+BA366+BE366+BI366+BM366</f>
        <v/>
      </c>
      <c r="BQ366" s="220">
        <f>N366+R366+V366+Z366+AD366+AH366+AL366+AP366+AT366+AX366+BB366+BF366+BJ366+BN366</f>
        <v/>
      </c>
      <c r="BR366" s="370">
        <f>BP366-BQ366</f>
        <v/>
      </c>
      <c r="BS366" s="549" t="inlineStr">
        <is>
          <t>/</t>
        </is>
      </c>
      <c r="BT366" s="549" t="inlineStr">
        <is>
          <t>/</t>
        </is>
      </c>
      <c r="BU366" s="230" t="inlineStr">
        <is>
          <t>1、共建活动费：校园美食节费用，未分摊共建活动费，服务费包含未拆分
2、装修折旧费：服务费包含未拆分
3、卫生费：服务费包含未拆分
4、能源费：服务费包含未拆分</t>
        </is>
      </c>
      <c r="BV366" s="230" t="inlineStr">
        <is>
          <t>1、签订期间：2026.3.6-2026.7.30；
2、指标按照全年换算；</t>
        </is>
      </c>
      <c r="BW366" s="534" t="n"/>
    </row>
    <row r="367" ht="60" customFormat="1" customHeight="1" s="209">
      <c r="A367" s="219" t="n">
        <v>424</v>
      </c>
      <c r="B367" s="220" t="inlineStr">
        <is>
          <t>KQCY0424</t>
        </is>
      </c>
      <c r="C367" s="221" t="inlineStr">
        <is>
          <t>餐饮六分部</t>
        </is>
      </c>
      <c r="D367" s="221" t="inlineStr">
        <is>
          <t>CF479</t>
        </is>
      </c>
      <c r="E367" s="221" t="inlineStr">
        <is>
          <t>江苏省交通技师学院第一食堂</t>
        </is>
      </c>
      <c r="F367" s="219" t="inlineStr">
        <is>
          <t>分组作业</t>
        </is>
      </c>
      <c r="G367" s="222" t="inlineStr">
        <is>
          <t>卫屹</t>
        </is>
      </c>
      <c r="H367" s="222" t="inlineStr">
        <is>
          <t>第七班组</t>
        </is>
      </c>
      <c r="I367" s="237" t="inlineStr">
        <is>
          <t>油泼鸡</t>
        </is>
      </c>
      <c r="J367" s="222" t="inlineStr">
        <is>
          <t>陈永龙</t>
        </is>
      </c>
      <c r="K367" s="545">
        <f>LET(k,D367&amp;"|"&amp;E367&amp;"|"&amp;H367&amp;"|"&amp;I367&amp;"|"&amp;J367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67" s="546" t="n"/>
      <c r="M367" s="224" t="n"/>
      <c r="N367" s="547" t="n"/>
      <c r="O367" s="548" t="n">
        <v>280000</v>
      </c>
      <c r="P367" s="235" t="n">
        <v>0.19</v>
      </c>
      <c r="Q367" s="461">
        <f>K367*P367</f>
        <v/>
      </c>
      <c r="R367" s="599" t="n"/>
      <c r="S367" s="461">
        <f>Q367-R367</f>
        <v/>
      </c>
      <c r="T367" s="235" t="n">
        <v>0</v>
      </c>
      <c r="U367" s="461">
        <f>K367*T367</f>
        <v/>
      </c>
      <c r="V367" s="461" t="n"/>
      <c r="W367" s="461">
        <f>U367-V367</f>
        <v/>
      </c>
      <c r="X367" s="235" t="n">
        <v>0</v>
      </c>
      <c r="Y367" s="461">
        <f>K367*X367</f>
        <v/>
      </c>
      <c r="Z367" s="461" t="n"/>
      <c r="AA367" s="461">
        <f>Y367-Z367</f>
        <v/>
      </c>
      <c r="AB367" s="235" t="n">
        <v>0</v>
      </c>
      <c r="AC367" s="461">
        <f>K367*AB367</f>
        <v/>
      </c>
      <c r="AD367" s="461" t="n"/>
      <c r="AE367" s="461">
        <f>AC367-AD367</f>
        <v/>
      </c>
      <c r="AF367" s="235" t="n">
        <v>0</v>
      </c>
      <c r="AG367" s="461">
        <f>K367*AF367</f>
        <v/>
      </c>
      <c r="AH367" s="461" t="n"/>
      <c r="AI367" s="461">
        <f>AG367-AH367</f>
        <v/>
      </c>
      <c r="AJ367" s="235" t="n">
        <v>0</v>
      </c>
      <c r="AK367" s="461">
        <f>K367*AJ367</f>
        <v/>
      </c>
      <c r="AL367" s="461" t="n"/>
      <c r="AM367" s="461">
        <f>AK367-AL367</f>
        <v/>
      </c>
      <c r="AN367" s="235" t="n">
        <v>0</v>
      </c>
      <c r="AO367" s="461">
        <f>K367*AN367</f>
        <v/>
      </c>
      <c r="AP367" s="461" t="n"/>
      <c r="AQ367" s="461">
        <f>AO367-AP367</f>
        <v/>
      </c>
      <c r="AR367" s="461" t="n">
        <v>0.035</v>
      </c>
      <c r="AS367" s="461">
        <f>K367*AR367</f>
        <v/>
      </c>
      <c r="AT367" s="258" t="n"/>
      <c r="AU367" s="340">
        <f>AS367-AT367</f>
        <v/>
      </c>
      <c r="AV367" s="235" t="inlineStr">
        <is>
          <t>按实</t>
        </is>
      </c>
      <c r="AW367" s="461">
        <f>AX367</f>
        <v/>
      </c>
      <c r="AX367" s="258" t="n"/>
      <c r="AY367" s="461">
        <f>AW367-AX367</f>
        <v/>
      </c>
      <c r="AZ367" s="235" t="inlineStr">
        <is>
          <t>按实</t>
        </is>
      </c>
      <c r="BA367" s="461">
        <f>BB367</f>
        <v/>
      </c>
      <c r="BB367" s="461" t="n"/>
      <c r="BC367" s="461">
        <f>BA367-BB367</f>
        <v/>
      </c>
      <c r="BD367" s="235" t="n">
        <v>0</v>
      </c>
      <c r="BE367" s="461">
        <f>K367*BD367</f>
        <v/>
      </c>
      <c r="BF367" s="461" t="n"/>
      <c r="BG367" s="461">
        <f>BE367-BF367</f>
        <v/>
      </c>
      <c r="BH367" s="235" t="n">
        <v>0</v>
      </c>
      <c r="BI367" s="461">
        <f>K367*BH367</f>
        <v/>
      </c>
      <c r="BJ367" s="461" t="n"/>
      <c r="BK367" s="461">
        <f>BI367-BJ367</f>
        <v/>
      </c>
      <c r="BL367" s="235" t="inlineStr">
        <is>
          <t>按实</t>
        </is>
      </c>
      <c r="BM367" s="220">
        <f>BN367</f>
        <v/>
      </c>
      <c r="BN367" s="280" t="n"/>
      <c r="BO367" s="220">
        <f>BM367-BN367</f>
        <v/>
      </c>
      <c r="BP367" s="220">
        <f>N367+Q367+U367+Y367+AC367+AG367+AK367+AO367+AS367+AW367+BA367+BE367+BI367+BM367</f>
        <v/>
      </c>
      <c r="BQ367" s="220">
        <f>N367+R367+V367+Z367+AD367+AH367+AL367+AP367+AT367+AX367+BB367+BF367+BJ367+BN367</f>
        <v/>
      </c>
      <c r="BR367" s="370">
        <f>BP367-BQ367</f>
        <v/>
      </c>
      <c r="BS367" s="549" t="inlineStr">
        <is>
          <t>/</t>
        </is>
      </c>
      <c r="BT367" s="549" t="inlineStr">
        <is>
          <t>/</t>
        </is>
      </c>
      <c r="BU367" s="230" t="inlineStr">
        <is>
          <t>1、共建活动费：校园美食节费用，未分摊共建活动费，服务费包含未拆分
2、装修折旧费：服务费包含未拆分
3、卫生费：服务费包含未拆分
4、能源费：服务费包含未拆分</t>
        </is>
      </c>
      <c r="BV367" s="230" t="inlineStr">
        <is>
          <t>1、签订期间：2026.3.6-2026.7.30；
2、指标按照全年换算；</t>
        </is>
      </c>
      <c r="BW367" s="534" t="n"/>
    </row>
    <row r="368" ht="60" customFormat="1" customHeight="1" s="209">
      <c r="A368" s="219" t="n">
        <v>425</v>
      </c>
      <c r="B368" s="220" t="inlineStr">
        <is>
          <t>KQCY0425</t>
        </is>
      </c>
      <c r="C368" s="221" t="inlineStr">
        <is>
          <t>餐饮六分部</t>
        </is>
      </c>
      <c r="D368" s="221" t="inlineStr">
        <is>
          <t>CF479</t>
        </is>
      </c>
      <c r="E368" s="221" t="inlineStr">
        <is>
          <t>江苏省交通技师学院第一食堂</t>
        </is>
      </c>
      <c r="F368" s="219" t="inlineStr">
        <is>
          <t>分组作业</t>
        </is>
      </c>
      <c r="G368" s="222" t="inlineStr">
        <is>
          <t>卫屹</t>
        </is>
      </c>
      <c r="H368" s="222" t="inlineStr">
        <is>
          <t>第八班组</t>
        </is>
      </c>
      <c r="I368" s="237" t="inlineStr">
        <is>
          <t>麦多馅饼</t>
        </is>
      </c>
      <c r="J368" s="222" t="inlineStr">
        <is>
          <t>董超</t>
        </is>
      </c>
      <c r="K368" s="545">
        <f>LET(k,D368&amp;"|"&amp;E368&amp;"|"&amp;H368&amp;"|"&amp;I368&amp;"|"&amp;J368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68" s="546" t="n"/>
      <c r="M368" s="224" t="n"/>
      <c r="N368" s="547" t="n"/>
      <c r="O368" s="548" t="n">
        <v>260000</v>
      </c>
      <c r="P368" s="235" t="n">
        <v>0.19</v>
      </c>
      <c r="Q368" s="461">
        <f>K368*P368</f>
        <v/>
      </c>
      <c r="R368" s="599" t="n"/>
      <c r="S368" s="461">
        <f>Q368-R368</f>
        <v/>
      </c>
      <c r="T368" s="235" t="n">
        <v>0</v>
      </c>
      <c r="U368" s="461">
        <f>K368*T368</f>
        <v/>
      </c>
      <c r="V368" s="461" t="n"/>
      <c r="W368" s="461">
        <f>U368-V368</f>
        <v/>
      </c>
      <c r="X368" s="235" t="n">
        <v>0</v>
      </c>
      <c r="Y368" s="461">
        <f>K368*X368</f>
        <v/>
      </c>
      <c r="Z368" s="461" t="n"/>
      <c r="AA368" s="461">
        <f>Y368-Z368</f>
        <v/>
      </c>
      <c r="AB368" s="235" t="n">
        <v>0</v>
      </c>
      <c r="AC368" s="461">
        <f>K368*AB368</f>
        <v/>
      </c>
      <c r="AD368" s="461" t="n"/>
      <c r="AE368" s="461">
        <f>AC368-AD368</f>
        <v/>
      </c>
      <c r="AF368" s="235" t="n">
        <v>0</v>
      </c>
      <c r="AG368" s="461">
        <f>K368*AF368</f>
        <v/>
      </c>
      <c r="AH368" s="461" t="n"/>
      <c r="AI368" s="461">
        <f>AG368-AH368</f>
        <v/>
      </c>
      <c r="AJ368" s="235" t="n">
        <v>0</v>
      </c>
      <c r="AK368" s="461">
        <f>K368*AJ368</f>
        <v/>
      </c>
      <c r="AL368" s="461" t="n"/>
      <c r="AM368" s="461">
        <f>AK368-AL368</f>
        <v/>
      </c>
      <c r="AN368" s="235" t="n">
        <v>0</v>
      </c>
      <c r="AO368" s="461">
        <f>K368*AN368</f>
        <v/>
      </c>
      <c r="AP368" s="461" t="n"/>
      <c r="AQ368" s="461">
        <f>AO368-AP368</f>
        <v/>
      </c>
      <c r="AR368" s="461" t="inlineStr">
        <is>
          <t>1500元/月，7月按实际营业天数结算</t>
        </is>
      </c>
      <c r="AS368" s="461" t="n">
        <v>0</v>
      </c>
      <c r="AT368" s="258" t="n"/>
      <c r="AU368" s="340">
        <f>AS368-AT368</f>
        <v/>
      </c>
      <c r="AV368" s="235" t="inlineStr">
        <is>
          <t>按实</t>
        </is>
      </c>
      <c r="AW368" s="461">
        <f>AX368</f>
        <v/>
      </c>
      <c r="AX368" s="258" t="n"/>
      <c r="AY368" s="461">
        <f>AW368-AX368</f>
        <v/>
      </c>
      <c r="AZ368" s="235" t="inlineStr">
        <is>
          <t>按实</t>
        </is>
      </c>
      <c r="BA368" s="461">
        <f>BB368</f>
        <v/>
      </c>
      <c r="BB368" s="461" t="n"/>
      <c r="BC368" s="461">
        <f>BA368-BB368</f>
        <v/>
      </c>
      <c r="BD368" s="235" t="n">
        <v>0</v>
      </c>
      <c r="BE368" s="461">
        <f>K368*BD368</f>
        <v/>
      </c>
      <c r="BF368" s="461" t="n"/>
      <c r="BG368" s="461">
        <f>BE368-BF368</f>
        <v/>
      </c>
      <c r="BH368" s="235" t="n">
        <v>0</v>
      </c>
      <c r="BI368" s="461">
        <f>K368*BH368</f>
        <v/>
      </c>
      <c r="BJ368" s="461" t="n"/>
      <c r="BK368" s="461">
        <f>BI368-BJ368</f>
        <v/>
      </c>
      <c r="BL368" s="235" t="inlineStr">
        <is>
          <t>按实</t>
        </is>
      </c>
      <c r="BM368" s="220">
        <f>BN368</f>
        <v/>
      </c>
      <c r="BN368" s="280" t="n"/>
      <c r="BO368" s="220">
        <f>BM368-BN368</f>
        <v/>
      </c>
      <c r="BP368" s="220">
        <f>N368+Q368+U368+Y368+AC368+AG368+AK368+AO368+AS368+AW368+BA368+BE368+BI368+BM368</f>
        <v/>
      </c>
      <c r="BQ368" s="220">
        <f>N368+R368+V368+Z368+AD368+AH368+AL368+AP368+AT368+AX368+BB368+BF368+BJ368+BN368</f>
        <v/>
      </c>
      <c r="BR368" s="370">
        <f>BP368-BQ368</f>
        <v/>
      </c>
      <c r="BS368" s="549" t="inlineStr">
        <is>
          <t>/</t>
        </is>
      </c>
      <c r="BT368" s="549" t="inlineStr">
        <is>
          <t>/</t>
        </is>
      </c>
      <c r="BU368" s="230" t="inlineStr">
        <is>
          <t>1、共建活动费：校园美食节费用，未分摊共建活动费，服务费包含未拆分
2、装修折旧费：服务费包含未拆分
3、卫生费：服务费包含未拆分
4、能源费：服务费包含未拆分</t>
        </is>
      </c>
      <c r="BV368" s="230" t="inlineStr">
        <is>
          <t>1、签订期间：2026.3.6-2026.7.30；
2、指标按照全年换算；</t>
        </is>
      </c>
      <c r="BW368" s="534" t="n"/>
    </row>
    <row r="369" ht="60" customFormat="1" customHeight="1" s="209">
      <c r="A369" s="219" t="n">
        <v>426</v>
      </c>
      <c r="B369" s="220" t="inlineStr">
        <is>
          <t>KQCY0426</t>
        </is>
      </c>
      <c r="C369" s="221" t="inlineStr">
        <is>
          <t>餐饮六分部</t>
        </is>
      </c>
      <c r="D369" s="221" t="inlineStr">
        <is>
          <t>CF479</t>
        </is>
      </c>
      <c r="E369" s="221" t="inlineStr">
        <is>
          <t>江苏省交通技师学院第一食堂</t>
        </is>
      </c>
      <c r="F369" s="219" t="inlineStr">
        <is>
          <t>分组作业</t>
        </is>
      </c>
      <c r="G369" s="222" t="inlineStr">
        <is>
          <t>卫屹</t>
        </is>
      </c>
      <c r="H369" s="222" t="inlineStr">
        <is>
          <t>第九班组</t>
        </is>
      </c>
      <c r="I369" s="237" t="inlineStr">
        <is>
          <t>炒饭炒面</t>
        </is>
      </c>
      <c r="J369" s="222" t="inlineStr">
        <is>
          <t>于继文</t>
        </is>
      </c>
      <c r="K369" s="545">
        <f>LET(k,D369&amp;"|"&amp;E369&amp;"|"&amp;H369&amp;"|"&amp;I369&amp;"|"&amp;J369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69" s="546" t="n"/>
      <c r="M369" s="224" t="n"/>
      <c r="N369" s="547" t="n"/>
      <c r="O369" s="548" t="n">
        <v>320000</v>
      </c>
      <c r="P369" s="235" t="n">
        <v>0.18</v>
      </c>
      <c r="Q369" s="461">
        <f>K369*P369</f>
        <v/>
      </c>
      <c r="R369" s="599" t="n"/>
      <c r="S369" s="461">
        <f>Q369-R369</f>
        <v/>
      </c>
      <c r="T369" s="235" t="n">
        <v>0</v>
      </c>
      <c r="U369" s="461">
        <f>K369*T369</f>
        <v/>
      </c>
      <c r="V369" s="461" t="n"/>
      <c r="W369" s="461">
        <f>U369-V369</f>
        <v/>
      </c>
      <c r="X369" s="235" t="n">
        <v>0</v>
      </c>
      <c r="Y369" s="461">
        <f>K369*X369</f>
        <v/>
      </c>
      <c r="Z369" s="461" t="n"/>
      <c r="AA369" s="461">
        <f>Y369-Z369</f>
        <v/>
      </c>
      <c r="AB369" s="235" t="n">
        <v>0</v>
      </c>
      <c r="AC369" s="461">
        <f>K369*AB369</f>
        <v/>
      </c>
      <c r="AD369" s="461" t="n"/>
      <c r="AE369" s="461">
        <f>AC369-AD369</f>
        <v/>
      </c>
      <c r="AF369" s="235" t="n">
        <v>0</v>
      </c>
      <c r="AG369" s="461">
        <f>K369*AF369</f>
        <v/>
      </c>
      <c r="AH369" s="461" t="n"/>
      <c r="AI369" s="461">
        <f>AG369-AH369</f>
        <v/>
      </c>
      <c r="AJ369" s="235" t="n">
        <v>0</v>
      </c>
      <c r="AK369" s="461">
        <f>K369*AJ369</f>
        <v/>
      </c>
      <c r="AL369" s="461" t="n"/>
      <c r="AM369" s="461">
        <f>AK369-AL369</f>
        <v/>
      </c>
      <c r="AN369" s="235" t="n">
        <v>0</v>
      </c>
      <c r="AO369" s="461">
        <f>K369*AN369</f>
        <v/>
      </c>
      <c r="AP369" s="461" t="n"/>
      <c r="AQ369" s="461">
        <f>AO369-AP369</f>
        <v/>
      </c>
      <c r="AR369" s="461" t="n">
        <v>0.03</v>
      </c>
      <c r="AS369" s="461">
        <f>K369*AR369</f>
        <v/>
      </c>
      <c r="AT369" s="258" t="n"/>
      <c r="AU369" s="340">
        <f>AS369-AT369</f>
        <v/>
      </c>
      <c r="AV369" s="235" t="inlineStr">
        <is>
          <t>按实</t>
        </is>
      </c>
      <c r="AW369" s="461">
        <f>AX369</f>
        <v/>
      </c>
      <c r="AX369" s="258" t="n"/>
      <c r="AY369" s="461">
        <f>AW369-AX369</f>
        <v/>
      </c>
      <c r="AZ369" s="235" t="inlineStr">
        <is>
          <t>按实</t>
        </is>
      </c>
      <c r="BA369" s="461">
        <f>BB369</f>
        <v/>
      </c>
      <c r="BB369" s="461" t="n"/>
      <c r="BC369" s="461">
        <f>BA369-BB369</f>
        <v/>
      </c>
      <c r="BD369" s="235" t="n">
        <v>0</v>
      </c>
      <c r="BE369" s="461">
        <f>K369*BD369</f>
        <v/>
      </c>
      <c r="BF369" s="461" t="n"/>
      <c r="BG369" s="461">
        <f>BE369-BF369</f>
        <v/>
      </c>
      <c r="BH369" s="235" t="n">
        <v>0</v>
      </c>
      <c r="BI369" s="461">
        <f>K369*BH369</f>
        <v/>
      </c>
      <c r="BJ369" s="461" t="n"/>
      <c r="BK369" s="461">
        <f>BI369-BJ369</f>
        <v/>
      </c>
      <c r="BL369" s="235" t="inlineStr">
        <is>
          <t>按实</t>
        </is>
      </c>
      <c r="BM369" s="220">
        <f>BN369</f>
        <v/>
      </c>
      <c r="BN369" s="220" t="n"/>
      <c r="BO369" s="220">
        <f>BM369-BN369</f>
        <v/>
      </c>
      <c r="BP369" s="220">
        <f>N369+Q369+U369+Y369+AC369+AG369+AK369+AO369+AS369+AW369+BA369+BE369+BI369+BM369</f>
        <v/>
      </c>
      <c r="BQ369" s="220">
        <f>N369+R369+V369+Z369+AD369+AH369+AL369+AP369+AT369+AX369+BB369+BF369+BJ369+BN369</f>
        <v/>
      </c>
      <c r="BR369" s="370">
        <f>BP369-BQ369</f>
        <v/>
      </c>
      <c r="BS369" s="549" t="inlineStr">
        <is>
          <t>/</t>
        </is>
      </c>
      <c r="BT369" s="549" t="inlineStr">
        <is>
          <t>/</t>
        </is>
      </c>
      <c r="BU369" s="230" t="inlineStr">
        <is>
          <t>1、共建活动费：校园美食节费用，未分摊共建活动费，服务费包含未拆分
2、装修折旧费：服务费包含未拆分
3、卫生费：服务费包含未拆分
4、能源费：服务费包含未拆分</t>
        </is>
      </c>
      <c r="BV369" s="230" t="inlineStr">
        <is>
          <t>1、签订期间：2026.3.6-2026.7.30；
2、指标按照全年换算；</t>
        </is>
      </c>
      <c r="BW369" s="534" t="n"/>
    </row>
    <row r="370" ht="60" customFormat="1" customHeight="1" s="209">
      <c r="A370" s="219" t="n">
        <v>427</v>
      </c>
      <c r="B370" s="220" t="inlineStr">
        <is>
          <t>KQCY0427</t>
        </is>
      </c>
      <c r="C370" s="221" t="inlineStr">
        <is>
          <t>餐饮六分部</t>
        </is>
      </c>
      <c r="D370" s="221" t="inlineStr">
        <is>
          <t>CF479</t>
        </is>
      </c>
      <c r="E370" s="221" t="inlineStr">
        <is>
          <t>江苏省交通技师学院第一食堂</t>
        </is>
      </c>
      <c r="F370" s="219" t="inlineStr">
        <is>
          <t>分组作业</t>
        </is>
      </c>
      <c r="G370" s="222" t="inlineStr">
        <is>
          <t>卫屹</t>
        </is>
      </c>
      <c r="H370" s="222" t="inlineStr">
        <is>
          <t>第十班组</t>
        </is>
      </c>
      <c r="I370" s="237" t="inlineStr">
        <is>
          <t>麻辣烫</t>
        </is>
      </c>
      <c r="J370" s="222" t="inlineStr">
        <is>
          <t xml:space="preserve">于立鑫 </t>
        </is>
      </c>
      <c r="K370" s="545">
        <f>LET(k,D370&amp;"|"&amp;E370&amp;"|"&amp;H370&amp;"|"&amp;I370&amp;"|"&amp;J370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70" s="546" t="n"/>
      <c r="M370" s="224" t="n"/>
      <c r="N370" s="547" t="n"/>
      <c r="O370" s="548" t="n">
        <v>330000</v>
      </c>
      <c r="P370" s="235" t="n">
        <v>0.28</v>
      </c>
      <c r="Q370" s="461">
        <f>K370*P370</f>
        <v/>
      </c>
      <c r="R370" s="599" t="n"/>
      <c r="S370" s="461">
        <f>Q370-R370</f>
        <v/>
      </c>
      <c r="T370" s="235" t="n">
        <v>0</v>
      </c>
      <c r="U370" s="461">
        <f>K370*T370</f>
        <v/>
      </c>
      <c r="V370" s="461" t="n"/>
      <c r="W370" s="461">
        <f>U370-V370</f>
        <v/>
      </c>
      <c r="X370" s="235" t="n">
        <v>0</v>
      </c>
      <c r="Y370" s="461">
        <f>K370*X370</f>
        <v/>
      </c>
      <c r="Z370" s="461" t="n"/>
      <c r="AA370" s="461">
        <f>Y370-Z370</f>
        <v/>
      </c>
      <c r="AB370" s="235" t="n">
        <v>0</v>
      </c>
      <c r="AC370" s="461">
        <f>K370*AB370</f>
        <v/>
      </c>
      <c r="AD370" s="461" t="n"/>
      <c r="AE370" s="461">
        <f>AC370-AD370</f>
        <v/>
      </c>
      <c r="AF370" s="235" t="n">
        <v>0</v>
      </c>
      <c r="AG370" s="461">
        <f>K370*AF370</f>
        <v/>
      </c>
      <c r="AH370" s="461" t="n"/>
      <c r="AI370" s="461">
        <f>AG370-AH370</f>
        <v/>
      </c>
      <c r="AJ370" s="235" t="n">
        <v>0</v>
      </c>
      <c r="AK370" s="461">
        <f>K370*AJ370</f>
        <v/>
      </c>
      <c r="AL370" s="461" t="n"/>
      <c r="AM370" s="461">
        <f>AK370-AL370</f>
        <v/>
      </c>
      <c r="AN370" s="235" t="n">
        <v>0</v>
      </c>
      <c r="AO370" s="461">
        <f>K370*AN370</f>
        <v/>
      </c>
      <c r="AP370" s="461" t="n"/>
      <c r="AQ370" s="461">
        <f>AO370-AP370</f>
        <v/>
      </c>
      <c r="AR370" s="461" t="n">
        <v>0</v>
      </c>
      <c r="AS370" s="461">
        <f>K370*AR370</f>
        <v/>
      </c>
      <c r="AT370" s="263" t="n"/>
      <c r="AU370" s="340">
        <f>AS370-AT370</f>
        <v/>
      </c>
      <c r="AV370" s="235" t="n">
        <v>0</v>
      </c>
      <c r="AW370" s="461">
        <f>K370*AV370</f>
        <v/>
      </c>
      <c r="AX370" s="263" t="n"/>
      <c r="AY370" s="461">
        <f>AW370-AX370</f>
        <v/>
      </c>
      <c r="AZ370" s="235" t="inlineStr">
        <is>
          <t>按实</t>
        </is>
      </c>
      <c r="BA370" s="461">
        <f>BB370</f>
        <v/>
      </c>
      <c r="BB370" s="461" t="n"/>
      <c r="BC370" s="461">
        <f>BA370-BB370</f>
        <v/>
      </c>
      <c r="BD370" s="235" t="n">
        <v>0</v>
      </c>
      <c r="BE370" s="461">
        <f>K370*BD370</f>
        <v/>
      </c>
      <c r="BF370" s="461" t="n"/>
      <c r="BG370" s="461">
        <f>BE370-BF370</f>
        <v/>
      </c>
      <c r="BH370" s="235" t="n">
        <v>0</v>
      </c>
      <c r="BI370" s="461">
        <f>K370*BH370</f>
        <v/>
      </c>
      <c r="BJ370" s="461" t="n"/>
      <c r="BK370" s="461">
        <f>BI370-BJ370</f>
        <v/>
      </c>
      <c r="BL370" s="235" t="inlineStr">
        <is>
          <t>按实</t>
        </is>
      </c>
      <c r="BM370" s="220">
        <f>BN370</f>
        <v/>
      </c>
      <c r="BN370" s="220" t="n"/>
      <c r="BO370" s="220">
        <f>BM370-BN370</f>
        <v/>
      </c>
      <c r="BP370" s="220">
        <f>N370+Q370+U370+Y370+AC370+AG370+AK370+AO370+AS370+AW370+BA370+BE370+BI370+BM370</f>
        <v/>
      </c>
      <c r="BQ370" s="220">
        <f>N370+R370+V370+Z370+AD370+AH370+AL370+AP370+AT370+AX370+BB370+BF370+BJ370+BN370</f>
        <v/>
      </c>
      <c r="BR370" s="370">
        <f>BP370-BQ370</f>
        <v/>
      </c>
      <c r="BS370" s="549" t="inlineStr">
        <is>
          <t>/</t>
        </is>
      </c>
      <c r="BT370" s="549" t="inlineStr">
        <is>
          <t>/</t>
        </is>
      </c>
      <c r="BU370" s="230" t="inlineStr">
        <is>
          <t>1、共建活动费：校园美食节费用，未分摊共建活动费，服务费包含未拆分
2、装修折旧费：服务费包含未拆分
3、卫生费：服务费包含未拆分
4、能源费：服务费包含未拆分</t>
        </is>
      </c>
      <c r="BV370" s="230" t="inlineStr">
        <is>
          <t>1、签订期间：2026.3.6-2026.7.30；
2、指标按照全年换算；
3、已撤场（2026年3月）；</t>
        </is>
      </c>
      <c r="BW370" s="534" t="n"/>
    </row>
    <row r="371" ht="60" customFormat="1" customHeight="1" s="209">
      <c r="A371" s="219" t="n">
        <v>428</v>
      </c>
      <c r="B371" s="220" t="inlineStr">
        <is>
          <t>KQCY0428</t>
        </is>
      </c>
      <c r="C371" s="221" t="inlineStr">
        <is>
          <t>餐饮六分部</t>
        </is>
      </c>
      <c r="D371" s="221" t="inlineStr">
        <is>
          <t>CF479</t>
        </is>
      </c>
      <c r="E371" s="221" t="inlineStr">
        <is>
          <t>江苏省交通技师学院第一食堂</t>
        </is>
      </c>
      <c r="F371" s="219" t="inlineStr">
        <is>
          <t>分组作业</t>
        </is>
      </c>
      <c r="G371" s="222" t="inlineStr">
        <is>
          <t>卫屹</t>
        </is>
      </c>
      <c r="H371" s="222" t="inlineStr">
        <is>
          <t>第十一班组</t>
        </is>
      </c>
      <c r="I371" s="237" t="inlineStr">
        <is>
          <t>炸鸡汉堡</t>
        </is>
      </c>
      <c r="J371" s="222" t="inlineStr">
        <is>
          <t>刘立志</t>
        </is>
      </c>
      <c r="K371" s="545">
        <f>LET(k,D371&amp;"|"&amp;E371&amp;"|"&amp;H371&amp;"|"&amp;I371&amp;"|"&amp;J371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71" s="546" t="n"/>
      <c r="M371" s="224" t="n"/>
      <c r="N371" s="547" t="n"/>
      <c r="O371" s="548" t="n">
        <v>280000</v>
      </c>
      <c r="P371" s="235" t="n">
        <v>0.19</v>
      </c>
      <c r="Q371" s="461">
        <f>K371*P371</f>
        <v/>
      </c>
      <c r="R371" s="599" t="n"/>
      <c r="S371" s="461">
        <f>Q371-R371</f>
        <v/>
      </c>
      <c r="T371" s="235" t="n">
        <v>0</v>
      </c>
      <c r="U371" s="461">
        <f>K371*T371</f>
        <v/>
      </c>
      <c r="V371" s="461" t="n"/>
      <c r="W371" s="461">
        <f>U371-V371</f>
        <v/>
      </c>
      <c r="X371" s="235" t="n">
        <v>0</v>
      </c>
      <c r="Y371" s="461">
        <f>K371*X371</f>
        <v/>
      </c>
      <c r="Z371" s="461" t="n"/>
      <c r="AA371" s="461">
        <f>Y371-Z371</f>
        <v/>
      </c>
      <c r="AB371" s="235" t="n">
        <v>0</v>
      </c>
      <c r="AC371" s="461">
        <f>K371*AB371</f>
        <v/>
      </c>
      <c r="AD371" s="461" t="n"/>
      <c r="AE371" s="461">
        <f>AC371-AD371</f>
        <v/>
      </c>
      <c r="AF371" s="235" t="n">
        <v>0</v>
      </c>
      <c r="AG371" s="461">
        <f>K371*AF371</f>
        <v/>
      </c>
      <c r="AH371" s="461" t="n"/>
      <c r="AI371" s="461">
        <f>AG371-AH371</f>
        <v/>
      </c>
      <c r="AJ371" s="235" t="n">
        <v>0</v>
      </c>
      <c r="AK371" s="461">
        <f>K371*AJ371</f>
        <v/>
      </c>
      <c r="AL371" s="461" t="n"/>
      <c r="AM371" s="461">
        <f>AK371-AL371</f>
        <v/>
      </c>
      <c r="AN371" s="235" t="n">
        <v>0</v>
      </c>
      <c r="AO371" s="461">
        <f>K371*AN371</f>
        <v/>
      </c>
      <c r="AP371" s="461" t="n"/>
      <c r="AQ371" s="461">
        <f>AO371-AP371</f>
        <v/>
      </c>
      <c r="AR371" s="461" t="inlineStr">
        <is>
          <t>1200元/月，7月按实际营业天数结算</t>
        </is>
      </c>
      <c r="AS371" s="461">
        <f>AT371</f>
        <v/>
      </c>
      <c r="AT371" s="258" t="n"/>
      <c r="AU371" s="340">
        <f>AS371-AT371</f>
        <v/>
      </c>
      <c r="AV371" s="235" t="inlineStr">
        <is>
          <t>按实</t>
        </is>
      </c>
      <c r="AW371" s="461">
        <f>AX371</f>
        <v/>
      </c>
      <c r="AX371" s="258" t="n"/>
      <c r="AY371" s="461">
        <f>AW371-AX371</f>
        <v/>
      </c>
      <c r="AZ371" s="235" t="inlineStr">
        <is>
          <t>按实</t>
        </is>
      </c>
      <c r="BA371" s="461">
        <f>BB371</f>
        <v/>
      </c>
      <c r="BB371" s="461" t="n"/>
      <c r="BC371" s="461">
        <f>BA371-BB371</f>
        <v/>
      </c>
      <c r="BD371" s="235" t="n">
        <v>0</v>
      </c>
      <c r="BE371" s="461">
        <f>K371*BD371</f>
        <v/>
      </c>
      <c r="BF371" s="461" t="n"/>
      <c r="BG371" s="461">
        <f>BE371-BF371</f>
        <v/>
      </c>
      <c r="BH371" s="235" t="n">
        <v>0</v>
      </c>
      <c r="BI371" s="461">
        <f>K371*BH371</f>
        <v/>
      </c>
      <c r="BJ371" s="461" t="n"/>
      <c r="BK371" s="461">
        <f>BI371-BJ371</f>
        <v/>
      </c>
      <c r="BL371" s="235" t="inlineStr">
        <is>
          <t>按实</t>
        </is>
      </c>
      <c r="BM371" s="220">
        <f>BN371</f>
        <v/>
      </c>
      <c r="BN371" s="220" t="n"/>
      <c r="BO371" s="220">
        <f>BM371-BN371</f>
        <v/>
      </c>
      <c r="BP371" s="220">
        <f>N371+Q371+U371+Y371+AC371+AG371+AK371+AO371+AS371+AW371+BA371+BE371+BI371+BM371</f>
        <v/>
      </c>
      <c r="BQ371" s="220">
        <f>N371+R371+V371+Z371+AD371+AH371+AL371+AP371+AT371+AX371+BB371+BF371+BJ371+BN371</f>
        <v/>
      </c>
      <c r="BR371" s="370">
        <f>BP371-BQ371</f>
        <v/>
      </c>
      <c r="BS371" s="549" t="inlineStr">
        <is>
          <t>/</t>
        </is>
      </c>
      <c r="BT371" s="549" t="inlineStr">
        <is>
          <t>/</t>
        </is>
      </c>
      <c r="BU371" s="230" t="inlineStr">
        <is>
          <t>1、共建活动费：校园美食节费用，未分摊共建活动费，服务费包含未拆分
2、装修折旧费：服务费包含未拆分
3、卫生费：服务费包含未拆分
4、能源费：服务费包含未拆分</t>
        </is>
      </c>
      <c r="BV371" s="230" t="inlineStr">
        <is>
          <t>1、签订期间：2026.3.6-2026.7.30；
2、指标按照全年换算；</t>
        </is>
      </c>
      <c r="BW371" s="534" t="n"/>
    </row>
    <row r="372" ht="60" customFormat="1" customHeight="1" s="209">
      <c r="A372" s="219" t="n">
        <v>429</v>
      </c>
      <c r="B372" s="220" t="inlineStr">
        <is>
          <t>KQCY0429</t>
        </is>
      </c>
      <c r="C372" s="221" t="inlineStr">
        <is>
          <t>餐饮六分部</t>
        </is>
      </c>
      <c r="D372" s="221" t="inlineStr">
        <is>
          <t>CF479</t>
        </is>
      </c>
      <c r="E372" s="221" t="inlineStr">
        <is>
          <t>江苏省交通技师学院第一食堂</t>
        </is>
      </c>
      <c r="F372" s="219" t="inlineStr">
        <is>
          <t>分组作业</t>
        </is>
      </c>
      <c r="G372" s="222" t="inlineStr">
        <is>
          <t>卫屹</t>
        </is>
      </c>
      <c r="H372" s="222" t="inlineStr">
        <is>
          <t>第十二班组</t>
        </is>
      </c>
      <c r="I372" s="237" t="inlineStr">
        <is>
          <t>掉渣饼</t>
        </is>
      </c>
      <c r="J372" s="222" t="inlineStr">
        <is>
          <t>武情</t>
        </is>
      </c>
      <c r="K372" s="545">
        <f>LET(k,D372&amp;"|"&amp;E372&amp;"|"&amp;H372&amp;"|"&amp;I372&amp;"|"&amp;J372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72" s="546" t="n"/>
      <c r="M372" s="224" t="n"/>
      <c r="N372" s="547" t="n"/>
      <c r="O372" s="548" t="n">
        <v>330000</v>
      </c>
      <c r="P372" s="247" t="n">
        <v>0.275</v>
      </c>
      <c r="Q372" s="461">
        <f>K372*P372</f>
        <v/>
      </c>
      <c r="R372" s="599" t="n"/>
      <c r="S372" s="461">
        <f>Q372-R372</f>
        <v/>
      </c>
      <c r="T372" s="235" t="n">
        <v>0</v>
      </c>
      <c r="U372" s="461">
        <f>K372*T372</f>
        <v/>
      </c>
      <c r="V372" s="461" t="n"/>
      <c r="W372" s="461">
        <f>U372-V372</f>
        <v/>
      </c>
      <c r="X372" s="235" t="n">
        <v>0</v>
      </c>
      <c r="Y372" s="461">
        <f>K372*X372</f>
        <v/>
      </c>
      <c r="Z372" s="461" t="n"/>
      <c r="AA372" s="461">
        <f>Y372-Z372</f>
        <v/>
      </c>
      <c r="AB372" s="235" t="n">
        <v>0</v>
      </c>
      <c r="AC372" s="461">
        <f>K372*AB372</f>
        <v/>
      </c>
      <c r="AD372" s="461" t="n"/>
      <c r="AE372" s="461">
        <f>AC372-AD372</f>
        <v/>
      </c>
      <c r="AF372" s="235" t="n">
        <v>0</v>
      </c>
      <c r="AG372" s="461">
        <f>K372*AF372</f>
        <v/>
      </c>
      <c r="AH372" s="461" t="n"/>
      <c r="AI372" s="461">
        <f>AG372-AH372</f>
        <v/>
      </c>
      <c r="AJ372" s="235" t="n">
        <v>0</v>
      </c>
      <c r="AK372" s="461">
        <f>K372*AJ372</f>
        <v/>
      </c>
      <c r="AL372" s="461" t="n"/>
      <c r="AM372" s="461">
        <f>AK372-AL372</f>
        <v/>
      </c>
      <c r="AN372" s="235" t="n">
        <v>0</v>
      </c>
      <c r="AO372" s="461">
        <f>K372*AN372</f>
        <v/>
      </c>
      <c r="AP372" s="461" t="n"/>
      <c r="AQ372" s="461">
        <f>AO372-AP372</f>
        <v/>
      </c>
      <c r="AR372" s="461" t="n">
        <v>0</v>
      </c>
      <c r="AS372" s="461">
        <f>K372*AR372</f>
        <v/>
      </c>
      <c r="AT372" s="263" t="n"/>
      <c r="AU372" s="340">
        <f>AS372-AT372</f>
        <v/>
      </c>
      <c r="AV372" s="235" t="n">
        <v>0</v>
      </c>
      <c r="AW372" s="461">
        <f>K372*AV372</f>
        <v/>
      </c>
      <c r="AX372" s="263" t="n"/>
      <c r="AY372" s="461">
        <f>AW372-AX372</f>
        <v/>
      </c>
      <c r="AZ372" s="235" t="inlineStr">
        <is>
          <t>按实</t>
        </is>
      </c>
      <c r="BA372" s="461">
        <f>BB372</f>
        <v/>
      </c>
      <c r="BB372" s="461" t="n"/>
      <c r="BC372" s="461">
        <f>BA372-BB372</f>
        <v/>
      </c>
      <c r="BD372" s="235" t="n">
        <v>0</v>
      </c>
      <c r="BE372" s="461">
        <f>K372*BD372</f>
        <v/>
      </c>
      <c r="BF372" s="461" t="n"/>
      <c r="BG372" s="461">
        <f>BE372-BF372</f>
        <v/>
      </c>
      <c r="BH372" s="235" t="n">
        <v>0</v>
      </c>
      <c r="BI372" s="461">
        <f>K372*BH372</f>
        <v/>
      </c>
      <c r="BJ372" s="461" t="n"/>
      <c r="BK372" s="461">
        <f>BI372-BJ372</f>
        <v/>
      </c>
      <c r="BL372" s="235" t="inlineStr">
        <is>
          <t>按实</t>
        </is>
      </c>
      <c r="BM372" s="220">
        <f>BN372</f>
        <v/>
      </c>
      <c r="BN372" s="220" t="n"/>
      <c r="BO372" s="220">
        <f>BM372-BN372</f>
        <v/>
      </c>
      <c r="BP372" s="220">
        <f>N372+Q372+U372+Y372+AC372+AG372+AK372+AO372+AS372+AW372+BA372+BE372+BI372+BM372</f>
        <v/>
      </c>
      <c r="BQ372" s="220">
        <f>N372+R372+V372+Z372+AD372+AH372+AL372+AP372+AT372+AX372+BB372+BF372+BJ372+BN372</f>
        <v/>
      </c>
      <c r="BR372" s="370">
        <f>BP372-BQ372</f>
        <v/>
      </c>
      <c r="BS372" s="549" t="inlineStr">
        <is>
          <t>/</t>
        </is>
      </c>
      <c r="BT372" s="549" t="inlineStr">
        <is>
          <t>/</t>
        </is>
      </c>
      <c r="BU372" s="230" t="inlineStr">
        <is>
          <t>1、共建活动费：校园美食节费用，未分摊共建活动费，服务费包含未拆分
2、装修折旧费：服务费包含未拆分
3、卫生费：服务费包含未拆分
4、能源费：服务费包含未拆分</t>
        </is>
      </c>
      <c r="BV372" s="230" t="inlineStr">
        <is>
          <t>1、签订期间：2026.3.6-2026.7.30；
2、指标按照全年换算；
3、已撤场（2026年3月）；</t>
        </is>
      </c>
      <c r="BW372" s="534" t="n"/>
    </row>
    <row r="373" ht="60" customFormat="1" customHeight="1" s="209">
      <c r="A373" s="219" t="n">
        <v>430</v>
      </c>
      <c r="B373" s="220" t="inlineStr">
        <is>
          <t>KQCY0430</t>
        </is>
      </c>
      <c r="C373" s="221" t="inlineStr">
        <is>
          <t>餐饮六分部</t>
        </is>
      </c>
      <c r="D373" s="221" t="inlineStr">
        <is>
          <t>CF479</t>
        </is>
      </c>
      <c r="E373" s="221" t="inlineStr">
        <is>
          <t>江苏省交通技师学院第一食堂</t>
        </is>
      </c>
      <c r="F373" s="219" t="inlineStr">
        <is>
          <t>分组作业</t>
        </is>
      </c>
      <c r="G373" s="222" t="inlineStr">
        <is>
          <t>卫屹</t>
        </is>
      </c>
      <c r="H373" s="222" t="inlineStr">
        <is>
          <t>第十三班组</t>
        </is>
      </c>
      <c r="I373" s="237" t="inlineStr">
        <is>
          <t>鸭血粉丝</t>
        </is>
      </c>
      <c r="J373" s="222" t="inlineStr">
        <is>
          <t>巫杨银</t>
        </is>
      </c>
      <c r="K373" s="545">
        <f>LET(k,D373&amp;"|"&amp;E373&amp;"|"&amp;H373&amp;"|"&amp;I373&amp;"|"&amp;J373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73" s="546" t="n"/>
      <c r="M373" s="224" t="n"/>
      <c r="N373" s="547" t="n">
        <v>312</v>
      </c>
      <c r="O373" s="548" t="n">
        <v>330000</v>
      </c>
      <c r="P373" s="235" t="n">
        <v>0.19</v>
      </c>
      <c r="Q373" s="461">
        <f>K373*P373</f>
        <v/>
      </c>
      <c r="R373" s="558" t="n">
        <v>0</v>
      </c>
      <c r="S373" s="461">
        <f>Q373-R373</f>
        <v/>
      </c>
      <c r="T373" s="235" t="n">
        <v>0</v>
      </c>
      <c r="U373" s="461">
        <f>K373*T373</f>
        <v/>
      </c>
      <c r="V373" s="461" t="n">
        <v>0</v>
      </c>
      <c r="W373" s="461">
        <f>U373-V373</f>
        <v/>
      </c>
      <c r="X373" s="235" t="n">
        <v>0</v>
      </c>
      <c r="Y373" s="461">
        <f>K373*X373</f>
        <v/>
      </c>
      <c r="Z373" s="461" t="n">
        <v>0</v>
      </c>
      <c r="AA373" s="461">
        <f>Y373-Z373</f>
        <v/>
      </c>
      <c r="AB373" s="235" t="n">
        <v>0</v>
      </c>
      <c r="AC373" s="461">
        <f>K373*AB373</f>
        <v/>
      </c>
      <c r="AD373" s="461" t="n">
        <v>0</v>
      </c>
      <c r="AE373" s="461">
        <f>AC373-AD373</f>
        <v/>
      </c>
      <c r="AF373" s="235" t="n">
        <v>0</v>
      </c>
      <c r="AG373" s="461">
        <f>K373*AF373</f>
        <v/>
      </c>
      <c r="AH373" s="461" t="n">
        <v>0</v>
      </c>
      <c r="AI373" s="461">
        <f>AG373-AH373</f>
        <v/>
      </c>
      <c r="AJ373" s="235" t="n">
        <v>0</v>
      </c>
      <c r="AK373" s="461">
        <f>K373*AJ373</f>
        <v/>
      </c>
      <c r="AL373" s="461" t="n">
        <v>0</v>
      </c>
      <c r="AM373" s="461">
        <f>AK373-AL373</f>
        <v/>
      </c>
      <c r="AN373" s="235" t="n">
        <v>0</v>
      </c>
      <c r="AO373" s="461">
        <f>K373*AN373</f>
        <v/>
      </c>
      <c r="AP373" s="461" t="n">
        <v>0</v>
      </c>
      <c r="AQ373" s="461">
        <f>AO373-AP373</f>
        <v/>
      </c>
      <c r="AR373" s="461" t="n">
        <v>0.035</v>
      </c>
      <c r="AS373" s="461">
        <f>K373*AR373</f>
        <v/>
      </c>
      <c r="AT373" s="263" t="n">
        <v>0</v>
      </c>
      <c r="AU373" s="340">
        <f>AS373-AT373</f>
        <v/>
      </c>
      <c r="AV373" s="235" t="inlineStr">
        <is>
          <t>按实</t>
        </is>
      </c>
      <c r="AW373" s="461">
        <f>AX373</f>
        <v/>
      </c>
      <c r="AX373" s="258" t="n">
        <v>0</v>
      </c>
      <c r="AY373" s="461">
        <f>AW373-AX373</f>
        <v/>
      </c>
      <c r="AZ373" s="235" t="inlineStr">
        <is>
          <t>按实</t>
        </is>
      </c>
      <c r="BA373" s="461">
        <f>BB373</f>
        <v/>
      </c>
      <c r="BB373" s="461" t="n">
        <v>0</v>
      </c>
      <c r="BC373" s="461">
        <f>BA373-BB373</f>
        <v/>
      </c>
      <c r="BD373" s="235" t="n">
        <v>0</v>
      </c>
      <c r="BE373" s="461">
        <f>K373*BD373</f>
        <v/>
      </c>
      <c r="BF373" s="461" t="n">
        <v>0</v>
      </c>
      <c r="BG373" s="461">
        <f>BE373-BF373</f>
        <v/>
      </c>
      <c r="BH373" s="235" t="n">
        <v>0</v>
      </c>
      <c r="BI373" s="461">
        <f>K373*BH373</f>
        <v/>
      </c>
      <c r="BJ373" s="461" t="n">
        <v>0</v>
      </c>
      <c r="BK373" s="461">
        <f>BI373-BJ373</f>
        <v/>
      </c>
      <c r="BL373" s="235" t="inlineStr">
        <is>
          <t>按实</t>
        </is>
      </c>
      <c r="BM373" s="220">
        <f>BN373</f>
        <v/>
      </c>
      <c r="BN373" s="220" t="n">
        <v>0</v>
      </c>
      <c r="BO373" s="220">
        <f>BM373-BN373</f>
        <v/>
      </c>
      <c r="BP373" s="220">
        <f>N373+Q373+U373+Y373+AC373+AG373+AK373+AO373+AS373+AW373+BA373+BE373+BI373+BM373</f>
        <v/>
      </c>
      <c r="BQ373" s="220">
        <f>N373+R373+V373+Z373+AD373+AH373+AL373+AP373+AT373+AX373+BB373+BF373+BJ373+BN373</f>
        <v/>
      </c>
      <c r="BR373" s="370">
        <f>BP373-BQ373</f>
        <v/>
      </c>
      <c r="BS373" s="549" t="inlineStr">
        <is>
          <t>/</t>
        </is>
      </c>
      <c r="BT373" s="549" t="inlineStr">
        <is>
          <t>/</t>
        </is>
      </c>
      <c r="BU373" s="230" t="inlineStr">
        <is>
          <t>1、共建活动费：校园美食节费用，未分摊共建活动费，服务费包含未拆分
2、装修折旧费：服务费包含未拆分
3、卫生费：服务费包含未拆分
4、能源费：服务费包含未拆分</t>
        </is>
      </c>
      <c r="BV373" s="230" t="inlineStr">
        <is>
          <t>1、签订期间：2026.3.6-2026.7.30；
2、指标按照全年换算；</t>
        </is>
      </c>
      <c r="BW373" s="534" t="n"/>
    </row>
    <row r="374" ht="48" customFormat="1" customHeight="1" s="209">
      <c r="A374" s="219" t="n">
        <v>432</v>
      </c>
      <c r="B374" s="220" t="inlineStr">
        <is>
          <t>KQCY0432</t>
        </is>
      </c>
      <c r="C374" s="221" t="inlineStr">
        <is>
          <t>餐饮六分部</t>
        </is>
      </c>
      <c r="D374" s="221" t="inlineStr">
        <is>
          <t>CF475</t>
        </is>
      </c>
      <c r="E374" s="221" t="inlineStr">
        <is>
          <t>国科大南京学院食堂</t>
        </is>
      </c>
      <c r="F374" s="219" t="inlineStr">
        <is>
          <t>分组作业</t>
        </is>
      </c>
      <c r="G374" s="222" t="inlineStr">
        <is>
          <t>卫屹</t>
        </is>
      </c>
      <c r="H374" s="503" t="inlineStr">
        <is>
          <t>第一班组</t>
        </is>
      </c>
      <c r="I374" s="237" t="inlineStr">
        <is>
          <t>茶香鸡、麻辣烫、水吧</t>
        </is>
      </c>
      <c r="J374" s="503" t="inlineStr">
        <is>
          <t>浦卫东</t>
        </is>
      </c>
      <c r="K374" s="545">
        <f>LET(k,D374&amp;"|"&amp;E374&amp;"|"&amp;H374&amp;"|"&amp;I374&amp;"|"&amp;J374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74" s="546" t="n"/>
      <c r="M374" s="224" t="n"/>
      <c r="N374" s="547" t="n"/>
      <c r="O374" s="548" t="n">
        <v>0</v>
      </c>
      <c r="P374" s="235" t="n">
        <v>0.06</v>
      </c>
      <c r="Q374" s="461">
        <f>K374*P374</f>
        <v/>
      </c>
      <c r="R374" s="461" t="n"/>
      <c r="S374" s="461">
        <f>Q374-R374</f>
        <v/>
      </c>
      <c r="T374" s="235" t="n">
        <v>0</v>
      </c>
      <c r="U374" s="461">
        <f>K374*T374</f>
        <v/>
      </c>
      <c r="V374" s="480" t="n"/>
      <c r="W374" s="461">
        <f>U374-V374</f>
        <v/>
      </c>
      <c r="X374" s="235" t="inlineStr">
        <is>
          <t>按实</t>
        </is>
      </c>
      <c r="Y374" s="461">
        <f>Z374</f>
        <v/>
      </c>
      <c r="Z374" s="461" t="n"/>
      <c r="AA374" s="461">
        <f>Y374-Z374</f>
        <v/>
      </c>
      <c r="AB374" s="235" t="n">
        <v>0</v>
      </c>
      <c r="AC374" s="461">
        <f>K374*AB374</f>
        <v/>
      </c>
      <c r="AD374" s="480" t="n"/>
      <c r="AE374" s="461">
        <f>AC374-AD374</f>
        <v/>
      </c>
      <c r="AF374" s="235" t="n">
        <v>0</v>
      </c>
      <c r="AG374" s="461">
        <f>K374*AF374</f>
        <v/>
      </c>
      <c r="AH374" s="480" t="n"/>
      <c r="AI374" s="461">
        <f>AG374-AH374</f>
        <v/>
      </c>
      <c r="AJ374" s="235" t="n">
        <v>0</v>
      </c>
      <c r="AK374" s="461">
        <f>K374*AJ374</f>
        <v/>
      </c>
      <c r="AL374" s="480" t="n"/>
      <c r="AM374" s="461">
        <f>AK374-AL374</f>
        <v/>
      </c>
      <c r="AN374" s="235" t="inlineStr">
        <is>
          <t>按实</t>
        </is>
      </c>
      <c r="AO374" s="461">
        <f>AP374</f>
        <v/>
      </c>
      <c r="AP374" s="480" t="n"/>
      <c r="AQ374" s="461">
        <f>AO374-AP374</f>
        <v/>
      </c>
      <c r="AR374" s="461" t="inlineStr">
        <is>
          <t>按实</t>
        </is>
      </c>
      <c r="AS374" s="461">
        <f>AT374</f>
        <v/>
      </c>
      <c r="AT374" s="480" t="n">
        <v>0</v>
      </c>
      <c r="AU374" s="461">
        <f>AS374-AT374</f>
        <v/>
      </c>
      <c r="AV374" s="235" t="inlineStr">
        <is>
          <t>年能源费超30万元后，超出部分按班组营业额比例分摊</t>
        </is>
      </c>
      <c r="AW374" s="461">
        <f>AX374</f>
        <v/>
      </c>
      <c r="AX374" s="480" t="n"/>
      <c r="AY374" s="461">
        <f>AW374-AX374</f>
        <v/>
      </c>
      <c r="AZ374" s="551" t="inlineStr">
        <is>
          <t>按实</t>
        </is>
      </c>
      <c r="BA374" s="461">
        <f>BB374</f>
        <v/>
      </c>
      <c r="BB374" s="480" t="n"/>
      <c r="BC374" s="461">
        <f>BA374-BB374</f>
        <v/>
      </c>
      <c r="BD374" s="461" t="n">
        <v>0</v>
      </c>
      <c r="BE374" s="461">
        <f>K374*BD374</f>
        <v/>
      </c>
      <c r="BF374" s="480" t="n"/>
      <c r="BG374" s="461">
        <f>BE374-BF374</f>
        <v/>
      </c>
      <c r="BH374" s="461" t="n">
        <v>0</v>
      </c>
      <c r="BI374" s="461">
        <f>K374*BH374</f>
        <v/>
      </c>
      <c r="BJ374" s="480" t="n"/>
      <c r="BK374" s="461">
        <f>BI374-BJ374</f>
        <v/>
      </c>
      <c r="BL374" s="461" t="inlineStr">
        <is>
          <t>按实</t>
        </is>
      </c>
      <c r="BM374" s="220">
        <f>BN374</f>
        <v/>
      </c>
      <c r="BN374" s="220" t="n"/>
      <c r="BO374" s="220">
        <f>BM374-BN374</f>
        <v/>
      </c>
      <c r="BP374" s="220">
        <f>N374+Q374+U374+Y374+AC374+AG374+AK374+AO374+AS374+AW374+BA374+BE374+BI374+BM374</f>
        <v/>
      </c>
      <c r="BQ374" s="220">
        <f>N374+R374+V374+Z374+AD374+AH374+AL374+AP374+AT374+AX374+BB374+BF374+BJ374+BN374</f>
        <v/>
      </c>
      <c r="BR374" s="220">
        <f>BP374-BQ374</f>
        <v/>
      </c>
      <c r="BS374" s="549" t="inlineStr">
        <is>
          <t>/</t>
        </is>
      </c>
      <c r="BT374" s="549" t="inlineStr">
        <is>
          <t>/</t>
        </is>
      </c>
      <c r="BU374" s="230" t="inlineStr">
        <is>
          <t>1、能源费：能源费补贴30万，超补贴后按比例付
2、卫生费：按营业额公摊</t>
        </is>
      </c>
      <c r="BV374" s="230" t="inlineStr">
        <is>
          <t>1、签订期间：2025.8.1-2026.8.31；
2、指标按照全年换算；</t>
        </is>
      </c>
      <c r="BW374" s="534" t="n"/>
    </row>
    <row r="375" ht="48" customFormat="1" customHeight="1" s="209">
      <c r="A375" s="219" t="n">
        <v>433</v>
      </c>
      <c r="B375" s="220" t="inlineStr">
        <is>
          <t>KQCY0433</t>
        </is>
      </c>
      <c r="C375" s="221" t="inlineStr">
        <is>
          <t>餐饮六分部</t>
        </is>
      </c>
      <c r="D375" s="221" t="inlineStr">
        <is>
          <t>CF475</t>
        </is>
      </c>
      <c r="E375" s="221" t="inlineStr">
        <is>
          <t>国科大南京学院食堂</t>
        </is>
      </c>
      <c r="F375" s="219" t="inlineStr">
        <is>
          <t>分组作业</t>
        </is>
      </c>
      <c r="G375" s="222" t="inlineStr">
        <is>
          <t>卫屹</t>
        </is>
      </c>
      <c r="H375" s="503" t="inlineStr">
        <is>
          <t>第二班组</t>
        </is>
      </c>
      <c r="I375" s="237" t="inlineStr">
        <is>
          <t>西北风味</t>
        </is>
      </c>
      <c r="J375" s="503" t="inlineStr">
        <is>
          <t>马山杏尼</t>
        </is>
      </c>
      <c r="K375" s="545">
        <f>LET(k,D375&amp;"|"&amp;E375&amp;"|"&amp;H375&amp;"|"&amp;I375&amp;"|"&amp;J375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75" s="546" t="n"/>
      <c r="M375" s="224" t="n"/>
      <c r="N375" s="547" t="n">
        <v>84</v>
      </c>
      <c r="O375" s="548" t="n">
        <v>0</v>
      </c>
      <c r="P375" s="235" t="n">
        <v>0.06</v>
      </c>
      <c r="Q375" s="461">
        <f>K375*P375</f>
        <v/>
      </c>
      <c r="R375" s="461" t="n">
        <v>528.696</v>
      </c>
      <c r="S375" s="461">
        <f>Q375-R375</f>
        <v/>
      </c>
      <c r="T375" s="235" t="n">
        <v>0</v>
      </c>
      <c r="U375" s="461">
        <f>K375*T375</f>
        <v/>
      </c>
      <c r="V375" s="480" t="n">
        <v>0</v>
      </c>
      <c r="W375" s="461">
        <f>U375-V375</f>
        <v/>
      </c>
      <c r="X375" s="235" t="inlineStr">
        <is>
          <t>按实</t>
        </is>
      </c>
      <c r="Y375" s="461">
        <f>Z375</f>
        <v/>
      </c>
      <c r="Z375" s="461" t="n">
        <v>0</v>
      </c>
      <c r="AA375" s="461">
        <f>Y375-Z375</f>
        <v/>
      </c>
      <c r="AB375" s="235" t="n">
        <v>0</v>
      </c>
      <c r="AC375" s="461">
        <f>K375*AB375</f>
        <v/>
      </c>
      <c r="AD375" s="480" t="n">
        <v>0</v>
      </c>
      <c r="AE375" s="461">
        <f>AC375-AD375</f>
        <v/>
      </c>
      <c r="AF375" s="235" t="n">
        <v>0</v>
      </c>
      <c r="AG375" s="461">
        <f>K375*AF375</f>
        <v/>
      </c>
      <c r="AH375" s="480" t="n">
        <v>0</v>
      </c>
      <c r="AI375" s="461">
        <f>AG375-AH375</f>
        <v/>
      </c>
      <c r="AJ375" s="235" t="n">
        <v>0</v>
      </c>
      <c r="AK375" s="461">
        <f>K375*AJ375</f>
        <v/>
      </c>
      <c r="AL375" s="480" t="n">
        <v>0</v>
      </c>
      <c r="AM375" s="461">
        <f>AK375-AL375</f>
        <v/>
      </c>
      <c r="AN375" s="235" t="inlineStr">
        <is>
          <t>按实</t>
        </is>
      </c>
      <c r="AO375" s="461">
        <f>AP375</f>
        <v/>
      </c>
      <c r="AP375" s="480" t="n">
        <v>0</v>
      </c>
      <c r="AQ375" s="461">
        <f>AO375-AP375</f>
        <v/>
      </c>
      <c r="AR375" s="461" t="inlineStr">
        <is>
          <t>3000元/月，2026年2月开始取消</t>
        </is>
      </c>
      <c r="AS375" s="461" t="n">
        <v>0</v>
      </c>
      <c r="AT375" s="480" t="n">
        <v>0</v>
      </c>
      <c r="AU375" s="461">
        <f>AS375-AT375</f>
        <v/>
      </c>
      <c r="AV375" s="235" t="inlineStr">
        <is>
          <t>年能源费超30万元后，超出部分按班组营业额比例分摊</t>
        </is>
      </c>
      <c r="AW375" s="461">
        <f>AX375</f>
        <v/>
      </c>
      <c r="AX375" s="480" t="n">
        <v>0</v>
      </c>
      <c r="AY375" s="461">
        <f>AW375-AX375</f>
        <v/>
      </c>
      <c r="AZ375" s="235" t="inlineStr">
        <is>
          <t>按实</t>
        </is>
      </c>
      <c r="BA375" s="461">
        <f>BB375</f>
        <v/>
      </c>
      <c r="BB375" s="480" t="n">
        <v>0</v>
      </c>
      <c r="BC375" s="461">
        <f>BA375-BB375</f>
        <v/>
      </c>
      <c r="BD375" s="461" t="n">
        <v>0</v>
      </c>
      <c r="BE375" s="461">
        <f>K375*BD375</f>
        <v/>
      </c>
      <c r="BF375" s="480" t="n">
        <v>0</v>
      </c>
      <c r="BG375" s="461">
        <f>BE375-BF375</f>
        <v/>
      </c>
      <c r="BH375" s="461" t="n">
        <v>0</v>
      </c>
      <c r="BI375" s="461">
        <f>K375*BH375</f>
        <v/>
      </c>
      <c r="BJ375" s="480" t="n">
        <v>0</v>
      </c>
      <c r="BK375" s="461">
        <f>BI375-BJ375</f>
        <v/>
      </c>
      <c r="BL375" s="461" t="inlineStr">
        <is>
          <t>按实</t>
        </is>
      </c>
      <c r="BM375" s="220">
        <f>BN375</f>
        <v/>
      </c>
      <c r="BN375" s="220" t="n">
        <v>5981.85</v>
      </c>
      <c r="BO375" s="220">
        <f>BM375-BN375</f>
        <v/>
      </c>
      <c r="BP375" s="220">
        <f>N375+Q375+U375+Y375+AC375+AG375+AK375+AO375+AS375+AW375+BA375+BE375+BI375+BM375</f>
        <v/>
      </c>
      <c r="BQ375" s="220">
        <f>N375+R375+V375+Z375+AD375+AH375+AL375+AP375+AT375+AX375+BB375+BF375+BJ375+BN375</f>
        <v/>
      </c>
      <c r="BR375" s="220">
        <f>BP375-BQ375</f>
        <v/>
      </c>
      <c r="BS375" s="549" t="inlineStr">
        <is>
          <t>/</t>
        </is>
      </c>
      <c r="BT375" s="549" t="inlineStr">
        <is>
          <t>/</t>
        </is>
      </c>
      <c r="BU375" s="230" t="inlineStr">
        <is>
          <t>1、能源费：能源费补贴30万，超补贴后按比例付
2、卫生费：2026年2月之后不在收取</t>
        </is>
      </c>
      <c r="BV375" s="230" t="inlineStr">
        <is>
          <t>1、签订期间：2025.8.1-2026.8.31；
2、指标按照全年换算；</t>
        </is>
      </c>
      <c r="BW375" s="534" t="n"/>
    </row>
    <row r="376" ht="24" customFormat="1" customHeight="1" s="209">
      <c r="A376" s="219" t="n">
        <v>434</v>
      </c>
      <c r="B376" s="220" t="inlineStr">
        <is>
          <t>KQCY0434</t>
        </is>
      </c>
      <c r="C376" s="221" t="inlineStr">
        <is>
          <t>餐饮六分部</t>
        </is>
      </c>
      <c r="D376" s="221" t="inlineStr">
        <is>
          <t>CF475</t>
        </is>
      </c>
      <c r="E376" s="221" t="inlineStr">
        <is>
          <t>国科大南京学院食堂</t>
        </is>
      </c>
      <c r="F376" s="219" t="inlineStr">
        <is>
          <t>分组作业</t>
        </is>
      </c>
      <c r="G376" s="222" t="inlineStr">
        <is>
          <t>卫屹</t>
        </is>
      </c>
      <c r="H376" s="503" t="inlineStr">
        <is>
          <t>第四班组</t>
        </is>
      </c>
      <c r="I376" s="237" t="inlineStr">
        <is>
          <t>七里塘</t>
        </is>
      </c>
      <c r="J376" s="503" t="inlineStr">
        <is>
          <t>沈汉平</t>
        </is>
      </c>
      <c r="K376" s="545">
        <f>LET(k,D376&amp;"|"&amp;E376&amp;"|"&amp;H376&amp;"|"&amp;I376&amp;"|"&amp;J376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76" s="546" t="n"/>
      <c r="M376" s="224" t="n"/>
      <c r="N376" s="600" t="n"/>
      <c r="O376" s="548" t="n">
        <v>0</v>
      </c>
      <c r="P376" s="235" t="n">
        <v>0</v>
      </c>
      <c r="Q376" s="461">
        <f>K376*P376</f>
        <v/>
      </c>
      <c r="R376" s="480" t="n"/>
      <c r="S376" s="461">
        <f>Q376-R376</f>
        <v/>
      </c>
      <c r="T376" s="235" t="n">
        <v>0</v>
      </c>
      <c r="U376" s="461">
        <f>K376*T376</f>
        <v/>
      </c>
      <c r="V376" s="480" t="n"/>
      <c r="W376" s="461">
        <f>U376-V376</f>
        <v/>
      </c>
      <c r="X376" s="235" t="n">
        <v>0</v>
      </c>
      <c r="Y376" s="461">
        <f>K376*X376</f>
        <v/>
      </c>
      <c r="Z376" s="480" t="n"/>
      <c r="AA376" s="461">
        <f>Y376-Z376</f>
        <v/>
      </c>
      <c r="AB376" s="235" t="n">
        <v>0</v>
      </c>
      <c r="AC376" s="461">
        <f>K376*AB376</f>
        <v/>
      </c>
      <c r="AD376" s="480" t="n"/>
      <c r="AE376" s="461">
        <f>AC376-AD376</f>
        <v/>
      </c>
      <c r="AF376" s="235" t="n">
        <v>0</v>
      </c>
      <c r="AG376" s="461">
        <f>K376*AF376</f>
        <v/>
      </c>
      <c r="AH376" s="480" t="n"/>
      <c r="AI376" s="461">
        <f>AG376-AH376</f>
        <v/>
      </c>
      <c r="AJ376" s="235" t="n">
        <v>0</v>
      </c>
      <c r="AK376" s="461">
        <f>K376*AJ376</f>
        <v/>
      </c>
      <c r="AL376" s="480" t="n"/>
      <c r="AM376" s="461">
        <f>AK376-AL376</f>
        <v/>
      </c>
      <c r="AN376" s="235" t="n">
        <v>0</v>
      </c>
      <c r="AO376" s="461">
        <f>K376*AN376</f>
        <v/>
      </c>
      <c r="AP376" s="480" t="n"/>
      <c r="AQ376" s="461">
        <f>AO376-AP376</f>
        <v/>
      </c>
      <c r="AR376" s="461" t="n">
        <v>0</v>
      </c>
      <c r="AS376" s="461">
        <f>K376*AR376</f>
        <v/>
      </c>
      <c r="AT376" s="480" t="n"/>
      <c r="AU376" s="461">
        <f>AS376-AT376</f>
        <v/>
      </c>
      <c r="AV376" s="235" t="n">
        <v>0</v>
      </c>
      <c r="AW376" s="461">
        <f>K376*AV376</f>
        <v/>
      </c>
      <c r="AX376" s="480" t="n"/>
      <c r="AY376" s="461">
        <f>AW376-AX376</f>
        <v/>
      </c>
      <c r="AZ376" s="235" t="inlineStr">
        <is>
          <t>按实</t>
        </is>
      </c>
      <c r="BA376" s="461">
        <f>BB376</f>
        <v/>
      </c>
      <c r="BB376" s="480" t="n"/>
      <c r="BC376" s="461">
        <f>BA376-BB376</f>
        <v/>
      </c>
      <c r="BD376" s="461" t="n">
        <v>0</v>
      </c>
      <c r="BE376" s="461">
        <f>K376*BD376</f>
        <v/>
      </c>
      <c r="BF376" s="480" t="n"/>
      <c r="BG376" s="461">
        <f>BE376-BF376</f>
        <v/>
      </c>
      <c r="BH376" s="461" t="n">
        <v>0</v>
      </c>
      <c r="BI376" s="461">
        <f>K376*BH376</f>
        <v/>
      </c>
      <c r="BJ376" s="480" t="n"/>
      <c r="BK376" s="461">
        <f>BI376-BJ376</f>
        <v/>
      </c>
      <c r="BL376" s="461" t="inlineStr">
        <is>
          <t>按实</t>
        </is>
      </c>
      <c r="BM376" s="220">
        <f>BN376</f>
        <v/>
      </c>
      <c r="BN376" s="220" t="n"/>
      <c r="BO376" s="220">
        <f>BM376-BN376</f>
        <v/>
      </c>
      <c r="BP376" s="220">
        <f>N376+Q376+U376+Y376+AC376+AG376+AK376+AO376+AS376+AW376+BA376+BE376+BI376+BM376</f>
        <v/>
      </c>
      <c r="BQ376" s="220">
        <f>N376+R376+V376+Z376+AD376+AH376+AL376+AP376+AT376+AX376+BB376+BF376+BJ376+BN376</f>
        <v/>
      </c>
      <c r="BR376" s="220">
        <f>BP376-BQ376</f>
        <v/>
      </c>
      <c r="BS376" s="549" t="inlineStr">
        <is>
          <t>/</t>
        </is>
      </c>
      <c r="BT376" s="549" t="inlineStr">
        <is>
          <t>/</t>
        </is>
      </c>
      <c r="BU376" s="230" t="n"/>
      <c r="BV376" s="230" t="inlineStr">
        <is>
          <t>1、签订期间：2026.3.1-2026.8.31；
2、指标按照全年换算；</t>
        </is>
      </c>
      <c r="BW376" s="534" t="n"/>
    </row>
    <row r="377" ht="24" customFormat="1" customHeight="1" s="210">
      <c r="A377" s="469" t="n"/>
      <c r="B377" s="220" t="inlineStr">
        <is>
          <t>补充</t>
        </is>
      </c>
      <c r="C377" s="221" t="inlineStr">
        <is>
          <t>餐饮六分部</t>
        </is>
      </c>
      <c r="D377" s="221" t="inlineStr">
        <is>
          <t>CF479</t>
        </is>
      </c>
      <c r="E377" s="221" t="inlineStr">
        <is>
          <t>江苏省交通技师学院第一食堂</t>
        </is>
      </c>
      <c r="F377" s="219" t="inlineStr">
        <is>
          <t>分组作业</t>
        </is>
      </c>
      <c r="G377" s="222" t="inlineStr">
        <is>
          <t>卫屹</t>
        </is>
      </c>
      <c r="H377" s="219" t="inlineStr">
        <is>
          <t>第四班组</t>
        </is>
      </c>
      <c r="I377" s="237" t="inlineStr">
        <is>
          <t>早餐</t>
        </is>
      </c>
      <c r="J377" s="219" t="inlineStr">
        <is>
          <t>宋寿荣</t>
        </is>
      </c>
      <c r="K377" s="545">
        <f>LET(k,D377&amp;"|"&amp;E377&amp;"|"&amp;H377&amp;"|"&amp;I377&amp;"|"&amp;J377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77" s="546" t="n"/>
      <c r="M377" s="601" t="inlineStr">
        <is>
          <t>已撤场，已支付</t>
        </is>
      </c>
      <c r="N377" s="547" t="n"/>
      <c r="O377" s="602" t="n"/>
      <c r="P377" s="284" t="n"/>
      <c r="Q377" s="461">
        <f>K377*P377</f>
        <v/>
      </c>
      <c r="R377" s="566" t="n"/>
      <c r="S377" s="461">
        <f>Q377-R377</f>
        <v/>
      </c>
      <c r="T377" s="227" t="n"/>
      <c r="U377" s="461">
        <f>K377*T377</f>
        <v/>
      </c>
      <c r="V377" s="566" t="n"/>
      <c r="W377" s="461">
        <f>U377-V377</f>
        <v/>
      </c>
      <c r="X377" s="227" t="n"/>
      <c r="Y377" s="461">
        <f>K377*X377</f>
        <v/>
      </c>
      <c r="Z377" s="566" t="n"/>
      <c r="AA377" s="461">
        <f>Y377-Z377</f>
        <v/>
      </c>
      <c r="AB377" s="227" t="n"/>
      <c r="AC377" s="461">
        <f>K377*AB377</f>
        <v/>
      </c>
      <c r="AD377" s="566" t="n"/>
      <c r="AE377" s="461">
        <f>AC377-AD377</f>
        <v/>
      </c>
      <c r="AF377" s="227" t="n"/>
      <c r="AG377" s="461">
        <f>K377*AF377</f>
        <v/>
      </c>
      <c r="AH377" s="566" t="n"/>
      <c r="AI377" s="461">
        <f>AG377-AH377</f>
        <v/>
      </c>
      <c r="AJ377" s="227" t="n"/>
      <c r="AK377" s="461">
        <f>K377*AJ377</f>
        <v/>
      </c>
      <c r="AL377" s="566" t="n"/>
      <c r="AM377" s="461">
        <f>AK377-AL377</f>
        <v/>
      </c>
      <c r="AN377" s="227" t="n"/>
      <c r="AO377" s="461">
        <f>K377*AN377</f>
        <v/>
      </c>
      <c r="AP377" s="566" t="n"/>
      <c r="AQ377" s="461">
        <f>AO377-AP377</f>
        <v/>
      </c>
      <c r="AR377" s="461" t="n"/>
      <c r="AS377" s="461">
        <f>K377*AR377</f>
        <v/>
      </c>
      <c r="AT377" s="566" t="n"/>
      <c r="AU377" s="461">
        <f>AS377-AT377</f>
        <v/>
      </c>
      <c r="AV377" s="284" t="n"/>
      <c r="AW377" s="461">
        <f>K377*AV377</f>
        <v/>
      </c>
      <c r="AX377" s="566" t="n"/>
      <c r="AY377" s="461">
        <f>AW377-AX377</f>
        <v/>
      </c>
      <c r="AZ377" s="227" t="n"/>
      <c r="BA377" s="461">
        <f>K377*AZ377</f>
        <v/>
      </c>
      <c r="BB377" s="566" t="n"/>
      <c r="BC377" s="461">
        <f>BA377-BB377</f>
        <v/>
      </c>
      <c r="BD377" s="461" t="n"/>
      <c r="BE377" s="461">
        <f>K377*BD377</f>
        <v/>
      </c>
      <c r="BF377" s="566" t="n"/>
      <c r="BG377" s="461">
        <f>BE377-BF377</f>
        <v/>
      </c>
      <c r="BH377" s="461" t="n"/>
      <c r="BI377" s="461">
        <f>K377*BH377</f>
        <v/>
      </c>
      <c r="BJ377" s="566" t="n"/>
      <c r="BK377" s="461">
        <f>BI377-BJ377</f>
        <v/>
      </c>
      <c r="BL377" s="461" t="n"/>
      <c r="BM377" s="220">
        <f>K377*BL377</f>
        <v/>
      </c>
      <c r="BN377" s="603" t="n"/>
      <c r="BO377" s="220">
        <f>BM377-BN377</f>
        <v/>
      </c>
      <c r="BP377" s="220">
        <f>N377+Q377+U377+Y377+AC377+AG377+AK377+AO377+AS377+AW377+BA377+BE377+BI377+BM377</f>
        <v/>
      </c>
      <c r="BQ377" s="220">
        <f>N377+R377+V377+Z377+AD377+AH377+AL377+AP377+AT377+AX377+BB377+BF377+BJ377+BN377</f>
        <v/>
      </c>
      <c r="BR377" s="220">
        <f>BP377-BQ377</f>
        <v/>
      </c>
      <c r="BS377" s="377" t="n"/>
      <c r="BT377" s="378" t="n"/>
      <c r="BU377" s="297" t="n"/>
      <c r="BV377" s="230" t="n"/>
      <c r="BW377" s="534" t="n"/>
    </row>
    <row r="378" ht="24" customFormat="1" customHeight="1" s="210">
      <c r="A378" s="469" t="n"/>
      <c r="B378" s="220" t="inlineStr">
        <is>
          <t>补充</t>
        </is>
      </c>
      <c r="C378" s="221" t="inlineStr">
        <is>
          <t>餐饮六分部</t>
        </is>
      </c>
      <c r="D378" s="221" t="inlineStr">
        <is>
          <t>CF479</t>
        </is>
      </c>
      <c r="E378" s="221" t="inlineStr">
        <is>
          <t>江苏省交通技师学院第一食堂</t>
        </is>
      </c>
      <c r="F378" s="219" t="inlineStr">
        <is>
          <t>分组作业</t>
        </is>
      </c>
      <c r="G378" s="222" t="inlineStr">
        <is>
          <t>卫屹</t>
        </is>
      </c>
      <c r="H378" s="219" t="inlineStr">
        <is>
          <t>第八班组</t>
        </is>
      </c>
      <c r="I378" s="237" t="inlineStr">
        <is>
          <t>烤鸭饭</t>
        </is>
      </c>
      <c r="J378" s="219" t="inlineStr">
        <is>
          <t>朱浩浩</t>
        </is>
      </c>
      <c r="K378" s="545">
        <f>LET(k,D378&amp;"|"&amp;E378&amp;"|"&amp;H378&amp;"|"&amp;I378&amp;"|"&amp;J378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78" s="546" t="n"/>
      <c r="M378" s="601" t="inlineStr">
        <is>
          <t>已撤场，已支付</t>
        </is>
      </c>
      <c r="N378" s="547" t="n"/>
      <c r="O378" s="602" t="n"/>
      <c r="P378" s="284" t="n"/>
      <c r="Q378" s="461">
        <f>K378*P378</f>
        <v/>
      </c>
      <c r="R378" s="566" t="n"/>
      <c r="S378" s="461">
        <f>Q378-R378</f>
        <v/>
      </c>
      <c r="T378" s="227" t="n"/>
      <c r="U378" s="461">
        <f>K378*T378</f>
        <v/>
      </c>
      <c r="V378" s="566" t="n"/>
      <c r="W378" s="461">
        <f>U378-V378</f>
        <v/>
      </c>
      <c r="X378" s="227" t="n"/>
      <c r="Y378" s="461">
        <f>K378*X378</f>
        <v/>
      </c>
      <c r="Z378" s="566" t="n"/>
      <c r="AA378" s="461">
        <f>Y378-Z378</f>
        <v/>
      </c>
      <c r="AB378" s="227" t="n"/>
      <c r="AC378" s="461">
        <f>K378*AB378</f>
        <v/>
      </c>
      <c r="AD378" s="566" t="n"/>
      <c r="AE378" s="461">
        <f>AC378-AD378</f>
        <v/>
      </c>
      <c r="AF378" s="227" t="n"/>
      <c r="AG378" s="461">
        <f>K378*AF378</f>
        <v/>
      </c>
      <c r="AH378" s="566" t="n"/>
      <c r="AI378" s="461">
        <f>AG378-AH378</f>
        <v/>
      </c>
      <c r="AJ378" s="227" t="n"/>
      <c r="AK378" s="461">
        <f>K378*AJ378</f>
        <v/>
      </c>
      <c r="AL378" s="566" t="n"/>
      <c r="AM378" s="461">
        <f>AK378-AL378</f>
        <v/>
      </c>
      <c r="AN378" s="227" t="n"/>
      <c r="AO378" s="461">
        <f>K378*AN378</f>
        <v/>
      </c>
      <c r="AP378" s="566" t="n"/>
      <c r="AQ378" s="461">
        <f>AO378-AP378</f>
        <v/>
      </c>
      <c r="AR378" s="461" t="n"/>
      <c r="AS378" s="461">
        <f>K378*AR378</f>
        <v/>
      </c>
      <c r="AT378" s="566" t="n"/>
      <c r="AU378" s="461">
        <f>AS378-AT378</f>
        <v/>
      </c>
      <c r="AV378" s="284" t="n"/>
      <c r="AW378" s="461">
        <f>K378*AV378</f>
        <v/>
      </c>
      <c r="AX378" s="566" t="n"/>
      <c r="AY378" s="461">
        <f>AW378-AX378</f>
        <v/>
      </c>
      <c r="AZ378" s="227" t="n"/>
      <c r="BA378" s="461">
        <f>K378*AZ378</f>
        <v/>
      </c>
      <c r="BB378" s="566" t="n"/>
      <c r="BC378" s="461">
        <f>BA378-BB378</f>
        <v/>
      </c>
      <c r="BD378" s="461" t="n"/>
      <c r="BE378" s="461">
        <f>K378*BD378</f>
        <v/>
      </c>
      <c r="BF378" s="566" t="n"/>
      <c r="BG378" s="461">
        <f>BE378-BF378</f>
        <v/>
      </c>
      <c r="BH378" s="461" t="n"/>
      <c r="BI378" s="461">
        <f>K378*BH378</f>
        <v/>
      </c>
      <c r="BJ378" s="566" t="n"/>
      <c r="BK378" s="461">
        <f>BI378-BJ378</f>
        <v/>
      </c>
      <c r="BL378" s="461" t="n"/>
      <c r="BM378" s="220">
        <f>K378*BL378</f>
        <v/>
      </c>
      <c r="BN378" s="603" t="n"/>
      <c r="BO378" s="220">
        <f>BM378-BN378</f>
        <v/>
      </c>
      <c r="BP378" s="220">
        <f>N378+Q378+U378+Y378+AC378+AG378+AK378+AO378+AS378+AW378+BA378+BE378+BI378+BM378</f>
        <v/>
      </c>
      <c r="BQ378" s="220">
        <f>N378+R378+V378+Z378+AD378+AH378+AL378+AP378+AT378+AX378+BB378+BF378+BJ378+BN378</f>
        <v/>
      </c>
      <c r="BR378" s="220">
        <f>BP378-BQ378</f>
        <v/>
      </c>
      <c r="BS378" s="377" t="n"/>
      <c r="BT378" s="378" t="n"/>
      <c r="BU378" s="297" t="n"/>
      <c r="BV378" s="230" t="n"/>
      <c r="BW378" s="534" t="n"/>
    </row>
    <row r="379" ht="24" customFormat="1" customHeight="1" s="210">
      <c r="A379" s="469" t="n"/>
      <c r="B379" s="220" t="inlineStr">
        <is>
          <t>补充</t>
        </is>
      </c>
      <c r="C379" s="221" t="inlineStr">
        <is>
          <t>餐饮六分部</t>
        </is>
      </c>
      <c r="D379" s="221" t="inlineStr">
        <is>
          <t>CF479</t>
        </is>
      </c>
      <c r="E379" s="221" t="inlineStr">
        <is>
          <t>江苏省交通技师学院第一食堂</t>
        </is>
      </c>
      <c r="F379" s="219" t="inlineStr">
        <is>
          <t>分组作业</t>
        </is>
      </c>
      <c r="G379" s="222" t="inlineStr">
        <is>
          <t>卫屹</t>
        </is>
      </c>
      <c r="H379" s="219" t="inlineStr">
        <is>
          <t>第九班组</t>
        </is>
      </c>
      <c r="I379" s="237" t="inlineStr">
        <is>
          <t>吊龙米线</t>
        </is>
      </c>
      <c r="J379" s="219" t="inlineStr">
        <is>
          <t>吴发松</t>
        </is>
      </c>
      <c r="K379" s="545">
        <f>LET(k,D379&amp;"|"&amp;E379&amp;"|"&amp;H379&amp;"|"&amp;I379&amp;"|"&amp;J379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79" s="546" t="n"/>
      <c r="M379" s="601" t="inlineStr">
        <is>
          <t>已撤场，已支付</t>
        </is>
      </c>
      <c r="N379" s="547" t="n"/>
      <c r="O379" s="602" t="n"/>
      <c r="P379" s="284" t="n"/>
      <c r="Q379" s="461">
        <f>K379*P379</f>
        <v/>
      </c>
      <c r="R379" s="566" t="n"/>
      <c r="S379" s="461">
        <f>Q379-R379</f>
        <v/>
      </c>
      <c r="T379" s="227" t="n"/>
      <c r="U379" s="461">
        <f>K379*T379</f>
        <v/>
      </c>
      <c r="V379" s="566" t="n"/>
      <c r="W379" s="461">
        <f>U379-V379</f>
        <v/>
      </c>
      <c r="X379" s="227" t="n"/>
      <c r="Y379" s="461">
        <f>K379*X379</f>
        <v/>
      </c>
      <c r="Z379" s="566" t="n"/>
      <c r="AA379" s="461">
        <f>Y379-Z379</f>
        <v/>
      </c>
      <c r="AB379" s="227" t="n"/>
      <c r="AC379" s="461">
        <f>K379*AB379</f>
        <v/>
      </c>
      <c r="AD379" s="566" t="n"/>
      <c r="AE379" s="461">
        <f>AC379-AD379</f>
        <v/>
      </c>
      <c r="AF379" s="227" t="n"/>
      <c r="AG379" s="461">
        <f>K379*AF379</f>
        <v/>
      </c>
      <c r="AH379" s="566" t="n"/>
      <c r="AI379" s="461">
        <f>AG379-AH379</f>
        <v/>
      </c>
      <c r="AJ379" s="227" t="n"/>
      <c r="AK379" s="461">
        <f>K379*AJ379</f>
        <v/>
      </c>
      <c r="AL379" s="566" t="n"/>
      <c r="AM379" s="461">
        <f>AK379-AL379</f>
        <v/>
      </c>
      <c r="AN379" s="227" t="n"/>
      <c r="AO379" s="461">
        <f>K379*AN379</f>
        <v/>
      </c>
      <c r="AP379" s="566" t="n"/>
      <c r="AQ379" s="461">
        <f>AO379-AP379</f>
        <v/>
      </c>
      <c r="AR379" s="461" t="n"/>
      <c r="AS379" s="461">
        <f>K379*AR379</f>
        <v/>
      </c>
      <c r="AT379" s="566" t="n"/>
      <c r="AU379" s="461">
        <f>AS379-AT379</f>
        <v/>
      </c>
      <c r="AV379" s="284" t="n"/>
      <c r="AW379" s="461">
        <f>K379*AV379</f>
        <v/>
      </c>
      <c r="AX379" s="566" t="n"/>
      <c r="AY379" s="461">
        <f>AW379-AX379</f>
        <v/>
      </c>
      <c r="AZ379" s="227" t="n"/>
      <c r="BA379" s="461">
        <f>K379*AZ379</f>
        <v/>
      </c>
      <c r="BB379" s="566" t="n"/>
      <c r="BC379" s="461">
        <f>BA379-BB379</f>
        <v/>
      </c>
      <c r="BD379" s="461" t="n"/>
      <c r="BE379" s="461">
        <f>K379*BD379</f>
        <v/>
      </c>
      <c r="BF379" s="566" t="n"/>
      <c r="BG379" s="461">
        <f>BE379-BF379</f>
        <v/>
      </c>
      <c r="BH379" s="461" t="n"/>
      <c r="BI379" s="461">
        <f>K379*BH379</f>
        <v/>
      </c>
      <c r="BJ379" s="566" t="n"/>
      <c r="BK379" s="461">
        <f>BI379-BJ379</f>
        <v/>
      </c>
      <c r="BL379" s="461" t="n"/>
      <c r="BM379" s="220">
        <f>K379*BL379</f>
        <v/>
      </c>
      <c r="BN379" s="603" t="n"/>
      <c r="BO379" s="220">
        <f>BM379-BN379</f>
        <v/>
      </c>
      <c r="BP379" s="220">
        <f>N379+Q379+U379+Y379+AC379+AG379+AK379+AO379+AS379+AW379+BA379+BE379+BI379+BM379</f>
        <v/>
      </c>
      <c r="BQ379" s="220">
        <f>N379+R379+V379+Z379+AD379+AH379+AL379+AP379+AT379+AX379+BB379+BF379+BJ379+BN379</f>
        <v/>
      </c>
      <c r="BR379" s="220">
        <f>BP379-BQ379</f>
        <v/>
      </c>
      <c r="BS379" s="377" t="n"/>
      <c r="BT379" s="378" t="n"/>
      <c r="BU379" s="297" t="n"/>
      <c r="BV379" s="230" t="n"/>
      <c r="BW379" s="534" t="n"/>
    </row>
    <row r="380" ht="24" customFormat="1" customHeight="1" s="210">
      <c r="A380" s="469" t="n"/>
      <c r="B380" s="220" t="inlineStr">
        <is>
          <t>补充</t>
        </is>
      </c>
      <c r="C380" s="221" t="inlineStr">
        <is>
          <t>餐饮六分部</t>
        </is>
      </c>
      <c r="D380" s="221" t="inlineStr">
        <is>
          <t>CF479</t>
        </is>
      </c>
      <c r="E380" s="221" t="inlineStr">
        <is>
          <t>江苏省交通技师学院第一食堂</t>
        </is>
      </c>
      <c r="F380" s="219" t="inlineStr">
        <is>
          <t>分组作业</t>
        </is>
      </c>
      <c r="G380" s="222" t="inlineStr">
        <is>
          <t>卫屹</t>
        </is>
      </c>
      <c r="H380" s="219" t="inlineStr">
        <is>
          <t>第十班组</t>
        </is>
      </c>
      <c r="I380" s="237" t="inlineStr">
        <is>
          <t>麻辣烫</t>
        </is>
      </c>
      <c r="J380" s="219" t="inlineStr">
        <is>
          <t>于继文</t>
        </is>
      </c>
      <c r="K380" s="545">
        <f>LET(k,D380&amp;"|"&amp;E380&amp;"|"&amp;H380&amp;"|"&amp;I380&amp;"|"&amp;J380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80" s="546" t="n"/>
      <c r="M380" s="601" t="inlineStr">
        <is>
          <t>已撤场，已支付</t>
        </is>
      </c>
      <c r="N380" s="547" t="n"/>
      <c r="O380" s="602" t="n"/>
      <c r="P380" s="284" t="n"/>
      <c r="Q380" s="461">
        <f>K380*P380</f>
        <v/>
      </c>
      <c r="R380" s="566" t="n"/>
      <c r="S380" s="461">
        <f>Q380-R380</f>
        <v/>
      </c>
      <c r="T380" s="227" t="n"/>
      <c r="U380" s="461">
        <f>K380*T380</f>
        <v/>
      </c>
      <c r="V380" s="566" t="n"/>
      <c r="W380" s="461">
        <f>U380-V380</f>
        <v/>
      </c>
      <c r="X380" s="227" t="n"/>
      <c r="Y380" s="461">
        <f>K380*X380</f>
        <v/>
      </c>
      <c r="Z380" s="566" t="n"/>
      <c r="AA380" s="461">
        <f>Y380-Z380</f>
        <v/>
      </c>
      <c r="AB380" s="227" t="n"/>
      <c r="AC380" s="461">
        <f>K380*AB380</f>
        <v/>
      </c>
      <c r="AD380" s="566" t="n"/>
      <c r="AE380" s="461">
        <f>AC380-AD380</f>
        <v/>
      </c>
      <c r="AF380" s="227" t="n"/>
      <c r="AG380" s="461">
        <f>K380*AF380</f>
        <v/>
      </c>
      <c r="AH380" s="566" t="n"/>
      <c r="AI380" s="461">
        <f>AG380-AH380</f>
        <v/>
      </c>
      <c r="AJ380" s="227" t="n"/>
      <c r="AK380" s="461">
        <f>K380*AJ380</f>
        <v/>
      </c>
      <c r="AL380" s="566" t="n"/>
      <c r="AM380" s="461">
        <f>AK380-AL380</f>
        <v/>
      </c>
      <c r="AN380" s="227" t="n"/>
      <c r="AO380" s="461">
        <f>K380*AN380</f>
        <v/>
      </c>
      <c r="AP380" s="566" t="n"/>
      <c r="AQ380" s="461">
        <f>AO380-AP380</f>
        <v/>
      </c>
      <c r="AR380" s="461" t="n"/>
      <c r="AS380" s="461">
        <f>K380*AR380</f>
        <v/>
      </c>
      <c r="AT380" s="566" t="n"/>
      <c r="AU380" s="461">
        <f>AS380-AT380</f>
        <v/>
      </c>
      <c r="AV380" s="284" t="n"/>
      <c r="AW380" s="461">
        <f>K380*AV380</f>
        <v/>
      </c>
      <c r="AX380" s="566" t="n"/>
      <c r="AY380" s="461">
        <f>AW380-AX380</f>
        <v/>
      </c>
      <c r="AZ380" s="227" t="n"/>
      <c r="BA380" s="461">
        <f>K380*AZ380</f>
        <v/>
      </c>
      <c r="BB380" s="566" t="n"/>
      <c r="BC380" s="461">
        <f>BA380-BB380</f>
        <v/>
      </c>
      <c r="BD380" s="461" t="n"/>
      <c r="BE380" s="461">
        <f>K380*BD380</f>
        <v/>
      </c>
      <c r="BF380" s="566" t="n"/>
      <c r="BG380" s="461">
        <f>BE380-BF380</f>
        <v/>
      </c>
      <c r="BH380" s="461" t="n"/>
      <c r="BI380" s="461">
        <f>K380*BH380</f>
        <v/>
      </c>
      <c r="BJ380" s="566" t="n"/>
      <c r="BK380" s="461">
        <f>BI380-BJ380</f>
        <v/>
      </c>
      <c r="BL380" s="461" t="n"/>
      <c r="BM380" s="220">
        <f>K380*BL380</f>
        <v/>
      </c>
      <c r="BN380" s="603" t="n"/>
      <c r="BO380" s="220">
        <f>BM380-BN380</f>
        <v/>
      </c>
      <c r="BP380" s="220">
        <f>N380+Q380+U380+Y380+AC380+AG380+AK380+AO380+AS380+AW380+BA380+BE380+BI380+BM380</f>
        <v/>
      </c>
      <c r="BQ380" s="220">
        <f>N380+R380+V380+Z380+AD380+AH380+AL380+AP380+AT380+AX380+BB380+BF380+BJ380+BN380</f>
        <v/>
      </c>
      <c r="BR380" s="220">
        <f>BP380-BQ380</f>
        <v/>
      </c>
      <c r="BS380" s="377" t="n"/>
      <c r="BT380" s="378" t="n"/>
      <c r="BU380" s="297" t="n"/>
      <c r="BV380" s="230" t="n"/>
      <c r="BW380" s="534" t="n"/>
    </row>
    <row r="381" ht="24" customFormat="1" customHeight="1" s="210">
      <c r="A381" s="469" t="n"/>
      <c r="B381" s="220" t="inlineStr">
        <is>
          <t>补充</t>
        </is>
      </c>
      <c r="C381" s="221" t="inlineStr">
        <is>
          <t>餐饮六分部</t>
        </is>
      </c>
      <c r="D381" s="221" t="inlineStr">
        <is>
          <t>CF479</t>
        </is>
      </c>
      <c r="E381" s="221" t="inlineStr">
        <is>
          <t>江苏省交通技师学院第一食堂</t>
        </is>
      </c>
      <c r="F381" s="219" t="inlineStr">
        <is>
          <t>分组作业</t>
        </is>
      </c>
      <c r="G381" s="222" t="inlineStr">
        <is>
          <t>卫屹</t>
        </is>
      </c>
      <c r="H381" s="219" t="inlineStr">
        <is>
          <t>第十一班组</t>
        </is>
      </c>
      <c r="I381" s="237" t="inlineStr">
        <is>
          <t>掉渣饼</t>
        </is>
      </c>
      <c r="J381" s="219" t="inlineStr">
        <is>
          <t>姚杨</t>
        </is>
      </c>
      <c r="K381" s="545">
        <f>LET(k,D381&amp;"|"&amp;E381&amp;"|"&amp;H381&amp;"|"&amp;I381&amp;"|"&amp;J381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81" s="546" t="n"/>
      <c r="M381" s="601" t="inlineStr">
        <is>
          <t>已撤场，已支付</t>
        </is>
      </c>
      <c r="N381" s="547" t="n"/>
      <c r="O381" s="602" t="n"/>
      <c r="P381" s="284" t="n"/>
      <c r="Q381" s="461">
        <f>K381*P381</f>
        <v/>
      </c>
      <c r="R381" s="566" t="n"/>
      <c r="S381" s="461">
        <f>Q381-R381</f>
        <v/>
      </c>
      <c r="T381" s="227" t="n"/>
      <c r="U381" s="461">
        <f>K381*T381</f>
        <v/>
      </c>
      <c r="V381" s="566" t="n"/>
      <c r="W381" s="461">
        <f>U381-V381</f>
        <v/>
      </c>
      <c r="X381" s="227" t="n"/>
      <c r="Y381" s="461">
        <f>K381*X381</f>
        <v/>
      </c>
      <c r="Z381" s="566" t="n"/>
      <c r="AA381" s="461">
        <f>Y381-Z381</f>
        <v/>
      </c>
      <c r="AB381" s="227" t="n"/>
      <c r="AC381" s="461">
        <f>K381*AB381</f>
        <v/>
      </c>
      <c r="AD381" s="566" t="n"/>
      <c r="AE381" s="461">
        <f>AC381-AD381</f>
        <v/>
      </c>
      <c r="AF381" s="227" t="n"/>
      <c r="AG381" s="461">
        <f>K381*AF381</f>
        <v/>
      </c>
      <c r="AH381" s="566" t="n"/>
      <c r="AI381" s="461">
        <f>AG381-AH381</f>
        <v/>
      </c>
      <c r="AJ381" s="227" t="n"/>
      <c r="AK381" s="461">
        <f>K381*AJ381</f>
        <v/>
      </c>
      <c r="AL381" s="566" t="n"/>
      <c r="AM381" s="461">
        <f>AK381-AL381</f>
        <v/>
      </c>
      <c r="AN381" s="227" t="n"/>
      <c r="AO381" s="461">
        <f>K381*AN381</f>
        <v/>
      </c>
      <c r="AP381" s="566" t="n"/>
      <c r="AQ381" s="461">
        <f>AO381-AP381</f>
        <v/>
      </c>
      <c r="AR381" s="461" t="n"/>
      <c r="AS381" s="461">
        <f>K381*AR381</f>
        <v/>
      </c>
      <c r="AT381" s="566" t="n"/>
      <c r="AU381" s="461">
        <f>AS381-AT381</f>
        <v/>
      </c>
      <c r="AV381" s="284" t="n"/>
      <c r="AW381" s="461">
        <f>K381*AV381</f>
        <v/>
      </c>
      <c r="AX381" s="566" t="n"/>
      <c r="AY381" s="461">
        <f>AW381-AX381</f>
        <v/>
      </c>
      <c r="AZ381" s="227" t="n"/>
      <c r="BA381" s="461">
        <f>K381*AZ381</f>
        <v/>
      </c>
      <c r="BB381" s="566" t="n"/>
      <c r="BC381" s="461">
        <f>BA381-BB381</f>
        <v/>
      </c>
      <c r="BD381" s="461" t="n"/>
      <c r="BE381" s="461">
        <f>K381*BD381</f>
        <v/>
      </c>
      <c r="BF381" s="566" t="n"/>
      <c r="BG381" s="461">
        <f>BE381-BF381</f>
        <v/>
      </c>
      <c r="BH381" s="461" t="n"/>
      <c r="BI381" s="461">
        <f>K381*BH381</f>
        <v/>
      </c>
      <c r="BJ381" s="566" t="n"/>
      <c r="BK381" s="461">
        <f>BI381-BJ381</f>
        <v/>
      </c>
      <c r="BL381" s="461" t="n"/>
      <c r="BM381" s="220">
        <f>K381*BL381</f>
        <v/>
      </c>
      <c r="BN381" s="603" t="n"/>
      <c r="BO381" s="220">
        <f>BM381-BN381</f>
        <v/>
      </c>
      <c r="BP381" s="220">
        <f>N381+Q381+U381+Y381+AC381+AG381+AK381+AO381+AS381+AW381+BA381+BE381+BI381+BM381</f>
        <v/>
      </c>
      <c r="BQ381" s="220">
        <f>N381+R381+V381+Z381+AD381+AH381+AL381+AP381+AT381+AX381+BB381+BF381+BJ381+BN381</f>
        <v/>
      </c>
      <c r="BR381" s="220">
        <f>BP381-BQ381</f>
        <v/>
      </c>
      <c r="BS381" s="377" t="n"/>
      <c r="BT381" s="378" t="n"/>
      <c r="BU381" s="297" t="n"/>
      <c r="BV381" s="230" t="n"/>
      <c r="BW381" s="534" t="n"/>
    </row>
    <row r="382" ht="24" customFormat="1" customHeight="1" s="210">
      <c r="A382" s="469" t="n"/>
      <c r="B382" s="220" t="inlineStr">
        <is>
          <t>补充</t>
        </is>
      </c>
      <c r="C382" s="221" t="inlineStr">
        <is>
          <t>餐饮六分部</t>
        </is>
      </c>
      <c r="D382" s="221" t="inlineStr">
        <is>
          <t>CF479</t>
        </is>
      </c>
      <c r="E382" s="221" t="inlineStr">
        <is>
          <t>江苏省交通技师学院第一食堂</t>
        </is>
      </c>
      <c r="F382" s="219" t="inlineStr">
        <is>
          <t>分组作业</t>
        </is>
      </c>
      <c r="G382" s="222" t="inlineStr">
        <is>
          <t>卫屹</t>
        </is>
      </c>
      <c r="H382" s="219" t="inlineStr">
        <is>
          <t>第十二班组</t>
        </is>
      </c>
      <c r="I382" s="237" t="inlineStr">
        <is>
          <t>临榆炸鸡腿</t>
        </is>
      </c>
      <c r="J382" s="219" t="inlineStr">
        <is>
          <t>俞磊</t>
        </is>
      </c>
      <c r="K382" s="545">
        <f>LET(k,D382&amp;"|"&amp;E382&amp;"|"&amp;H382&amp;"|"&amp;I382&amp;"|"&amp;J382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82" s="546" t="n"/>
      <c r="M382" s="601" t="inlineStr">
        <is>
          <t>已撤场，已支付</t>
        </is>
      </c>
      <c r="N382" s="547" t="n"/>
      <c r="O382" s="602" t="n"/>
      <c r="P382" s="284" t="n"/>
      <c r="Q382" s="461">
        <f>K382*P382</f>
        <v/>
      </c>
      <c r="R382" s="566" t="n"/>
      <c r="S382" s="461">
        <f>Q382-R382</f>
        <v/>
      </c>
      <c r="T382" s="227" t="n"/>
      <c r="U382" s="461">
        <f>K382*T382</f>
        <v/>
      </c>
      <c r="V382" s="566" t="n"/>
      <c r="W382" s="461">
        <f>U382-V382</f>
        <v/>
      </c>
      <c r="X382" s="227" t="n"/>
      <c r="Y382" s="461">
        <f>K382*X382</f>
        <v/>
      </c>
      <c r="Z382" s="566" t="n"/>
      <c r="AA382" s="461">
        <f>Y382-Z382</f>
        <v/>
      </c>
      <c r="AB382" s="227" t="n"/>
      <c r="AC382" s="461">
        <f>K382*AB382</f>
        <v/>
      </c>
      <c r="AD382" s="566" t="n"/>
      <c r="AE382" s="461">
        <f>AC382-AD382</f>
        <v/>
      </c>
      <c r="AF382" s="227" t="n"/>
      <c r="AG382" s="461">
        <f>K382*AF382</f>
        <v/>
      </c>
      <c r="AH382" s="566" t="n"/>
      <c r="AI382" s="461">
        <f>AG382-AH382</f>
        <v/>
      </c>
      <c r="AJ382" s="227" t="n"/>
      <c r="AK382" s="461">
        <f>K382*AJ382</f>
        <v/>
      </c>
      <c r="AL382" s="566" t="n"/>
      <c r="AM382" s="461">
        <f>AK382-AL382</f>
        <v/>
      </c>
      <c r="AN382" s="227" t="n"/>
      <c r="AO382" s="461">
        <f>K382*AN382</f>
        <v/>
      </c>
      <c r="AP382" s="566" t="n"/>
      <c r="AQ382" s="461">
        <f>AO382-AP382</f>
        <v/>
      </c>
      <c r="AR382" s="461" t="n"/>
      <c r="AS382" s="461">
        <f>K382*AR382</f>
        <v/>
      </c>
      <c r="AT382" s="566" t="n"/>
      <c r="AU382" s="461">
        <f>AS382-AT382</f>
        <v/>
      </c>
      <c r="AV382" s="284" t="n"/>
      <c r="AW382" s="461">
        <f>K382*AV382</f>
        <v/>
      </c>
      <c r="AX382" s="566" t="n"/>
      <c r="AY382" s="461">
        <f>AW382-AX382</f>
        <v/>
      </c>
      <c r="AZ382" s="227" t="n"/>
      <c r="BA382" s="461">
        <f>K382*AZ382</f>
        <v/>
      </c>
      <c r="BB382" s="566" t="n"/>
      <c r="BC382" s="461">
        <f>BA382-BB382</f>
        <v/>
      </c>
      <c r="BD382" s="461" t="n"/>
      <c r="BE382" s="461">
        <f>K382*BD382</f>
        <v/>
      </c>
      <c r="BF382" s="566" t="n"/>
      <c r="BG382" s="461">
        <f>BE382-BF382</f>
        <v/>
      </c>
      <c r="BH382" s="461" t="n"/>
      <c r="BI382" s="461">
        <f>K382*BH382</f>
        <v/>
      </c>
      <c r="BJ382" s="566" t="n"/>
      <c r="BK382" s="461">
        <f>BI382-BJ382</f>
        <v/>
      </c>
      <c r="BL382" s="461" t="n"/>
      <c r="BM382" s="220">
        <f>K382*BL382</f>
        <v/>
      </c>
      <c r="BN382" s="603" t="n"/>
      <c r="BO382" s="220">
        <f>BM382-BN382</f>
        <v/>
      </c>
      <c r="BP382" s="220">
        <f>N382+Q382+U382+Y382+AC382+AG382+AK382+AO382+AS382+AW382+BA382+BE382+BI382+BM382</f>
        <v/>
      </c>
      <c r="BQ382" s="220">
        <f>N382+R382+V382+Z382+AD382+AH382+AL382+AP382+AT382+AX382+BB382+BF382+BJ382+BN382</f>
        <v/>
      </c>
      <c r="BR382" s="220">
        <f>BP382-BQ382</f>
        <v/>
      </c>
      <c r="BS382" s="377" t="n"/>
      <c r="BT382" s="378" t="n"/>
      <c r="BU382" s="297" t="n"/>
      <c r="BV382" s="230" t="n"/>
      <c r="BW382" s="534" t="n"/>
    </row>
    <row r="383" customFormat="1" s="210">
      <c r="A383" s="469" t="n"/>
      <c r="B383" s="220" t="inlineStr">
        <is>
          <t>补充</t>
        </is>
      </c>
      <c r="C383" s="221" t="inlineStr">
        <is>
          <t>餐饮三分部</t>
        </is>
      </c>
      <c r="D383" s="221" t="inlineStr">
        <is>
          <t>CF320</t>
        </is>
      </c>
      <c r="E383" s="221" t="inlineStr">
        <is>
          <t>江苏财经梅园食堂</t>
        </is>
      </c>
      <c r="F383" s="219" t="inlineStr">
        <is>
          <t>分组作业</t>
        </is>
      </c>
      <c r="G383" s="222" t="inlineStr">
        <is>
          <t>徐敏娟</t>
        </is>
      </c>
      <c r="H383" s="219" t="n"/>
      <c r="I383" s="237" t="inlineStr">
        <is>
          <t>茶香鸡</t>
        </is>
      </c>
      <c r="J383" s="219" t="inlineStr">
        <is>
          <t>王兆飞</t>
        </is>
      </c>
      <c r="K383" s="545">
        <f>LET(k,D383&amp;"|"&amp;E383&amp;"|"&amp;H383&amp;"|"&amp;I383&amp;"|"&amp;J383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83" s="546" t="n"/>
      <c r="M383" s="601" t="inlineStr">
        <is>
          <t>撤场，已结算</t>
        </is>
      </c>
      <c r="N383" s="253" t="n"/>
      <c r="O383" s="602" t="n"/>
      <c r="P383" s="284" t="n"/>
      <c r="Q383" s="461">
        <f>R383</f>
        <v/>
      </c>
      <c r="R383" s="227" t="n"/>
      <c r="S383" s="461">
        <f>Q383-R383</f>
        <v/>
      </c>
      <c r="T383" s="227" t="n"/>
      <c r="U383" s="461">
        <f>V383</f>
        <v/>
      </c>
      <c r="V383" s="227" t="n"/>
      <c r="W383" s="461">
        <f>U383-V383</f>
        <v/>
      </c>
      <c r="X383" s="227" t="n"/>
      <c r="Y383" s="461">
        <f>Z383</f>
        <v/>
      </c>
      <c r="Z383" s="227" t="n"/>
      <c r="AA383" s="461">
        <f>Y383-Z383</f>
        <v/>
      </c>
      <c r="AB383" s="227" t="n"/>
      <c r="AC383" s="461">
        <f>AD383</f>
        <v/>
      </c>
      <c r="AD383" s="227" t="n"/>
      <c r="AE383" s="461">
        <f>AC383-AD383</f>
        <v/>
      </c>
      <c r="AF383" s="227" t="n"/>
      <c r="AG383" s="461">
        <f>AH383</f>
        <v/>
      </c>
      <c r="AH383" s="227" t="n"/>
      <c r="AI383" s="461">
        <f>AG383-AH383</f>
        <v/>
      </c>
      <c r="AJ383" s="227" t="n"/>
      <c r="AK383" s="461">
        <f>AL383</f>
        <v/>
      </c>
      <c r="AL383" s="227" t="n"/>
      <c r="AM383" s="461">
        <f>AK383-AL383</f>
        <v/>
      </c>
      <c r="AN383" s="227" t="n"/>
      <c r="AO383" s="461">
        <f>AP383</f>
        <v/>
      </c>
      <c r="AP383" s="227" t="n"/>
      <c r="AQ383" s="461">
        <f>AO383-AP383</f>
        <v/>
      </c>
      <c r="AR383" s="461" t="n"/>
      <c r="AS383" s="461">
        <f>AT383</f>
        <v/>
      </c>
      <c r="AT383" s="227" t="n"/>
      <c r="AU383" s="461">
        <f>AS383-AT383</f>
        <v/>
      </c>
      <c r="AV383" s="284" t="n"/>
      <c r="AW383" s="461">
        <f>AX383</f>
        <v/>
      </c>
      <c r="AX383" s="462" t="n"/>
      <c r="AY383" s="461">
        <f>AW383-AX383</f>
        <v/>
      </c>
      <c r="AZ383" s="227" t="n"/>
      <c r="BA383" s="461">
        <f>BB383</f>
        <v/>
      </c>
      <c r="BB383" s="461" t="n"/>
      <c r="BC383" s="461">
        <f>BA383-BB383</f>
        <v/>
      </c>
      <c r="BD383" s="461" t="n"/>
      <c r="BE383" s="461">
        <f>BF383</f>
        <v/>
      </c>
      <c r="BF383" s="461" t="n"/>
      <c r="BG383" s="461">
        <f>BE383-BF383</f>
        <v/>
      </c>
      <c r="BH383" s="461" t="n"/>
      <c r="BI383" s="461">
        <f>BJ383</f>
        <v/>
      </c>
      <c r="BJ383" s="461" t="n"/>
      <c r="BK383" s="461">
        <f>BI383-BJ383</f>
        <v/>
      </c>
      <c r="BL383" s="461" t="n"/>
      <c r="BM383" s="220">
        <f>BN383</f>
        <v/>
      </c>
      <c r="BN383" s="220" t="n"/>
      <c r="BO383" s="220">
        <f>BM383-BN383</f>
        <v/>
      </c>
      <c r="BP383" s="220">
        <f>N383+Q383+U383+Y383+AC383+AG383+AK383+AO383+AS383+AW383+BA383+BE383+BI383+BM383</f>
        <v/>
      </c>
      <c r="BQ383" s="220">
        <f>N383+R383+V383+Z383+AD383+AH383+AL383+AP383+AT383+AX383+BB383+BF383+BJ383+BN383</f>
        <v/>
      </c>
      <c r="BR383" s="220">
        <f>BP383-BQ383</f>
        <v/>
      </c>
      <c r="BS383" s="377" t="n"/>
      <c r="BT383" s="378" t="n"/>
      <c r="BU383" s="297" t="n"/>
      <c r="BV383" s="230" t="n"/>
      <c r="BW383" s="534" t="n"/>
    </row>
    <row r="384" customFormat="1" s="210">
      <c r="A384" s="469" t="n"/>
      <c r="B384" s="220" t="inlineStr">
        <is>
          <t>补充</t>
        </is>
      </c>
      <c r="C384" s="221" t="inlineStr">
        <is>
          <t>餐饮三分部</t>
        </is>
      </c>
      <c r="D384" s="221" t="inlineStr">
        <is>
          <t>CF320</t>
        </is>
      </c>
      <c r="E384" s="221" t="inlineStr">
        <is>
          <t>江苏财经梅园食堂</t>
        </is>
      </c>
      <c r="F384" s="219" t="inlineStr">
        <is>
          <t>分组作业</t>
        </is>
      </c>
      <c r="G384" s="222" t="inlineStr">
        <is>
          <t>徐敏娟</t>
        </is>
      </c>
      <c r="H384" s="219" t="n"/>
      <c r="I384" s="237" t="inlineStr">
        <is>
          <t>酥肉小锅</t>
        </is>
      </c>
      <c r="J384" s="219" t="inlineStr">
        <is>
          <t>周功源</t>
        </is>
      </c>
      <c r="K384" s="545">
        <f>LET(k,D384&amp;"|"&amp;E384&amp;"|"&amp;H384&amp;"|"&amp;I384&amp;"|"&amp;J384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84" s="546" t="n"/>
      <c r="M384" s="601" t="inlineStr">
        <is>
          <t>撤场，已结算</t>
        </is>
      </c>
      <c r="N384" s="253" t="n"/>
      <c r="O384" s="602" t="n"/>
      <c r="P384" s="284" t="n"/>
      <c r="Q384" s="461">
        <f>R384</f>
        <v/>
      </c>
      <c r="R384" s="227" t="n"/>
      <c r="S384" s="461">
        <f>Q384-R384</f>
        <v/>
      </c>
      <c r="T384" s="227" t="n"/>
      <c r="U384" s="461">
        <f>V384</f>
        <v/>
      </c>
      <c r="V384" s="227" t="n"/>
      <c r="W384" s="461">
        <f>U384-V384</f>
        <v/>
      </c>
      <c r="X384" s="227" t="n"/>
      <c r="Y384" s="461">
        <f>Z384</f>
        <v/>
      </c>
      <c r="Z384" s="227" t="n"/>
      <c r="AA384" s="461">
        <f>Y384-Z384</f>
        <v/>
      </c>
      <c r="AB384" s="227" t="n"/>
      <c r="AC384" s="461">
        <f>AD384</f>
        <v/>
      </c>
      <c r="AD384" s="227" t="n"/>
      <c r="AE384" s="461">
        <f>AC384-AD384</f>
        <v/>
      </c>
      <c r="AF384" s="227" t="n"/>
      <c r="AG384" s="461">
        <f>AH384</f>
        <v/>
      </c>
      <c r="AH384" s="227" t="n"/>
      <c r="AI384" s="461">
        <f>AG384-AH384</f>
        <v/>
      </c>
      <c r="AJ384" s="227" t="n"/>
      <c r="AK384" s="461">
        <f>AL384</f>
        <v/>
      </c>
      <c r="AL384" s="227" t="n"/>
      <c r="AM384" s="461">
        <f>AK384-AL384</f>
        <v/>
      </c>
      <c r="AN384" s="227" t="n"/>
      <c r="AO384" s="461">
        <f>AP384</f>
        <v/>
      </c>
      <c r="AP384" s="227" t="n"/>
      <c r="AQ384" s="461">
        <f>AO384-AP384</f>
        <v/>
      </c>
      <c r="AR384" s="461" t="n"/>
      <c r="AS384" s="461">
        <f>AT384</f>
        <v/>
      </c>
      <c r="AT384" s="227" t="n"/>
      <c r="AU384" s="461">
        <f>AS384-AT384</f>
        <v/>
      </c>
      <c r="AV384" s="284" t="n"/>
      <c r="AW384" s="461">
        <f>AX384</f>
        <v/>
      </c>
      <c r="AX384" s="227" t="n"/>
      <c r="AY384" s="461">
        <f>AW384-AX384</f>
        <v/>
      </c>
      <c r="AZ384" s="227" t="n"/>
      <c r="BA384" s="461">
        <f>BB384</f>
        <v/>
      </c>
      <c r="BB384" s="461" t="n"/>
      <c r="BC384" s="461">
        <f>BA384-BB384</f>
        <v/>
      </c>
      <c r="BD384" s="461" t="n"/>
      <c r="BE384" s="461">
        <f>BF384</f>
        <v/>
      </c>
      <c r="BF384" s="461" t="n"/>
      <c r="BG384" s="461">
        <f>BE384-BF384</f>
        <v/>
      </c>
      <c r="BH384" s="461" t="n"/>
      <c r="BI384" s="461">
        <f>BJ384</f>
        <v/>
      </c>
      <c r="BJ384" s="461" t="n"/>
      <c r="BK384" s="461">
        <f>BI384-BJ384</f>
        <v/>
      </c>
      <c r="BL384" s="461" t="n"/>
      <c r="BM384" s="220">
        <f>BN384</f>
        <v/>
      </c>
      <c r="BN384" s="220" t="n"/>
      <c r="BO384" s="220">
        <f>BM384-BN384</f>
        <v/>
      </c>
      <c r="BP384" s="220">
        <f>N384+Q384+U384+Y384+AC384+AG384+AK384+AO384+AS384+AW384+BA384+BE384+BI384+BM384</f>
        <v/>
      </c>
      <c r="BQ384" s="220">
        <f>N384+R384+V384+Z384+AD384+AH384+AL384+AP384+AT384+AX384+BB384+BF384+BJ384+BN384</f>
        <v/>
      </c>
      <c r="BR384" s="220">
        <f>BP384-BQ384</f>
        <v/>
      </c>
      <c r="BS384" s="377" t="n"/>
      <c r="BT384" s="378" t="n"/>
      <c r="BU384" s="297" t="n"/>
      <c r="BV384" s="230" t="n"/>
      <c r="BW384" s="534" t="n"/>
    </row>
    <row r="385" customFormat="1" s="210">
      <c r="A385" s="469" t="n"/>
      <c r="B385" s="220" t="inlineStr">
        <is>
          <t>补充</t>
        </is>
      </c>
      <c r="C385" s="221" t="inlineStr">
        <is>
          <t>餐饮三分部</t>
        </is>
      </c>
      <c r="D385" s="221" t="inlineStr">
        <is>
          <t>CF320</t>
        </is>
      </c>
      <c r="E385" s="221" t="inlineStr">
        <is>
          <t>江苏财经梅园食堂</t>
        </is>
      </c>
      <c r="F385" s="219" t="inlineStr">
        <is>
          <t>分组作业</t>
        </is>
      </c>
      <c r="G385" s="222" t="inlineStr">
        <is>
          <t>徐敏娟</t>
        </is>
      </c>
      <c r="H385" s="219" t="n"/>
      <c r="I385" s="237" t="inlineStr">
        <is>
          <t>大哈恰饭</t>
        </is>
      </c>
      <c r="J385" s="219" t="inlineStr">
        <is>
          <t>陈海</t>
        </is>
      </c>
      <c r="K385" s="545">
        <f>LET(k,D385&amp;"|"&amp;E385&amp;"|"&amp;H385&amp;"|"&amp;I385&amp;"|"&amp;J385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85" s="546" t="n"/>
      <c r="M385" s="601" t="inlineStr">
        <is>
          <t>撤场，已结算</t>
        </is>
      </c>
      <c r="N385" s="253" t="n"/>
      <c r="O385" s="602" t="n"/>
      <c r="P385" s="284" t="n"/>
      <c r="Q385" s="461">
        <f>R385</f>
        <v/>
      </c>
      <c r="R385" s="227" t="n"/>
      <c r="S385" s="461">
        <f>Q385-R385</f>
        <v/>
      </c>
      <c r="T385" s="227" t="n"/>
      <c r="U385" s="461">
        <f>V385</f>
        <v/>
      </c>
      <c r="V385" s="227" t="n"/>
      <c r="W385" s="461">
        <f>U385-V385</f>
        <v/>
      </c>
      <c r="X385" s="227" t="n"/>
      <c r="Y385" s="461">
        <f>Z385</f>
        <v/>
      </c>
      <c r="Z385" s="227" t="n"/>
      <c r="AA385" s="461">
        <f>Y385-Z385</f>
        <v/>
      </c>
      <c r="AB385" s="227" t="n"/>
      <c r="AC385" s="461">
        <f>AD385</f>
        <v/>
      </c>
      <c r="AD385" s="227" t="n"/>
      <c r="AE385" s="461">
        <f>AC385-AD385</f>
        <v/>
      </c>
      <c r="AF385" s="227" t="n"/>
      <c r="AG385" s="461">
        <f>AH385</f>
        <v/>
      </c>
      <c r="AH385" s="227" t="n"/>
      <c r="AI385" s="461">
        <f>AG385-AH385</f>
        <v/>
      </c>
      <c r="AJ385" s="227" t="n"/>
      <c r="AK385" s="461">
        <f>AL385</f>
        <v/>
      </c>
      <c r="AL385" s="227" t="n"/>
      <c r="AM385" s="461">
        <f>AK385-AL385</f>
        <v/>
      </c>
      <c r="AN385" s="227" t="n"/>
      <c r="AO385" s="461">
        <f>AP385</f>
        <v/>
      </c>
      <c r="AP385" s="227" t="n"/>
      <c r="AQ385" s="461">
        <f>AO385-AP385</f>
        <v/>
      </c>
      <c r="AR385" s="461" t="n"/>
      <c r="AS385" s="461">
        <f>AT385</f>
        <v/>
      </c>
      <c r="AT385" s="227" t="n"/>
      <c r="AU385" s="461">
        <f>AS385-AT385</f>
        <v/>
      </c>
      <c r="AV385" s="284" t="n"/>
      <c r="AW385" s="461">
        <f>AX385</f>
        <v/>
      </c>
      <c r="AX385" s="227" t="n"/>
      <c r="AY385" s="461">
        <f>AW385-AX385</f>
        <v/>
      </c>
      <c r="AZ385" s="227" t="n"/>
      <c r="BA385" s="461">
        <f>BB385</f>
        <v/>
      </c>
      <c r="BB385" s="461" t="n"/>
      <c r="BC385" s="461">
        <f>BA385-BB385</f>
        <v/>
      </c>
      <c r="BD385" s="461" t="n"/>
      <c r="BE385" s="461">
        <f>BF385</f>
        <v/>
      </c>
      <c r="BF385" s="461" t="n"/>
      <c r="BG385" s="461">
        <f>BE385-BF385</f>
        <v/>
      </c>
      <c r="BH385" s="461" t="n"/>
      <c r="BI385" s="461">
        <f>BJ385</f>
        <v/>
      </c>
      <c r="BJ385" s="461" t="n"/>
      <c r="BK385" s="461">
        <f>BI385-BJ385</f>
        <v/>
      </c>
      <c r="BL385" s="461" t="n"/>
      <c r="BM385" s="220">
        <f>BN385</f>
        <v/>
      </c>
      <c r="BN385" s="220" t="n"/>
      <c r="BO385" s="220">
        <f>BM385-BN385</f>
        <v/>
      </c>
      <c r="BP385" s="220">
        <f>N385+Q385+U385+Y385+AC385+AG385+AK385+AO385+AS385+AW385+BA385+BE385+BI385+BM385</f>
        <v/>
      </c>
      <c r="BQ385" s="220">
        <f>N385+R385+V385+Z385+AD385+AH385+AL385+AP385+AT385+AX385+BB385+BF385+BJ385+BN385</f>
        <v/>
      </c>
      <c r="BR385" s="220">
        <f>BP385-BQ385</f>
        <v/>
      </c>
      <c r="BS385" s="377" t="n"/>
      <c r="BT385" s="378" t="n"/>
      <c r="BU385" s="297" t="n"/>
      <c r="BV385" s="230" t="n"/>
      <c r="BW385" s="534" t="n"/>
    </row>
    <row r="386" customFormat="1" s="210">
      <c r="A386" s="469" t="n"/>
      <c r="B386" s="220" t="inlineStr">
        <is>
          <t>补充</t>
        </is>
      </c>
      <c r="C386" s="221" t="inlineStr">
        <is>
          <t>餐饮三分部</t>
        </is>
      </c>
      <c r="D386" s="221" t="inlineStr">
        <is>
          <t>CF320</t>
        </is>
      </c>
      <c r="E386" s="221" t="inlineStr">
        <is>
          <t>江苏财经梅园食堂</t>
        </is>
      </c>
      <c r="F386" s="219" t="inlineStr">
        <is>
          <t>分组作业</t>
        </is>
      </c>
      <c r="G386" s="222" t="inlineStr">
        <is>
          <t>徐敏娟</t>
        </is>
      </c>
      <c r="H386" s="219" t="n"/>
      <c r="I386" s="237" t="inlineStr">
        <is>
          <t>大碗面</t>
        </is>
      </c>
      <c r="J386" s="219" t="inlineStr">
        <is>
          <t>李龙</t>
        </is>
      </c>
      <c r="K386" s="545">
        <f>LET(k,D386&amp;"|"&amp;E386&amp;"|"&amp;H386&amp;"|"&amp;I386&amp;"|"&amp;J386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86" s="546" t="n"/>
      <c r="M386" s="601" t="inlineStr">
        <is>
          <t>撤场，已结算</t>
        </is>
      </c>
      <c r="N386" s="253" t="n"/>
      <c r="O386" s="602" t="n"/>
      <c r="P386" s="284" t="n"/>
      <c r="Q386" s="461">
        <f>R386</f>
        <v/>
      </c>
      <c r="R386" s="227" t="n"/>
      <c r="S386" s="461">
        <f>Q386-R386</f>
        <v/>
      </c>
      <c r="T386" s="227" t="n"/>
      <c r="U386" s="461">
        <f>V386</f>
        <v/>
      </c>
      <c r="V386" s="227" t="n"/>
      <c r="W386" s="461">
        <f>U386-V386</f>
        <v/>
      </c>
      <c r="X386" s="227" t="n"/>
      <c r="Y386" s="461">
        <f>Z386</f>
        <v/>
      </c>
      <c r="Z386" s="227" t="n"/>
      <c r="AA386" s="461">
        <f>Y386-Z386</f>
        <v/>
      </c>
      <c r="AB386" s="227" t="n"/>
      <c r="AC386" s="461">
        <f>AD386</f>
        <v/>
      </c>
      <c r="AD386" s="227" t="n"/>
      <c r="AE386" s="461">
        <f>AC386-AD386</f>
        <v/>
      </c>
      <c r="AF386" s="227" t="n"/>
      <c r="AG386" s="461">
        <f>AH386</f>
        <v/>
      </c>
      <c r="AH386" s="227" t="n"/>
      <c r="AI386" s="461">
        <f>AG386-AH386</f>
        <v/>
      </c>
      <c r="AJ386" s="227" t="n"/>
      <c r="AK386" s="461">
        <f>AL386</f>
        <v/>
      </c>
      <c r="AL386" s="227" t="n"/>
      <c r="AM386" s="461">
        <f>AK386-AL386</f>
        <v/>
      </c>
      <c r="AN386" s="227" t="n"/>
      <c r="AO386" s="461">
        <f>AP386</f>
        <v/>
      </c>
      <c r="AP386" s="227" t="n"/>
      <c r="AQ386" s="461">
        <f>AO386-AP386</f>
        <v/>
      </c>
      <c r="AR386" s="461" t="n"/>
      <c r="AS386" s="461">
        <f>AT386</f>
        <v/>
      </c>
      <c r="AT386" s="227" t="n"/>
      <c r="AU386" s="461">
        <f>AS386-AT386</f>
        <v/>
      </c>
      <c r="AV386" s="284" t="n"/>
      <c r="AW386" s="461">
        <f>AX386</f>
        <v/>
      </c>
      <c r="AX386" s="227" t="n"/>
      <c r="AY386" s="461">
        <f>AW386-AX386</f>
        <v/>
      </c>
      <c r="AZ386" s="227" t="n"/>
      <c r="BA386" s="461">
        <f>BB386</f>
        <v/>
      </c>
      <c r="BB386" s="461" t="n"/>
      <c r="BC386" s="461">
        <f>BA386-BB386</f>
        <v/>
      </c>
      <c r="BD386" s="461" t="n"/>
      <c r="BE386" s="461">
        <f>BF386</f>
        <v/>
      </c>
      <c r="BF386" s="461" t="n"/>
      <c r="BG386" s="461">
        <f>BE386-BF386</f>
        <v/>
      </c>
      <c r="BH386" s="461" t="n"/>
      <c r="BI386" s="461">
        <f>BJ386</f>
        <v/>
      </c>
      <c r="BJ386" s="461" t="n"/>
      <c r="BK386" s="461">
        <f>BI386-BJ386</f>
        <v/>
      </c>
      <c r="BL386" s="461" t="n"/>
      <c r="BM386" s="220">
        <f>BN386</f>
        <v/>
      </c>
      <c r="BN386" s="220" t="n"/>
      <c r="BO386" s="220">
        <f>BM386-BN386</f>
        <v/>
      </c>
      <c r="BP386" s="220">
        <f>N386+Q386+U386+Y386+AC386+AG386+AK386+AO386+AS386+AW386+BA386+BE386+BI386+BM386</f>
        <v/>
      </c>
      <c r="BQ386" s="220">
        <f>N386+R386+V386+Z386+AD386+AH386+AL386+AP386+AT386+AX386+BB386+BF386+BJ386+BN386</f>
        <v/>
      </c>
      <c r="BR386" s="220">
        <f>BP386-BQ386</f>
        <v/>
      </c>
      <c r="BS386" s="377" t="n"/>
      <c r="BT386" s="378" t="n"/>
      <c r="BU386" s="297" t="n"/>
      <c r="BV386" s="230" t="n"/>
      <c r="BW386" s="534" t="n"/>
    </row>
    <row r="387" customFormat="1" s="210">
      <c r="A387" s="469" t="n"/>
      <c r="B387" s="220" t="inlineStr">
        <is>
          <t>补充</t>
        </is>
      </c>
      <c r="C387" s="221" t="inlineStr">
        <is>
          <t>餐饮三分部</t>
        </is>
      </c>
      <c r="D387" s="221" t="inlineStr">
        <is>
          <t>CF320</t>
        </is>
      </c>
      <c r="E387" s="221" t="inlineStr">
        <is>
          <t>江苏财经梅园食堂</t>
        </is>
      </c>
      <c r="F387" s="219" t="inlineStr">
        <is>
          <t>分组作业</t>
        </is>
      </c>
      <c r="G387" s="222" t="inlineStr">
        <is>
          <t>徐敏娟</t>
        </is>
      </c>
      <c r="H387" s="219" t="n"/>
      <c r="I387" s="237" t="inlineStr">
        <is>
          <t>庆雪美食</t>
        </is>
      </c>
      <c r="J387" s="219" t="inlineStr">
        <is>
          <t>李嵩</t>
        </is>
      </c>
      <c r="K387" s="545">
        <f>LET(k,D387&amp;"|"&amp;E387&amp;"|"&amp;H387&amp;"|"&amp;I387&amp;"|"&amp;J387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87" s="546" t="n"/>
      <c r="M387" s="601" t="inlineStr">
        <is>
          <t>撤场，已结算</t>
        </is>
      </c>
      <c r="N387" s="253" t="n"/>
      <c r="O387" s="602" t="n"/>
      <c r="P387" s="284" t="n"/>
      <c r="Q387" s="461">
        <f>R387</f>
        <v/>
      </c>
      <c r="R387" s="227" t="n"/>
      <c r="S387" s="461">
        <f>Q387-R387</f>
        <v/>
      </c>
      <c r="T387" s="227" t="n"/>
      <c r="U387" s="461">
        <f>V387</f>
        <v/>
      </c>
      <c r="V387" s="227" t="n"/>
      <c r="W387" s="461">
        <f>U387-V387</f>
        <v/>
      </c>
      <c r="X387" s="227" t="n"/>
      <c r="Y387" s="461">
        <f>Z387</f>
        <v/>
      </c>
      <c r="Z387" s="227" t="n"/>
      <c r="AA387" s="461">
        <f>Y387-Z387</f>
        <v/>
      </c>
      <c r="AB387" s="227" t="n"/>
      <c r="AC387" s="461">
        <f>AD387</f>
        <v/>
      </c>
      <c r="AD387" s="227" t="n"/>
      <c r="AE387" s="461">
        <f>AC387-AD387</f>
        <v/>
      </c>
      <c r="AF387" s="227" t="n"/>
      <c r="AG387" s="461">
        <f>AH387</f>
        <v/>
      </c>
      <c r="AH387" s="227" t="n"/>
      <c r="AI387" s="461">
        <f>AG387-AH387</f>
        <v/>
      </c>
      <c r="AJ387" s="227" t="n"/>
      <c r="AK387" s="461">
        <f>AL387</f>
        <v/>
      </c>
      <c r="AL387" s="227" t="n"/>
      <c r="AM387" s="461">
        <f>AK387-AL387</f>
        <v/>
      </c>
      <c r="AN387" s="227" t="n"/>
      <c r="AO387" s="461">
        <f>AP387</f>
        <v/>
      </c>
      <c r="AP387" s="227" t="n"/>
      <c r="AQ387" s="461">
        <f>AO387-AP387</f>
        <v/>
      </c>
      <c r="AR387" s="461" t="n"/>
      <c r="AS387" s="461">
        <f>AT387</f>
        <v/>
      </c>
      <c r="AT387" s="227" t="n"/>
      <c r="AU387" s="461">
        <f>AS387-AT387</f>
        <v/>
      </c>
      <c r="AV387" s="284" t="n"/>
      <c r="AW387" s="461">
        <f>AX387</f>
        <v/>
      </c>
      <c r="AX387" s="227" t="n"/>
      <c r="AY387" s="461">
        <f>AW387-AX387</f>
        <v/>
      </c>
      <c r="AZ387" s="227" t="n"/>
      <c r="BA387" s="461">
        <f>BB387</f>
        <v/>
      </c>
      <c r="BB387" s="461" t="n"/>
      <c r="BC387" s="461">
        <f>BA387-BB387</f>
        <v/>
      </c>
      <c r="BD387" s="461" t="n"/>
      <c r="BE387" s="461">
        <f>BF387</f>
        <v/>
      </c>
      <c r="BF387" s="461" t="n"/>
      <c r="BG387" s="461">
        <f>BE387-BF387</f>
        <v/>
      </c>
      <c r="BH387" s="461" t="n"/>
      <c r="BI387" s="461">
        <f>BJ387</f>
        <v/>
      </c>
      <c r="BJ387" s="461" t="n"/>
      <c r="BK387" s="461">
        <f>BI387-BJ387</f>
        <v/>
      </c>
      <c r="BL387" s="461" t="n"/>
      <c r="BM387" s="220">
        <f>BN387</f>
        <v/>
      </c>
      <c r="BN387" s="220" t="n"/>
      <c r="BO387" s="220">
        <f>BM387-BN387</f>
        <v/>
      </c>
      <c r="BP387" s="220">
        <f>N387+Q387+U387+Y387+AC387+AG387+AK387+AO387+AS387+AW387+BA387+BE387+BI387+BM387</f>
        <v/>
      </c>
      <c r="BQ387" s="220">
        <f>N387+R387+V387+Z387+AD387+AH387+AL387+AP387+AT387+AX387+BB387+BF387+BJ387+BN387</f>
        <v/>
      </c>
      <c r="BR387" s="220">
        <f>BP387-BQ387</f>
        <v/>
      </c>
      <c r="BS387" s="377" t="n"/>
      <c r="BT387" s="378" t="n"/>
      <c r="BU387" s="297" t="n"/>
      <c r="BV387" s="230" t="n"/>
      <c r="BW387" s="534" t="n"/>
    </row>
    <row r="388" customFormat="1" s="210">
      <c r="A388" s="469" t="n"/>
      <c r="B388" s="220" t="inlineStr">
        <is>
          <t>补充</t>
        </is>
      </c>
      <c r="C388" s="221" t="inlineStr">
        <is>
          <t>餐饮三分部</t>
        </is>
      </c>
      <c r="D388" s="221" t="inlineStr">
        <is>
          <t>CF320</t>
        </is>
      </c>
      <c r="E388" s="221" t="inlineStr">
        <is>
          <t>江苏财经梅园食堂</t>
        </is>
      </c>
      <c r="F388" s="219" t="inlineStr">
        <is>
          <t>分组作业</t>
        </is>
      </c>
      <c r="G388" s="222" t="inlineStr">
        <is>
          <t>徐敏娟</t>
        </is>
      </c>
      <c r="H388" s="219" t="n"/>
      <c r="I388" s="237" t="inlineStr">
        <is>
          <t>早餐</t>
        </is>
      </c>
      <c r="J388" s="219" t="inlineStr">
        <is>
          <t>冀爱菊</t>
        </is>
      </c>
      <c r="K388" s="545">
        <f>LET(k,D388&amp;"|"&amp;E388&amp;"|"&amp;H388&amp;"|"&amp;I388&amp;"|"&amp;J388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88" s="546" t="n"/>
      <c r="M388" s="601" t="inlineStr">
        <is>
          <t>撤场，已结算</t>
        </is>
      </c>
      <c r="N388" s="253" t="n"/>
      <c r="O388" s="602" t="n"/>
      <c r="P388" s="284" t="n"/>
      <c r="Q388" s="461">
        <f>R388</f>
        <v/>
      </c>
      <c r="R388" s="227" t="n"/>
      <c r="S388" s="461">
        <f>Q388-R388</f>
        <v/>
      </c>
      <c r="T388" s="227" t="n"/>
      <c r="U388" s="461">
        <f>V388</f>
        <v/>
      </c>
      <c r="V388" s="227" t="n"/>
      <c r="W388" s="461">
        <f>U388-V388</f>
        <v/>
      </c>
      <c r="X388" s="227" t="n"/>
      <c r="Y388" s="461">
        <f>Z388</f>
        <v/>
      </c>
      <c r="Z388" s="227" t="n"/>
      <c r="AA388" s="461">
        <f>Y388-Z388</f>
        <v/>
      </c>
      <c r="AB388" s="227" t="n"/>
      <c r="AC388" s="461">
        <f>AD388</f>
        <v/>
      </c>
      <c r="AD388" s="227" t="n"/>
      <c r="AE388" s="461">
        <f>AC388-AD388</f>
        <v/>
      </c>
      <c r="AF388" s="227" t="n"/>
      <c r="AG388" s="461">
        <f>AH388</f>
        <v/>
      </c>
      <c r="AH388" s="227" t="n"/>
      <c r="AI388" s="461">
        <f>AG388-AH388</f>
        <v/>
      </c>
      <c r="AJ388" s="227" t="n"/>
      <c r="AK388" s="461">
        <f>AL388</f>
        <v/>
      </c>
      <c r="AL388" s="227" t="n"/>
      <c r="AM388" s="461">
        <f>AK388-AL388</f>
        <v/>
      </c>
      <c r="AN388" s="227" t="n"/>
      <c r="AO388" s="461">
        <f>AP388</f>
        <v/>
      </c>
      <c r="AP388" s="227" t="n"/>
      <c r="AQ388" s="461">
        <f>AO388-AP388</f>
        <v/>
      </c>
      <c r="AR388" s="461" t="n"/>
      <c r="AS388" s="461">
        <f>AT388</f>
        <v/>
      </c>
      <c r="AT388" s="227" t="n"/>
      <c r="AU388" s="461">
        <f>AS388-AT388</f>
        <v/>
      </c>
      <c r="AV388" s="284" t="n"/>
      <c r="AW388" s="461">
        <f>AX388</f>
        <v/>
      </c>
      <c r="AX388" s="227" t="n"/>
      <c r="AY388" s="461">
        <f>AW388-AX388</f>
        <v/>
      </c>
      <c r="AZ388" s="227" t="n"/>
      <c r="BA388" s="461">
        <f>BB388</f>
        <v/>
      </c>
      <c r="BB388" s="461" t="n"/>
      <c r="BC388" s="461">
        <f>BA388-BB388</f>
        <v/>
      </c>
      <c r="BD388" s="461" t="n"/>
      <c r="BE388" s="461">
        <f>BF388</f>
        <v/>
      </c>
      <c r="BF388" s="461" t="n"/>
      <c r="BG388" s="461">
        <f>BE388-BF388</f>
        <v/>
      </c>
      <c r="BH388" s="461" t="n"/>
      <c r="BI388" s="461">
        <f>BJ388</f>
        <v/>
      </c>
      <c r="BJ388" s="461" t="n"/>
      <c r="BK388" s="461">
        <f>BI388-BJ388</f>
        <v/>
      </c>
      <c r="BL388" s="461" t="n"/>
      <c r="BM388" s="220">
        <f>BN388</f>
        <v/>
      </c>
      <c r="BN388" s="220" t="n"/>
      <c r="BO388" s="220">
        <f>BM388-BN388</f>
        <v/>
      </c>
      <c r="BP388" s="220">
        <f>N388+Q388+U388+Y388+AC388+AG388+AK388+AO388+AS388+AW388+BA388+BE388+BI388+BM388</f>
        <v/>
      </c>
      <c r="BQ388" s="220">
        <f>N388+R388+V388+Z388+AD388+AH388+AL388+AP388+AT388+AX388+BB388+BF388+BJ388+BN388</f>
        <v/>
      </c>
      <c r="BR388" s="220">
        <f>BP388-BQ388</f>
        <v/>
      </c>
      <c r="BS388" s="377" t="n"/>
      <c r="BT388" s="378" t="n"/>
      <c r="BU388" s="297" t="n"/>
      <c r="BV388" s="230" t="n"/>
      <c r="BW388" s="534" t="n"/>
    </row>
    <row r="389" ht="24" customFormat="1" customHeight="1" s="210">
      <c r="A389" s="469" t="n"/>
      <c r="B389" s="220" t="inlineStr">
        <is>
          <t>补充</t>
        </is>
      </c>
      <c r="C389" s="221" t="inlineStr">
        <is>
          <t>餐饮二分部</t>
        </is>
      </c>
      <c r="D389" s="221" t="inlineStr">
        <is>
          <t>CF364</t>
        </is>
      </c>
      <c r="E389" s="242" t="inlineStr">
        <is>
          <t>江苏航运思本轩食堂</t>
        </is>
      </c>
      <c r="F389" s="219" t="inlineStr">
        <is>
          <t>分组作业</t>
        </is>
      </c>
      <c r="G389" s="243" t="inlineStr">
        <is>
          <t>郑虎</t>
        </is>
      </c>
      <c r="H389" s="219" t="n"/>
      <c r="I389" s="237" t="inlineStr">
        <is>
          <t>大碗面</t>
        </is>
      </c>
      <c r="J389" s="219" t="inlineStr">
        <is>
          <t>张义丛</t>
        </is>
      </c>
      <c r="K389" s="545">
        <f>LET(k,D389&amp;"|"&amp;E389&amp;"|"&amp;H389&amp;"|"&amp;I389&amp;"|"&amp;J389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89" s="546" t="n"/>
      <c r="M389" s="601" t="inlineStr">
        <is>
          <t>已撤场，已支付</t>
        </is>
      </c>
      <c r="N389" s="604" t="n"/>
      <c r="O389" s="602" t="n"/>
      <c r="P389" s="284" t="n"/>
      <c r="Q389" s="461">
        <f>K389*P389</f>
        <v/>
      </c>
      <c r="R389" s="227" t="n"/>
      <c r="S389" s="461">
        <f>Q389-R389</f>
        <v/>
      </c>
      <c r="T389" s="247" t="n">
        <v>0.01</v>
      </c>
      <c r="U389" s="461">
        <f>K389*T389</f>
        <v/>
      </c>
      <c r="V389" s="560" t="n"/>
      <c r="W389" s="461">
        <f>U389-V389</f>
        <v/>
      </c>
      <c r="X389" s="227" t="n"/>
      <c r="Y389" s="461">
        <f>K389*X389</f>
        <v/>
      </c>
      <c r="Z389" s="227" t="n"/>
      <c r="AA389" s="461">
        <f>Y389-Z389</f>
        <v/>
      </c>
      <c r="AB389" s="227" t="n">
        <v>0</v>
      </c>
      <c r="AC389" s="461">
        <f>K389*AB389</f>
        <v/>
      </c>
      <c r="AD389" s="227" t="n"/>
      <c r="AE389" s="461">
        <f>AC389-AD389</f>
        <v/>
      </c>
      <c r="AF389" s="227" t="n"/>
      <c r="AG389" s="461">
        <f>K389*AF389</f>
        <v/>
      </c>
      <c r="AH389" s="227" t="n"/>
      <c r="AI389" s="461">
        <f>AG389-AH389</f>
        <v/>
      </c>
      <c r="AJ389" s="227" t="n">
        <v>0</v>
      </c>
      <c r="AK389" s="461">
        <f>K389*AJ389</f>
        <v/>
      </c>
      <c r="AL389" s="461" t="n">
        <v>0</v>
      </c>
      <c r="AM389" s="461">
        <f>AK389-AL389</f>
        <v/>
      </c>
      <c r="AN389" s="461">
        <f>O389*AM389</f>
        <v/>
      </c>
      <c r="AO389" s="461">
        <f>K389*AN389</f>
        <v/>
      </c>
      <c r="AP389" s="461" t="n"/>
      <c r="AQ389" s="461">
        <f>AO389-AP389</f>
        <v/>
      </c>
      <c r="AR389" s="461" t="n"/>
      <c r="AS389" s="461">
        <f>K389*AR389</f>
        <v/>
      </c>
      <c r="AT389" s="227" t="n"/>
      <c r="AU389" s="461">
        <f>AS389-AT389</f>
        <v/>
      </c>
      <c r="AV389" s="284" t="n"/>
      <c r="AW389" s="461">
        <f>K389*AV389</f>
        <v/>
      </c>
      <c r="AX389" s="227" t="n"/>
      <c r="AY389" s="461">
        <f>AW389-AX389</f>
        <v/>
      </c>
      <c r="AZ389" s="227" t="n"/>
      <c r="BA389" s="461">
        <f>BB389</f>
        <v/>
      </c>
      <c r="BB389" s="461">
        <f>1000</f>
        <v/>
      </c>
      <c r="BC389" s="461">
        <f>BA389-BB389</f>
        <v/>
      </c>
      <c r="BD389" s="235" t="n">
        <v>0</v>
      </c>
      <c r="BE389" s="461">
        <f>K389*BD389</f>
        <v/>
      </c>
      <c r="BF389" s="461" t="n"/>
      <c r="BG389" s="461">
        <f>BE389-BF389</f>
        <v/>
      </c>
      <c r="BH389" s="235" t="n">
        <v>0</v>
      </c>
      <c r="BI389" s="461">
        <f>K389*BH389</f>
        <v/>
      </c>
      <c r="BJ389" s="461" t="n"/>
      <c r="BK389" s="461">
        <f>BI389-BJ389</f>
        <v/>
      </c>
      <c r="BL389" s="235" t="inlineStr">
        <is>
          <t>按实</t>
        </is>
      </c>
      <c r="BM389" s="220" t="n">
        <v>0</v>
      </c>
      <c r="BN389" s="220" t="n"/>
      <c r="BO389" s="220" t="n">
        <v>0</v>
      </c>
      <c r="BP389" s="220">
        <f>N389+Q389+U389+Y389+AC389+AG389+AK389+AO389+AS389+AW389+BA389+BE389+BI389+BM389</f>
        <v/>
      </c>
      <c r="BQ389" s="220">
        <f>N389+R389+V389+Z389+AD389+AH389+AL389+AP389+AT389+AX389+BB389+BF389+BJ389+BN389</f>
        <v/>
      </c>
      <c r="BR389" s="220">
        <f>BP389-BQ389</f>
        <v/>
      </c>
      <c r="BS389" s="247" t="inlineStr">
        <is>
          <t>/</t>
        </is>
      </c>
      <c r="BT389" s="235" t="inlineStr">
        <is>
          <t>/</t>
        </is>
      </c>
      <c r="BU389" s="297" t="n"/>
      <c r="BV389" s="230" t="n"/>
      <c r="BW389" s="534" t="n"/>
    </row>
    <row r="390" ht="24" customFormat="1" customHeight="1" s="210">
      <c r="A390" s="469" t="n"/>
      <c r="B390" s="220" t="inlineStr">
        <is>
          <t>补充</t>
        </is>
      </c>
      <c r="C390" s="221" t="inlineStr">
        <is>
          <t>餐饮三分部</t>
        </is>
      </c>
      <c r="D390" s="221" t="inlineStr">
        <is>
          <t>CF251</t>
        </is>
      </c>
      <c r="E390" s="221" t="inlineStr">
        <is>
          <t>苏州职大二食堂</t>
        </is>
      </c>
      <c r="F390" s="219" t="inlineStr">
        <is>
          <t>分组作业</t>
        </is>
      </c>
      <c r="G390" s="222" t="inlineStr">
        <is>
          <t>张镁镁</t>
        </is>
      </c>
      <c r="H390" s="219" t="inlineStr">
        <is>
          <t>第十四班组</t>
        </is>
      </c>
      <c r="I390" s="237" t="inlineStr">
        <is>
          <t>米线</t>
        </is>
      </c>
      <c r="J390" s="219" t="inlineStr">
        <is>
          <t>张郁磊</t>
        </is>
      </c>
      <c r="K390" s="545">
        <f>LET(k,D390&amp;"|"&amp;E390&amp;"|"&amp;H390&amp;"|"&amp;I390&amp;"|"&amp;J390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90" s="546" t="n"/>
      <c r="M390" s="601" t="inlineStr">
        <is>
          <t>已撤场，已支付</t>
        </is>
      </c>
      <c r="N390" s="253" t="n"/>
      <c r="O390" s="602" t="n"/>
      <c r="P390" s="284" t="n"/>
      <c r="Q390" s="461">
        <f>K390*P390</f>
        <v/>
      </c>
      <c r="R390" s="461" t="n"/>
      <c r="S390" s="461">
        <f>Q390-R390</f>
        <v/>
      </c>
      <c r="T390" s="227" t="n"/>
      <c r="U390" s="461">
        <f>K390*T390</f>
        <v/>
      </c>
      <c r="V390" s="461" t="n"/>
      <c r="W390" s="461">
        <f>U390-V390</f>
        <v/>
      </c>
      <c r="X390" s="227" t="n"/>
      <c r="Y390" s="461">
        <f>K390*X390</f>
        <v/>
      </c>
      <c r="Z390" s="461" t="n"/>
      <c r="AA390" s="461">
        <f>Y390-Z390</f>
        <v/>
      </c>
      <c r="AB390" s="227" t="n"/>
      <c r="AC390" s="461">
        <f>K390*AB390</f>
        <v/>
      </c>
      <c r="AD390" s="461" t="n"/>
      <c r="AE390" s="461">
        <f>AC390-AD390</f>
        <v/>
      </c>
      <c r="AF390" s="227" t="n"/>
      <c r="AG390" s="461">
        <f>K390*AF390</f>
        <v/>
      </c>
      <c r="AH390" s="461" t="n"/>
      <c r="AI390" s="461">
        <f>AG390-AH390</f>
        <v/>
      </c>
      <c r="AJ390" s="227" t="n"/>
      <c r="AK390" s="461">
        <f>K390*AJ390</f>
        <v/>
      </c>
      <c r="AL390" s="461" t="n"/>
      <c r="AM390" s="461">
        <f>AK390-AL390</f>
        <v/>
      </c>
      <c r="AN390" s="227" t="n"/>
      <c r="AO390" s="461">
        <f>K390*AN390</f>
        <v/>
      </c>
      <c r="AP390" s="461" t="n"/>
      <c r="AQ390" s="461">
        <f>AO390-AP390</f>
        <v/>
      </c>
      <c r="AR390" s="461" t="n"/>
      <c r="AS390" s="461">
        <f>K390*AR390</f>
        <v/>
      </c>
      <c r="AT390" s="461" t="n"/>
      <c r="AU390" s="461">
        <f>AS390-AT390</f>
        <v/>
      </c>
      <c r="AV390" s="284" t="n"/>
      <c r="AW390" s="461">
        <f>K390*AV390</f>
        <v/>
      </c>
      <c r="AX390" s="461" t="n"/>
      <c r="AY390" s="461">
        <f>AW390-AX390</f>
        <v/>
      </c>
      <c r="AZ390" s="227" t="n"/>
      <c r="BA390" s="461">
        <f>K390*AZ390</f>
        <v/>
      </c>
      <c r="BB390" s="461" t="n"/>
      <c r="BC390" s="461">
        <f>BA390-BB390</f>
        <v/>
      </c>
      <c r="BD390" s="461" t="n"/>
      <c r="BE390" s="461">
        <f>K390*BD390</f>
        <v/>
      </c>
      <c r="BF390" s="461" t="n"/>
      <c r="BG390" s="461">
        <f>BE390-BF390</f>
        <v/>
      </c>
      <c r="BH390" s="461" t="n"/>
      <c r="BI390" s="461">
        <f>K390*BH390</f>
        <v/>
      </c>
      <c r="BJ390" s="461" t="n"/>
      <c r="BK390" s="461">
        <f>BI390-BJ390</f>
        <v/>
      </c>
      <c r="BL390" s="461" t="n"/>
      <c r="BM390" s="220">
        <f>K390*BL390</f>
        <v/>
      </c>
      <c r="BN390" s="239" t="n"/>
      <c r="BO390" s="220">
        <f>BM390-BN390</f>
        <v/>
      </c>
      <c r="BP390" s="220">
        <f>N390+Q390+U390+Y390+AC390+AG390+AK390+AO390+AS390+AW390+BA390+BE390+BI390+BM390</f>
        <v/>
      </c>
      <c r="BQ390" s="220">
        <f>N390+R390+V390+Z390+AD390+AH390+AL390+AP390+AT390+AX390+BB390+BF390+BJ390+BN390</f>
        <v/>
      </c>
      <c r="BR390" s="220">
        <f>BP390-BQ390</f>
        <v/>
      </c>
      <c r="BS390" s="377" t="n"/>
      <c r="BT390" s="378" t="n"/>
      <c r="BU390" s="297" t="n"/>
      <c r="BV390" s="230" t="n"/>
      <c r="BW390" s="534" t="n"/>
    </row>
    <row r="391" ht="24" customFormat="1" customHeight="1" s="210">
      <c r="A391" s="469" t="n"/>
      <c r="B391" s="220" t="inlineStr">
        <is>
          <t>补充</t>
        </is>
      </c>
      <c r="C391" s="221" t="inlineStr">
        <is>
          <t>餐饮三分部</t>
        </is>
      </c>
      <c r="D391" s="221" t="inlineStr">
        <is>
          <t>CF251</t>
        </is>
      </c>
      <c r="E391" s="221" t="inlineStr">
        <is>
          <t>苏州职大二食堂</t>
        </is>
      </c>
      <c r="F391" s="219" t="inlineStr">
        <is>
          <t>分组作业</t>
        </is>
      </c>
      <c r="G391" s="222" t="inlineStr">
        <is>
          <t>张镁镁</t>
        </is>
      </c>
      <c r="H391" s="219" t="inlineStr">
        <is>
          <t>第一班组</t>
        </is>
      </c>
      <c r="I391" s="237" t="inlineStr">
        <is>
          <t>烘焙</t>
        </is>
      </c>
      <c r="J391" s="219" t="inlineStr">
        <is>
          <t>彭家谋</t>
        </is>
      </c>
      <c r="K391" s="545">
        <f>LET(k,D391&amp;"|"&amp;E391&amp;"|"&amp;H391&amp;"|"&amp;I391&amp;"|"&amp;J391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91" s="546" t="n"/>
      <c r="M391" s="601" t="inlineStr">
        <is>
          <t>已撤场，已支付</t>
        </is>
      </c>
      <c r="N391" s="253" t="n"/>
      <c r="O391" s="602" t="n"/>
      <c r="P391" s="284" t="n"/>
      <c r="Q391" s="461">
        <f>K391*P391</f>
        <v/>
      </c>
      <c r="R391" s="461" t="n"/>
      <c r="S391" s="461">
        <f>Q391-R391</f>
        <v/>
      </c>
      <c r="T391" s="227" t="n"/>
      <c r="U391" s="461">
        <f>K391*T391</f>
        <v/>
      </c>
      <c r="V391" s="461" t="n"/>
      <c r="W391" s="461">
        <f>U391-V391</f>
        <v/>
      </c>
      <c r="X391" s="227" t="n"/>
      <c r="Y391" s="461">
        <f>K391*X391</f>
        <v/>
      </c>
      <c r="Z391" s="461" t="n"/>
      <c r="AA391" s="461">
        <f>Y391-Z391</f>
        <v/>
      </c>
      <c r="AB391" s="227" t="n"/>
      <c r="AC391" s="461">
        <f>K391*AB391</f>
        <v/>
      </c>
      <c r="AD391" s="461" t="n"/>
      <c r="AE391" s="461">
        <f>AC391-AD391</f>
        <v/>
      </c>
      <c r="AF391" s="227" t="n"/>
      <c r="AG391" s="461">
        <f>K391*AF391</f>
        <v/>
      </c>
      <c r="AH391" s="461" t="n"/>
      <c r="AI391" s="461">
        <f>AG391-AH391</f>
        <v/>
      </c>
      <c r="AJ391" s="227" t="n"/>
      <c r="AK391" s="461">
        <f>K391*AJ391</f>
        <v/>
      </c>
      <c r="AL391" s="461" t="n"/>
      <c r="AM391" s="461">
        <f>AK391-AL391</f>
        <v/>
      </c>
      <c r="AN391" s="227" t="n"/>
      <c r="AO391" s="461">
        <f>K391*AN391</f>
        <v/>
      </c>
      <c r="AP391" s="461" t="n"/>
      <c r="AQ391" s="461">
        <f>AO391-AP391</f>
        <v/>
      </c>
      <c r="AR391" s="461" t="n"/>
      <c r="AS391" s="461">
        <f>K391*AR391</f>
        <v/>
      </c>
      <c r="AT391" s="461" t="n"/>
      <c r="AU391" s="461">
        <f>AS391-AT391</f>
        <v/>
      </c>
      <c r="AV391" s="284" t="n"/>
      <c r="AW391" s="461">
        <f>K391*AV391</f>
        <v/>
      </c>
      <c r="AX391" s="461" t="n"/>
      <c r="AY391" s="461">
        <f>AW391-AX391</f>
        <v/>
      </c>
      <c r="AZ391" s="227" t="n"/>
      <c r="BA391" s="461">
        <f>K391*AZ391</f>
        <v/>
      </c>
      <c r="BB391" s="461" t="n"/>
      <c r="BC391" s="461">
        <f>BA391-BB391</f>
        <v/>
      </c>
      <c r="BD391" s="461" t="n"/>
      <c r="BE391" s="461">
        <f>K391*BD391</f>
        <v/>
      </c>
      <c r="BF391" s="461" t="n"/>
      <c r="BG391" s="461">
        <f>BE391-BF391</f>
        <v/>
      </c>
      <c r="BH391" s="461" t="n"/>
      <c r="BI391" s="461">
        <f>K391*BH391</f>
        <v/>
      </c>
      <c r="BJ391" s="461" t="n"/>
      <c r="BK391" s="461">
        <f>BI391-BJ391</f>
        <v/>
      </c>
      <c r="BL391" s="461" t="n"/>
      <c r="BM391" s="220">
        <f>K391*BL391</f>
        <v/>
      </c>
      <c r="BN391" s="239" t="n"/>
      <c r="BO391" s="220">
        <f>BM391-BN391</f>
        <v/>
      </c>
      <c r="BP391" s="220">
        <f>N391+Q391+U391+Y391+AC391+AG391+AK391+AO391+AS391+AW391+BA391+BE391+BI391+BM391</f>
        <v/>
      </c>
      <c r="BQ391" s="220">
        <f>N391+R391+V391+Z391+AD391+AH391+AL391+AP391+AT391+AX391+BB391+BF391+BJ391+BN391</f>
        <v/>
      </c>
      <c r="BR391" s="220">
        <f>BP391-BQ391</f>
        <v/>
      </c>
      <c r="BS391" s="377" t="n"/>
      <c r="BT391" s="378" t="n"/>
      <c r="BU391" s="297" t="n"/>
      <c r="BV391" s="230" t="n"/>
      <c r="BW391" s="534" t="n"/>
    </row>
    <row r="392" ht="24" customFormat="1" customHeight="1" s="210">
      <c r="A392" s="469" t="n"/>
      <c r="B392" s="220" t="inlineStr">
        <is>
          <t>补充</t>
        </is>
      </c>
      <c r="C392" s="221" t="inlineStr">
        <is>
          <t>餐饮三分部</t>
        </is>
      </c>
      <c r="D392" s="221" t="inlineStr">
        <is>
          <t>CF251</t>
        </is>
      </c>
      <c r="E392" s="221" t="inlineStr">
        <is>
          <t>苏州职大二食堂</t>
        </is>
      </c>
      <c r="F392" s="219" t="inlineStr">
        <is>
          <t>分组作业</t>
        </is>
      </c>
      <c r="G392" s="222" t="inlineStr">
        <is>
          <t>张镁镁</t>
        </is>
      </c>
      <c r="H392" s="219" t="inlineStr">
        <is>
          <t>第三班组</t>
        </is>
      </c>
      <c r="I392" s="237" t="inlineStr">
        <is>
          <t>快餐</t>
        </is>
      </c>
      <c r="J392" s="219" t="inlineStr">
        <is>
          <t>郭四喜</t>
        </is>
      </c>
      <c r="K392" s="545">
        <f>LET(k,D392&amp;"|"&amp;E392&amp;"|"&amp;H392&amp;"|"&amp;I392&amp;"|"&amp;J392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92" s="546" t="n"/>
      <c r="M392" s="601" t="inlineStr">
        <is>
          <t>已撤场，已支付</t>
        </is>
      </c>
      <c r="N392" s="253" t="n"/>
      <c r="O392" s="602" t="n"/>
      <c r="P392" s="284" t="n"/>
      <c r="Q392" s="461">
        <f>K392*P392</f>
        <v/>
      </c>
      <c r="R392" s="461" t="n"/>
      <c r="S392" s="461">
        <f>Q392-R392</f>
        <v/>
      </c>
      <c r="T392" s="227" t="n"/>
      <c r="U392" s="461">
        <f>K392*T392</f>
        <v/>
      </c>
      <c r="V392" s="461" t="n"/>
      <c r="W392" s="461">
        <f>U392-V392</f>
        <v/>
      </c>
      <c r="X392" s="227" t="n"/>
      <c r="Y392" s="461">
        <f>K392*X392</f>
        <v/>
      </c>
      <c r="Z392" s="461" t="n"/>
      <c r="AA392" s="461">
        <f>Y392-Z392</f>
        <v/>
      </c>
      <c r="AB392" s="227" t="n"/>
      <c r="AC392" s="461">
        <f>K392*AB392</f>
        <v/>
      </c>
      <c r="AD392" s="461" t="n"/>
      <c r="AE392" s="461">
        <f>AC392-AD392</f>
        <v/>
      </c>
      <c r="AF392" s="227" t="n"/>
      <c r="AG392" s="461">
        <f>K392*AF392</f>
        <v/>
      </c>
      <c r="AH392" s="461" t="n"/>
      <c r="AI392" s="461">
        <f>AG392-AH392</f>
        <v/>
      </c>
      <c r="AJ392" s="227" t="n"/>
      <c r="AK392" s="461">
        <f>K392*AJ392</f>
        <v/>
      </c>
      <c r="AL392" s="461" t="n"/>
      <c r="AM392" s="461">
        <f>AK392-AL392</f>
        <v/>
      </c>
      <c r="AN392" s="227" t="n"/>
      <c r="AO392" s="461">
        <f>K392*AN392</f>
        <v/>
      </c>
      <c r="AP392" s="461" t="n"/>
      <c r="AQ392" s="461">
        <f>AO392-AP392</f>
        <v/>
      </c>
      <c r="AR392" s="461" t="n"/>
      <c r="AS392" s="461">
        <f>K392*AR392</f>
        <v/>
      </c>
      <c r="AT392" s="461" t="n"/>
      <c r="AU392" s="461">
        <f>AS392-AT392</f>
        <v/>
      </c>
      <c r="AV392" s="284" t="n"/>
      <c r="AW392" s="461">
        <f>K392*AV392</f>
        <v/>
      </c>
      <c r="AX392" s="461" t="n"/>
      <c r="AY392" s="461">
        <f>AW392-AX392</f>
        <v/>
      </c>
      <c r="AZ392" s="227" t="n"/>
      <c r="BA392" s="461">
        <f>K392*AZ392</f>
        <v/>
      </c>
      <c r="BB392" s="461" t="n"/>
      <c r="BC392" s="461">
        <f>BA392-BB392</f>
        <v/>
      </c>
      <c r="BD392" s="461" t="n"/>
      <c r="BE392" s="461">
        <f>K392*BD392</f>
        <v/>
      </c>
      <c r="BF392" s="461" t="n"/>
      <c r="BG392" s="461">
        <f>BE392-BF392</f>
        <v/>
      </c>
      <c r="BH392" s="461" t="n"/>
      <c r="BI392" s="461">
        <f>K392*BH392</f>
        <v/>
      </c>
      <c r="BJ392" s="461" t="n"/>
      <c r="BK392" s="461">
        <f>BI392-BJ392</f>
        <v/>
      </c>
      <c r="BL392" s="461" t="n"/>
      <c r="BM392" s="220">
        <f>K392*BL392</f>
        <v/>
      </c>
      <c r="BN392" s="239" t="n"/>
      <c r="BO392" s="220">
        <f>BM392-BN392</f>
        <v/>
      </c>
      <c r="BP392" s="220">
        <f>N392+Q392+U392+Y392+AC392+AG392+AK392+AO392+AS392+AW392+BA392+BE392+BI392+BM392</f>
        <v/>
      </c>
      <c r="BQ392" s="220">
        <f>N392+R392+V392+Z392+AD392+AH392+AL392+AP392+AT392+AX392+BB392+BF392+BJ392+BN392</f>
        <v/>
      </c>
      <c r="BR392" s="220">
        <f>BP392-BQ392</f>
        <v/>
      </c>
      <c r="BS392" s="377" t="n"/>
      <c r="BT392" s="378" t="n"/>
      <c r="BU392" s="297" t="n"/>
      <c r="BV392" s="230" t="n"/>
      <c r="BW392" s="534" t="n"/>
    </row>
    <row r="393" customFormat="1" s="210">
      <c r="A393" s="469" t="n"/>
      <c r="B393" s="220" t="inlineStr">
        <is>
          <t>补充</t>
        </is>
      </c>
      <c r="C393" s="221" t="inlineStr">
        <is>
          <t>餐饮三分部</t>
        </is>
      </c>
      <c r="D393" s="221" t="inlineStr">
        <is>
          <t>CF641</t>
        </is>
      </c>
      <c r="E393" s="221" t="inlineStr">
        <is>
          <t>中山大学北学二食堂</t>
        </is>
      </c>
      <c r="F393" s="219" t="inlineStr">
        <is>
          <t>分组作业</t>
        </is>
      </c>
      <c r="G393" s="222" t="inlineStr">
        <is>
          <t>徐敏娟</t>
        </is>
      </c>
      <c r="H393" s="219" t="inlineStr">
        <is>
          <t>第七班组</t>
        </is>
      </c>
      <c r="I393" s="237" t="inlineStr">
        <is>
          <t>烧腊</t>
        </is>
      </c>
      <c r="J393" s="219" t="inlineStr">
        <is>
          <t>黄海龙</t>
        </is>
      </c>
      <c r="K393" s="545">
        <f>LET(k,D393&amp;"|"&amp;E393&amp;"|"&amp;H393&amp;"|"&amp;I393&amp;"|"&amp;J393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93" s="546" t="n"/>
      <c r="M393" s="601" t="inlineStr">
        <is>
          <t>撤场，已结算</t>
        </is>
      </c>
      <c r="N393" s="253" t="n"/>
      <c r="O393" s="602" t="n"/>
      <c r="P393" s="284" t="n"/>
      <c r="Q393" s="461">
        <f>R393</f>
        <v/>
      </c>
      <c r="R393" s="227" t="n"/>
      <c r="S393" s="461">
        <f>Q393-R393</f>
        <v/>
      </c>
      <c r="T393" s="227" t="n"/>
      <c r="U393" s="461">
        <f>V393</f>
        <v/>
      </c>
      <c r="V393" s="227" t="n"/>
      <c r="W393" s="461">
        <f>U393-V393</f>
        <v/>
      </c>
      <c r="X393" s="227" t="n"/>
      <c r="Y393" s="461">
        <f>Z393</f>
        <v/>
      </c>
      <c r="Z393" s="227" t="n"/>
      <c r="AA393" s="461">
        <f>Y393-Z393</f>
        <v/>
      </c>
      <c r="AB393" s="227" t="n"/>
      <c r="AC393" s="461">
        <f>AD393</f>
        <v/>
      </c>
      <c r="AD393" s="227" t="n"/>
      <c r="AE393" s="461">
        <f>AC393-AD393</f>
        <v/>
      </c>
      <c r="AF393" s="227" t="n"/>
      <c r="AG393" s="461">
        <f>AH393</f>
        <v/>
      </c>
      <c r="AH393" s="227" t="n"/>
      <c r="AI393" s="461">
        <f>AG393-AH393</f>
        <v/>
      </c>
      <c r="AJ393" s="227" t="n"/>
      <c r="AK393" s="461">
        <f>AL393</f>
        <v/>
      </c>
      <c r="AL393" s="227" t="n"/>
      <c r="AM393" s="461">
        <f>AK393-AL393</f>
        <v/>
      </c>
      <c r="AN393" s="227" t="n"/>
      <c r="AO393" s="461">
        <f>AP393</f>
        <v/>
      </c>
      <c r="AP393" s="461" t="n"/>
      <c r="AQ393" s="461">
        <f>AO393-AP393</f>
        <v/>
      </c>
      <c r="AR393" s="461" t="n"/>
      <c r="AS393" s="461">
        <f>AT393</f>
        <v/>
      </c>
      <c r="AT393" s="227" t="n"/>
      <c r="AU393" s="461">
        <f>AS393-AT393</f>
        <v/>
      </c>
      <c r="AV393" s="284" t="n"/>
      <c r="AW393" s="461">
        <f>AX393</f>
        <v/>
      </c>
      <c r="AX393" s="461" t="n"/>
      <c r="AY393" s="461">
        <f>AW393-AX393</f>
        <v/>
      </c>
      <c r="AZ393" s="227" t="n"/>
      <c r="BA393" s="461">
        <f>BB393</f>
        <v/>
      </c>
      <c r="BB393" s="461" t="n"/>
      <c r="BC393" s="461">
        <f>BA393-BB393</f>
        <v/>
      </c>
      <c r="BD393" s="461" t="n"/>
      <c r="BE393" s="461">
        <f>BF393</f>
        <v/>
      </c>
      <c r="BF393" s="461" t="n"/>
      <c r="BG393" s="461">
        <f>BE393-BF393</f>
        <v/>
      </c>
      <c r="BH393" s="461" t="n"/>
      <c r="BI393" s="461">
        <f>BJ393</f>
        <v/>
      </c>
      <c r="BJ393" s="461" t="n"/>
      <c r="BK393" s="461">
        <f>BI393-BJ393</f>
        <v/>
      </c>
      <c r="BL393" s="461" t="n"/>
      <c r="BM393" s="220">
        <f>BN393</f>
        <v/>
      </c>
      <c r="BN393" s="220" t="n"/>
      <c r="BO393" s="220">
        <f>BM393-BN393</f>
        <v/>
      </c>
      <c r="BP393" s="220">
        <f>N393+Q393+U393+Y393+AC393+AG393+AK393+AO393+AS393+AW393+BA393+BE393+BI393+BM393</f>
        <v/>
      </c>
      <c r="BQ393" s="220">
        <f>N393+R393+V393+Z393+AD393+AH393+AL393+AP393+AT393+AX393+BB393+BF393+BJ393+BN393</f>
        <v/>
      </c>
      <c r="BR393" s="220">
        <f>BP393-BQ393</f>
        <v/>
      </c>
      <c r="BS393" s="377" t="n"/>
      <c r="BT393" s="378" t="n"/>
      <c r="BU393" s="297" t="n"/>
      <c r="BV393" s="230" t="n"/>
      <c r="BW393" s="534" t="n"/>
    </row>
    <row r="394" customFormat="1" s="210">
      <c r="A394" s="469" t="n"/>
      <c r="B394" s="220" t="inlineStr">
        <is>
          <t>补充</t>
        </is>
      </c>
      <c r="C394" s="221" t="inlineStr">
        <is>
          <t>餐饮三分部</t>
        </is>
      </c>
      <c r="D394" s="221" t="inlineStr">
        <is>
          <t>CF641</t>
        </is>
      </c>
      <c r="E394" s="221" t="inlineStr">
        <is>
          <t>中山大学北学二食堂</t>
        </is>
      </c>
      <c r="F394" s="219" t="inlineStr">
        <is>
          <t>分组作业</t>
        </is>
      </c>
      <c r="G394" s="222" t="inlineStr">
        <is>
          <t>徐敏娟</t>
        </is>
      </c>
      <c r="H394" s="219" t="inlineStr">
        <is>
          <t>第九班组</t>
        </is>
      </c>
      <c r="I394" s="237" t="inlineStr">
        <is>
          <t>小馄饨</t>
        </is>
      </c>
      <c r="J394" s="219" t="inlineStr">
        <is>
          <t>林金新</t>
        </is>
      </c>
      <c r="K394" s="545">
        <f>LET(k,D394&amp;"|"&amp;E394&amp;"|"&amp;H394&amp;"|"&amp;I394&amp;"|"&amp;J394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94" s="546" t="n"/>
      <c r="M394" s="601" t="inlineStr">
        <is>
          <t>撤场，已结算</t>
        </is>
      </c>
      <c r="N394" s="253" t="n"/>
      <c r="O394" s="602" t="n"/>
      <c r="P394" s="284" t="n"/>
      <c r="Q394" s="461">
        <f>R394</f>
        <v/>
      </c>
      <c r="R394" s="227" t="n"/>
      <c r="S394" s="461">
        <f>Q394-R394</f>
        <v/>
      </c>
      <c r="T394" s="227" t="n"/>
      <c r="U394" s="461">
        <f>V394</f>
        <v/>
      </c>
      <c r="V394" s="227" t="n"/>
      <c r="W394" s="461">
        <f>U394-V394</f>
        <v/>
      </c>
      <c r="X394" s="227" t="n"/>
      <c r="Y394" s="461">
        <f>Z394</f>
        <v/>
      </c>
      <c r="Z394" s="227" t="n"/>
      <c r="AA394" s="461">
        <f>Y394-Z394</f>
        <v/>
      </c>
      <c r="AB394" s="227" t="n"/>
      <c r="AC394" s="461">
        <f>AD394</f>
        <v/>
      </c>
      <c r="AD394" s="227" t="n"/>
      <c r="AE394" s="461">
        <f>AC394-AD394</f>
        <v/>
      </c>
      <c r="AF394" s="227" t="n"/>
      <c r="AG394" s="461">
        <f>AH394</f>
        <v/>
      </c>
      <c r="AH394" s="227" t="n"/>
      <c r="AI394" s="461">
        <f>AG394-AH394</f>
        <v/>
      </c>
      <c r="AJ394" s="227" t="n"/>
      <c r="AK394" s="461">
        <f>AL394</f>
        <v/>
      </c>
      <c r="AL394" s="227" t="n"/>
      <c r="AM394" s="461">
        <f>AK394-AL394</f>
        <v/>
      </c>
      <c r="AN394" s="227" t="n"/>
      <c r="AO394" s="461">
        <f>AP394</f>
        <v/>
      </c>
      <c r="AP394" s="461" t="n"/>
      <c r="AQ394" s="461">
        <f>AO394-AP394</f>
        <v/>
      </c>
      <c r="AR394" s="461" t="n"/>
      <c r="AS394" s="461">
        <f>AT394</f>
        <v/>
      </c>
      <c r="AT394" s="227" t="n"/>
      <c r="AU394" s="461">
        <f>AS394-AT394</f>
        <v/>
      </c>
      <c r="AV394" s="284" t="n"/>
      <c r="AW394" s="461">
        <f>AX394</f>
        <v/>
      </c>
      <c r="AX394" s="227" t="n"/>
      <c r="AY394" s="461">
        <f>AW394-AX394</f>
        <v/>
      </c>
      <c r="AZ394" s="227" t="n"/>
      <c r="BA394" s="461">
        <f>BB394</f>
        <v/>
      </c>
      <c r="BB394" s="461" t="n"/>
      <c r="BC394" s="461">
        <f>BA394-BB394</f>
        <v/>
      </c>
      <c r="BD394" s="461" t="n"/>
      <c r="BE394" s="461">
        <f>BF394</f>
        <v/>
      </c>
      <c r="BF394" s="461" t="n"/>
      <c r="BG394" s="461">
        <f>BE394-BF394</f>
        <v/>
      </c>
      <c r="BH394" s="461" t="n"/>
      <c r="BI394" s="461">
        <f>BJ394</f>
        <v/>
      </c>
      <c r="BJ394" s="461" t="n"/>
      <c r="BK394" s="461">
        <f>BI394-BJ394</f>
        <v/>
      </c>
      <c r="BL394" s="461" t="n"/>
      <c r="BM394" s="220">
        <f>BN394</f>
        <v/>
      </c>
      <c r="BN394" s="220" t="n"/>
      <c r="BO394" s="220">
        <f>BM394-BN394</f>
        <v/>
      </c>
      <c r="BP394" s="220">
        <f>N394+Q394+U394+Y394+AC394+AG394+AK394+AO394+AS394+AW394+BA394+BE394+BI394+BM394</f>
        <v/>
      </c>
      <c r="BQ394" s="220">
        <f>N394+R394+V394+Z394+AD394+AH394+AL394+AP394+AT394+AX394+BB394+BF394+BJ394+BN394</f>
        <v/>
      </c>
      <c r="BR394" s="220">
        <f>BP394-BQ394</f>
        <v/>
      </c>
      <c r="BS394" s="377" t="n"/>
      <c r="BT394" s="378" t="n"/>
      <c r="BU394" s="297" t="n"/>
      <c r="BV394" s="230" t="n"/>
      <c r="BW394" s="534" t="n"/>
    </row>
    <row r="395" customFormat="1" s="210">
      <c r="A395" s="469" t="n"/>
      <c r="B395" s="220" t="inlineStr">
        <is>
          <t>补充</t>
        </is>
      </c>
      <c r="C395" s="221" t="inlineStr">
        <is>
          <t>餐饮三分部</t>
        </is>
      </c>
      <c r="D395" s="221" t="inlineStr">
        <is>
          <t>CF641</t>
        </is>
      </c>
      <c r="E395" s="221" t="inlineStr">
        <is>
          <t>中山大学北学二食堂</t>
        </is>
      </c>
      <c r="F395" s="219" t="inlineStr">
        <is>
          <t>分组作业</t>
        </is>
      </c>
      <c r="G395" s="222" t="inlineStr">
        <is>
          <t>徐敏娟</t>
        </is>
      </c>
      <c r="H395" s="219" t="inlineStr">
        <is>
          <t>第六班组</t>
        </is>
      </c>
      <c r="I395" s="237" t="inlineStr">
        <is>
          <t>自选称重餐</t>
        </is>
      </c>
      <c r="J395" s="219" t="inlineStr">
        <is>
          <t>黄国青</t>
        </is>
      </c>
      <c r="K395" s="545">
        <f>LET(k,D395&amp;"|"&amp;E395&amp;"|"&amp;H395&amp;"|"&amp;I395&amp;"|"&amp;J395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95" s="546" t="n"/>
      <c r="M395" s="601" t="inlineStr">
        <is>
          <t>撤场，未结算</t>
        </is>
      </c>
      <c r="N395" s="253" t="n"/>
      <c r="O395" s="602" t="n"/>
      <c r="P395" s="284" t="n"/>
      <c r="Q395" s="461">
        <f>R395</f>
        <v/>
      </c>
      <c r="R395" s="227" t="n"/>
      <c r="S395" s="461">
        <f>Q395-R395</f>
        <v/>
      </c>
      <c r="T395" s="227" t="n"/>
      <c r="U395" s="461">
        <f>V395</f>
        <v/>
      </c>
      <c r="V395" s="227" t="n"/>
      <c r="W395" s="461">
        <f>U395-V395</f>
        <v/>
      </c>
      <c r="X395" s="227" t="n"/>
      <c r="Y395" s="461">
        <f>Z395</f>
        <v/>
      </c>
      <c r="Z395" s="227" t="n"/>
      <c r="AA395" s="461">
        <f>Y395-Z395</f>
        <v/>
      </c>
      <c r="AB395" s="227" t="n"/>
      <c r="AC395" s="461">
        <f>AD395</f>
        <v/>
      </c>
      <c r="AD395" s="227" t="n"/>
      <c r="AE395" s="461">
        <f>AC395-AD395</f>
        <v/>
      </c>
      <c r="AF395" s="227" t="n"/>
      <c r="AG395" s="461">
        <f>AH395</f>
        <v/>
      </c>
      <c r="AH395" s="227" t="n"/>
      <c r="AI395" s="461">
        <f>AG395-AH395</f>
        <v/>
      </c>
      <c r="AJ395" s="227" t="n"/>
      <c r="AK395" s="461">
        <f>AL395</f>
        <v/>
      </c>
      <c r="AL395" s="227" t="n"/>
      <c r="AM395" s="461">
        <f>AK395-AL395</f>
        <v/>
      </c>
      <c r="AN395" s="227" t="n"/>
      <c r="AO395" s="461">
        <f>AP395</f>
        <v/>
      </c>
      <c r="AP395" s="461" t="n"/>
      <c r="AQ395" s="461">
        <f>AO395-AP395</f>
        <v/>
      </c>
      <c r="AR395" s="461" t="n"/>
      <c r="AS395" s="461">
        <f>AT395</f>
        <v/>
      </c>
      <c r="AT395" s="227" t="n"/>
      <c r="AU395" s="461">
        <f>AS395-AT395</f>
        <v/>
      </c>
      <c r="AV395" s="284" t="n"/>
      <c r="AW395" s="461">
        <f>AX395</f>
        <v/>
      </c>
      <c r="AX395" s="227" t="n"/>
      <c r="AY395" s="461">
        <f>AW395-AX395</f>
        <v/>
      </c>
      <c r="AZ395" s="227" t="n"/>
      <c r="BA395" s="461">
        <f>BB395</f>
        <v/>
      </c>
      <c r="BB395" s="461" t="n"/>
      <c r="BC395" s="461">
        <f>BA395-BB395</f>
        <v/>
      </c>
      <c r="BD395" s="461" t="n"/>
      <c r="BE395" s="461">
        <f>BF395</f>
        <v/>
      </c>
      <c r="BF395" s="461" t="n"/>
      <c r="BG395" s="461">
        <f>BE395-BF395</f>
        <v/>
      </c>
      <c r="BH395" s="461" t="n"/>
      <c r="BI395" s="461">
        <f>BJ395</f>
        <v/>
      </c>
      <c r="BJ395" s="461" t="n"/>
      <c r="BK395" s="461">
        <f>BI395-BJ395</f>
        <v/>
      </c>
      <c r="BL395" s="461" t="n"/>
      <c r="BM395" s="220">
        <f>BN395</f>
        <v/>
      </c>
      <c r="BN395" s="220" t="n"/>
      <c r="BO395" s="220">
        <f>BM395-BN395</f>
        <v/>
      </c>
      <c r="BP395" s="220">
        <f>N395+Q395+U395+Y395+AC395+AG395+AK395+AO395+AS395+AW395+BA395+BE395+BI395+BM395</f>
        <v/>
      </c>
      <c r="BQ395" s="220">
        <f>N395+R395+V395+Z395+AD395+AH395+AL395+AP395+AT395+AX395+BB395+BF395+BJ395+BN395</f>
        <v/>
      </c>
      <c r="BR395" s="220">
        <f>BP395-BQ395</f>
        <v/>
      </c>
      <c r="BS395" s="377" t="n"/>
      <c r="BT395" s="378" t="n"/>
      <c r="BU395" s="297" t="n"/>
      <c r="BV395" s="230" t="n"/>
      <c r="BW395" s="534" t="n"/>
    </row>
    <row r="396" customFormat="1" s="210">
      <c r="A396" s="469" t="n"/>
      <c r="B396" s="220" t="inlineStr">
        <is>
          <t>补充</t>
        </is>
      </c>
      <c r="C396" s="221" t="inlineStr">
        <is>
          <t>餐饮三分部</t>
        </is>
      </c>
      <c r="D396" s="221" t="inlineStr">
        <is>
          <t>CF641</t>
        </is>
      </c>
      <c r="E396" s="221" t="inlineStr">
        <is>
          <t>中山大学北学二食堂</t>
        </is>
      </c>
      <c r="F396" s="219" t="inlineStr">
        <is>
          <t>分组作业</t>
        </is>
      </c>
      <c r="G396" s="222" t="inlineStr">
        <is>
          <t>徐敏娟</t>
        </is>
      </c>
      <c r="H396" s="219" t="inlineStr">
        <is>
          <t>第七班组</t>
        </is>
      </c>
      <c r="I396" s="237" t="inlineStr">
        <is>
          <t>自选称重餐</t>
        </is>
      </c>
      <c r="J396" s="219" t="inlineStr">
        <is>
          <t>蒲久龙</t>
        </is>
      </c>
      <c r="K396" s="545">
        <f>LET(k,D396&amp;"|"&amp;E396&amp;"|"&amp;H396&amp;"|"&amp;I396&amp;"|"&amp;J396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96" s="546" t="n"/>
      <c r="M396" s="601" t="inlineStr">
        <is>
          <t>撤场，未结算</t>
        </is>
      </c>
      <c r="N396" s="253" t="n"/>
      <c r="O396" s="602" t="n"/>
      <c r="P396" s="284" t="n"/>
      <c r="Q396" s="461">
        <f>R396</f>
        <v/>
      </c>
      <c r="R396" s="227" t="n"/>
      <c r="S396" s="461">
        <f>Q396-R396</f>
        <v/>
      </c>
      <c r="T396" s="227" t="n"/>
      <c r="U396" s="461">
        <f>V396</f>
        <v/>
      </c>
      <c r="V396" s="227" t="n"/>
      <c r="W396" s="461">
        <f>U396-V396</f>
        <v/>
      </c>
      <c r="X396" s="227" t="n"/>
      <c r="Y396" s="461">
        <f>Z396</f>
        <v/>
      </c>
      <c r="Z396" s="227" t="n"/>
      <c r="AA396" s="461">
        <f>Y396-Z396</f>
        <v/>
      </c>
      <c r="AB396" s="227" t="n"/>
      <c r="AC396" s="461">
        <f>AD396</f>
        <v/>
      </c>
      <c r="AD396" s="227" t="n"/>
      <c r="AE396" s="461">
        <f>AC396-AD396</f>
        <v/>
      </c>
      <c r="AF396" s="227" t="n"/>
      <c r="AG396" s="461">
        <f>AH396</f>
        <v/>
      </c>
      <c r="AH396" s="227" t="n"/>
      <c r="AI396" s="461">
        <f>AG396-AH396</f>
        <v/>
      </c>
      <c r="AJ396" s="227" t="n"/>
      <c r="AK396" s="461">
        <f>AL396</f>
        <v/>
      </c>
      <c r="AL396" s="227" t="n"/>
      <c r="AM396" s="461">
        <f>AK396-AL396</f>
        <v/>
      </c>
      <c r="AN396" s="227" t="n"/>
      <c r="AO396" s="461">
        <f>AP396</f>
        <v/>
      </c>
      <c r="AP396" s="461" t="n"/>
      <c r="AQ396" s="461">
        <f>AO396-AP396</f>
        <v/>
      </c>
      <c r="AR396" s="461" t="n"/>
      <c r="AS396" s="461">
        <f>AT396</f>
        <v/>
      </c>
      <c r="AT396" s="227" t="n"/>
      <c r="AU396" s="461">
        <f>AS396-AT396</f>
        <v/>
      </c>
      <c r="AV396" s="284" t="n"/>
      <c r="AW396" s="461">
        <f>AX396</f>
        <v/>
      </c>
      <c r="AX396" s="227" t="n"/>
      <c r="AY396" s="461">
        <f>AW396-AX396</f>
        <v/>
      </c>
      <c r="AZ396" s="227" t="n"/>
      <c r="BA396" s="461">
        <f>BB396</f>
        <v/>
      </c>
      <c r="BB396" s="461" t="n"/>
      <c r="BC396" s="461">
        <f>BA396-BB396</f>
        <v/>
      </c>
      <c r="BD396" s="461" t="n"/>
      <c r="BE396" s="461">
        <f>BF396</f>
        <v/>
      </c>
      <c r="BF396" s="461" t="n"/>
      <c r="BG396" s="461">
        <f>BE396-BF396</f>
        <v/>
      </c>
      <c r="BH396" s="461" t="n"/>
      <c r="BI396" s="461">
        <f>BJ396</f>
        <v/>
      </c>
      <c r="BJ396" s="461" t="n"/>
      <c r="BK396" s="461">
        <f>BI396-BJ396</f>
        <v/>
      </c>
      <c r="BL396" s="461" t="n"/>
      <c r="BM396" s="220">
        <f>BN396</f>
        <v/>
      </c>
      <c r="BN396" s="220" t="n"/>
      <c r="BO396" s="220">
        <f>BM396-BN396</f>
        <v/>
      </c>
      <c r="BP396" s="220">
        <f>N396+Q396+U396+Y396+AC396+AG396+AK396+AO396+AS396+AW396+BA396+BE396+BI396+BM396</f>
        <v/>
      </c>
      <c r="BQ396" s="220">
        <f>N396+R396+V396+Z396+AD396+AH396+AL396+AP396+AT396+AX396+BB396+BF396+BJ396+BN396</f>
        <v/>
      </c>
      <c r="BR396" s="220">
        <f>BP396-BQ396</f>
        <v/>
      </c>
      <c r="BS396" s="377" t="n"/>
      <c r="BT396" s="378" t="n"/>
      <c r="BU396" s="297" t="n"/>
      <c r="BV396" s="230" t="n"/>
      <c r="BW396" s="534" t="n"/>
    </row>
    <row r="397" ht="24" customFormat="1" customHeight="1" s="210">
      <c r="A397" s="469" t="n"/>
      <c r="B397" s="220" t="inlineStr">
        <is>
          <t>补充</t>
        </is>
      </c>
      <c r="C397" s="221" t="inlineStr">
        <is>
          <t>餐饮一分部</t>
        </is>
      </c>
      <c r="D397" s="221" t="inlineStr">
        <is>
          <t>CF477</t>
        </is>
      </c>
      <c r="E397" s="221" t="inlineStr">
        <is>
          <t>上海民航第一食堂</t>
        </is>
      </c>
      <c r="F397" s="219" t="inlineStr">
        <is>
          <t>分组作业</t>
        </is>
      </c>
      <c r="G397" s="222" t="inlineStr">
        <is>
          <t>卫屹</t>
        </is>
      </c>
      <c r="H397" s="219" t="inlineStr">
        <is>
          <t>第一班组</t>
        </is>
      </c>
      <c r="I397" s="237" t="inlineStr">
        <is>
          <t>早餐</t>
        </is>
      </c>
      <c r="J397" s="219" t="inlineStr">
        <is>
          <t>夏燕红</t>
        </is>
      </c>
      <c r="K397" s="545">
        <f>LET(k,D397&amp;"|"&amp;E397&amp;"|"&amp;H397&amp;"|"&amp;I397&amp;"|"&amp;J397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97" s="546" t="n"/>
      <c r="M397" s="601" t="inlineStr">
        <is>
          <t>已撤场，已支付</t>
        </is>
      </c>
      <c r="N397" s="547" t="n"/>
      <c r="O397" s="602" t="n"/>
      <c r="P397" s="284" t="n"/>
      <c r="Q397" s="461">
        <f>K397*P397</f>
        <v/>
      </c>
      <c r="R397" s="227" t="n"/>
      <c r="S397" s="461">
        <f>Q397-R397</f>
        <v/>
      </c>
      <c r="T397" s="227" t="n"/>
      <c r="U397" s="461">
        <f>K397*T397</f>
        <v/>
      </c>
      <c r="V397" s="227" t="n"/>
      <c r="W397" s="461">
        <f>U397-V397</f>
        <v/>
      </c>
      <c r="X397" s="227" t="n"/>
      <c r="Y397" s="461">
        <f>K397*X397</f>
        <v/>
      </c>
      <c r="Z397" s="227" t="n"/>
      <c r="AA397" s="461">
        <f>Y397-Z397</f>
        <v/>
      </c>
      <c r="AB397" s="227" t="n"/>
      <c r="AC397" s="461">
        <f>K397*AB397</f>
        <v/>
      </c>
      <c r="AD397" s="227" t="n"/>
      <c r="AE397" s="461">
        <f>AC397-AD397</f>
        <v/>
      </c>
      <c r="AF397" s="227" t="n"/>
      <c r="AG397" s="461">
        <f>K397*AF397</f>
        <v/>
      </c>
      <c r="AH397" s="227" t="n"/>
      <c r="AI397" s="461">
        <f>AG397-AH397</f>
        <v/>
      </c>
      <c r="AJ397" s="227" t="n"/>
      <c r="AK397" s="461">
        <f>K397*AJ397</f>
        <v/>
      </c>
      <c r="AL397" s="227" t="n"/>
      <c r="AM397" s="461">
        <f>AK397-AL397</f>
        <v/>
      </c>
      <c r="AN397" s="227" t="n"/>
      <c r="AO397" s="461">
        <f>K397*AN397</f>
        <v/>
      </c>
      <c r="AP397" s="461" t="n"/>
      <c r="AQ397" s="461">
        <f>AO397-AP397</f>
        <v/>
      </c>
      <c r="AR397" s="461" t="n"/>
      <c r="AS397" s="461">
        <f>K397*AR397</f>
        <v/>
      </c>
      <c r="AT397" s="227" t="n"/>
      <c r="AU397" s="461">
        <f>AS397-AT397</f>
        <v/>
      </c>
      <c r="AV397" s="284" t="n"/>
      <c r="AW397" s="461">
        <f>K397*AV397</f>
        <v/>
      </c>
      <c r="AX397" s="227" t="n"/>
      <c r="AY397" s="461">
        <f>AW397-AX397</f>
        <v/>
      </c>
      <c r="AZ397" s="227" t="n"/>
      <c r="BA397" s="461">
        <f>K397*AZ397</f>
        <v/>
      </c>
      <c r="BB397" s="461" t="n"/>
      <c r="BC397" s="461">
        <f>BA397-BB397</f>
        <v/>
      </c>
      <c r="BD397" s="461" t="n"/>
      <c r="BE397" s="461">
        <f>K397*BD397</f>
        <v/>
      </c>
      <c r="BF397" s="461" t="n"/>
      <c r="BG397" s="461">
        <f>BE397-BF397</f>
        <v/>
      </c>
      <c r="BH397" s="461" t="n"/>
      <c r="BI397" s="461">
        <f>K397*BH397</f>
        <v/>
      </c>
      <c r="BJ397" s="461" t="n"/>
      <c r="BK397" s="461">
        <f>BI397-BJ397</f>
        <v/>
      </c>
      <c r="BL397" s="461" t="n"/>
      <c r="BM397" s="220">
        <f>K397*BL397</f>
        <v/>
      </c>
      <c r="BN397" s="220" t="n"/>
      <c r="BO397" s="220">
        <f>BM397-BN397</f>
        <v/>
      </c>
      <c r="BP397" s="220">
        <f>N397+Q397+U397+Y397+AC397+AG397+AK397+AO397+AS397+AW397+BA397+BE397+BI397+BM397</f>
        <v/>
      </c>
      <c r="BQ397" s="220">
        <f>N397+R397+V397+Z397+AD397+AH397+AL397+AP397+AT397+AX397+BB397+BF397+BJ397+BN397</f>
        <v/>
      </c>
      <c r="BR397" s="220">
        <f>BP397-BQ397</f>
        <v/>
      </c>
      <c r="BS397" s="377" t="n"/>
      <c r="BT397" s="378" t="n"/>
      <c r="BU397" s="297" t="n"/>
      <c r="BV397" s="230" t="n"/>
      <c r="BW397" s="534" t="n"/>
    </row>
    <row r="398" customFormat="1" s="210">
      <c r="A398" s="469" t="n"/>
      <c r="B398" s="220" t="inlineStr">
        <is>
          <t>补充</t>
        </is>
      </c>
      <c r="C398" s="221" t="inlineStr">
        <is>
          <t>餐饮一分部</t>
        </is>
      </c>
      <c r="D398" s="221" t="inlineStr">
        <is>
          <t>CF477</t>
        </is>
      </c>
      <c r="E398" s="221" t="inlineStr">
        <is>
          <t>上海民航第一食堂</t>
        </is>
      </c>
      <c r="F398" s="219" t="inlineStr">
        <is>
          <t>分组作业</t>
        </is>
      </c>
      <c r="G398" s="222" t="inlineStr">
        <is>
          <t>卫屹</t>
        </is>
      </c>
      <c r="H398" s="219" t="inlineStr">
        <is>
          <t>第五班组</t>
        </is>
      </c>
      <c r="I398" s="237" t="inlineStr">
        <is>
          <t>三楼风味</t>
        </is>
      </c>
      <c r="J398" s="219" t="inlineStr">
        <is>
          <t>卢翠连</t>
        </is>
      </c>
      <c r="K398" s="545">
        <f>LET(k,D398&amp;"|"&amp;E398&amp;"|"&amp;H398&amp;"|"&amp;I398&amp;"|"&amp;J398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98" s="546" t="n"/>
      <c r="M398" s="601" t="inlineStr">
        <is>
          <t>未签会议纪要</t>
        </is>
      </c>
      <c r="N398" s="547" t="n"/>
      <c r="O398" s="602" t="n"/>
      <c r="P398" s="284" t="n"/>
      <c r="Q398" s="461">
        <f>R398</f>
        <v/>
      </c>
      <c r="R398" s="227" t="n"/>
      <c r="S398" s="461">
        <f>Q398-R398</f>
        <v/>
      </c>
      <c r="T398" s="227" t="n"/>
      <c r="U398" s="461">
        <f>V398</f>
        <v/>
      </c>
      <c r="V398" s="227" t="n">
        <v>0</v>
      </c>
      <c r="W398" s="461">
        <f>U398-V398</f>
        <v/>
      </c>
      <c r="X398" s="227" t="n"/>
      <c r="Y398" s="461">
        <f>K398*X398</f>
        <v/>
      </c>
      <c r="Z398" s="227" t="n"/>
      <c r="AA398" s="461">
        <f>Y398-Z398</f>
        <v/>
      </c>
      <c r="AB398" s="227" t="n"/>
      <c r="AC398" s="461">
        <f>AD398</f>
        <v/>
      </c>
      <c r="AD398" s="227" t="n">
        <v>0</v>
      </c>
      <c r="AE398" s="461">
        <f>AC398-AD398</f>
        <v/>
      </c>
      <c r="AF398" s="227" t="n"/>
      <c r="AG398" s="461">
        <f>AH398</f>
        <v/>
      </c>
      <c r="AH398" s="227" t="n">
        <v>0</v>
      </c>
      <c r="AI398" s="461">
        <f>AG398-AH398</f>
        <v/>
      </c>
      <c r="AJ398" s="227" t="n"/>
      <c r="AK398" s="461">
        <f>K398*AJ398</f>
        <v/>
      </c>
      <c r="AL398" s="227" t="n"/>
      <c r="AM398" s="461">
        <f>AK398-AL398</f>
        <v/>
      </c>
      <c r="AN398" s="227" t="n"/>
      <c r="AO398" s="461">
        <f>AP398</f>
        <v/>
      </c>
      <c r="AP398" s="461" t="n">
        <v>0</v>
      </c>
      <c r="AQ398" s="461">
        <f>AO398-AP398</f>
        <v/>
      </c>
      <c r="AR398" s="461" t="n"/>
      <c r="AS398" s="461">
        <f>K398*AR398</f>
        <v/>
      </c>
      <c r="AT398" s="227" t="n"/>
      <c r="AU398" s="461">
        <f>AS398-AT398</f>
        <v/>
      </c>
      <c r="AV398" s="284" t="n"/>
      <c r="AW398" s="461">
        <f>AX398</f>
        <v/>
      </c>
      <c r="AX398" s="227" t="n"/>
      <c r="AY398" s="461">
        <f>AW398-AX398</f>
        <v/>
      </c>
      <c r="AZ398" s="227" t="n"/>
      <c r="BA398" s="461">
        <f>BB398</f>
        <v/>
      </c>
      <c r="BB398" s="461" t="n">
        <v>0</v>
      </c>
      <c r="BC398" s="461">
        <f>BA398-BB398</f>
        <v/>
      </c>
      <c r="BD398" s="461" t="n"/>
      <c r="BE398" s="461">
        <f>K398*BD398</f>
        <v/>
      </c>
      <c r="BF398" s="461" t="n"/>
      <c r="BG398" s="461">
        <f>BE398-BF398</f>
        <v/>
      </c>
      <c r="BH398" s="461" t="n"/>
      <c r="BI398" s="461">
        <f>K398*BH398</f>
        <v/>
      </c>
      <c r="BJ398" s="461" t="n"/>
      <c r="BK398" s="461">
        <f>BI398-BJ398</f>
        <v/>
      </c>
      <c r="BL398" s="461" t="n"/>
      <c r="BM398" s="220">
        <f>K398*BL398</f>
        <v/>
      </c>
      <c r="BN398" s="220" t="n"/>
      <c r="BO398" s="220">
        <f>BM398-BN398</f>
        <v/>
      </c>
      <c r="BP398" s="220">
        <f>N398+Q398+U398+Y398+AC398+AG398+AK398+AO398+AS398+AW398+BA398+BE398+BI398+BM398</f>
        <v/>
      </c>
      <c r="BQ398" s="220">
        <f>N398+R398+V398+Z398+AD398+AH398+AL398+AP398+AT398+AX398+BB398+BF398+BJ398+BN398</f>
        <v/>
      </c>
      <c r="BR398" s="220">
        <f>BP398-BQ398</f>
        <v/>
      </c>
      <c r="BS398" s="377" t="n"/>
      <c r="BT398" s="378" t="n"/>
      <c r="BU398" s="297" t="n"/>
      <c r="BV398" s="230" t="n"/>
      <c r="BW398" s="534" t="n"/>
    </row>
    <row r="399" customFormat="1" s="210">
      <c r="A399" s="469" t="n"/>
      <c r="B399" s="220" t="inlineStr">
        <is>
          <t>补充</t>
        </is>
      </c>
      <c r="C399" s="221" t="inlineStr">
        <is>
          <t>餐饮六分部</t>
        </is>
      </c>
      <c r="D399" s="221" t="inlineStr">
        <is>
          <t>CF293</t>
        </is>
      </c>
      <c r="E399" s="221" t="inlineStr">
        <is>
          <t>江苏二师石湫校区食堂</t>
        </is>
      </c>
      <c r="F399" s="219" t="inlineStr">
        <is>
          <t>分组作业</t>
        </is>
      </c>
      <c r="G399" s="222" t="inlineStr">
        <is>
          <t>徐敏娟</t>
        </is>
      </c>
      <c r="H399" s="219" t="n"/>
      <c r="I399" s="237" t="inlineStr">
        <is>
          <t>馄饨</t>
        </is>
      </c>
      <c r="J399" s="219" t="inlineStr">
        <is>
          <t>陈强</t>
        </is>
      </c>
      <c r="K399" s="545">
        <f>LET(k,D399&amp;"|"&amp;E399&amp;"|"&amp;H399&amp;"|"&amp;I399&amp;"|"&amp;J399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399" s="546" t="n"/>
      <c r="M399" s="601" t="inlineStr">
        <is>
          <t>撤场，已结算</t>
        </is>
      </c>
      <c r="N399" s="253" t="n"/>
      <c r="O399" s="602" t="n"/>
      <c r="P399" s="284" t="n"/>
      <c r="Q399" s="461">
        <f>R399</f>
        <v/>
      </c>
      <c r="R399" s="227" t="n"/>
      <c r="S399" s="461">
        <f>Q399-R399</f>
        <v/>
      </c>
      <c r="T399" s="227" t="n"/>
      <c r="U399" s="461">
        <f>V399</f>
        <v/>
      </c>
      <c r="V399" s="227" t="n"/>
      <c r="W399" s="461">
        <f>U399-V399</f>
        <v/>
      </c>
      <c r="X399" s="227" t="n"/>
      <c r="Y399" s="461">
        <f>Z399</f>
        <v/>
      </c>
      <c r="Z399" s="462" t="n"/>
      <c r="AA399" s="461">
        <f>Y399-Z399</f>
        <v/>
      </c>
      <c r="AB399" s="227" t="n"/>
      <c r="AC399" s="461">
        <f>AD399</f>
        <v/>
      </c>
      <c r="AD399" s="227" t="n"/>
      <c r="AE399" s="461">
        <f>AC399-AD399</f>
        <v/>
      </c>
      <c r="AF399" s="227" t="n"/>
      <c r="AG399" s="461">
        <f>AH399</f>
        <v/>
      </c>
      <c r="AH399" s="227" t="n"/>
      <c r="AI399" s="461">
        <f>AG399-AH399</f>
        <v/>
      </c>
      <c r="AJ399" s="227" t="n"/>
      <c r="AK399" s="461">
        <f>AL399</f>
        <v/>
      </c>
      <c r="AL399" s="227" t="n"/>
      <c r="AM399" s="461">
        <f>AK399-AL399</f>
        <v/>
      </c>
      <c r="AN399" s="227" t="n"/>
      <c r="AO399" s="461">
        <f>AP399</f>
        <v/>
      </c>
      <c r="AP399" s="461" t="n"/>
      <c r="AQ399" s="461">
        <f>AO399-AP399</f>
        <v/>
      </c>
      <c r="AR399" s="461" t="n"/>
      <c r="AS399" s="461">
        <f>AT399</f>
        <v/>
      </c>
      <c r="AT399" s="227" t="n"/>
      <c r="AU399" s="461">
        <f>AS399-AT399</f>
        <v/>
      </c>
      <c r="AV399" s="284" t="n"/>
      <c r="AW399" s="461">
        <f>AX399</f>
        <v/>
      </c>
      <c r="AX399" s="227" t="n"/>
      <c r="AY399" s="461">
        <f>AW399-AX399</f>
        <v/>
      </c>
      <c r="AZ399" s="227" t="n"/>
      <c r="BA399" s="461">
        <f>BB399</f>
        <v/>
      </c>
      <c r="BB399" s="461" t="n"/>
      <c r="BC399" s="461">
        <f>BA399-BB399</f>
        <v/>
      </c>
      <c r="BD399" s="461" t="n"/>
      <c r="BE399" s="461">
        <f>BF399</f>
        <v/>
      </c>
      <c r="BF399" s="461" t="n"/>
      <c r="BG399" s="461">
        <f>BE399-BF399</f>
        <v/>
      </c>
      <c r="BH399" s="461" t="n"/>
      <c r="BI399" s="461">
        <f>BJ399</f>
        <v/>
      </c>
      <c r="BJ399" s="461" t="n"/>
      <c r="BK399" s="461">
        <f>BI399-BJ399</f>
        <v/>
      </c>
      <c r="BL399" s="461" t="n"/>
      <c r="BM399" s="220">
        <f>BN399</f>
        <v/>
      </c>
      <c r="BN399" s="220" t="n"/>
      <c r="BO399" s="220">
        <f>BM399-BN399</f>
        <v/>
      </c>
      <c r="BP399" s="220">
        <f>N399+Q399+U399+Y399+AC399+AG399+AK399+AO399+AS399+AW399+BA399+BE399+BI399+BM399</f>
        <v/>
      </c>
      <c r="BQ399" s="220">
        <f>N399+R399+V399+Z399+AD399+AH399+AL399+AP399+AT399+AX399+BB399+BF399+BJ399+BN399</f>
        <v/>
      </c>
      <c r="BR399" s="220">
        <f>BP399-BQ399</f>
        <v/>
      </c>
      <c r="BS399" s="377" t="n"/>
      <c r="BT399" s="378" t="n"/>
      <c r="BU399" s="297" t="n"/>
      <c r="BV399" s="230" t="n"/>
      <c r="BW399" s="534" t="n"/>
    </row>
    <row r="400" customFormat="1" s="210">
      <c r="A400" s="469" t="n"/>
      <c r="B400" s="220" t="inlineStr">
        <is>
          <t>补充</t>
        </is>
      </c>
      <c r="C400" s="221" t="inlineStr">
        <is>
          <t>餐饮六分部</t>
        </is>
      </c>
      <c r="D400" s="221" t="inlineStr">
        <is>
          <t>CF293</t>
        </is>
      </c>
      <c r="E400" s="221" t="inlineStr">
        <is>
          <t>江苏二师石湫校区食堂</t>
        </is>
      </c>
      <c r="F400" s="219" t="inlineStr">
        <is>
          <t>分组作业</t>
        </is>
      </c>
      <c r="G400" s="222" t="inlineStr">
        <is>
          <t>徐敏娟</t>
        </is>
      </c>
      <c r="H400" s="219" t="n"/>
      <c r="I400" s="237" t="inlineStr">
        <is>
          <t>幸运面</t>
        </is>
      </c>
      <c r="J400" s="219" t="inlineStr">
        <is>
          <t>李龙</t>
        </is>
      </c>
      <c r="K400" s="545">
        <f>LET(k,D400&amp;"|"&amp;E400&amp;"|"&amp;H400&amp;"|"&amp;I400&amp;"|"&amp;J400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00" s="546" t="n"/>
      <c r="M400" s="601" t="inlineStr">
        <is>
          <t>撤场，已结算</t>
        </is>
      </c>
      <c r="N400" s="253" t="n"/>
      <c r="O400" s="602" t="n"/>
      <c r="P400" s="284" t="n"/>
      <c r="Q400" s="461">
        <f>R400</f>
        <v/>
      </c>
      <c r="R400" s="227" t="n"/>
      <c r="S400" s="461">
        <f>Q400-R400</f>
        <v/>
      </c>
      <c r="T400" s="227" t="n"/>
      <c r="U400" s="461">
        <f>V400</f>
        <v/>
      </c>
      <c r="V400" s="227" t="n"/>
      <c r="W400" s="461">
        <f>U400-V400</f>
        <v/>
      </c>
      <c r="X400" s="227" t="n"/>
      <c r="Y400" s="461">
        <f>Z400</f>
        <v/>
      </c>
      <c r="Z400" s="227" t="n"/>
      <c r="AA400" s="461">
        <f>Y400-Z400</f>
        <v/>
      </c>
      <c r="AB400" s="227" t="n"/>
      <c r="AC400" s="461">
        <f>AD400</f>
        <v/>
      </c>
      <c r="AD400" s="227" t="n"/>
      <c r="AE400" s="461">
        <f>AC400-AD400</f>
        <v/>
      </c>
      <c r="AF400" s="227" t="n"/>
      <c r="AG400" s="461">
        <f>AH400</f>
        <v/>
      </c>
      <c r="AH400" s="227" t="n"/>
      <c r="AI400" s="461">
        <f>AG400-AH400</f>
        <v/>
      </c>
      <c r="AJ400" s="227" t="n"/>
      <c r="AK400" s="461">
        <f>AL400</f>
        <v/>
      </c>
      <c r="AL400" s="227" t="n"/>
      <c r="AM400" s="461">
        <f>AK400-AL400</f>
        <v/>
      </c>
      <c r="AN400" s="227" t="n"/>
      <c r="AO400" s="461">
        <f>AP400</f>
        <v/>
      </c>
      <c r="AP400" s="461" t="n"/>
      <c r="AQ400" s="461">
        <f>AO400-AP400</f>
        <v/>
      </c>
      <c r="AR400" s="461" t="n"/>
      <c r="AS400" s="461">
        <f>AT400</f>
        <v/>
      </c>
      <c r="AT400" s="227" t="n"/>
      <c r="AU400" s="461">
        <f>AS400-AT400</f>
        <v/>
      </c>
      <c r="AV400" s="284" t="n"/>
      <c r="AW400" s="461">
        <f>AX400</f>
        <v/>
      </c>
      <c r="AX400" s="227" t="n"/>
      <c r="AY400" s="461">
        <f>AW400-AX400</f>
        <v/>
      </c>
      <c r="AZ400" s="227" t="n"/>
      <c r="BA400" s="461">
        <f>BB400</f>
        <v/>
      </c>
      <c r="BB400" s="461" t="n"/>
      <c r="BC400" s="461">
        <f>BA400-BB400</f>
        <v/>
      </c>
      <c r="BD400" s="461" t="n"/>
      <c r="BE400" s="461">
        <f>BF400</f>
        <v/>
      </c>
      <c r="BF400" s="461" t="n"/>
      <c r="BG400" s="461">
        <f>BE400-BF400</f>
        <v/>
      </c>
      <c r="BH400" s="461" t="n"/>
      <c r="BI400" s="461">
        <f>BJ400</f>
        <v/>
      </c>
      <c r="BJ400" s="461" t="n"/>
      <c r="BK400" s="461">
        <f>BI400-BJ400</f>
        <v/>
      </c>
      <c r="BL400" s="461" t="n"/>
      <c r="BM400" s="220">
        <f>BN400</f>
        <v/>
      </c>
      <c r="BN400" s="220" t="n"/>
      <c r="BO400" s="220">
        <f>BM400-BN400</f>
        <v/>
      </c>
      <c r="BP400" s="220">
        <f>N400+Q400+U400+Y400+AC400+AG400+AK400+AO400+AS400+AW400+BA400+BE400+BI400+BM400</f>
        <v/>
      </c>
      <c r="BQ400" s="220">
        <f>N400+R400+V400+Z400+AD400+AH400+AL400+AP400+AT400+AX400+BB400+BF400+BJ400+BN400</f>
        <v/>
      </c>
      <c r="BR400" s="220">
        <f>BP400-BQ400</f>
        <v/>
      </c>
      <c r="BS400" s="377" t="n"/>
      <c r="BT400" s="378" t="n"/>
      <c r="BU400" s="297" t="n"/>
      <c r="BV400" s="230" t="n"/>
      <c r="BW400" s="534" t="n"/>
    </row>
    <row r="401" customFormat="1" s="210">
      <c r="A401" s="469" t="n"/>
      <c r="B401" s="220" t="inlineStr">
        <is>
          <t>补充</t>
        </is>
      </c>
      <c r="C401" s="221" t="inlineStr">
        <is>
          <t>餐饮六分部</t>
        </is>
      </c>
      <c r="D401" s="221" t="inlineStr">
        <is>
          <t>CF293</t>
        </is>
      </c>
      <c r="E401" s="221" t="inlineStr">
        <is>
          <t>江苏二师石湫校区食堂</t>
        </is>
      </c>
      <c r="F401" s="219" t="inlineStr">
        <is>
          <t>分组作业</t>
        </is>
      </c>
      <c r="G401" s="222" t="inlineStr">
        <is>
          <t>徐敏娟</t>
        </is>
      </c>
      <c r="H401" s="219" t="n"/>
      <c r="I401" s="237" t="inlineStr">
        <is>
          <t>早餐</t>
        </is>
      </c>
      <c r="J401" s="219" t="inlineStr">
        <is>
          <t>陈定奎</t>
        </is>
      </c>
      <c r="K401" s="545">
        <f>LET(k,D401&amp;"|"&amp;E401&amp;"|"&amp;H401&amp;"|"&amp;I401&amp;"|"&amp;J401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01" s="546" t="n"/>
      <c r="M401" s="601" t="inlineStr">
        <is>
          <t>撤场，已结算</t>
        </is>
      </c>
      <c r="N401" s="253" t="n"/>
      <c r="O401" s="602" t="n"/>
      <c r="P401" s="284" t="n"/>
      <c r="Q401" s="461">
        <f>R401</f>
        <v/>
      </c>
      <c r="R401" s="227" t="n"/>
      <c r="S401" s="461">
        <f>Q401-R401</f>
        <v/>
      </c>
      <c r="T401" s="227" t="n"/>
      <c r="U401" s="461">
        <f>V401</f>
        <v/>
      </c>
      <c r="V401" s="227" t="n"/>
      <c r="W401" s="461">
        <f>U401-V401</f>
        <v/>
      </c>
      <c r="X401" s="227" t="n"/>
      <c r="Y401" s="461">
        <f>Z401</f>
        <v/>
      </c>
      <c r="Z401" s="227" t="n"/>
      <c r="AA401" s="461">
        <f>Y401-Z401</f>
        <v/>
      </c>
      <c r="AB401" s="227" t="n"/>
      <c r="AC401" s="461">
        <f>AD401</f>
        <v/>
      </c>
      <c r="AD401" s="227" t="n"/>
      <c r="AE401" s="461">
        <f>AC401-AD401</f>
        <v/>
      </c>
      <c r="AF401" s="227" t="n"/>
      <c r="AG401" s="461">
        <f>AH401</f>
        <v/>
      </c>
      <c r="AH401" s="227" t="n"/>
      <c r="AI401" s="461">
        <f>AG401-AH401</f>
        <v/>
      </c>
      <c r="AJ401" s="227" t="n"/>
      <c r="AK401" s="461">
        <f>AL401</f>
        <v/>
      </c>
      <c r="AL401" s="227" t="n"/>
      <c r="AM401" s="461">
        <f>AK401-AL401</f>
        <v/>
      </c>
      <c r="AN401" s="227" t="n"/>
      <c r="AO401" s="461">
        <f>AP401</f>
        <v/>
      </c>
      <c r="AP401" s="461" t="n"/>
      <c r="AQ401" s="461">
        <f>AO401-AP401</f>
        <v/>
      </c>
      <c r="AR401" s="461" t="n"/>
      <c r="AS401" s="461">
        <f>AT401</f>
        <v/>
      </c>
      <c r="AT401" s="227" t="n"/>
      <c r="AU401" s="461">
        <f>AS401-AT401</f>
        <v/>
      </c>
      <c r="AV401" s="284" t="n"/>
      <c r="AW401" s="461">
        <f>AX401</f>
        <v/>
      </c>
      <c r="AX401" s="227" t="n"/>
      <c r="AY401" s="461">
        <f>AW401-AX401</f>
        <v/>
      </c>
      <c r="AZ401" s="227" t="n"/>
      <c r="BA401" s="461">
        <f>BB401</f>
        <v/>
      </c>
      <c r="BB401" s="461" t="n"/>
      <c r="BC401" s="461">
        <f>BA401-BB401</f>
        <v/>
      </c>
      <c r="BD401" s="461" t="n"/>
      <c r="BE401" s="461">
        <f>BF401</f>
        <v/>
      </c>
      <c r="BF401" s="461" t="n"/>
      <c r="BG401" s="461">
        <f>BE401-BF401</f>
        <v/>
      </c>
      <c r="BH401" s="461" t="n"/>
      <c r="BI401" s="461">
        <f>BJ401</f>
        <v/>
      </c>
      <c r="BJ401" s="461" t="n"/>
      <c r="BK401" s="461">
        <f>BI401-BJ401</f>
        <v/>
      </c>
      <c r="BL401" s="461" t="n"/>
      <c r="BM401" s="220">
        <f>BN401</f>
        <v/>
      </c>
      <c r="BN401" s="220" t="n"/>
      <c r="BO401" s="220">
        <f>BM401-BN401</f>
        <v/>
      </c>
      <c r="BP401" s="220">
        <f>N401+Q401+U401+Y401+AC401+AG401+AK401+AO401+AS401+AW401+BA401+BE401+BI401+BM401</f>
        <v/>
      </c>
      <c r="BQ401" s="220">
        <f>N401+R401+V401+Z401+AD401+AH401+AL401+AP401+AT401+AX401+BB401+BF401+BJ401+BN401</f>
        <v/>
      </c>
      <c r="BR401" s="220">
        <f>BP401-BQ401</f>
        <v/>
      </c>
      <c r="BS401" s="377" t="n"/>
      <c r="BT401" s="378" t="n"/>
      <c r="BU401" s="297" t="n"/>
      <c r="BV401" s="230" t="n"/>
      <c r="BW401" s="534" t="n"/>
    </row>
    <row r="402" customFormat="1" s="210">
      <c r="A402" s="469" t="n"/>
      <c r="B402" s="220" t="inlineStr">
        <is>
          <t>补充</t>
        </is>
      </c>
      <c r="C402" s="221" t="inlineStr">
        <is>
          <t>餐饮五分部</t>
        </is>
      </c>
      <c r="D402" s="221" t="inlineStr">
        <is>
          <t>CF134</t>
        </is>
      </c>
      <c r="E402" s="221" t="inlineStr">
        <is>
          <t>苏大独墅湖五食堂</t>
        </is>
      </c>
      <c r="F402" s="219" t="inlineStr">
        <is>
          <t>分组作业</t>
        </is>
      </c>
      <c r="G402" s="222" t="inlineStr">
        <is>
          <t>徐敏娟</t>
        </is>
      </c>
      <c r="H402" s="219" t="inlineStr">
        <is>
          <t>/</t>
        </is>
      </c>
      <c r="I402" s="237" t="inlineStr">
        <is>
          <t>昆明小吃</t>
        </is>
      </c>
      <c r="J402" s="219" t="inlineStr">
        <is>
          <t>王光芬</t>
        </is>
      </c>
      <c r="K402" s="545">
        <f>LET(k,D402&amp;"|"&amp;E402&amp;"|"&amp;H402&amp;"|"&amp;I402&amp;"|"&amp;J402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02" s="546" t="n"/>
      <c r="M402" s="601" t="inlineStr">
        <is>
          <t>撤场，未结算</t>
        </is>
      </c>
      <c r="N402" s="253" t="n"/>
      <c r="O402" s="602" t="n"/>
      <c r="P402" s="284" t="n"/>
      <c r="Q402" s="461">
        <f>R402</f>
        <v/>
      </c>
      <c r="R402" s="227" t="n"/>
      <c r="S402" s="461">
        <f>Q402-R402</f>
        <v/>
      </c>
      <c r="T402" s="227" t="n"/>
      <c r="U402" s="461">
        <f>V402</f>
        <v/>
      </c>
      <c r="V402" s="227" t="n"/>
      <c r="W402" s="461">
        <f>U402-V402</f>
        <v/>
      </c>
      <c r="X402" s="227" t="n"/>
      <c r="Y402" s="461">
        <f>Z402</f>
        <v/>
      </c>
      <c r="Z402" s="227" t="n"/>
      <c r="AA402" s="461">
        <f>Y402-Z402</f>
        <v/>
      </c>
      <c r="AB402" s="227" t="n"/>
      <c r="AC402" s="461">
        <f>AD402</f>
        <v/>
      </c>
      <c r="AD402" s="227" t="n"/>
      <c r="AE402" s="461">
        <f>AC402-AD402</f>
        <v/>
      </c>
      <c r="AF402" s="227" t="n"/>
      <c r="AG402" s="461">
        <f>AH402</f>
        <v/>
      </c>
      <c r="AH402" s="227" t="n"/>
      <c r="AI402" s="461">
        <f>AG402-AH402</f>
        <v/>
      </c>
      <c r="AJ402" s="227" t="n"/>
      <c r="AK402" s="461">
        <f>AL402</f>
        <v/>
      </c>
      <c r="AL402" s="227" t="n"/>
      <c r="AM402" s="461">
        <f>AK402-AL402</f>
        <v/>
      </c>
      <c r="AN402" s="227" t="n"/>
      <c r="AO402" s="461">
        <f>AP402</f>
        <v/>
      </c>
      <c r="AP402" s="461" t="n"/>
      <c r="AQ402" s="461">
        <f>AO402-AP402</f>
        <v/>
      </c>
      <c r="AR402" s="461" t="n"/>
      <c r="AS402" s="461">
        <f>AT402</f>
        <v/>
      </c>
      <c r="AT402" s="227" t="n"/>
      <c r="AU402" s="461">
        <f>AS402-AT402</f>
        <v/>
      </c>
      <c r="AV402" s="284" t="n"/>
      <c r="AW402" s="461">
        <f>AX402</f>
        <v/>
      </c>
      <c r="AX402" s="227" t="n"/>
      <c r="AY402" s="461">
        <f>AW402-AX402</f>
        <v/>
      </c>
      <c r="AZ402" s="227" t="n"/>
      <c r="BA402" s="461">
        <f>BB402</f>
        <v/>
      </c>
      <c r="BB402" s="461" t="n"/>
      <c r="BC402" s="461">
        <f>BA402-BB402</f>
        <v/>
      </c>
      <c r="BD402" s="461" t="n"/>
      <c r="BE402" s="461">
        <f>BF402</f>
        <v/>
      </c>
      <c r="BF402" s="461" t="n"/>
      <c r="BG402" s="461">
        <f>BE402-BF402</f>
        <v/>
      </c>
      <c r="BH402" s="461" t="n"/>
      <c r="BI402" s="461">
        <f>BJ402</f>
        <v/>
      </c>
      <c r="BJ402" s="461" t="n"/>
      <c r="BK402" s="461">
        <f>BI402-BJ402</f>
        <v/>
      </c>
      <c r="BL402" s="461" t="n"/>
      <c r="BM402" s="220">
        <f>BN402</f>
        <v/>
      </c>
      <c r="BN402" s="220" t="n"/>
      <c r="BO402" s="220">
        <f>BM402-BN402</f>
        <v/>
      </c>
      <c r="BP402" s="220">
        <f>N402+Q402+U402+Y402+AC402+AG402+AK402+AO402+AS402+AW402+BA402+BE402+BI402+BM402</f>
        <v/>
      </c>
      <c r="BQ402" s="220">
        <f>N402+R402+V402+Z402+AD402+AH402+AL402+AP402+AT402+AX402+BB402+BF402+BJ402+BN402</f>
        <v/>
      </c>
      <c r="BR402" s="220">
        <f>BP402-BQ402</f>
        <v/>
      </c>
      <c r="BS402" s="377" t="n"/>
      <c r="BT402" s="378" t="n"/>
      <c r="BU402" s="297" t="n"/>
      <c r="BV402" s="230" t="n"/>
      <c r="BW402" s="534" t="n"/>
    </row>
    <row r="403" customFormat="1" s="210">
      <c r="A403" s="469" t="n"/>
      <c r="B403" s="220" t="inlineStr">
        <is>
          <t>补充</t>
        </is>
      </c>
      <c r="C403" s="221" t="inlineStr">
        <is>
          <t>餐饮五分部</t>
        </is>
      </c>
      <c r="D403" s="221" t="inlineStr">
        <is>
          <t>CF134</t>
        </is>
      </c>
      <c r="E403" s="221" t="inlineStr">
        <is>
          <t>苏大独墅湖五食堂</t>
        </is>
      </c>
      <c r="F403" s="219" t="inlineStr">
        <is>
          <t>分组作业</t>
        </is>
      </c>
      <c r="G403" s="222" t="inlineStr">
        <is>
          <t>徐敏娟</t>
        </is>
      </c>
      <c r="H403" s="219" t="inlineStr">
        <is>
          <t>/</t>
        </is>
      </c>
      <c r="I403" s="237" t="inlineStr">
        <is>
          <t>蒸菜</t>
        </is>
      </c>
      <c r="J403" s="219" t="inlineStr">
        <is>
          <t>岳磊</t>
        </is>
      </c>
      <c r="K403" s="545">
        <f>LET(k,D403&amp;"|"&amp;E403&amp;"|"&amp;H403&amp;"|"&amp;I403&amp;"|"&amp;J403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03" s="546" t="n"/>
      <c r="M403" s="601" t="inlineStr">
        <is>
          <t>撤场，未结算</t>
        </is>
      </c>
      <c r="N403" s="253" t="n"/>
      <c r="O403" s="602" t="n"/>
      <c r="P403" s="284" t="n"/>
      <c r="Q403" s="461">
        <f>R403</f>
        <v/>
      </c>
      <c r="R403" s="227" t="n"/>
      <c r="S403" s="461">
        <f>Q403-R403</f>
        <v/>
      </c>
      <c r="T403" s="227" t="n"/>
      <c r="U403" s="461">
        <f>V403</f>
        <v/>
      </c>
      <c r="V403" s="227" t="n"/>
      <c r="W403" s="461">
        <f>U403-V403</f>
        <v/>
      </c>
      <c r="X403" s="227" t="n"/>
      <c r="Y403" s="461">
        <f>Z403</f>
        <v/>
      </c>
      <c r="Z403" s="227" t="n"/>
      <c r="AA403" s="461">
        <f>Y403-Z403</f>
        <v/>
      </c>
      <c r="AB403" s="227" t="n"/>
      <c r="AC403" s="461">
        <f>AD403</f>
        <v/>
      </c>
      <c r="AD403" s="227" t="n"/>
      <c r="AE403" s="461">
        <f>AC403-AD403</f>
        <v/>
      </c>
      <c r="AF403" s="227" t="n"/>
      <c r="AG403" s="461">
        <f>AH403</f>
        <v/>
      </c>
      <c r="AH403" s="227" t="n"/>
      <c r="AI403" s="461">
        <f>AG403-AH403</f>
        <v/>
      </c>
      <c r="AJ403" s="227" t="n"/>
      <c r="AK403" s="461">
        <f>AL403</f>
        <v/>
      </c>
      <c r="AL403" s="227" t="n"/>
      <c r="AM403" s="461">
        <f>AK403-AL403</f>
        <v/>
      </c>
      <c r="AN403" s="227" t="n"/>
      <c r="AO403" s="461">
        <f>AP403</f>
        <v/>
      </c>
      <c r="AP403" s="461" t="n"/>
      <c r="AQ403" s="461">
        <f>AO403-AP403</f>
        <v/>
      </c>
      <c r="AR403" s="461" t="n"/>
      <c r="AS403" s="461">
        <f>AT403</f>
        <v/>
      </c>
      <c r="AT403" s="227" t="n"/>
      <c r="AU403" s="461">
        <f>AS403-AT403</f>
        <v/>
      </c>
      <c r="AV403" s="284" t="n"/>
      <c r="AW403" s="461">
        <f>AX403</f>
        <v/>
      </c>
      <c r="AX403" s="227" t="n"/>
      <c r="AY403" s="461">
        <f>AW403-AX403</f>
        <v/>
      </c>
      <c r="AZ403" s="227" t="n"/>
      <c r="BA403" s="461">
        <f>BB403</f>
        <v/>
      </c>
      <c r="BB403" s="461" t="n"/>
      <c r="BC403" s="461">
        <f>BA403-BB403</f>
        <v/>
      </c>
      <c r="BD403" s="461" t="n"/>
      <c r="BE403" s="461">
        <f>BF403</f>
        <v/>
      </c>
      <c r="BF403" s="461" t="n"/>
      <c r="BG403" s="461">
        <f>BE403-BF403</f>
        <v/>
      </c>
      <c r="BH403" s="461" t="n"/>
      <c r="BI403" s="461">
        <f>BJ403</f>
        <v/>
      </c>
      <c r="BJ403" s="461" t="n"/>
      <c r="BK403" s="461">
        <f>BI403-BJ403</f>
        <v/>
      </c>
      <c r="BL403" s="461" t="n"/>
      <c r="BM403" s="220">
        <f>BN403</f>
        <v/>
      </c>
      <c r="BN403" s="220" t="n"/>
      <c r="BO403" s="220">
        <f>BM403-BN403</f>
        <v/>
      </c>
      <c r="BP403" s="220">
        <f>N403+Q403+U403+Y403+AC403+AG403+AK403+AO403+AS403+AW403+BA403+BE403+BI403+BM403</f>
        <v/>
      </c>
      <c r="BQ403" s="220">
        <f>N403+R403+V403+Z403+AD403+AH403+AL403+AP403+AT403+AX403+BB403+BF403+BJ403+BN403</f>
        <v/>
      </c>
      <c r="BR403" s="220">
        <f>BP403-BQ403</f>
        <v/>
      </c>
      <c r="BS403" s="377" t="n"/>
      <c r="BT403" s="378" t="n"/>
      <c r="BU403" s="297" t="n"/>
      <c r="BV403" s="230" t="n"/>
      <c r="BW403" s="534" t="n"/>
    </row>
    <row r="404" ht="24" customFormat="1" customHeight="1" s="211">
      <c r="A404" s="381" t="n"/>
      <c r="B404" s="307" t="inlineStr">
        <is>
          <t>补充</t>
        </is>
      </c>
      <c r="C404" s="242" t="inlineStr">
        <is>
          <t>餐饮二分部</t>
        </is>
      </c>
      <c r="D404" s="242" t="inlineStr">
        <is>
          <t>CF360</t>
        </is>
      </c>
      <c r="E404" s="242" t="inlineStr">
        <is>
          <t>南通师专新校区食堂</t>
        </is>
      </c>
      <c r="F404" s="306" t="inlineStr">
        <is>
          <t>分组作业</t>
        </is>
      </c>
      <c r="G404" s="382" t="inlineStr">
        <is>
          <t>郑虎</t>
        </is>
      </c>
      <c r="H404" s="306" t="inlineStr">
        <is>
          <t>第六班组</t>
        </is>
      </c>
      <c r="I404" s="383" t="inlineStr">
        <is>
          <t>辣椒炒肉</t>
        </is>
      </c>
      <c r="J404" s="306" t="inlineStr">
        <is>
          <t>吴康</t>
        </is>
      </c>
      <c r="K404" s="545">
        <f>LET(k,D404&amp;"|"&amp;E404&amp;"|"&amp;H404&amp;"|"&amp;I404&amp;"|"&amp;J404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04" s="578" t="n"/>
      <c r="M404" s="605" t="inlineStr">
        <is>
          <t>已撤场，已支付</t>
        </is>
      </c>
      <c r="N404" s="606" t="n"/>
      <c r="O404" s="607" t="n"/>
      <c r="P404" s="315" t="n"/>
      <c r="Q404" s="310">
        <f>K404*P404</f>
        <v/>
      </c>
      <c r="R404" s="319" t="n"/>
      <c r="S404" s="310">
        <f>Q404-R404</f>
        <v/>
      </c>
      <c r="T404" s="319" t="n"/>
      <c r="U404" s="310">
        <f>K404*T404</f>
        <v/>
      </c>
      <c r="V404" s="310" t="n"/>
      <c r="W404" s="310">
        <f>U404-V404</f>
        <v/>
      </c>
      <c r="X404" s="319" t="n"/>
      <c r="Y404" s="310">
        <f>K404*X404</f>
        <v/>
      </c>
      <c r="Z404" s="310" t="n"/>
      <c r="AA404" s="310">
        <f>Y404-Z404</f>
        <v/>
      </c>
      <c r="AB404" s="319" t="n"/>
      <c r="AC404" s="310">
        <f>K404*AB404</f>
        <v/>
      </c>
      <c r="AD404" s="310" t="n"/>
      <c r="AE404" s="310">
        <f>AC404-AD404</f>
        <v/>
      </c>
      <c r="AF404" s="319" t="n"/>
      <c r="AG404" s="310">
        <f>K404*AF404</f>
        <v/>
      </c>
      <c r="AH404" s="310" t="n"/>
      <c r="AI404" s="310">
        <f>AG404-AH404</f>
        <v/>
      </c>
      <c r="AJ404" s="319" t="n"/>
      <c r="AK404" s="310">
        <f>K404*AJ404</f>
        <v/>
      </c>
      <c r="AL404" s="310" t="n"/>
      <c r="AM404" s="310">
        <f>AK404-AL404</f>
        <v/>
      </c>
      <c r="AN404" s="319" t="n"/>
      <c r="AO404" s="310">
        <f>K404*AN404</f>
        <v/>
      </c>
      <c r="AP404" s="310" t="n"/>
      <c r="AQ404" s="310">
        <f>AO404-AP404</f>
        <v/>
      </c>
      <c r="AR404" s="310" t="n"/>
      <c r="AS404" s="310">
        <f>K404*AR404</f>
        <v/>
      </c>
      <c r="AT404" s="319" t="n"/>
      <c r="AU404" s="310">
        <f>AS404-AT404</f>
        <v/>
      </c>
      <c r="AV404" s="315" t="n"/>
      <c r="AW404" s="310">
        <f>K404*AV404</f>
        <v/>
      </c>
      <c r="AX404" s="319" t="n"/>
      <c r="AY404" s="310">
        <f>AW404-AX404</f>
        <v/>
      </c>
      <c r="AZ404" s="319" t="n"/>
      <c r="BA404" s="310">
        <f>K404*AZ404</f>
        <v/>
      </c>
      <c r="BB404" s="310" t="n"/>
      <c r="BC404" s="310">
        <f>BA404-BB404</f>
        <v/>
      </c>
      <c r="BD404" s="310" t="n"/>
      <c r="BE404" s="310">
        <f>K404*BD404</f>
        <v/>
      </c>
      <c r="BF404" s="317" t="n"/>
      <c r="BG404" s="310">
        <f>BE404-BF404</f>
        <v/>
      </c>
      <c r="BH404" s="310" t="n"/>
      <c r="BI404" s="310">
        <f>K404*BH404</f>
        <v/>
      </c>
      <c r="BJ404" s="317" t="n"/>
      <c r="BK404" s="310">
        <f>BI404-BJ404</f>
        <v/>
      </c>
      <c r="BL404" s="310" t="n"/>
      <c r="BM404" s="307">
        <f>K404*BL404</f>
        <v/>
      </c>
      <c r="BN404" s="307" t="n"/>
      <c r="BO404" s="307">
        <f>BM404-BN404</f>
        <v/>
      </c>
      <c r="BP404" s="307">
        <f>N404+Q404+U404+Y404+AC404+AG404+AK404+AO404+AS404+AW404+BA404+BE404+BI404+BM404</f>
        <v/>
      </c>
      <c r="BQ404" s="307">
        <f>N404+R404+V404+Z404+AD404+AH404+AL404+AP404+AT404+AX404+BB404+BF404+BJ404+BN404</f>
        <v/>
      </c>
      <c r="BR404" s="307">
        <f>BP404-BQ404</f>
        <v/>
      </c>
      <c r="BS404" s="387" t="n"/>
      <c r="BT404" s="388" t="n"/>
      <c r="BU404" s="389" t="n"/>
      <c r="BV404" s="324" t="n"/>
      <c r="BW404" s="325" t="n"/>
    </row>
    <row r="405" ht="24" customFormat="1" customHeight="1" s="210">
      <c r="A405" s="469" t="n"/>
      <c r="B405" s="220" t="inlineStr">
        <is>
          <t>补充</t>
        </is>
      </c>
      <c r="C405" s="221" t="inlineStr">
        <is>
          <t>餐饮二分部</t>
        </is>
      </c>
      <c r="D405" s="221" t="inlineStr">
        <is>
          <t>CF450</t>
        </is>
      </c>
      <c r="E405" s="221" t="inlineStr">
        <is>
          <t>天津大学学二食堂</t>
        </is>
      </c>
      <c r="F405" s="219" t="inlineStr">
        <is>
          <t>强责</t>
        </is>
      </c>
      <c r="G405" s="222" t="inlineStr">
        <is>
          <t>徐敏捷</t>
        </is>
      </c>
      <c r="H405" s="219" t="inlineStr">
        <is>
          <t>/</t>
        </is>
      </c>
      <c r="I405" s="237" t="inlineStr">
        <is>
          <t xml:space="preserve"> 一楼第四班组</t>
        </is>
      </c>
      <c r="J405" s="219" t="inlineStr">
        <is>
          <t>郭宝义</t>
        </is>
      </c>
      <c r="K405" s="545">
        <f>LET(k,D405&amp;"|"&amp;E405&amp;"|"&amp;H405&amp;"|"&amp;I405&amp;"|"&amp;J405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05" s="546" t="n"/>
      <c r="M405" s="601" t="inlineStr">
        <is>
          <t>已撤场，1-2月绩效未结算</t>
        </is>
      </c>
      <c r="N405" s="253" t="n"/>
      <c r="O405" s="602" t="n"/>
      <c r="P405" s="284" t="n"/>
      <c r="Q405" s="461">
        <f>K405*P405</f>
        <v/>
      </c>
      <c r="R405" s="227" t="n"/>
      <c r="S405" s="461">
        <f>Q405-R405</f>
        <v/>
      </c>
      <c r="T405" s="227" t="n">
        <v>0</v>
      </c>
      <c r="U405" s="461">
        <f>K405*T405</f>
        <v/>
      </c>
      <c r="V405" s="227" t="n"/>
      <c r="W405" s="461">
        <f>U405-V405</f>
        <v/>
      </c>
      <c r="X405" s="276" t="n">
        <v>0.02</v>
      </c>
      <c r="Y405" s="461">
        <f>K405*X405</f>
        <v/>
      </c>
      <c r="Z405" s="227" t="n"/>
      <c r="AA405" s="461">
        <f>Y405-Z405</f>
        <v/>
      </c>
      <c r="AB405" s="390" t="n"/>
      <c r="AC405" s="461">
        <f>K405*AB405</f>
        <v/>
      </c>
      <c r="AD405" s="227" t="n"/>
      <c r="AE405" s="461">
        <f>AC405-AD405</f>
        <v/>
      </c>
      <c r="AF405" s="227" t="n"/>
      <c r="AG405" s="461">
        <f>K405*AF405</f>
        <v/>
      </c>
      <c r="AH405" s="227" t="n"/>
      <c r="AI405" s="461">
        <f>AG405-AH405</f>
        <v/>
      </c>
      <c r="AJ405" s="227" t="n"/>
      <c r="AK405" s="461">
        <f>K405*AJ405</f>
        <v/>
      </c>
      <c r="AL405" s="227" t="n"/>
      <c r="AM405" s="461">
        <f>AK405-AL405</f>
        <v/>
      </c>
      <c r="AN405" s="227" t="n"/>
      <c r="AO405" s="461">
        <f>K405*AN405</f>
        <v/>
      </c>
      <c r="AP405" s="461" t="n"/>
      <c r="AQ405" s="461">
        <f>AO405-AP405</f>
        <v/>
      </c>
      <c r="AR405" s="461" t="n"/>
      <c r="AS405" s="461">
        <f>K405*AR405</f>
        <v/>
      </c>
      <c r="AT405" s="227" t="n"/>
      <c r="AU405" s="461">
        <f>AS405-AT405</f>
        <v/>
      </c>
      <c r="AV405" s="235" t="n">
        <v>0.04</v>
      </c>
      <c r="AW405" s="461">
        <f>K405*AV405</f>
        <v/>
      </c>
      <c r="AX405" s="227" t="n"/>
      <c r="AY405" s="461">
        <f>AW405-AX405</f>
        <v/>
      </c>
      <c r="AZ405" s="227" t="n">
        <v>0</v>
      </c>
      <c r="BA405" s="461">
        <f>K405*AZ405</f>
        <v/>
      </c>
      <c r="BB405" s="461" t="n"/>
      <c r="BC405" s="461">
        <f>BA405-BB405</f>
        <v/>
      </c>
      <c r="BD405" s="461" t="n"/>
      <c r="BE405" s="461">
        <f>K405*BD405</f>
        <v/>
      </c>
      <c r="BF405" s="461" t="n"/>
      <c r="BG405" s="461">
        <f>BE405-BF405</f>
        <v/>
      </c>
      <c r="BH405" s="461" t="n"/>
      <c r="BI405" s="461">
        <f>K405*BH405</f>
        <v/>
      </c>
      <c r="BJ405" s="461" t="n"/>
      <c r="BK405" s="461">
        <f>BI405-BJ405</f>
        <v/>
      </c>
      <c r="BL405" s="279" t="inlineStr">
        <is>
          <t>按实</t>
        </is>
      </c>
      <c r="BM405" s="220">
        <f>BN405</f>
        <v/>
      </c>
      <c r="BN405" s="220" t="n"/>
      <c r="BO405" s="220">
        <f>BM405-BN405</f>
        <v/>
      </c>
      <c r="BP405" s="220">
        <f>N405+Q405+U405+Y405+AC405+AG405+AK405+AO405+AS405+AW405+BA405+BE405+BI405+BM405</f>
        <v/>
      </c>
      <c r="BQ405" s="220">
        <f>N405+R405+V405+Z405+AD405+AH405+AL405+AP405+AT405+AX405+BB405+BF405+BJ405+BN405</f>
        <v/>
      </c>
      <c r="BR405" s="220">
        <f>BP405-BQ405</f>
        <v/>
      </c>
      <c r="BS405" s="227" t="inlineStr">
        <is>
          <t>/</t>
        </is>
      </c>
      <c r="BT405" s="227" t="inlineStr">
        <is>
          <t>/</t>
        </is>
      </c>
      <c r="BU405" s="297" t="n"/>
      <c r="BV405" s="230" t="n"/>
      <c r="BW405" s="534" t="n"/>
    </row>
    <row r="406" ht="24" customFormat="1" customHeight="1" s="210">
      <c r="A406" s="469" t="n"/>
      <c r="B406" s="220" t="inlineStr">
        <is>
          <t>补充</t>
        </is>
      </c>
      <c r="C406" s="221" t="inlineStr">
        <is>
          <t>餐饮二分部</t>
        </is>
      </c>
      <c r="D406" s="221" t="inlineStr">
        <is>
          <t>CF450</t>
        </is>
      </c>
      <c r="E406" s="221" t="inlineStr">
        <is>
          <t>天津大学学二食堂</t>
        </is>
      </c>
      <c r="F406" s="219" t="inlineStr">
        <is>
          <t>强责</t>
        </is>
      </c>
      <c r="G406" s="222" t="inlineStr">
        <is>
          <t>徐敏捷</t>
        </is>
      </c>
      <c r="H406" s="219" t="inlineStr">
        <is>
          <t>/</t>
        </is>
      </c>
      <c r="I406" s="237" t="inlineStr">
        <is>
          <t xml:space="preserve"> 一楼第四班组</t>
        </is>
      </c>
      <c r="J406" s="219" t="inlineStr">
        <is>
          <t>郭宝义</t>
        </is>
      </c>
      <c r="K406" s="545">
        <f>LET(k,D406&amp;"|"&amp;E406&amp;"|"&amp;H406&amp;"|"&amp;I406&amp;"|"&amp;J406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06" s="546" t="n"/>
      <c r="M406" s="601" t="inlineStr">
        <is>
          <t>已撤场，1-2月绩效未结算</t>
        </is>
      </c>
      <c r="N406" s="253" t="n"/>
      <c r="O406" s="602" t="n"/>
      <c r="P406" s="284" t="n"/>
      <c r="Q406" s="461">
        <f>K406*P406</f>
        <v/>
      </c>
      <c r="R406" s="227" t="n"/>
      <c r="S406" s="461">
        <f>Q406-R406</f>
        <v/>
      </c>
      <c r="T406" s="227" t="n">
        <v>0</v>
      </c>
      <c r="U406" s="461">
        <f>K406*T406</f>
        <v/>
      </c>
      <c r="V406" s="227" t="n"/>
      <c r="W406" s="461">
        <f>U406-V406</f>
        <v/>
      </c>
      <c r="X406" s="276" t="n">
        <v>0.02</v>
      </c>
      <c r="Y406" s="461">
        <f>K406*X406</f>
        <v/>
      </c>
      <c r="Z406" s="227" t="n"/>
      <c r="AA406" s="391">
        <f>Y406-Z406</f>
        <v/>
      </c>
      <c r="AB406" s="392" t="n"/>
      <c r="AC406" s="253">
        <f>K406*AB406</f>
        <v/>
      </c>
      <c r="AD406" s="227" t="n"/>
      <c r="AE406" s="461">
        <f>AC406-AD406</f>
        <v/>
      </c>
      <c r="AF406" s="227" t="n"/>
      <c r="AG406" s="461">
        <f>K406*AF406</f>
        <v/>
      </c>
      <c r="AH406" s="227" t="n"/>
      <c r="AI406" s="461">
        <f>AG406-AH406</f>
        <v/>
      </c>
      <c r="AJ406" s="227" t="n"/>
      <c r="AK406" s="461">
        <f>K406*AJ406</f>
        <v/>
      </c>
      <c r="AL406" s="227" t="n"/>
      <c r="AM406" s="461">
        <f>AK406-AL406</f>
        <v/>
      </c>
      <c r="AN406" s="227" t="n"/>
      <c r="AO406" s="461">
        <f>K406*AN406</f>
        <v/>
      </c>
      <c r="AP406" s="461" t="n"/>
      <c r="AQ406" s="461">
        <f>AO406-AP406</f>
        <v/>
      </c>
      <c r="AR406" s="461" t="n"/>
      <c r="AS406" s="461">
        <f>K406*AR406</f>
        <v/>
      </c>
      <c r="AT406" s="227" t="n"/>
      <c r="AU406" s="461">
        <f>AS406-AT406</f>
        <v/>
      </c>
      <c r="AV406" s="235" t="n">
        <v>0.04</v>
      </c>
      <c r="AW406" s="461">
        <f>K406*AV406</f>
        <v/>
      </c>
      <c r="AX406" s="227" t="n"/>
      <c r="AY406" s="461">
        <f>AW406-AX406</f>
        <v/>
      </c>
      <c r="AZ406" s="227" t="n">
        <v>0</v>
      </c>
      <c r="BA406" s="461">
        <f>K406*AZ406</f>
        <v/>
      </c>
      <c r="BB406" s="461" t="n"/>
      <c r="BC406" s="461">
        <f>BA406-BB406</f>
        <v/>
      </c>
      <c r="BD406" s="461" t="n"/>
      <c r="BE406" s="461">
        <f>K406*BD406</f>
        <v/>
      </c>
      <c r="BF406" s="461" t="n"/>
      <c r="BG406" s="461">
        <f>BE406-BF406</f>
        <v/>
      </c>
      <c r="BH406" s="461" t="n"/>
      <c r="BI406" s="461">
        <f>K406*BH406</f>
        <v/>
      </c>
      <c r="BJ406" s="461" t="n"/>
      <c r="BK406" s="461">
        <f>BI406-BJ406</f>
        <v/>
      </c>
      <c r="BL406" s="279" t="inlineStr">
        <is>
          <t>按实</t>
        </is>
      </c>
      <c r="BM406" s="220">
        <f>BN406</f>
        <v/>
      </c>
      <c r="BN406" s="220" t="n"/>
      <c r="BO406" s="220">
        <f>BM406-BN406</f>
        <v/>
      </c>
      <c r="BP406" s="220">
        <f>N406+Q406+U406+Y406+AC406+AG406+AK406+AO406+AS406+AW406+BA406+BE406+BI406+BM406</f>
        <v/>
      </c>
      <c r="BQ406" s="220">
        <f>N406+R406+V406+Z406+AD406+AH406+AL406+AP406+AT406+AX406+BB406+BF406+BJ406+BN406</f>
        <v/>
      </c>
      <c r="BR406" s="220">
        <f>BP406-BQ406</f>
        <v/>
      </c>
      <c r="BS406" s="227" t="inlineStr">
        <is>
          <t>/</t>
        </is>
      </c>
      <c r="BT406" s="227" t="inlineStr">
        <is>
          <t>/</t>
        </is>
      </c>
      <c r="BU406" s="297" t="n"/>
      <c r="BV406" s="230" t="n"/>
      <c r="BW406" s="534" t="n"/>
    </row>
    <row r="407" ht="24" customFormat="1" customHeight="1" s="210">
      <c r="A407" s="469" t="n"/>
      <c r="B407" s="220" t="inlineStr">
        <is>
          <t>补充</t>
        </is>
      </c>
      <c r="C407" s="221" t="inlineStr">
        <is>
          <t>餐饮三分部</t>
        </is>
      </c>
      <c r="D407" s="221" t="inlineStr">
        <is>
          <t>CF699</t>
        </is>
      </c>
      <c r="E407" s="221" t="inlineStr">
        <is>
          <t>徐医大第一食堂</t>
        </is>
      </c>
      <c r="F407" s="219" t="inlineStr">
        <is>
          <t>分组作业</t>
        </is>
      </c>
      <c r="G407" s="222" t="inlineStr">
        <is>
          <t>徐敏捷</t>
        </is>
      </c>
      <c r="H407" s="219" t="n"/>
      <c r="I407" s="237" t="inlineStr">
        <is>
          <t>麻辣烫</t>
        </is>
      </c>
      <c r="J407" s="219" t="inlineStr">
        <is>
          <t>侯国安</t>
        </is>
      </c>
      <c r="K407" s="545">
        <f>LET(k,D407&amp;"|"&amp;E407&amp;"|"&amp;H407&amp;"|"&amp;I407&amp;"|"&amp;J407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07" s="546" t="n"/>
      <c r="M407" s="601" t="inlineStr">
        <is>
          <t>已撤场，已支付</t>
        </is>
      </c>
      <c r="N407" s="253" t="n"/>
      <c r="O407" s="602" t="n"/>
      <c r="P407" s="284" t="n"/>
      <c r="Q407" s="566">
        <f>K407*P407</f>
        <v/>
      </c>
      <c r="R407" s="227" t="n"/>
      <c r="S407" s="566">
        <f>Q407-R407</f>
        <v/>
      </c>
      <c r="T407" s="227" t="n"/>
      <c r="U407" s="461">
        <f>K407*T407</f>
        <v/>
      </c>
      <c r="V407" s="227" t="n"/>
      <c r="W407" s="461">
        <f>U407-V407</f>
        <v/>
      </c>
      <c r="X407" s="227" t="n"/>
      <c r="Y407" s="461">
        <f>K407*X407</f>
        <v/>
      </c>
      <c r="Z407" s="227" t="n"/>
      <c r="AA407" s="461">
        <f>Y407-Z407</f>
        <v/>
      </c>
      <c r="AB407" s="393" t="n">
        <v>0</v>
      </c>
      <c r="AC407" s="461">
        <f>K407*AB407</f>
        <v/>
      </c>
      <c r="AD407" s="227" t="n"/>
      <c r="AE407" s="461">
        <f>AC407-AD407</f>
        <v/>
      </c>
      <c r="AF407" s="227" t="n">
        <v>0</v>
      </c>
      <c r="AG407" s="461">
        <f>K407*AF407</f>
        <v/>
      </c>
      <c r="AH407" s="227" t="n"/>
      <c r="AI407" s="461">
        <f>AG407-AH407</f>
        <v/>
      </c>
      <c r="AJ407" s="227" t="n">
        <v>0</v>
      </c>
      <c r="AK407" s="461">
        <f>K407*AJ407</f>
        <v/>
      </c>
      <c r="AL407" s="227" t="n"/>
      <c r="AM407" s="461">
        <f>AK407-AL407</f>
        <v/>
      </c>
      <c r="AN407" s="227" t="n">
        <v>0</v>
      </c>
      <c r="AO407" s="461">
        <f>K407*AN407</f>
        <v/>
      </c>
      <c r="AP407" s="461" t="n"/>
      <c r="AQ407" s="461">
        <f>AO407-AP407</f>
        <v/>
      </c>
      <c r="AR407" s="461" t="n"/>
      <c r="AS407" s="461" t="n"/>
      <c r="AT407" s="227" t="n"/>
      <c r="AU407" s="461">
        <f>AS407-AT407</f>
        <v/>
      </c>
      <c r="AV407" s="284" t="n"/>
      <c r="AW407" s="461">
        <f>K407*AV407</f>
        <v/>
      </c>
      <c r="AX407" s="227" t="n"/>
      <c r="AY407" s="461">
        <f>AW407-AX407</f>
        <v/>
      </c>
      <c r="AZ407" s="227" t="n">
        <v>0</v>
      </c>
      <c r="BA407" s="461">
        <f>K407*AZ407</f>
        <v/>
      </c>
      <c r="BB407" s="461" t="n"/>
      <c r="BC407" s="461">
        <f>BA407-BB407</f>
        <v/>
      </c>
      <c r="BD407" s="461" t="n"/>
      <c r="BE407" s="461">
        <f>K407*BD407</f>
        <v/>
      </c>
      <c r="BF407" s="461" t="n"/>
      <c r="BG407" s="461">
        <f>BE407-BF407</f>
        <v/>
      </c>
      <c r="BH407" s="461" t="n"/>
      <c r="BI407" s="461">
        <f>K407*BH407</f>
        <v/>
      </c>
      <c r="BJ407" s="461" t="n"/>
      <c r="BK407" s="461">
        <f>BI407-BJ407</f>
        <v/>
      </c>
      <c r="BL407" s="461" t="inlineStr">
        <is>
          <t>按实</t>
        </is>
      </c>
      <c r="BM407" s="220">
        <f>BN407</f>
        <v/>
      </c>
      <c r="BN407" s="220" t="n"/>
      <c r="BO407" s="220">
        <f>BM407-BN407</f>
        <v/>
      </c>
      <c r="BP407" s="575">
        <f>N407+Q407+U407+Y407+AC407+AG407+AK407+AO407+AS407+AW407+BA407+BE407+BI407+BM407</f>
        <v/>
      </c>
      <c r="BQ407" s="220">
        <f>N407+R407+V407+Z407+AD407+AH407+AL407+AP407+AT407+AX407+BB407+BF407+BJ407+BN407</f>
        <v/>
      </c>
      <c r="BR407" s="575">
        <f>BP407-BQ407</f>
        <v/>
      </c>
      <c r="BS407" s="254" t="inlineStr">
        <is>
          <t>/</t>
        </is>
      </c>
      <c r="BT407" s="254" t="inlineStr">
        <is>
          <t>/</t>
        </is>
      </c>
      <c r="BU407" s="297" t="n"/>
      <c r="BV407" s="230" t="n"/>
      <c r="BW407" s="534" t="n"/>
    </row>
    <row r="408" ht="24" customFormat="1" customHeight="1" s="210">
      <c r="A408" s="469" t="n"/>
      <c r="B408" s="220" t="inlineStr">
        <is>
          <t>补充</t>
        </is>
      </c>
      <c r="C408" s="221" t="inlineStr">
        <is>
          <t>餐饮三分部</t>
        </is>
      </c>
      <c r="D408" s="221" t="inlineStr">
        <is>
          <t>CF699</t>
        </is>
      </c>
      <c r="E408" s="221" t="inlineStr">
        <is>
          <t>徐医大第一食堂</t>
        </is>
      </c>
      <c r="F408" s="219" t="inlineStr">
        <is>
          <t>分组作业</t>
        </is>
      </c>
      <c r="G408" s="222" t="inlineStr">
        <is>
          <t>徐敏捷</t>
        </is>
      </c>
      <c r="H408" s="219" t="n"/>
      <c r="I408" s="237" t="inlineStr">
        <is>
          <t>早餐</t>
        </is>
      </c>
      <c r="J408" s="219" t="inlineStr">
        <is>
          <t>马鲍林</t>
        </is>
      </c>
      <c r="K408" s="545">
        <f>LET(k,D408&amp;"|"&amp;E408&amp;"|"&amp;H408&amp;"|"&amp;I408&amp;"|"&amp;J408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08" s="546" t="n"/>
      <c r="M408" s="601" t="inlineStr">
        <is>
          <t>已撤场，已支付</t>
        </is>
      </c>
      <c r="N408" s="253" t="n"/>
      <c r="O408" s="602" t="n"/>
      <c r="P408" s="284" t="n"/>
      <c r="Q408" s="566">
        <f>K408*P408</f>
        <v/>
      </c>
      <c r="R408" s="227" t="n"/>
      <c r="S408" s="566">
        <f>Q408-R408</f>
        <v/>
      </c>
      <c r="T408" s="227" t="n"/>
      <c r="U408" s="461">
        <f>K408*T408</f>
        <v/>
      </c>
      <c r="V408" s="227" t="n"/>
      <c r="W408" s="461">
        <f>U408-V408</f>
        <v/>
      </c>
      <c r="X408" s="227" t="n"/>
      <c r="Y408" s="461">
        <f>K408*X408</f>
        <v/>
      </c>
      <c r="Z408" s="227" t="n"/>
      <c r="AA408" s="461">
        <f>Y408-Z408</f>
        <v/>
      </c>
      <c r="AB408" s="227" t="n">
        <v>0</v>
      </c>
      <c r="AC408" s="461">
        <f>K408*AB408</f>
        <v/>
      </c>
      <c r="AD408" s="227" t="n"/>
      <c r="AE408" s="461">
        <f>AC408-AD408</f>
        <v/>
      </c>
      <c r="AF408" s="227" t="n">
        <v>0</v>
      </c>
      <c r="AG408" s="461">
        <f>K408*AF408</f>
        <v/>
      </c>
      <c r="AH408" s="227" t="n"/>
      <c r="AI408" s="461">
        <f>AG408-AH408</f>
        <v/>
      </c>
      <c r="AJ408" s="227" t="n">
        <v>0</v>
      </c>
      <c r="AK408" s="461">
        <f>K408*AJ408</f>
        <v/>
      </c>
      <c r="AL408" s="227" t="n"/>
      <c r="AM408" s="461">
        <f>AK408-AL408</f>
        <v/>
      </c>
      <c r="AN408" s="227" t="n">
        <v>0</v>
      </c>
      <c r="AO408" s="461">
        <f>K408*AN408</f>
        <v/>
      </c>
      <c r="AP408" s="461" t="n"/>
      <c r="AQ408" s="461">
        <f>AO408-AP408</f>
        <v/>
      </c>
      <c r="AR408" s="247" t="n"/>
      <c r="AS408" s="461" t="n"/>
      <c r="AT408" s="227" t="n"/>
      <c r="AU408" s="461">
        <f>AS408-AT408</f>
        <v/>
      </c>
      <c r="AV408" s="284" t="n"/>
      <c r="AW408" s="461">
        <f>K408*AV408</f>
        <v/>
      </c>
      <c r="AX408" s="227" t="n"/>
      <c r="AY408" s="461">
        <f>AW408-AX408</f>
        <v/>
      </c>
      <c r="AZ408" s="227" t="n">
        <v>0</v>
      </c>
      <c r="BA408" s="461">
        <f>K408*AZ408</f>
        <v/>
      </c>
      <c r="BB408" s="461" t="n"/>
      <c r="BC408" s="461">
        <f>BA408-BB408</f>
        <v/>
      </c>
      <c r="BD408" s="461" t="n"/>
      <c r="BE408" s="461">
        <f>K408*BD408</f>
        <v/>
      </c>
      <c r="BF408" s="461" t="n"/>
      <c r="BG408" s="461">
        <f>BE408-BF408</f>
        <v/>
      </c>
      <c r="BH408" s="461" t="n"/>
      <c r="BI408" s="461">
        <f>K408*BH408</f>
        <v/>
      </c>
      <c r="BJ408" s="461" t="n"/>
      <c r="BK408" s="461">
        <f>BI408-BJ408</f>
        <v/>
      </c>
      <c r="BL408" s="461" t="inlineStr">
        <is>
          <t>按实</t>
        </is>
      </c>
      <c r="BM408" s="220">
        <f>BN408</f>
        <v/>
      </c>
      <c r="BN408" s="220" t="n"/>
      <c r="BO408" s="220">
        <f>BM408-BN408</f>
        <v/>
      </c>
      <c r="BP408" s="575">
        <f>N408+Q408+U408+Y408+AC408+AG408+AK408+AO408+AS408+AW408+BA408+BE408+BI408+BM408</f>
        <v/>
      </c>
      <c r="BQ408" s="220">
        <f>N408+R408+V408+Z408+AD408+AH408+AL408+AP408+AT408+AX408+BB408+BF408+BJ408+BN408</f>
        <v/>
      </c>
      <c r="BR408" s="575">
        <f>BP408-BQ408</f>
        <v/>
      </c>
      <c r="BS408" s="254" t="inlineStr">
        <is>
          <t>/</t>
        </is>
      </c>
      <c r="BT408" s="254" t="inlineStr">
        <is>
          <t>/</t>
        </is>
      </c>
      <c r="BU408" s="297" t="n"/>
      <c r="BV408" s="230" t="n"/>
      <c r="BW408" s="534" t="n"/>
    </row>
    <row r="409" ht="24" customFormat="1" customHeight="1" s="210">
      <c r="A409" s="469" t="n"/>
      <c r="B409" s="220" t="inlineStr">
        <is>
          <t>补充</t>
        </is>
      </c>
      <c r="C409" s="221" t="inlineStr">
        <is>
          <t>餐饮三分部</t>
        </is>
      </c>
      <c r="D409" s="221" t="inlineStr">
        <is>
          <t>CF699</t>
        </is>
      </c>
      <c r="E409" s="221" t="inlineStr">
        <is>
          <t>徐医大第一食堂</t>
        </is>
      </c>
      <c r="F409" s="219" t="inlineStr">
        <is>
          <t>分组作业</t>
        </is>
      </c>
      <c r="G409" s="222" t="inlineStr">
        <is>
          <t>徐敏捷</t>
        </is>
      </c>
      <c r="H409" s="219" t="n"/>
      <c r="I409" s="237" t="inlineStr">
        <is>
          <t>快餐</t>
        </is>
      </c>
      <c r="J409" s="219" t="inlineStr">
        <is>
          <t>郭璐</t>
        </is>
      </c>
      <c r="K409" s="545">
        <f>LET(k,D409&amp;"|"&amp;E409&amp;"|"&amp;H409&amp;"|"&amp;I409&amp;"|"&amp;J409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09" s="546" t="n"/>
      <c r="M409" s="601" t="inlineStr">
        <is>
          <t>已撤场，已支付</t>
        </is>
      </c>
      <c r="N409" s="253" t="n"/>
      <c r="O409" s="602" t="n"/>
      <c r="P409" s="284" t="n"/>
      <c r="Q409" s="566">
        <f>K409*P409</f>
        <v/>
      </c>
      <c r="R409" s="227" t="n"/>
      <c r="S409" s="566">
        <f>Q409-R409</f>
        <v/>
      </c>
      <c r="T409" s="227" t="n"/>
      <c r="U409" s="461">
        <f>K409*T409</f>
        <v/>
      </c>
      <c r="V409" s="227" t="n"/>
      <c r="W409" s="461">
        <f>U409-V409</f>
        <v/>
      </c>
      <c r="X409" s="227" t="n"/>
      <c r="Y409" s="461">
        <f>K409*X409</f>
        <v/>
      </c>
      <c r="Z409" s="227" t="n"/>
      <c r="AA409" s="461">
        <f>Y409-Z409</f>
        <v/>
      </c>
      <c r="AB409" s="227" t="n">
        <v>0</v>
      </c>
      <c r="AC409" s="461">
        <f>K409*AB409</f>
        <v/>
      </c>
      <c r="AD409" s="227" t="n"/>
      <c r="AE409" s="461">
        <f>AC409-AD409</f>
        <v/>
      </c>
      <c r="AF409" s="227" t="n">
        <v>0</v>
      </c>
      <c r="AG409" s="461">
        <f>K409*AF409</f>
        <v/>
      </c>
      <c r="AH409" s="227" t="n"/>
      <c r="AI409" s="461">
        <f>AG409-AH409</f>
        <v/>
      </c>
      <c r="AJ409" s="227" t="n">
        <v>0</v>
      </c>
      <c r="AK409" s="461">
        <f>K409*AJ409</f>
        <v/>
      </c>
      <c r="AL409" s="227" t="n"/>
      <c r="AM409" s="461">
        <f>AK409-AL409</f>
        <v/>
      </c>
      <c r="AN409" s="227" t="n">
        <v>0</v>
      </c>
      <c r="AO409" s="461">
        <f>K409*AN409</f>
        <v/>
      </c>
      <c r="AP409" s="461" t="n"/>
      <c r="AQ409" s="461">
        <f>AO409-AP409</f>
        <v/>
      </c>
      <c r="AR409" s="247" t="n"/>
      <c r="AS409" s="461" t="n"/>
      <c r="AT409" s="227" t="n"/>
      <c r="AU409" s="461">
        <f>AS409-AT409</f>
        <v/>
      </c>
      <c r="AV409" s="284" t="n"/>
      <c r="AW409" s="461">
        <f>K409*AV409</f>
        <v/>
      </c>
      <c r="AX409" s="227" t="n"/>
      <c r="AY409" s="461">
        <f>AW409-AX409</f>
        <v/>
      </c>
      <c r="AZ409" s="227" t="n">
        <v>0</v>
      </c>
      <c r="BA409" s="461">
        <f>K409*AZ409</f>
        <v/>
      </c>
      <c r="BB409" s="461" t="n"/>
      <c r="BC409" s="461">
        <f>BA409-BB409</f>
        <v/>
      </c>
      <c r="BD409" s="461" t="n"/>
      <c r="BE409" s="461">
        <f>K409*BD409</f>
        <v/>
      </c>
      <c r="BF409" s="461" t="n"/>
      <c r="BG409" s="461">
        <f>BE409-BF409</f>
        <v/>
      </c>
      <c r="BH409" s="461" t="n"/>
      <c r="BI409" s="461">
        <f>K409*BH409</f>
        <v/>
      </c>
      <c r="BJ409" s="461" t="n"/>
      <c r="BK409" s="461">
        <f>BI409-BJ409</f>
        <v/>
      </c>
      <c r="BL409" s="461" t="inlineStr">
        <is>
          <t>按实</t>
        </is>
      </c>
      <c r="BM409" s="220">
        <f>BN409</f>
        <v/>
      </c>
      <c r="BN409" s="220" t="n"/>
      <c r="BO409" s="220">
        <f>BM409-BN409</f>
        <v/>
      </c>
      <c r="BP409" s="575">
        <f>N409+Q409+U409+Y409+AC409+AG409+AK409+AO409+AS409+AW409+BA409+BE409+BI409+BM409</f>
        <v/>
      </c>
      <c r="BQ409" s="220">
        <f>N409+R409+V409+Z409+AD409+AH409+AL409+AP409+AT409+AX409+BB409+BF409+BJ409+BN409</f>
        <v/>
      </c>
      <c r="BR409" s="575">
        <f>BP409-BQ409</f>
        <v/>
      </c>
      <c r="BS409" s="254" t="inlineStr">
        <is>
          <t>/</t>
        </is>
      </c>
      <c r="BT409" s="254" t="inlineStr">
        <is>
          <t>/</t>
        </is>
      </c>
      <c r="BU409" s="297" t="n"/>
      <c r="BV409" s="230" t="n"/>
      <c r="BW409" s="534" t="n"/>
    </row>
    <row r="410" ht="24" customFormat="1" customHeight="1" s="210">
      <c r="A410" s="469" t="n"/>
      <c r="B410" s="220" t="inlineStr">
        <is>
          <t>补充</t>
        </is>
      </c>
      <c r="C410" s="221" t="inlineStr">
        <is>
          <t>餐饮三分部</t>
        </is>
      </c>
      <c r="D410" s="221" t="inlineStr">
        <is>
          <t>CF699</t>
        </is>
      </c>
      <c r="E410" s="221" t="inlineStr">
        <is>
          <t>徐医大第一食堂</t>
        </is>
      </c>
      <c r="F410" s="219" t="inlineStr">
        <is>
          <t>分组作业</t>
        </is>
      </c>
      <c r="G410" s="222" t="inlineStr">
        <is>
          <t>徐敏捷</t>
        </is>
      </c>
      <c r="H410" s="219" t="n"/>
      <c r="I410" s="237" t="inlineStr">
        <is>
          <t>精品套餐</t>
        </is>
      </c>
      <c r="J410" s="219" t="inlineStr">
        <is>
          <t>韦志得</t>
        </is>
      </c>
      <c r="K410" s="545">
        <f>LET(k,D410&amp;"|"&amp;E410&amp;"|"&amp;H410&amp;"|"&amp;I410&amp;"|"&amp;J410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10" s="546" t="n"/>
      <c r="M410" s="601" t="inlineStr">
        <is>
          <t>已撤场，已支付</t>
        </is>
      </c>
      <c r="N410" s="253" t="n"/>
      <c r="O410" s="602" t="n"/>
      <c r="P410" s="284" t="n"/>
      <c r="Q410" s="566">
        <f>K410*P410</f>
        <v/>
      </c>
      <c r="R410" s="227" t="n"/>
      <c r="S410" s="566">
        <f>Q410-R410</f>
        <v/>
      </c>
      <c r="T410" s="227" t="n"/>
      <c r="U410" s="461">
        <f>K410*T410</f>
        <v/>
      </c>
      <c r="V410" s="227" t="n"/>
      <c r="W410" s="461">
        <f>U410-V410</f>
        <v/>
      </c>
      <c r="X410" s="227" t="n"/>
      <c r="Y410" s="461">
        <f>K410*X410</f>
        <v/>
      </c>
      <c r="Z410" s="227" t="n"/>
      <c r="AA410" s="461">
        <f>Y410-Z410</f>
        <v/>
      </c>
      <c r="AB410" s="227" t="n">
        <v>0</v>
      </c>
      <c r="AC410" s="461">
        <f>K410*AB410</f>
        <v/>
      </c>
      <c r="AD410" s="227" t="n"/>
      <c r="AE410" s="461">
        <f>AC410-AD410</f>
        <v/>
      </c>
      <c r="AF410" s="227" t="n">
        <v>0</v>
      </c>
      <c r="AG410" s="461">
        <f>K410*AF410</f>
        <v/>
      </c>
      <c r="AH410" s="227" t="n"/>
      <c r="AI410" s="461">
        <f>AG410-AH410</f>
        <v/>
      </c>
      <c r="AJ410" s="227" t="n">
        <v>0</v>
      </c>
      <c r="AK410" s="461">
        <f>K410*AJ410</f>
        <v/>
      </c>
      <c r="AL410" s="227" t="n"/>
      <c r="AM410" s="461">
        <f>AK410-AL410</f>
        <v/>
      </c>
      <c r="AN410" s="227" t="n">
        <v>0</v>
      </c>
      <c r="AO410" s="461">
        <f>K410*AN410</f>
        <v/>
      </c>
      <c r="AP410" s="461" t="n"/>
      <c r="AQ410" s="461">
        <f>AO410-AP410</f>
        <v/>
      </c>
      <c r="AR410" s="247" t="n"/>
      <c r="AS410" s="461" t="n"/>
      <c r="AT410" s="227" t="n"/>
      <c r="AU410" s="461">
        <f>AS410-AT410</f>
        <v/>
      </c>
      <c r="AV410" s="284" t="n"/>
      <c r="AW410" s="461">
        <f>K410*AV410</f>
        <v/>
      </c>
      <c r="AX410" s="227" t="n"/>
      <c r="AY410" s="461">
        <f>AW410-AX410</f>
        <v/>
      </c>
      <c r="AZ410" s="227" t="n">
        <v>0</v>
      </c>
      <c r="BA410" s="461">
        <f>K410*AZ410</f>
        <v/>
      </c>
      <c r="BB410" s="461" t="n"/>
      <c r="BC410" s="461">
        <f>BA410-BB410</f>
        <v/>
      </c>
      <c r="BD410" s="461" t="n"/>
      <c r="BE410" s="461">
        <f>K410*BD410</f>
        <v/>
      </c>
      <c r="BF410" s="461" t="n"/>
      <c r="BG410" s="461">
        <f>BE410-BF410</f>
        <v/>
      </c>
      <c r="BH410" s="461" t="n"/>
      <c r="BI410" s="461">
        <f>K410*BH410</f>
        <v/>
      </c>
      <c r="BJ410" s="461" t="n"/>
      <c r="BK410" s="461">
        <f>BI410-BJ410</f>
        <v/>
      </c>
      <c r="BL410" s="461" t="inlineStr">
        <is>
          <t>按实</t>
        </is>
      </c>
      <c r="BM410" s="220">
        <f>BN410</f>
        <v/>
      </c>
      <c r="BN410" s="220" t="n"/>
      <c r="BO410" s="220">
        <f>BM410-BN410</f>
        <v/>
      </c>
      <c r="BP410" s="575">
        <f>N410+Q410+U410+Y410+AC410+AG410+AK410+AO410+AS410+AW410+BA410+BE410+BI410+BM410</f>
        <v/>
      </c>
      <c r="BQ410" s="220">
        <f>N410+R410+V410+Z410+AD410+AH410+AL410+AP410+AT410+AX410+BB410+BF410+BJ410+BN410</f>
        <v/>
      </c>
      <c r="BR410" s="575">
        <f>BP410-BQ410</f>
        <v/>
      </c>
      <c r="BS410" s="254" t="inlineStr">
        <is>
          <t>/</t>
        </is>
      </c>
      <c r="BT410" s="254" t="inlineStr">
        <is>
          <t>/</t>
        </is>
      </c>
      <c r="BU410" s="297" t="n"/>
      <c r="BV410" s="230" t="n"/>
      <c r="BW410" s="534" t="n"/>
    </row>
    <row r="411" customFormat="1" s="210">
      <c r="A411" s="469" t="n"/>
      <c r="B411" s="220" t="inlineStr">
        <is>
          <t>补充</t>
        </is>
      </c>
      <c r="C411" s="221" t="inlineStr">
        <is>
          <t>餐饮六分部</t>
        </is>
      </c>
      <c r="D411" s="221" t="inlineStr">
        <is>
          <t>CF480</t>
        </is>
      </c>
      <c r="E411" s="221" t="inlineStr">
        <is>
          <t>江苏旅游学生食堂二楼</t>
        </is>
      </c>
      <c r="F411" s="219" t="inlineStr">
        <is>
          <t>分组作业</t>
        </is>
      </c>
      <c r="G411" s="222" t="inlineStr">
        <is>
          <t>徐敏娟</t>
        </is>
      </c>
      <c r="H411" s="219" t="inlineStr">
        <is>
          <t>/</t>
        </is>
      </c>
      <c r="I411" s="237" t="inlineStr">
        <is>
          <t>米线</t>
        </is>
      </c>
      <c r="J411" s="219" t="inlineStr">
        <is>
          <t>杨萍</t>
        </is>
      </c>
      <c r="K411" s="545">
        <f>LET(k,D411&amp;"|"&amp;E411&amp;"|"&amp;H411&amp;"|"&amp;I411&amp;"|"&amp;J411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11" s="546" t="n"/>
      <c r="M411" s="601" t="inlineStr">
        <is>
          <t>撤场，已结算</t>
        </is>
      </c>
      <c r="N411" s="253" t="n"/>
      <c r="O411" s="602" t="n"/>
      <c r="P411" s="284" t="n"/>
      <c r="Q411" s="461">
        <f>R411</f>
        <v/>
      </c>
      <c r="R411" s="227" t="n"/>
      <c r="S411" s="461">
        <f>Q411-R411</f>
        <v/>
      </c>
      <c r="T411" s="227" t="n"/>
      <c r="U411" s="461">
        <f>V411</f>
        <v/>
      </c>
      <c r="V411" s="227" t="n"/>
      <c r="W411" s="461">
        <f>U411-V411</f>
        <v/>
      </c>
      <c r="X411" s="227" t="n"/>
      <c r="Y411" s="461">
        <f>Z411</f>
        <v/>
      </c>
      <c r="Z411" s="227" t="n"/>
      <c r="AA411" s="461">
        <f>Y411-Z411</f>
        <v/>
      </c>
      <c r="AB411" s="227" t="n"/>
      <c r="AC411" s="461">
        <f>AD411</f>
        <v/>
      </c>
      <c r="AD411" s="461" t="n"/>
      <c r="AE411" s="461">
        <f>AC411-AD411</f>
        <v/>
      </c>
      <c r="AF411" s="227" t="n"/>
      <c r="AG411" s="461">
        <f>AH411</f>
        <v/>
      </c>
      <c r="AH411" s="461" t="n"/>
      <c r="AI411" s="461">
        <f>AG411-AH411</f>
        <v/>
      </c>
      <c r="AJ411" s="227" t="n"/>
      <c r="AK411" s="461">
        <f>AL411</f>
        <v/>
      </c>
      <c r="AL411" s="461" t="n"/>
      <c r="AM411" s="461">
        <f>AK411-AL411</f>
        <v/>
      </c>
      <c r="AN411" s="227" t="n"/>
      <c r="AO411" s="461">
        <f>AP411</f>
        <v/>
      </c>
      <c r="AP411" s="461" t="n"/>
      <c r="AQ411" s="461">
        <f>AO411-AP411</f>
        <v/>
      </c>
      <c r="AR411" s="247" t="n"/>
      <c r="AS411" s="461">
        <f>AT411</f>
        <v/>
      </c>
      <c r="AT411" s="227" t="n"/>
      <c r="AU411" s="461">
        <f>AS411-AT411</f>
        <v/>
      </c>
      <c r="AV411" s="284" t="n"/>
      <c r="AW411" s="461">
        <f>AX411</f>
        <v/>
      </c>
      <c r="AX411" s="227" t="n"/>
      <c r="AY411" s="461">
        <f>AW411-AX411</f>
        <v/>
      </c>
      <c r="AZ411" s="227" t="n"/>
      <c r="BA411" s="461">
        <f>BB411</f>
        <v/>
      </c>
      <c r="BB411" s="461" t="n"/>
      <c r="BC411" s="461">
        <f>BA411-BB411</f>
        <v/>
      </c>
      <c r="BD411" s="461" t="n"/>
      <c r="BE411" s="461">
        <f>BF411</f>
        <v/>
      </c>
      <c r="BF411" s="461" t="n"/>
      <c r="BG411" s="461">
        <f>BE411-BF411</f>
        <v/>
      </c>
      <c r="BH411" s="461" t="n"/>
      <c r="BI411" s="461">
        <f>BJ411</f>
        <v/>
      </c>
      <c r="BJ411" s="461" t="n"/>
      <c r="BK411" s="461">
        <f>BI411-BJ411</f>
        <v/>
      </c>
      <c r="BL411" s="461" t="n"/>
      <c r="BM411" s="220">
        <f>BN411</f>
        <v/>
      </c>
      <c r="BN411" s="220" t="n"/>
      <c r="BO411" s="220">
        <f>BM411-BN411</f>
        <v/>
      </c>
      <c r="BP411" s="220">
        <f>N411+Q411+U411+Y411+AC411+AG411+AK411+AO411+AS411+AW411+BA411+BE411+BI411+BM411</f>
        <v/>
      </c>
      <c r="BQ411" s="220">
        <f>N411+R411+V411+Z411+AD411+AH411+AL411+AP411+AT411+AX411+BB411+BF411+BJ411+BN411</f>
        <v/>
      </c>
      <c r="BR411" s="220">
        <f>BP411-BQ411</f>
        <v/>
      </c>
      <c r="BS411" s="377" t="n"/>
      <c r="BT411" s="378" t="n"/>
      <c r="BU411" s="297" t="n"/>
      <c r="BV411" s="230" t="n"/>
      <c r="BW411" s="534" t="n"/>
    </row>
    <row r="412" customFormat="1" s="210">
      <c r="A412" s="469" t="n"/>
      <c r="B412" s="220" t="inlineStr">
        <is>
          <t>补充</t>
        </is>
      </c>
      <c r="C412" s="221" t="inlineStr">
        <is>
          <t>餐饮六分部</t>
        </is>
      </c>
      <c r="D412" s="221" t="inlineStr">
        <is>
          <t>CF480</t>
        </is>
      </c>
      <c r="E412" s="221" t="inlineStr">
        <is>
          <t>江苏旅游学生食堂二楼</t>
        </is>
      </c>
      <c r="F412" s="219" t="inlineStr">
        <is>
          <t>分组作业</t>
        </is>
      </c>
      <c r="G412" s="222" t="inlineStr">
        <is>
          <t>徐敏娟</t>
        </is>
      </c>
      <c r="H412" s="219" t="inlineStr">
        <is>
          <t>/</t>
        </is>
      </c>
      <c r="I412" s="237" t="inlineStr">
        <is>
          <t>辣椒炒肉</t>
        </is>
      </c>
      <c r="J412" s="219" t="inlineStr">
        <is>
          <t>孙云伟</t>
        </is>
      </c>
      <c r="K412" s="545">
        <f>LET(k,D412&amp;"|"&amp;E412&amp;"|"&amp;H412&amp;"|"&amp;I412&amp;"|"&amp;J412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12" s="546" t="n"/>
      <c r="M412" s="601" t="inlineStr">
        <is>
          <t>撤场，已结算</t>
        </is>
      </c>
      <c r="N412" s="253" t="n"/>
      <c r="O412" s="602" t="n"/>
      <c r="P412" s="284" t="n"/>
      <c r="Q412" s="461">
        <f>R412</f>
        <v/>
      </c>
      <c r="R412" s="227" t="n"/>
      <c r="S412" s="461">
        <f>Q412-R412</f>
        <v/>
      </c>
      <c r="T412" s="227" t="n"/>
      <c r="U412" s="461">
        <f>V412</f>
        <v/>
      </c>
      <c r="V412" s="227" t="n"/>
      <c r="W412" s="461">
        <f>U412-V412</f>
        <v/>
      </c>
      <c r="X412" s="227" t="n"/>
      <c r="Y412" s="461">
        <f>Z412</f>
        <v/>
      </c>
      <c r="Z412" s="462" t="n"/>
      <c r="AA412" s="461">
        <f>Y412-Z412</f>
        <v/>
      </c>
      <c r="AB412" s="227" t="n"/>
      <c r="AC412" s="461">
        <f>AD412</f>
        <v/>
      </c>
      <c r="AD412" s="461" t="n"/>
      <c r="AE412" s="461">
        <f>AC412-AD412</f>
        <v/>
      </c>
      <c r="AF412" s="227" t="n"/>
      <c r="AG412" s="461">
        <f>AH412</f>
        <v/>
      </c>
      <c r="AH412" s="461" t="n"/>
      <c r="AI412" s="461">
        <f>AG412-AH412</f>
        <v/>
      </c>
      <c r="AJ412" s="227" t="n"/>
      <c r="AK412" s="461">
        <f>AL412</f>
        <v/>
      </c>
      <c r="AL412" s="461" t="n"/>
      <c r="AM412" s="461">
        <f>AK412-AL412</f>
        <v/>
      </c>
      <c r="AN412" s="227" t="n"/>
      <c r="AO412" s="461">
        <f>AP412</f>
        <v/>
      </c>
      <c r="AP412" s="461" t="n"/>
      <c r="AQ412" s="461">
        <f>AO412-AP412</f>
        <v/>
      </c>
      <c r="AR412" s="247" t="n"/>
      <c r="AS412" s="461">
        <f>AT412</f>
        <v/>
      </c>
      <c r="AT412" s="227" t="n"/>
      <c r="AU412" s="461">
        <f>AS412-AT412</f>
        <v/>
      </c>
      <c r="AV412" s="284" t="n"/>
      <c r="AW412" s="461">
        <f>AX412</f>
        <v/>
      </c>
      <c r="AX412" s="227" t="n"/>
      <c r="AY412" s="461">
        <f>AW412-AX412</f>
        <v/>
      </c>
      <c r="AZ412" s="227" t="n"/>
      <c r="BA412" s="461">
        <f>BB412</f>
        <v/>
      </c>
      <c r="BB412" s="461" t="n"/>
      <c r="BC412" s="461">
        <f>BA412-BB412</f>
        <v/>
      </c>
      <c r="BD412" s="461" t="n"/>
      <c r="BE412" s="461">
        <f>BF412</f>
        <v/>
      </c>
      <c r="BF412" s="461" t="n"/>
      <c r="BG412" s="461">
        <f>BE412-BF412</f>
        <v/>
      </c>
      <c r="BH412" s="461" t="n"/>
      <c r="BI412" s="461">
        <f>BJ412</f>
        <v/>
      </c>
      <c r="BJ412" s="461" t="n"/>
      <c r="BK412" s="461">
        <f>BI412-BJ412</f>
        <v/>
      </c>
      <c r="BL412" s="461" t="n"/>
      <c r="BM412" s="220">
        <f>BN412</f>
        <v/>
      </c>
      <c r="BN412" s="220" t="n"/>
      <c r="BO412" s="220">
        <f>BM412-BN412</f>
        <v/>
      </c>
      <c r="BP412" s="220">
        <f>N412+Q412+U412+Y412+AC412+AG412+AK412+AO412+AS412+AW412+BA412+BE412+BI412+BM412</f>
        <v/>
      </c>
      <c r="BQ412" s="220">
        <f>N412+R412+V412+Z412+AD412+AH412+AL412+AP412+AT412+AX412+BB412+BF412+BJ412+BN412</f>
        <v/>
      </c>
      <c r="BR412" s="220">
        <f>BP412-BQ412</f>
        <v/>
      </c>
      <c r="BS412" s="377" t="n"/>
      <c r="BT412" s="378" t="n"/>
      <c r="BU412" s="297" t="n"/>
      <c r="BV412" s="230" t="n"/>
      <c r="BW412" s="534" t="n"/>
    </row>
    <row r="413" customFormat="1" s="210">
      <c r="A413" s="469" t="n"/>
      <c r="B413" s="220" t="inlineStr">
        <is>
          <t>补充</t>
        </is>
      </c>
      <c r="C413" s="221" t="inlineStr">
        <is>
          <t>餐饮六分部</t>
        </is>
      </c>
      <c r="D413" s="221" t="inlineStr">
        <is>
          <t>CF480</t>
        </is>
      </c>
      <c r="E413" s="221" t="inlineStr">
        <is>
          <t>江苏旅游学生食堂二楼</t>
        </is>
      </c>
      <c r="F413" s="219" t="inlineStr">
        <is>
          <t>分组作业</t>
        </is>
      </c>
      <c r="G413" s="222" t="inlineStr">
        <is>
          <t>徐敏娟</t>
        </is>
      </c>
      <c r="H413" s="219" t="inlineStr">
        <is>
          <t>/</t>
        </is>
      </c>
      <c r="I413" s="237" t="inlineStr">
        <is>
          <t>快餐自选</t>
        </is>
      </c>
      <c r="J413" s="219" t="inlineStr">
        <is>
          <t>李玉娇</t>
        </is>
      </c>
      <c r="K413" s="545">
        <f>LET(k,D413&amp;"|"&amp;E413&amp;"|"&amp;H413&amp;"|"&amp;I413&amp;"|"&amp;J413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13" s="546" t="n"/>
      <c r="M413" s="601" t="inlineStr">
        <is>
          <t>撤场，已结算</t>
        </is>
      </c>
      <c r="N413" s="253" t="n"/>
      <c r="O413" s="602" t="n"/>
      <c r="P413" s="284" t="n"/>
      <c r="Q413" s="461">
        <f>R413</f>
        <v/>
      </c>
      <c r="R413" s="227" t="n"/>
      <c r="S413" s="461">
        <f>Q413-R413</f>
        <v/>
      </c>
      <c r="T413" s="227" t="n"/>
      <c r="U413" s="461">
        <f>V413</f>
        <v/>
      </c>
      <c r="V413" s="227" t="n"/>
      <c r="W413" s="461">
        <f>U413-V413</f>
        <v/>
      </c>
      <c r="X413" s="227" t="n"/>
      <c r="Y413" s="461">
        <f>Z413</f>
        <v/>
      </c>
      <c r="Z413" s="227" t="n"/>
      <c r="AA413" s="461">
        <f>Y413-Z413</f>
        <v/>
      </c>
      <c r="AB413" s="227" t="n"/>
      <c r="AC413" s="461">
        <f>AD413</f>
        <v/>
      </c>
      <c r="AD413" s="461" t="n"/>
      <c r="AE413" s="461">
        <f>AC413-AD413</f>
        <v/>
      </c>
      <c r="AF413" s="227" t="n"/>
      <c r="AG413" s="461">
        <f>AH413</f>
        <v/>
      </c>
      <c r="AH413" s="461" t="n"/>
      <c r="AI413" s="461">
        <f>AG413-AH413</f>
        <v/>
      </c>
      <c r="AJ413" s="227" t="n"/>
      <c r="AK413" s="461">
        <f>AL413</f>
        <v/>
      </c>
      <c r="AL413" s="461" t="n"/>
      <c r="AM413" s="461">
        <f>AK413-AL413</f>
        <v/>
      </c>
      <c r="AN413" s="227" t="n"/>
      <c r="AO413" s="461">
        <f>AP413</f>
        <v/>
      </c>
      <c r="AP413" s="461" t="n"/>
      <c r="AQ413" s="461">
        <f>AO413-AP413</f>
        <v/>
      </c>
      <c r="AR413" s="247" t="n"/>
      <c r="AS413" s="461">
        <f>AT413</f>
        <v/>
      </c>
      <c r="AT413" s="227" t="n"/>
      <c r="AU413" s="461">
        <f>AS413-AT413</f>
        <v/>
      </c>
      <c r="AV413" s="284" t="n"/>
      <c r="AW413" s="461">
        <f>AX413</f>
        <v/>
      </c>
      <c r="AX413" s="227" t="n"/>
      <c r="AY413" s="461">
        <f>AW413-AX413</f>
        <v/>
      </c>
      <c r="AZ413" s="227" t="n"/>
      <c r="BA413" s="461">
        <f>BB413</f>
        <v/>
      </c>
      <c r="BB413" s="461" t="n"/>
      <c r="BC413" s="461">
        <f>BA413-BB413</f>
        <v/>
      </c>
      <c r="BD413" s="461" t="n"/>
      <c r="BE413" s="461">
        <f>BF413</f>
        <v/>
      </c>
      <c r="BF413" s="461" t="n"/>
      <c r="BG413" s="461">
        <f>BE413-BF413</f>
        <v/>
      </c>
      <c r="BH413" s="461" t="n"/>
      <c r="BI413" s="461">
        <f>BJ413</f>
        <v/>
      </c>
      <c r="BJ413" s="461" t="n"/>
      <c r="BK413" s="461">
        <f>BI413-BJ413</f>
        <v/>
      </c>
      <c r="BL413" s="461" t="n"/>
      <c r="BM413" s="220">
        <f>BN413</f>
        <v/>
      </c>
      <c r="BN413" s="220" t="n"/>
      <c r="BO413" s="220">
        <f>BM413-BN413</f>
        <v/>
      </c>
      <c r="BP413" s="220">
        <f>N413+Q413+U413+Y413+AC413+AG413+AK413+AO413+AS413+AW413+BA413+BE413+BI413+BM413</f>
        <v/>
      </c>
      <c r="BQ413" s="220">
        <f>N413+R413+V413+Z413+AD413+AH413+AL413+AP413+AT413+AX413+BB413+BF413+BJ413+BN413</f>
        <v/>
      </c>
      <c r="BR413" s="220">
        <f>BP413-BQ413</f>
        <v/>
      </c>
      <c r="BS413" s="377" t="n"/>
      <c r="BT413" s="378" t="n"/>
      <c r="BU413" s="297" t="n"/>
      <c r="BV413" s="230" t="n"/>
      <c r="BW413" s="534" t="n"/>
    </row>
    <row r="414" customFormat="1" s="210">
      <c r="A414" s="469" t="n"/>
      <c r="B414" s="220" t="inlineStr">
        <is>
          <t>补充</t>
        </is>
      </c>
      <c r="C414" s="221" t="inlineStr">
        <is>
          <t>餐饮六分部</t>
        </is>
      </c>
      <c r="D414" s="221" t="inlineStr">
        <is>
          <t>CF480</t>
        </is>
      </c>
      <c r="E414" s="221" t="inlineStr">
        <is>
          <t>江苏旅游学生食堂二楼</t>
        </is>
      </c>
      <c r="F414" s="219" t="inlineStr">
        <is>
          <t>分组作业</t>
        </is>
      </c>
      <c r="G414" s="222" t="inlineStr">
        <is>
          <t>徐敏娟</t>
        </is>
      </c>
      <c r="H414" s="219" t="inlineStr">
        <is>
          <t>/</t>
        </is>
      </c>
      <c r="I414" s="237" t="inlineStr">
        <is>
          <t>虾仁捞饭</t>
        </is>
      </c>
      <c r="J414" s="219" t="inlineStr">
        <is>
          <t>周玉娟</t>
        </is>
      </c>
      <c r="K414" s="545">
        <f>LET(k,D414&amp;"|"&amp;E414&amp;"|"&amp;H414&amp;"|"&amp;I414&amp;"|"&amp;J414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14" s="546" t="n"/>
      <c r="M414" s="601" t="inlineStr">
        <is>
          <t>2026年4月新加</t>
        </is>
      </c>
      <c r="N414" s="253" t="n"/>
      <c r="O414" s="602" t="n"/>
      <c r="P414" s="284" t="n"/>
      <c r="Q414" s="461">
        <f>R414</f>
        <v/>
      </c>
      <c r="R414" s="558" t="n">
        <v>1992.48</v>
      </c>
      <c r="S414" s="461">
        <f>Q414-R414</f>
        <v/>
      </c>
      <c r="T414" s="227" t="n"/>
      <c r="U414" s="461">
        <f>V414</f>
        <v/>
      </c>
      <c r="V414" s="227" t="n"/>
      <c r="W414" s="461">
        <f>U414-V414</f>
        <v/>
      </c>
      <c r="X414" s="227" t="n"/>
      <c r="Y414" s="461">
        <f>Z414</f>
        <v/>
      </c>
      <c r="Z414" s="227" t="n"/>
      <c r="AA414" s="461">
        <f>Y414-Z414</f>
        <v/>
      </c>
      <c r="AB414" s="227" t="n"/>
      <c r="AC414" s="461">
        <f>AD414</f>
        <v/>
      </c>
      <c r="AD414" s="461" t="n"/>
      <c r="AE414" s="461">
        <f>AC414-AD414</f>
        <v/>
      </c>
      <c r="AF414" s="227" t="n"/>
      <c r="AG414" s="461">
        <f>AH414</f>
        <v/>
      </c>
      <c r="AH414" s="461" t="n"/>
      <c r="AI414" s="461">
        <f>AG414-AH414</f>
        <v/>
      </c>
      <c r="AJ414" s="227" t="n"/>
      <c r="AK414" s="461">
        <f>AL414</f>
        <v/>
      </c>
      <c r="AL414" s="461" t="n"/>
      <c r="AM414" s="461">
        <f>AK414-AL414</f>
        <v/>
      </c>
      <c r="AN414" s="227" t="n"/>
      <c r="AO414" s="461">
        <f>AP414</f>
        <v/>
      </c>
      <c r="AP414" s="461" t="n"/>
      <c r="AQ414" s="461">
        <f>AO414-AP414</f>
        <v/>
      </c>
      <c r="AR414" s="247" t="n"/>
      <c r="AS414" s="461">
        <f>AT414</f>
        <v/>
      </c>
      <c r="AT414" s="227" t="n"/>
      <c r="AU414" s="461">
        <f>AS414-AT414</f>
        <v/>
      </c>
      <c r="AV414" s="284" t="n"/>
      <c r="AW414" s="461">
        <f>AX414</f>
        <v/>
      </c>
      <c r="AX414" s="227" t="n"/>
      <c r="AY414" s="461">
        <f>AW414-AX414</f>
        <v/>
      </c>
      <c r="AZ414" s="227" t="n"/>
      <c r="BA414" s="461">
        <f>BB414</f>
        <v/>
      </c>
      <c r="BB414" s="461" t="n"/>
      <c r="BC414" s="461">
        <f>BA414-BB414</f>
        <v/>
      </c>
      <c r="BD414" s="461" t="n"/>
      <c r="BE414" s="461">
        <f>BF414</f>
        <v/>
      </c>
      <c r="BF414" s="461" t="n"/>
      <c r="BG414" s="461">
        <f>BE414-BF414</f>
        <v/>
      </c>
      <c r="BH414" s="461" t="n"/>
      <c r="BI414" s="461">
        <f>BJ414</f>
        <v/>
      </c>
      <c r="BJ414" s="461" t="n"/>
      <c r="BK414" s="461">
        <f>BI414-BJ414</f>
        <v/>
      </c>
      <c r="BL414" s="461" t="n"/>
      <c r="BM414" s="220">
        <f>BN414</f>
        <v/>
      </c>
      <c r="BN414" s="243" t="n"/>
      <c r="BO414" s="220">
        <f>BM414-BN414</f>
        <v/>
      </c>
      <c r="BP414" s="220">
        <f>N414+Q414+U414+Y414+AC414+AG414+AK414+AO414+AS414+AW414+BA414+BE414+BI414+BM414</f>
        <v/>
      </c>
      <c r="BQ414" s="220">
        <f>N414+R414+V414+Z414+AD414+AH414+AL414+AP414+AT414+AX414+BB414+BF414+BJ414+BN414</f>
        <v/>
      </c>
      <c r="BR414" s="220">
        <f>BP414-BQ414</f>
        <v/>
      </c>
      <c r="BS414" s="377" t="n"/>
      <c r="BT414" s="378" t="n"/>
      <c r="BU414" s="297" t="n"/>
      <c r="BV414" s="230" t="n"/>
      <c r="BW414" s="534" t="n"/>
    </row>
    <row r="415" customFormat="1" s="210">
      <c r="A415" s="469" t="n"/>
      <c r="B415" s="220" t="inlineStr">
        <is>
          <t>补充</t>
        </is>
      </c>
      <c r="C415" s="221" t="inlineStr">
        <is>
          <t>餐饮六分部</t>
        </is>
      </c>
      <c r="D415" s="221" t="inlineStr">
        <is>
          <t>CF480</t>
        </is>
      </c>
      <c r="E415" s="221" t="inlineStr">
        <is>
          <t>江苏旅游学生食堂二楼</t>
        </is>
      </c>
      <c r="F415" s="219" t="inlineStr">
        <is>
          <t>分组作业</t>
        </is>
      </c>
      <c r="G415" s="222" t="inlineStr">
        <is>
          <t>徐敏娟</t>
        </is>
      </c>
      <c r="H415" s="219" t="inlineStr">
        <is>
          <t>/</t>
        </is>
      </c>
      <c r="I415" s="237" t="inlineStr">
        <is>
          <t>大大大碗面</t>
        </is>
      </c>
      <c r="J415" s="219" t="inlineStr">
        <is>
          <t>夏发军</t>
        </is>
      </c>
      <c r="K415" s="545">
        <f>LET(k,D415&amp;"|"&amp;E415&amp;"|"&amp;H415&amp;"|"&amp;I415&amp;"|"&amp;J415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15" s="546" t="n"/>
      <c r="M415" s="601" t="inlineStr">
        <is>
          <t>2026年4月新加</t>
        </is>
      </c>
      <c r="N415" s="253" t="n"/>
      <c r="O415" s="602" t="n"/>
      <c r="P415" s="284" t="n"/>
      <c r="Q415" s="461">
        <f>R415</f>
        <v/>
      </c>
      <c r="R415" s="558" t="n">
        <v>10204.824</v>
      </c>
      <c r="S415" s="461">
        <f>Q415-R415</f>
        <v/>
      </c>
      <c r="T415" s="227" t="n"/>
      <c r="U415" s="461">
        <f>V415</f>
        <v/>
      </c>
      <c r="V415" s="227" t="n"/>
      <c r="W415" s="461">
        <f>U415-V415</f>
        <v/>
      </c>
      <c r="X415" s="227" t="n"/>
      <c r="Y415" s="461">
        <f>Z415</f>
        <v/>
      </c>
      <c r="Z415" s="227" t="n"/>
      <c r="AA415" s="461">
        <f>Y415-Z415</f>
        <v/>
      </c>
      <c r="AB415" s="227" t="n"/>
      <c r="AC415" s="461">
        <f>AD415</f>
        <v/>
      </c>
      <c r="AD415" s="461" t="n"/>
      <c r="AE415" s="461">
        <f>AC415-AD415</f>
        <v/>
      </c>
      <c r="AF415" s="227" t="n"/>
      <c r="AG415" s="461">
        <f>AH415</f>
        <v/>
      </c>
      <c r="AH415" s="461" t="n"/>
      <c r="AI415" s="461">
        <f>AG415-AH415</f>
        <v/>
      </c>
      <c r="AJ415" s="227" t="n"/>
      <c r="AK415" s="461">
        <f>AL415</f>
        <v/>
      </c>
      <c r="AL415" s="461" t="n"/>
      <c r="AM415" s="461">
        <f>AK415-AL415</f>
        <v/>
      </c>
      <c r="AN415" s="227" t="n"/>
      <c r="AO415" s="461">
        <f>AP415</f>
        <v/>
      </c>
      <c r="AP415" s="461" t="n"/>
      <c r="AQ415" s="461">
        <f>AO415-AP415</f>
        <v/>
      </c>
      <c r="AR415" s="247" t="n"/>
      <c r="AS415" s="461">
        <f>AT415</f>
        <v/>
      </c>
      <c r="AT415" s="227" t="n"/>
      <c r="AU415" s="461">
        <f>AS415-AT415</f>
        <v/>
      </c>
      <c r="AV415" s="284" t="n"/>
      <c r="AW415" s="461">
        <f>AX415</f>
        <v/>
      </c>
      <c r="AX415" s="227" t="n"/>
      <c r="AY415" s="461">
        <f>AW415-AX415</f>
        <v/>
      </c>
      <c r="AZ415" s="227" t="n"/>
      <c r="BA415" s="461">
        <f>BB415</f>
        <v/>
      </c>
      <c r="BB415" s="461" t="n"/>
      <c r="BC415" s="461">
        <f>BA415-BB415</f>
        <v/>
      </c>
      <c r="BD415" s="461" t="n"/>
      <c r="BE415" s="461">
        <f>BF415</f>
        <v/>
      </c>
      <c r="BF415" s="461" t="n"/>
      <c r="BG415" s="461">
        <f>BE415-BF415</f>
        <v/>
      </c>
      <c r="BH415" s="461" t="n"/>
      <c r="BI415" s="461">
        <f>BJ415</f>
        <v/>
      </c>
      <c r="BJ415" s="461" t="n"/>
      <c r="BK415" s="461">
        <f>BI415-BJ415</f>
        <v/>
      </c>
      <c r="BL415" s="461" t="n"/>
      <c r="BM415" s="220">
        <f>BN415</f>
        <v/>
      </c>
      <c r="BN415" s="243" t="n"/>
      <c r="BO415" s="220">
        <f>BM415-BN415</f>
        <v/>
      </c>
      <c r="BP415" s="220">
        <f>N415+Q415+U415+Y415+AC415+AG415+AK415+AO415+AS415+AW415+BA415+BE415+BI415+BM415</f>
        <v/>
      </c>
      <c r="BQ415" s="220">
        <f>N415+R415+V415+Z415+AD415+AH415+AL415+AP415+AT415+AX415+BB415+BF415+BJ415+BN415</f>
        <v/>
      </c>
      <c r="BR415" s="220">
        <f>BP415-BQ415</f>
        <v/>
      </c>
      <c r="BS415" s="377" t="n"/>
      <c r="BT415" s="378" t="n"/>
      <c r="BU415" s="297" t="n"/>
      <c r="BV415" s="230" t="n"/>
      <c r="BW415" s="534" t="n"/>
    </row>
    <row r="416" customFormat="1" s="210">
      <c r="A416" s="469" t="n"/>
      <c r="B416" s="220" t="inlineStr">
        <is>
          <t>补充</t>
        </is>
      </c>
      <c r="C416" s="221" t="inlineStr">
        <is>
          <t>餐饮二分部</t>
        </is>
      </c>
      <c r="D416" s="221" t="inlineStr">
        <is>
          <t>CF182</t>
        </is>
      </c>
      <c r="E416" s="221" t="inlineStr">
        <is>
          <t>无锡工艺第二食堂</t>
        </is>
      </c>
      <c r="F416" s="219" t="inlineStr">
        <is>
          <t>分组作业</t>
        </is>
      </c>
      <c r="G416" s="222" t="inlineStr">
        <is>
          <t>徐敏娟</t>
        </is>
      </c>
      <c r="H416" s="219" t="n"/>
      <c r="I416" s="237" t="inlineStr">
        <is>
          <t>兔哥热卤饭</t>
        </is>
      </c>
      <c r="J416" s="219" t="inlineStr">
        <is>
          <t>王国莹</t>
        </is>
      </c>
      <c r="K416" s="545">
        <f>LET(k,D416&amp;"|"&amp;E416&amp;"|"&amp;H416&amp;"|"&amp;I416&amp;"|"&amp;J416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16" s="546" t="n"/>
      <c r="M416" s="601" t="inlineStr">
        <is>
          <t>撤场，已结算</t>
        </is>
      </c>
      <c r="N416" s="253" t="n"/>
      <c r="O416" s="602" t="n"/>
      <c r="P416" s="284" t="n"/>
      <c r="Q416" s="461">
        <f>R416</f>
        <v/>
      </c>
      <c r="R416" s="227" t="n"/>
      <c r="S416" s="461">
        <f>Q416-R416</f>
        <v/>
      </c>
      <c r="T416" s="227" t="n"/>
      <c r="U416" s="461">
        <f>V416</f>
        <v/>
      </c>
      <c r="V416" s="227" t="n"/>
      <c r="W416" s="461">
        <f>U416-V416</f>
        <v/>
      </c>
      <c r="X416" s="227" t="n"/>
      <c r="Y416" s="461">
        <f>Z416</f>
        <v/>
      </c>
      <c r="Z416" s="227" t="n"/>
      <c r="AA416" s="461">
        <f>Y416-Z416</f>
        <v/>
      </c>
      <c r="AB416" s="227" t="n"/>
      <c r="AC416" s="461">
        <f>AD416</f>
        <v/>
      </c>
      <c r="AD416" s="227" t="n"/>
      <c r="AE416" s="461">
        <f>AC416-AD416</f>
        <v/>
      </c>
      <c r="AF416" s="227" t="n"/>
      <c r="AG416" s="461">
        <f>AH416</f>
        <v/>
      </c>
      <c r="AH416" s="227" t="n"/>
      <c r="AI416" s="461">
        <f>AG416-AH416</f>
        <v/>
      </c>
      <c r="AJ416" s="227" t="n"/>
      <c r="AK416" s="461">
        <f>AL416</f>
        <v/>
      </c>
      <c r="AL416" s="227" t="n"/>
      <c r="AM416" s="461">
        <f>AK416-AL416</f>
        <v/>
      </c>
      <c r="AN416" s="227" t="n"/>
      <c r="AO416" s="461">
        <f>AP416</f>
        <v/>
      </c>
      <c r="AP416" s="461" t="n"/>
      <c r="AQ416" s="461">
        <f>AO416-AP416</f>
        <v/>
      </c>
      <c r="AR416" s="247" t="n"/>
      <c r="AS416" s="461">
        <f>AT416</f>
        <v/>
      </c>
      <c r="AT416" s="227" t="n"/>
      <c r="AU416" s="461">
        <f>AS416-AT416</f>
        <v/>
      </c>
      <c r="AV416" s="284" t="n"/>
      <c r="AW416" s="461">
        <f>AX416</f>
        <v/>
      </c>
      <c r="AX416" s="227" t="n"/>
      <c r="AY416" s="461">
        <f>AW416-AX416</f>
        <v/>
      </c>
      <c r="AZ416" s="227" t="n"/>
      <c r="BA416" s="461">
        <f>BB416</f>
        <v/>
      </c>
      <c r="BB416" s="461" t="n"/>
      <c r="BC416" s="461">
        <f>BA416-BB416</f>
        <v/>
      </c>
      <c r="BD416" s="461" t="n"/>
      <c r="BE416" s="461">
        <f>BF416</f>
        <v/>
      </c>
      <c r="BF416" s="461" t="n"/>
      <c r="BG416" s="461">
        <f>BE416-BF416</f>
        <v/>
      </c>
      <c r="BH416" s="461" t="n"/>
      <c r="BI416" s="461">
        <f>BJ416</f>
        <v/>
      </c>
      <c r="BJ416" s="461" t="n"/>
      <c r="BK416" s="461">
        <f>BI416-BJ416</f>
        <v/>
      </c>
      <c r="BL416" s="461" t="n"/>
      <c r="BM416" s="220">
        <f>BN416</f>
        <v/>
      </c>
      <c r="BN416" s="220" t="n"/>
      <c r="BO416" s="220">
        <f>BM416-BN416</f>
        <v/>
      </c>
      <c r="BP416" s="220">
        <f>N416+Q416+U416+Y416+AC416+AG416+AK416+AO416+AS416+AW416+BA416+BE416+BI416+BM416</f>
        <v/>
      </c>
      <c r="BQ416" s="220">
        <f>N416+R416+V416+Z416+AD416+AH416+AL416+AP416+AT416+AX416+BB416+BF416+BJ416+BN416</f>
        <v/>
      </c>
      <c r="BR416" s="220">
        <f>BP416-BQ416</f>
        <v/>
      </c>
      <c r="BS416" s="377" t="n"/>
      <c r="BT416" s="378" t="n"/>
      <c r="BU416" s="297" t="n"/>
      <c r="BV416" s="230" t="n"/>
      <c r="BW416" s="534" t="n"/>
    </row>
    <row r="417" customFormat="1" s="210">
      <c r="A417" s="469" t="n"/>
      <c r="B417" s="220" t="inlineStr">
        <is>
          <t>补充</t>
        </is>
      </c>
      <c r="C417" s="221" t="inlineStr">
        <is>
          <t>餐饮二分部</t>
        </is>
      </c>
      <c r="D417" s="221" t="inlineStr">
        <is>
          <t>CF182</t>
        </is>
      </c>
      <c r="E417" s="221" t="inlineStr">
        <is>
          <t>无锡工艺第二食堂</t>
        </is>
      </c>
      <c r="F417" s="219" t="inlineStr">
        <is>
          <t>分组作业</t>
        </is>
      </c>
      <c r="G417" s="222" t="inlineStr">
        <is>
          <t>徐敏娟</t>
        </is>
      </c>
      <c r="H417" s="219" t="n"/>
      <c r="I417" s="237" t="inlineStr">
        <is>
          <t>早点</t>
        </is>
      </c>
      <c r="J417" s="219" t="inlineStr">
        <is>
          <t>何星星</t>
        </is>
      </c>
      <c r="K417" s="545">
        <f>LET(k,D417&amp;"|"&amp;E417&amp;"|"&amp;H417&amp;"|"&amp;I417&amp;"|"&amp;J417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17" s="546" t="n"/>
      <c r="M417" s="601" t="inlineStr">
        <is>
          <t>撤场，已结算</t>
        </is>
      </c>
      <c r="N417" s="253" t="n"/>
      <c r="O417" s="602" t="n"/>
      <c r="P417" s="284" t="n"/>
      <c r="Q417" s="461">
        <f>R417</f>
        <v/>
      </c>
      <c r="R417" s="227" t="n"/>
      <c r="S417" s="461">
        <f>Q417-R417</f>
        <v/>
      </c>
      <c r="T417" s="227" t="n"/>
      <c r="U417" s="461">
        <f>V417</f>
        <v/>
      </c>
      <c r="V417" s="227" t="n"/>
      <c r="W417" s="461">
        <f>U417-V417</f>
        <v/>
      </c>
      <c r="X417" s="227" t="n"/>
      <c r="Y417" s="461">
        <f>Z417</f>
        <v/>
      </c>
      <c r="Z417" s="227" t="n"/>
      <c r="AA417" s="461">
        <f>Y417-Z417</f>
        <v/>
      </c>
      <c r="AB417" s="227" t="n"/>
      <c r="AC417" s="461">
        <f>AD417</f>
        <v/>
      </c>
      <c r="AD417" s="227" t="n"/>
      <c r="AE417" s="461">
        <f>AC417-AD417</f>
        <v/>
      </c>
      <c r="AF417" s="227" t="n"/>
      <c r="AG417" s="461">
        <f>AH417</f>
        <v/>
      </c>
      <c r="AH417" s="227" t="n"/>
      <c r="AI417" s="461">
        <f>AG417-AH417</f>
        <v/>
      </c>
      <c r="AJ417" s="227" t="n"/>
      <c r="AK417" s="461">
        <f>AL417</f>
        <v/>
      </c>
      <c r="AL417" s="227" t="n"/>
      <c r="AM417" s="461">
        <f>AK417-AL417</f>
        <v/>
      </c>
      <c r="AN417" s="227" t="n"/>
      <c r="AO417" s="461">
        <f>AP417</f>
        <v/>
      </c>
      <c r="AP417" s="461" t="n"/>
      <c r="AQ417" s="461">
        <f>AO417-AP417</f>
        <v/>
      </c>
      <c r="AR417" s="247" t="n"/>
      <c r="AS417" s="461">
        <f>AT417</f>
        <v/>
      </c>
      <c r="AT417" s="227" t="n"/>
      <c r="AU417" s="461">
        <f>AS417-AT417</f>
        <v/>
      </c>
      <c r="AV417" s="284" t="n"/>
      <c r="AW417" s="461">
        <f>AX417</f>
        <v/>
      </c>
      <c r="AX417" s="227" t="n"/>
      <c r="AY417" s="461">
        <f>AW417-AX417</f>
        <v/>
      </c>
      <c r="AZ417" s="227" t="n"/>
      <c r="BA417" s="461">
        <f>BB417</f>
        <v/>
      </c>
      <c r="BB417" s="461" t="n"/>
      <c r="BC417" s="461">
        <f>BA417-BB417</f>
        <v/>
      </c>
      <c r="BD417" s="461" t="n"/>
      <c r="BE417" s="461">
        <f>BF417</f>
        <v/>
      </c>
      <c r="BF417" s="461" t="n"/>
      <c r="BG417" s="461">
        <f>BE417-BF417</f>
        <v/>
      </c>
      <c r="BH417" s="461" t="n"/>
      <c r="BI417" s="461">
        <f>BJ417</f>
        <v/>
      </c>
      <c r="BJ417" s="461" t="n"/>
      <c r="BK417" s="461">
        <f>BI417-BJ417</f>
        <v/>
      </c>
      <c r="BL417" s="461" t="n"/>
      <c r="BM417" s="220">
        <f>BN417</f>
        <v/>
      </c>
      <c r="BN417" s="220" t="n"/>
      <c r="BO417" s="220">
        <f>BM417-BN417</f>
        <v/>
      </c>
      <c r="BP417" s="220">
        <f>N417+Q417+U417+Y417+AC417+AG417+AK417+AO417+AS417+AW417+BA417+BE417+BI417+BM417</f>
        <v/>
      </c>
      <c r="BQ417" s="220">
        <f>N417+R417+V417+Z417+AD417+AH417+AL417+AP417+AT417+AX417+BB417+BF417+BJ417+BN417</f>
        <v/>
      </c>
      <c r="BR417" s="220">
        <f>BP417-BQ417</f>
        <v/>
      </c>
      <c r="BS417" s="377" t="n"/>
      <c r="BT417" s="378" t="n"/>
      <c r="BU417" s="297" t="n"/>
      <c r="BV417" s="230" t="n"/>
      <c r="BW417" s="534" t="n"/>
    </row>
    <row r="418" customFormat="1" s="210">
      <c r="A418" s="469" t="n"/>
      <c r="B418" s="220" t="inlineStr">
        <is>
          <t>补充</t>
        </is>
      </c>
      <c r="C418" s="221" t="inlineStr">
        <is>
          <t>餐饮六分部</t>
        </is>
      </c>
      <c r="D418" s="221" t="inlineStr">
        <is>
          <t>CF341</t>
        </is>
      </c>
      <c r="E418" s="221" t="inlineStr">
        <is>
          <t>扬大荷花池校区二楼食堂</t>
        </is>
      </c>
      <c r="F418" s="219" t="inlineStr">
        <is>
          <t>人员服务外包</t>
        </is>
      </c>
      <c r="G418" s="222" t="inlineStr">
        <is>
          <t>徐敏娟</t>
        </is>
      </c>
      <c r="H418" s="219" t="inlineStr">
        <is>
          <t>第六班组</t>
        </is>
      </c>
      <c r="I418" s="237" t="inlineStr">
        <is>
          <t>炒鸡饭</t>
        </is>
      </c>
      <c r="J418" s="219" t="inlineStr">
        <is>
          <t>褚子豪</t>
        </is>
      </c>
      <c r="K418" s="545">
        <f>LET(k,D418&amp;"|"&amp;E418&amp;"|"&amp;H418&amp;"|"&amp;I418&amp;"|"&amp;J418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18" s="546" t="n"/>
      <c r="M418" s="601" t="inlineStr">
        <is>
          <t>撤场，已结算</t>
        </is>
      </c>
      <c r="N418" s="253" t="n"/>
      <c r="O418" s="602" t="n"/>
      <c r="P418" s="284" t="n"/>
      <c r="Q418" s="461">
        <f>R418</f>
        <v/>
      </c>
      <c r="R418" s="227" t="n"/>
      <c r="S418" s="461">
        <f>Q418-R418</f>
        <v/>
      </c>
      <c r="T418" s="227" t="n"/>
      <c r="U418" s="461">
        <f>V418</f>
        <v/>
      </c>
      <c r="V418" s="227" t="n"/>
      <c r="W418" s="461">
        <f>U418-V418</f>
        <v/>
      </c>
      <c r="X418" s="227" t="n"/>
      <c r="Y418" s="461">
        <f>Z418</f>
        <v/>
      </c>
      <c r="Z418" s="227" t="n"/>
      <c r="AA418" s="461">
        <f>Y418-Z418</f>
        <v/>
      </c>
      <c r="AB418" s="227" t="n"/>
      <c r="AC418" s="461">
        <f>AD418</f>
        <v/>
      </c>
      <c r="AD418" s="227" t="n"/>
      <c r="AE418" s="461">
        <f>AC418-AD418</f>
        <v/>
      </c>
      <c r="AF418" s="227" t="n"/>
      <c r="AG418" s="461">
        <f>AH418</f>
        <v/>
      </c>
      <c r="AH418" s="227" t="n"/>
      <c r="AI418" s="461">
        <f>AG418-AH418</f>
        <v/>
      </c>
      <c r="AJ418" s="227" t="n"/>
      <c r="AK418" s="461">
        <f>AL418</f>
        <v/>
      </c>
      <c r="AL418" s="227" t="n"/>
      <c r="AM418" s="461">
        <f>AK418-AL418</f>
        <v/>
      </c>
      <c r="AN418" s="227" t="n"/>
      <c r="AO418" s="461">
        <f>AP418</f>
        <v/>
      </c>
      <c r="AP418" s="461" t="n"/>
      <c r="AQ418" s="461">
        <f>AO418-AP418</f>
        <v/>
      </c>
      <c r="AR418" s="247" t="n"/>
      <c r="AS418" s="461">
        <f>AT418</f>
        <v/>
      </c>
      <c r="AT418" s="227" t="n"/>
      <c r="AU418" s="461">
        <f>AS418-AT418</f>
        <v/>
      </c>
      <c r="AV418" s="284" t="n"/>
      <c r="AW418" s="461">
        <f>AX418</f>
        <v/>
      </c>
      <c r="AX418" s="227" t="n"/>
      <c r="AY418" s="461">
        <f>AW418-AX418</f>
        <v/>
      </c>
      <c r="AZ418" s="227" t="n"/>
      <c r="BA418" s="461">
        <f>BB418</f>
        <v/>
      </c>
      <c r="BB418" s="461" t="n"/>
      <c r="BC418" s="461">
        <f>BA418-BB418</f>
        <v/>
      </c>
      <c r="BD418" s="461" t="n"/>
      <c r="BE418" s="461">
        <f>BF418</f>
        <v/>
      </c>
      <c r="BF418" s="461" t="n"/>
      <c r="BG418" s="461">
        <f>BE418-BF418</f>
        <v/>
      </c>
      <c r="BH418" s="461" t="n"/>
      <c r="BI418" s="461">
        <f>BJ418</f>
        <v/>
      </c>
      <c r="BJ418" s="461" t="n"/>
      <c r="BK418" s="461">
        <f>BI418-BJ418</f>
        <v/>
      </c>
      <c r="BL418" s="461" t="n"/>
      <c r="BM418" s="220">
        <f>BN418</f>
        <v/>
      </c>
      <c r="BN418" s="220" t="n"/>
      <c r="BO418" s="220">
        <f>BM418-BN418</f>
        <v/>
      </c>
      <c r="BP418" s="220">
        <f>N418+Q418+U418+Y418+AC418+AG418+AK418+AO418+AS418+AW418+BA418+BE418+BI418+BM418</f>
        <v/>
      </c>
      <c r="BQ418" s="220">
        <f>N418+R418+V418+Z418+AD418+AH418+AL418+AP418+AT418+AX418+BB418+BF418+BJ418+BN418</f>
        <v/>
      </c>
      <c r="BR418" s="220">
        <f>BP418-BQ418</f>
        <v/>
      </c>
      <c r="BS418" s="377" t="n"/>
      <c r="BT418" s="378" t="n"/>
      <c r="BU418" s="297" t="n"/>
      <c r="BV418" s="230" t="n"/>
      <c r="BW418" s="534" t="n"/>
    </row>
    <row r="419" customFormat="1" s="210">
      <c r="A419" s="469" t="n"/>
      <c r="B419" s="220" t="inlineStr">
        <is>
          <t>补充</t>
        </is>
      </c>
      <c r="C419" s="221" t="inlineStr">
        <is>
          <t>餐饮六分部</t>
        </is>
      </c>
      <c r="D419" s="221" t="inlineStr">
        <is>
          <t>CF341</t>
        </is>
      </c>
      <c r="E419" s="221" t="inlineStr">
        <is>
          <t>扬大荷花池校区二楼食堂</t>
        </is>
      </c>
      <c r="F419" s="219" t="inlineStr">
        <is>
          <t>人员服务外包</t>
        </is>
      </c>
      <c r="G419" s="222" t="inlineStr">
        <is>
          <t>徐敏娟</t>
        </is>
      </c>
      <c r="H419" s="219" t="inlineStr">
        <is>
          <t>第七班组</t>
        </is>
      </c>
      <c r="I419" s="237" t="inlineStr">
        <is>
          <t>炸鸡</t>
        </is>
      </c>
      <c r="J419" s="219" t="inlineStr">
        <is>
          <t>俞磊</t>
        </is>
      </c>
      <c r="K419" s="545">
        <f>LET(k,D419&amp;"|"&amp;E419&amp;"|"&amp;H419&amp;"|"&amp;I419&amp;"|"&amp;J419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19" s="546" t="n"/>
      <c r="M419" s="601" t="inlineStr">
        <is>
          <t>撤场，已结算</t>
        </is>
      </c>
      <c r="N419" s="253" t="n"/>
      <c r="O419" s="602" t="n"/>
      <c r="P419" s="284" t="n"/>
      <c r="Q419" s="461">
        <f>R419</f>
        <v/>
      </c>
      <c r="R419" s="227" t="n"/>
      <c r="S419" s="461">
        <f>Q419-R419</f>
        <v/>
      </c>
      <c r="T419" s="227" t="n"/>
      <c r="U419" s="461">
        <f>V419</f>
        <v/>
      </c>
      <c r="V419" s="227" t="n"/>
      <c r="W419" s="461">
        <f>U419-V419</f>
        <v/>
      </c>
      <c r="X419" s="227" t="n"/>
      <c r="Y419" s="461">
        <f>Z419</f>
        <v/>
      </c>
      <c r="Z419" s="227" t="n"/>
      <c r="AA419" s="461">
        <f>Y419-Z419</f>
        <v/>
      </c>
      <c r="AB419" s="227" t="n"/>
      <c r="AC419" s="461">
        <f>AD419</f>
        <v/>
      </c>
      <c r="AD419" s="227" t="n"/>
      <c r="AE419" s="461">
        <f>AC419-AD419</f>
        <v/>
      </c>
      <c r="AF419" s="227" t="n"/>
      <c r="AG419" s="461">
        <f>AH419</f>
        <v/>
      </c>
      <c r="AH419" s="227" t="n"/>
      <c r="AI419" s="461">
        <f>AG419-AH419</f>
        <v/>
      </c>
      <c r="AJ419" s="227" t="n"/>
      <c r="AK419" s="461">
        <f>AL419</f>
        <v/>
      </c>
      <c r="AL419" s="227" t="n"/>
      <c r="AM419" s="461">
        <f>AK419-AL419</f>
        <v/>
      </c>
      <c r="AN419" s="227" t="n"/>
      <c r="AO419" s="461">
        <f>AP419</f>
        <v/>
      </c>
      <c r="AP419" s="461" t="n"/>
      <c r="AQ419" s="461">
        <f>AO419-AP419</f>
        <v/>
      </c>
      <c r="AR419" s="247" t="n"/>
      <c r="AS419" s="461">
        <f>AT419</f>
        <v/>
      </c>
      <c r="AT419" s="227" t="n"/>
      <c r="AU419" s="461">
        <f>AS419-AT419</f>
        <v/>
      </c>
      <c r="AV419" s="284" t="n"/>
      <c r="AW419" s="461">
        <f>AX419</f>
        <v/>
      </c>
      <c r="AX419" s="227" t="n"/>
      <c r="AY419" s="461">
        <f>AW419-AX419</f>
        <v/>
      </c>
      <c r="AZ419" s="227" t="n"/>
      <c r="BA419" s="461">
        <f>BB419</f>
        <v/>
      </c>
      <c r="BB419" s="461" t="n"/>
      <c r="BC419" s="461">
        <f>BA419-BB419</f>
        <v/>
      </c>
      <c r="BD419" s="461" t="n"/>
      <c r="BE419" s="461">
        <f>BF419</f>
        <v/>
      </c>
      <c r="BF419" s="461" t="n"/>
      <c r="BG419" s="461">
        <f>BE419-BF419</f>
        <v/>
      </c>
      <c r="BH419" s="461" t="n"/>
      <c r="BI419" s="461">
        <f>BJ419</f>
        <v/>
      </c>
      <c r="BJ419" s="461" t="n"/>
      <c r="BK419" s="461">
        <f>BI419-BJ419</f>
        <v/>
      </c>
      <c r="BL419" s="461" t="n"/>
      <c r="BM419" s="220">
        <f>BN419</f>
        <v/>
      </c>
      <c r="BN419" s="220" t="n"/>
      <c r="BO419" s="220">
        <f>BM419-BN419</f>
        <v/>
      </c>
      <c r="BP419" s="220">
        <f>N419+Q419+U419+Y419+AC419+AG419+AK419+AO419+AS419+AW419+BA419+BE419+BI419+BM419</f>
        <v/>
      </c>
      <c r="BQ419" s="220">
        <f>N419+R419+V419+Z419+AD419+AH419+AL419+AP419+AT419+AX419+BB419+BF419+BJ419+BN419</f>
        <v/>
      </c>
      <c r="BR419" s="220">
        <f>BP419-BQ419</f>
        <v/>
      </c>
      <c r="BS419" s="377" t="n"/>
      <c r="BT419" s="378" t="n"/>
      <c r="BU419" s="297" t="n"/>
      <c r="BV419" s="230" t="n"/>
      <c r="BW419" s="534" t="n"/>
    </row>
    <row r="420" customFormat="1" s="210">
      <c r="A420" s="469" t="n"/>
      <c r="B420" s="220" t="inlineStr">
        <is>
          <t>补充</t>
        </is>
      </c>
      <c r="C420" s="221" t="inlineStr">
        <is>
          <t>餐饮六分部</t>
        </is>
      </c>
      <c r="D420" s="221" t="inlineStr">
        <is>
          <t>CF341</t>
        </is>
      </c>
      <c r="E420" s="221" t="inlineStr">
        <is>
          <t>扬大荷花池校区二楼食堂</t>
        </is>
      </c>
      <c r="F420" s="219" t="inlineStr">
        <is>
          <t>人员服务外包</t>
        </is>
      </c>
      <c r="G420" s="222" t="inlineStr">
        <is>
          <t>徐敏娟</t>
        </is>
      </c>
      <c r="H420" s="219" t="inlineStr">
        <is>
          <t>第九班组</t>
        </is>
      </c>
      <c r="I420" s="237" t="inlineStr">
        <is>
          <t>叉烧饭</t>
        </is>
      </c>
      <c r="J420" s="219" t="inlineStr">
        <is>
          <t>梁沈阳</t>
        </is>
      </c>
      <c r="K420" s="545">
        <f>LET(k,D420&amp;"|"&amp;E420&amp;"|"&amp;H420&amp;"|"&amp;I420&amp;"|"&amp;J420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20" s="546" t="n"/>
      <c r="M420" s="601" t="inlineStr">
        <is>
          <t>撤场，已结算</t>
        </is>
      </c>
      <c r="N420" s="253" t="n"/>
      <c r="O420" s="602" t="n"/>
      <c r="P420" s="284" t="n"/>
      <c r="Q420" s="461">
        <f>R420</f>
        <v/>
      </c>
      <c r="R420" s="227" t="n"/>
      <c r="S420" s="461">
        <f>Q420-R420</f>
        <v/>
      </c>
      <c r="T420" s="227" t="n"/>
      <c r="U420" s="461">
        <f>V420</f>
        <v/>
      </c>
      <c r="V420" s="227" t="n"/>
      <c r="W420" s="461">
        <f>U420-V420</f>
        <v/>
      </c>
      <c r="X420" s="227" t="n"/>
      <c r="Y420" s="461">
        <f>Z420</f>
        <v/>
      </c>
      <c r="Z420" s="227" t="n"/>
      <c r="AA420" s="461">
        <f>Y420-Z420</f>
        <v/>
      </c>
      <c r="AB420" s="227" t="n"/>
      <c r="AC420" s="461">
        <f>AD420</f>
        <v/>
      </c>
      <c r="AD420" s="227" t="n"/>
      <c r="AE420" s="461">
        <f>AC420-AD420</f>
        <v/>
      </c>
      <c r="AF420" s="227" t="n"/>
      <c r="AG420" s="461">
        <f>AH420</f>
        <v/>
      </c>
      <c r="AH420" s="227" t="n"/>
      <c r="AI420" s="461">
        <f>AG420-AH420</f>
        <v/>
      </c>
      <c r="AJ420" s="227" t="n"/>
      <c r="AK420" s="461">
        <f>AL420</f>
        <v/>
      </c>
      <c r="AL420" s="227" t="n"/>
      <c r="AM420" s="461">
        <f>AK420-AL420</f>
        <v/>
      </c>
      <c r="AN420" s="227" t="n"/>
      <c r="AO420" s="461">
        <f>AP420</f>
        <v/>
      </c>
      <c r="AP420" s="461" t="n"/>
      <c r="AQ420" s="461">
        <f>AO420-AP420</f>
        <v/>
      </c>
      <c r="AR420" s="247" t="n"/>
      <c r="AS420" s="461">
        <f>AT420</f>
        <v/>
      </c>
      <c r="AT420" s="227" t="n"/>
      <c r="AU420" s="461">
        <f>AS420-AT420</f>
        <v/>
      </c>
      <c r="AV420" s="284" t="n"/>
      <c r="AW420" s="461">
        <f>AX420</f>
        <v/>
      </c>
      <c r="AX420" s="227" t="n"/>
      <c r="AY420" s="461">
        <f>AW420-AX420</f>
        <v/>
      </c>
      <c r="AZ420" s="227" t="n"/>
      <c r="BA420" s="461">
        <f>BB420</f>
        <v/>
      </c>
      <c r="BB420" s="461" t="n"/>
      <c r="BC420" s="461">
        <f>BA420-BB420</f>
        <v/>
      </c>
      <c r="BD420" s="461" t="n"/>
      <c r="BE420" s="461">
        <f>BF420</f>
        <v/>
      </c>
      <c r="BF420" s="461" t="n"/>
      <c r="BG420" s="461">
        <f>BE420-BF420</f>
        <v/>
      </c>
      <c r="BH420" s="461" t="n"/>
      <c r="BI420" s="461">
        <f>BJ420</f>
        <v/>
      </c>
      <c r="BJ420" s="461" t="n"/>
      <c r="BK420" s="461">
        <f>BI420-BJ420</f>
        <v/>
      </c>
      <c r="BL420" s="461" t="n"/>
      <c r="BM420" s="220">
        <f>BN420</f>
        <v/>
      </c>
      <c r="BN420" s="220" t="n"/>
      <c r="BO420" s="220">
        <f>BM420-BN420</f>
        <v/>
      </c>
      <c r="BP420" s="220">
        <f>N420+Q420+U420+Y420+AC420+AG420+AK420+AO420+AS420+AW420+BA420+BE420+BI420+BM420</f>
        <v/>
      </c>
      <c r="BQ420" s="220">
        <f>N420+R420+V420+Z420+AD420+AH420+AL420+AP420+AT420+AX420+BB420+BF420+BJ420+BN420</f>
        <v/>
      </c>
      <c r="BR420" s="220">
        <f>BP420-BQ420</f>
        <v/>
      </c>
      <c r="BS420" s="377" t="n"/>
      <c r="BT420" s="378" t="n"/>
      <c r="BU420" s="297" t="n"/>
      <c r="BV420" s="230" t="n"/>
      <c r="BW420" s="534" t="n"/>
    </row>
    <row r="421" customFormat="1" s="210">
      <c r="A421" s="469" t="n"/>
      <c r="B421" s="220" t="inlineStr">
        <is>
          <t>补充</t>
        </is>
      </c>
      <c r="C421" s="221" t="inlineStr">
        <is>
          <t>餐饮六分部</t>
        </is>
      </c>
      <c r="D421" s="221" t="inlineStr">
        <is>
          <t>CF341</t>
        </is>
      </c>
      <c r="E421" s="221" t="inlineStr">
        <is>
          <t>扬大荷花池校区二楼食堂</t>
        </is>
      </c>
      <c r="F421" s="219" t="inlineStr">
        <is>
          <t>人员服务外包</t>
        </is>
      </c>
      <c r="G421" s="222" t="inlineStr">
        <is>
          <t>徐敏娟</t>
        </is>
      </c>
      <c r="H421" s="219" t="inlineStr">
        <is>
          <t>第十一班组</t>
        </is>
      </c>
      <c r="I421" s="237" t="inlineStr">
        <is>
          <t>羊杂面</t>
        </is>
      </c>
      <c r="J421" s="219" t="inlineStr">
        <is>
          <t>甘春野</t>
        </is>
      </c>
      <c r="K421" s="545">
        <f>LET(k,D421&amp;"|"&amp;E421&amp;"|"&amp;H421&amp;"|"&amp;I421&amp;"|"&amp;J421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21" s="546" t="n"/>
      <c r="M421" s="601" t="inlineStr">
        <is>
          <t>撤场，已结算</t>
        </is>
      </c>
      <c r="N421" s="253" t="n"/>
      <c r="O421" s="602" t="n"/>
      <c r="P421" s="284" t="n"/>
      <c r="Q421" s="461">
        <f>R421</f>
        <v/>
      </c>
      <c r="R421" s="227" t="n"/>
      <c r="S421" s="461">
        <f>Q421-R421</f>
        <v/>
      </c>
      <c r="T421" s="227" t="n"/>
      <c r="U421" s="461">
        <f>V421</f>
        <v/>
      </c>
      <c r="V421" s="227" t="n"/>
      <c r="W421" s="461">
        <f>U421-V421</f>
        <v/>
      </c>
      <c r="X421" s="227" t="n"/>
      <c r="Y421" s="461">
        <f>Z421</f>
        <v/>
      </c>
      <c r="Z421" s="227" t="n"/>
      <c r="AA421" s="461">
        <f>Y421-Z421</f>
        <v/>
      </c>
      <c r="AB421" s="227" t="n"/>
      <c r="AC421" s="461">
        <f>AD421</f>
        <v/>
      </c>
      <c r="AD421" s="227" t="n"/>
      <c r="AE421" s="461">
        <f>AC421-AD421</f>
        <v/>
      </c>
      <c r="AF421" s="227" t="n"/>
      <c r="AG421" s="461">
        <f>AH421</f>
        <v/>
      </c>
      <c r="AH421" s="227" t="n"/>
      <c r="AI421" s="461">
        <f>AG421-AH421</f>
        <v/>
      </c>
      <c r="AJ421" s="227" t="n"/>
      <c r="AK421" s="461">
        <f>AL421</f>
        <v/>
      </c>
      <c r="AL421" s="227" t="n"/>
      <c r="AM421" s="461">
        <f>AK421-AL421</f>
        <v/>
      </c>
      <c r="AN421" s="227" t="n"/>
      <c r="AO421" s="461">
        <f>AP421</f>
        <v/>
      </c>
      <c r="AP421" s="461" t="n"/>
      <c r="AQ421" s="461">
        <f>AO421-AP421</f>
        <v/>
      </c>
      <c r="AR421" s="247" t="n"/>
      <c r="AS421" s="461">
        <f>AT421</f>
        <v/>
      </c>
      <c r="AT421" s="227" t="n"/>
      <c r="AU421" s="461">
        <f>AS421-AT421</f>
        <v/>
      </c>
      <c r="AV421" s="284" t="n"/>
      <c r="AW421" s="461">
        <f>AX421</f>
        <v/>
      </c>
      <c r="AX421" s="227" t="n"/>
      <c r="AY421" s="461">
        <f>AW421-AX421</f>
        <v/>
      </c>
      <c r="AZ421" s="227" t="n"/>
      <c r="BA421" s="461">
        <f>BB421</f>
        <v/>
      </c>
      <c r="BB421" s="461" t="n"/>
      <c r="BC421" s="461">
        <f>BA421-BB421</f>
        <v/>
      </c>
      <c r="BD421" s="461" t="n"/>
      <c r="BE421" s="461">
        <f>BF421</f>
        <v/>
      </c>
      <c r="BF421" s="461" t="n"/>
      <c r="BG421" s="461">
        <f>BE421-BF421</f>
        <v/>
      </c>
      <c r="BH421" s="461" t="n"/>
      <c r="BI421" s="461">
        <f>BJ421</f>
        <v/>
      </c>
      <c r="BJ421" s="461" t="n"/>
      <c r="BK421" s="461">
        <f>BI421-BJ421</f>
        <v/>
      </c>
      <c r="BL421" s="461" t="n"/>
      <c r="BM421" s="220">
        <f>BN421</f>
        <v/>
      </c>
      <c r="BN421" s="220" t="n"/>
      <c r="BO421" s="220">
        <f>BM421-BN421</f>
        <v/>
      </c>
      <c r="BP421" s="220">
        <f>N421+Q421+U421+Y421+AC421+AG421+AK421+AO421+AS421+AW421+BA421+BE421+BI421+BM421</f>
        <v/>
      </c>
      <c r="BQ421" s="220">
        <f>N421+R421+V421+Z421+AD421+AH421+AL421+AP421+AT421+AX421+BB421+BF421+BJ421+BN421</f>
        <v/>
      </c>
      <c r="BR421" s="220">
        <f>BP421-BQ421</f>
        <v/>
      </c>
      <c r="BS421" s="377" t="n"/>
      <c r="BT421" s="378" t="n"/>
      <c r="BU421" s="297" t="n"/>
      <c r="BV421" s="230" t="n"/>
      <c r="BW421" s="534" t="n"/>
    </row>
    <row r="422" customFormat="1" s="210">
      <c r="A422" s="469" t="n"/>
      <c r="B422" s="220" t="inlineStr">
        <is>
          <t>补充</t>
        </is>
      </c>
      <c r="C422" s="221" t="inlineStr">
        <is>
          <t>餐饮三分部</t>
        </is>
      </c>
      <c r="D422" s="221" t="inlineStr">
        <is>
          <t>CF781</t>
        </is>
      </c>
      <c r="E422" s="221" t="inlineStr">
        <is>
          <t>苏食院第一学生食堂</t>
        </is>
      </c>
      <c r="F422" s="219" t="inlineStr">
        <is>
          <t>分组作业</t>
        </is>
      </c>
      <c r="G422" s="222" t="inlineStr">
        <is>
          <t>徐敏娟</t>
        </is>
      </c>
      <c r="H422" s="219" t="n"/>
      <c r="I422" s="237" t="inlineStr">
        <is>
          <t>匠心卤</t>
        </is>
      </c>
      <c r="J422" s="219" t="inlineStr">
        <is>
          <t>李小龙</t>
        </is>
      </c>
      <c r="K422" s="545">
        <f>LET(k,D422&amp;"|"&amp;E422&amp;"|"&amp;H422&amp;"|"&amp;I422&amp;"|"&amp;J422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22" s="546" t="n"/>
      <c r="M422" s="601" t="inlineStr">
        <is>
          <t>撤场，已结算</t>
        </is>
      </c>
      <c r="N422" s="253" t="n"/>
      <c r="O422" s="602" t="n"/>
      <c r="P422" s="284" t="n"/>
      <c r="Q422" s="461">
        <f>R422</f>
        <v/>
      </c>
      <c r="R422" s="227" t="n"/>
      <c r="S422" s="461">
        <f>Q422-R422</f>
        <v/>
      </c>
      <c r="T422" s="227" t="n"/>
      <c r="U422" s="461">
        <f>V422</f>
        <v/>
      </c>
      <c r="V422" s="227" t="n"/>
      <c r="W422" s="461">
        <f>U422-V422</f>
        <v/>
      </c>
      <c r="X422" s="227" t="n"/>
      <c r="Y422" s="461">
        <f>Z422</f>
        <v/>
      </c>
      <c r="Z422" s="227" t="n"/>
      <c r="AA422" s="461">
        <f>Y422-Z422</f>
        <v/>
      </c>
      <c r="AB422" s="227" t="n"/>
      <c r="AC422" s="461">
        <f>AD422</f>
        <v/>
      </c>
      <c r="AD422" s="227" t="n"/>
      <c r="AE422" s="461">
        <f>AC422-AD422</f>
        <v/>
      </c>
      <c r="AF422" s="227" t="n"/>
      <c r="AG422" s="461">
        <f>AH422</f>
        <v/>
      </c>
      <c r="AH422" s="227" t="n"/>
      <c r="AI422" s="461">
        <f>AG422-AH422</f>
        <v/>
      </c>
      <c r="AJ422" s="227" t="n"/>
      <c r="AK422" s="461">
        <f>AL422</f>
        <v/>
      </c>
      <c r="AL422" s="227" t="n"/>
      <c r="AM422" s="461">
        <f>AK422-AL422</f>
        <v/>
      </c>
      <c r="AN422" s="227" t="n"/>
      <c r="AO422" s="461">
        <f>AP422</f>
        <v/>
      </c>
      <c r="AP422" s="461" t="n"/>
      <c r="AQ422" s="461">
        <f>AO422-AP422</f>
        <v/>
      </c>
      <c r="AR422" s="247" t="n"/>
      <c r="AS422" s="461">
        <f>AT422</f>
        <v/>
      </c>
      <c r="AT422" s="227" t="n"/>
      <c r="AU422" s="461">
        <f>AS422-AT422</f>
        <v/>
      </c>
      <c r="AV422" s="284" t="n"/>
      <c r="AW422" s="461">
        <f>AX422</f>
        <v/>
      </c>
      <c r="AX422" s="227" t="n"/>
      <c r="AY422" s="461">
        <f>AW422-AX422</f>
        <v/>
      </c>
      <c r="AZ422" s="227" t="n"/>
      <c r="BA422" s="461">
        <f>BB422</f>
        <v/>
      </c>
      <c r="BB422" s="461" t="n"/>
      <c r="BC422" s="461">
        <f>BA422-BB422</f>
        <v/>
      </c>
      <c r="BD422" s="461" t="n"/>
      <c r="BE422" s="461">
        <f>BF422</f>
        <v/>
      </c>
      <c r="BF422" s="461" t="n"/>
      <c r="BG422" s="461">
        <f>BE422-BF422</f>
        <v/>
      </c>
      <c r="BH422" s="461" t="n"/>
      <c r="BI422" s="461">
        <f>BJ422</f>
        <v/>
      </c>
      <c r="BJ422" s="461" t="n"/>
      <c r="BK422" s="461">
        <f>BI422-BJ422</f>
        <v/>
      </c>
      <c r="BL422" s="461" t="n"/>
      <c r="BM422" s="220">
        <f>BN422</f>
        <v/>
      </c>
      <c r="BN422" s="220" t="n"/>
      <c r="BO422" s="220">
        <f>BM422-BN422</f>
        <v/>
      </c>
      <c r="BP422" s="220">
        <f>N422+Q422+U422+Y422+AC422+AG422+AK422+AO422+AS422+AW422+BA422+BE422+BI422+BM422</f>
        <v/>
      </c>
      <c r="BQ422" s="220">
        <f>N422+R422+V422+Z422+AD422+AH422+AL422+AP422+AT422+AX422+BB422+BF422+BJ422+BN422</f>
        <v/>
      </c>
      <c r="BR422" s="220">
        <f>BP422-BQ422</f>
        <v/>
      </c>
      <c r="BS422" s="377" t="n"/>
      <c r="BT422" s="378" t="n"/>
      <c r="BU422" s="297" t="n"/>
      <c r="BV422" s="230" t="n"/>
      <c r="BW422" s="534" t="n"/>
    </row>
    <row r="423" customFormat="1" s="210">
      <c r="A423" s="469" t="n"/>
      <c r="B423" s="220" t="inlineStr">
        <is>
          <t>补充</t>
        </is>
      </c>
      <c r="C423" s="221" t="inlineStr">
        <is>
          <t>餐饮三分部</t>
        </is>
      </c>
      <c r="D423" s="221" t="inlineStr">
        <is>
          <t>CF782</t>
        </is>
      </c>
      <c r="E423" s="221" t="inlineStr">
        <is>
          <t>苏食院第一学生食堂</t>
        </is>
      </c>
      <c r="F423" s="219" t="inlineStr">
        <is>
          <t>分组作业</t>
        </is>
      </c>
      <c r="G423" s="222" t="inlineStr">
        <is>
          <t>徐敏娟</t>
        </is>
      </c>
      <c r="H423" s="219" t="n"/>
      <c r="I423" s="237" t="inlineStr">
        <is>
          <t>兰州拉面</t>
        </is>
      </c>
      <c r="J423" s="219" t="inlineStr">
        <is>
          <t>海贵云</t>
        </is>
      </c>
      <c r="K423" s="545">
        <f>LET(k,D423&amp;"|"&amp;E423&amp;"|"&amp;H423&amp;"|"&amp;I423&amp;"|"&amp;J423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23" s="546" t="n"/>
      <c r="M423" s="601" t="inlineStr">
        <is>
          <t>撤场，已结算</t>
        </is>
      </c>
      <c r="N423" s="253" t="n"/>
      <c r="O423" s="602" t="n"/>
      <c r="P423" s="284" t="n"/>
      <c r="Q423" s="461">
        <f>R423</f>
        <v/>
      </c>
      <c r="R423" s="227" t="n"/>
      <c r="S423" s="461">
        <f>Q423-R423</f>
        <v/>
      </c>
      <c r="T423" s="227" t="n"/>
      <c r="U423" s="461">
        <f>V423</f>
        <v/>
      </c>
      <c r="V423" s="227" t="n"/>
      <c r="W423" s="461">
        <f>U423-V423</f>
        <v/>
      </c>
      <c r="X423" s="227" t="n"/>
      <c r="Y423" s="461">
        <f>Z423</f>
        <v/>
      </c>
      <c r="Z423" s="227" t="n"/>
      <c r="AA423" s="461">
        <f>Y423-Z423</f>
        <v/>
      </c>
      <c r="AB423" s="227" t="n"/>
      <c r="AC423" s="461">
        <f>AD423</f>
        <v/>
      </c>
      <c r="AD423" s="227" t="n"/>
      <c r="AE423" s="461">
        <f>AC423-AD423</f>
        <v/>
      </c>
      <c r="AF423" s="227" t="n"/>
      <c r="AG423" s="461">
        <f>AH423</f>
        <v/>
      </c>
      <c r="AH423" s="227" t="n"/>
      <c r="AI423" s="461">
        <f>AG423-AH423</f>
        <v/>
      </c>
      <c r="AJ423" s="227" t="n"/>
      <c r="AK423" s="461">
        <f>AL423</f>
        <v/>
      </c>
      <c r="AL423" s="227" t="n"/>
      <c r="AM423" s="461">
        <f>AK423-AL423</f>
        <v/>
      </c>
      <c r="AN423" s="227" t="n"/>
      <c r="AO423" s="461">
        <f>AP423</f>
        <v/>
      </c>
      <c r="AP423" s="461" t="n"/>
      <c r="AQ423" s="461">
        <f>AO423-AP423</f>
        <v/>
      </c>
      <c r="AR423" s="247" t="n"/>
      <c r="AS423" s="461">
        <f>AT423</f>
        <v/>
      </c>
      <c r="AT423" s="227" t="n"/>
      <c r="AU423" s="461">
        <f>AS423-AT423</f>
        <v/>
      </c>
      <c r="AV423" s="284" t="n"/>
      <c r="AW423" s="461">
        <f>AX423</f>
        <v/>
      </c>
      <c r="AX423" s="227" t="n"/>
      <c r="AY423" s="461">
        <f>AW423-AX423</f>
        <v/>
      </c>
      <c r="AZ423" s="227" t="n"/>
      <c r="BA423" s="461">
        <f>BB423</f>
        <v/>
      </c>
      <c r="BB423" s="461" t="n"/>
      <c r="BC423" s="461">
        <f>BA423-BB423</f>
        <v/>
      </c>
      <c r="BD423" s="461" t="n"/>
      <c r="BE423" s="461">
        <f>BF423</f>
        <v/>
      </c>
      <c r="BF423" s="461" t="n"/>
      <c r="BG423" s="461">
        <f>BE423-BF423</f>
        <v/>
      </c>
      <c r="BH423" s="461" t="n"/>
      <c r="BI423" s="461">
        <f>BJ423</f>
        <v/>
      </c>
      <c r="BJ423" s="461" t="n"/>
      <c r="BK423" s="461">
        <f>BI423-BJ423</f>
        <v/>
      </c>
      <c r="BL423" s="461" t="n"/>
      <c r="BM423" s="220">
        <f>BN423</f>
        <v/>
      </c>
      <c r="BN423" s="220" t="n"/>
      <c r="BO423" s="220">
        <f>BM423-BN423</f>
        <v/>
      </c>
      <c r="BP423" s="220">
        <f>N423+Q423+U423+Y423+AC423+AG423+AK423+AO423+AS423+AW423+BA423+BE423+BI423+BM423</f>
        <v/>
      </c>
      <c r="BQ423" s="220">
        <f>N423+R423+V423+Z423+AD423+AH423+AL423+AP423+AT423+AX423+BB423+BF423+BJ423+BN423</f>
        <v/>
      </c>
      <c r="BR423" s="220">
        <f>BP423-BQ423</f>
        <v/>
      </c>
      <c r="BS423" s="377" t="n"/>
      <c r="BT423" s="378" t="n"/>
      <c r="BU423" s="297" t="n"/>
      <c r="BV423" s="230" t="n"/>
      <c r="BW423" s="534" t="n"/>
    </row>
    <row r="424" customFormat="1" s="210">
      <c r="A424" s="469" t="n"/>
      <c r="B424" s="220" t="inlineStr">
        <is>
          <t>补充</t>
        </is>
      </c>
      <c r="C424" s="221" t="inlineStr">
        <is>
          <t>餐饮三分部</t>
        </is>
      </c>
      <c r="D424" s="221" t="inlineStr">
        <is>
          <t>CF783</t>
        </is>
      </c>
      <c r="E424" s="221" t="inlineStr">
        <is>
          <t>苏食院第一学生食堂</t>
        </is>
      </c>
      <c r="F424" s="219" t="inlineStr">
        <is>
          <t>分组作业</t>
        </is>
      </c>
      <c r="G424" s="222" t="inlineStr">
        <is>
          <t>徐敏娟</t>
        </is>
      </c>
      <c r="H424" s="219" t="n"/>
      <c r="I424" s="237" t="inlineStr">
        <is>
          <t>铁板烧</t>
        </is>
      </c>
      <c r="J424" s="219" t="inlineStr">
        <is>
          <t>葛莹</t>
        </is>
      </c>
      <c r="K424" s="545">
        <f>LET(k,D424&amp;"|"&amp;E424&amp;"|"&amp;H424&amp;"|"&amp;I424&amp;"|"&amp;J424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24" s="546" t="n"/>
      <c r="M424" s="601" t="inlineStr">
        <is>
          <t>撤场，已结算</t>
        </is>
      </c>
      <c r="N424" s="253" t="n"/>
      <c r="O424" s="602" t="n"/>
      <c r="P424" s="284" t="n"/>
      <c r="Q424" s="461">
        <f>R424</f>
        <v/>
      </c>
      <c r="R424" s="227" t="n"/>
      <c r="S424" s="461">
        <f>Q424-R424</f>
        <v/>
      </c>
      <c r="T424" s="227" t="n"/>
      <c r="U424" s="461">
        <f>V424</f>
        <v/>
      </c>
      <c r="V424" s="227" t="n"/>
      <c r="W424" s="461">
        <f>U424-V424</f>
        <v/>
      </c>
      <c r="X424" s="227" t="n"/>
      <c r="Y424" s="461">
        <f>Z424</f>
        <v/>
      </c>
      <c r="Z424" s="227" t="n"/>
      <c r="AA424" s="461">
        <f>Y424-Z424</f>
        <v/>
      </c>
      <c r="AB424" s="227" t="n"/>
      <c r="AC424" s="461">
        <f>AD424</f>
        <v/>
      </c>
      <c r="AD424" s="227" t="n"/>
      <c r="AE424" s="461">
        <f>AC424-AD424</f>
        <v/>
      </c>
      <c r="AF424" s="227" t="n"/>
      <c r="AG424" s="461">
        <f>AH424</f>
        <v/>
      </c>
      <c r="AH424" s="227" t="n"/>
      <c r="AI424" s="461">
        <f>AG424-AH424</f>
        <v/>
      </c>
      <c r="AJ424" s="227" t="n"/>
      <c r="AK424" s="461">
        <f>AL424</f>
        <v/>
      </c>
      <c r="AL424" s="227" t="n"/>
      <c r="AM424" s="461">
        <f>AK424-AL424</f>
        <v/>
      </c>
      <c r="AN424" s="227" t="n"/>
      <c r="AO424" s="461">
        <f>AP424</f>
        <v/>
      </c>
      <c r="AP424" s="461" t="n"/>
      <c r="AQ424" s="461">
        <f>AO424-AP424</f>
        <v/>
      </c>
      <c r="AR424" s="247" t="n"/>
      <c r="AS424" s="461">
        <f>AT424</f>
        <v/>
      </c>
      <c r="AT424" s="227" t="n"/>
      <c r="AU424" s="461">
        <f>AS424-AT424</f>
        <v/>
      </c>
      <c r="AV424" s="284" t="n"/>
      <c r="AW424" s="461">
        <f>AX424</f>
        <v/>
      </c>
      <c r="AX424" s="227" t="n"/>
      <c r="AY424" s="461">
        <f>AW424-AX424</f>
        <v/>
      </c>
      <c r="AZ424" s="227" t="n"/>
      <c r="BA424" s="461">
        <f>BB424</f>
        <v/>
      </c>
      <c r="BB424" s="461" t="n"/>
      <c r="BC424" s="461">
        <f>BA424-BB424</f>
        <v/>
      </c>
      <c r="BD424" s="461" t="n"/>
      <c r="BE424" s="461">
        <f>BF424</f>
        <v/>
      </c>
      <c r="BF424" s="461" t="n"/>
      <c r="BG424" s="461">
        <f>BE424-BF424</f>
        <v/>
      </c>
      <c r="BH424" s="461" t="n"/>
      <c r="BI424" s="461">
        <f>BJ424</f>
        <v/>
      </c>
      <c r="BJ424" s="461" t="n"/>
      <c r="BK424" s="461">
        <f>BI424-BJ424</f>
        <v/>
      </c>
      <c r="BL424" s="461" t="n"/>
      <c r="BM424" s="220">
        <f>BN424</f>
        <v/>
      </c>
      <c r="BN424" s="220" t="n"/>
      <c r="BO424" s="220">
        <f>BM424-BN424</f>
        <v/>
      </c>
      <c r="BP424" s="220">
        <f>N424+Q424+U424+Y424+AC424+AG424+AK424+AO424+AS424+AW424+BA424+BE424+BI424+BM424</f>
        <v/>
      </c>
      <c r="BQ424" s="220">
        <f>N424+R424+V424+Z424+AD424+AH424+AL424+AP424+AT424+AX424+BB424+BF424+BJ424+BN424</f>
        <v/>
      </c>
      <c r="BR424" s="220">
        <f>BP424-BQ424</f>
        <v/>
      </c>
      <c r="BS424" s="377" t="n"/>
      <c r="BT424" s="378" t="n"/>
      <c r="BU424" s="297" t="n"/>
      <c r="BV424" s="230" t="n"/>
      <c r="BW424" s="534" t="n"/>
    </row>
    <row r="425" customFormat="1" s="210">
      <c r="A425" s="469" t="n"/>
      <c r="B425" s="220" t="inlineStr">
        <is>
          <t>补充</t>
        </is>
      </c>
      <c r="C425" s="221" t="inlineStr">
        <is>
          <t>餐饮三分部</t>
        </is>
      </c>
      <c r="D425" s="221" t="inlineStr">
        <is>
          <t>CF784</t>
        </is>
      </c>
      <c r="E425" s="221" t="inlineStr">
        <is>
          <t>苏食院第一学生食堂</t>
        </is>
      </c>
      <c r="F425" s="219" t="inlineStr">
        <is>
          <t>分组作业</t>
        </is>
      </c>
      <c r="G425" s="222" t="inlineStr">
        <is>
          <t>徐敏娟</t>
        </is>
      </c>
      <c r="H425" s="219" t="n"/>
      <c r="I425" s="237" t="inlineStr">
        <is>
          <t>酸菜鱼</t>
        </is>
      </c>
      <c r="J425" s="219" t="inlineStr">
        <is>
          <t>赵良保</t>
        </is>
      </c>
      <c r="K425" s="545">
        <f>LET(k,D425&amp;"|"&amp;E425&amp;"|"&amp;H425&amp;"|"&amp;I425&amp;"|"&amp;J425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25" s="546" t="n"/>
      <c r="M425" s="601" t="inlineStr">
        <is>
          <t>撤场，已结算</t>
        </is>
      </c>
      <c r="N425" s="253" t="n"/>
      <c r="O425" s="602" t="n"/>
      <c r="P425" s="284" t="n"/>
      <c r="Q425" s="461">
        <f>R425</f>
        <v/>
      </c>
      <c r="R425" s="227" t="n"/>
      <c r="S425" s="461">
        <f>Q425-R425</f>
        <v/>
      </c>
      <c r="T425" s="227" t="n"/>
      <c r="U425" s="461">
        <f>V425</f>
        <v/>
      </c>
      <c r="V425" s="227" t="n"/>
      <c r="W425" s="461">
        <f>U425-V425</f>
        <v/>
      </c>
      <c r="X425" s="227" t="n"/>
      <c r="Y425" s="461">
        <f>Z425</f>
        <v/>
      </c>
      <c r="Z425" s="227" t="n"/>
      <c r="AA425" s="461">
        <f>Y425-Z425</f>
        <v/>
      </c>
      <c r="AB425" s="227" t="n"/>
      <c r="AC425" s="461">
        <f>AD425</f>
        <v/>
      </c>
      <c r="AD425" s="227" t="n"/>
      <c r="AE425" s="461">
        <f>AC425-AD425</f>
        <v/>
      </c>
      <c r="AF425" s="227" t="n"/>
      <c r="AG425" s="461">
        <f>AH425</f>
        <v/>
      </c>
      <c r="AH425" s="227" t="n"/>
      <c r="AI425" s="461">
        <f>AG425-AH425</f>
        <v/>
      </c>
      <c r="AJ425" s="227" t="n"/>
      <c r="AK425" s="461">
        <f>AL425</f>
        <v/>
      </c>
      <c r="AL425" s="227" t="n"/>
      <c r="AM425" s="461">
        <f>AK425-AL425</f>
        <v/>
      </c>
      <c r="AN425" s="227" t="n"/>
      <c r="AO425" s="461">
        <f>AP425</f>
        <v/>
      </c>
      <c r="AP425" s="461" t="n"/>
      <c r="AQ425" s="461">
        <f>AO425-AP425</f>
        <v/>
      </c>
      <c r="AR425" s="247" t="n"/>
      <c r="AS425" s="461">
        <f>AT425</f>
        <v/>
      </c>
      <c r="AT425" s="227" t="n"/>
      <c r="AU425" s="461">
        <f>AS425-AT425</f>
        <v/>
      </c>
      <c r="AV425" s="284" t="n"/>
      <c r="AW425" s="461">
        <f>AX425</f>
        <v/>
      </c>
      <c r="AX425" s="227" t="n"/>
      <c r="AY425" s="461">
        <f>AW425-AX425</f>
        <v/>
      </c>
      <c r="AZ425" s="227" t="n"/>
      <c r="BA425" s="461">
        <f>BB425</f>
        <v/>
      </c>
      <c r="BB425" s="461" t="n"/>
      <c r="BC425" s="461">
        <f>BA425-BB425</f>
        <v/>
      </c>
      <c r="BD425" s="461" t="n"/>
      <c r="BE425" s="461">
        <f>BF425</f>
        <v/>
      </c>
      <c r="BF425" s="461" t="n"/>
      <c r="BG425" s="461">
        <f>BE425-BF425</f>
        <v/>
      </c>
      <c r="BH425" s="461" t="n"/>
      <c r="BI425" s="461">
        <f>BJ425</f>
        <v/>
      </c>
      <c r="BJ425" s="461" t="n"/>
      <c r="BK425" s="461">
        <f>BI425-BJ425</f>
        <v/>
      </c>
      <c r="BL425" s="461" t="n"/>
      <c r="BM425" s="220">
        <f>BN425</f>
        <v/>
      </c>
      <c r="BN425" s="220" t="n"/>
      <c r="BO425" s="220">
        <f>BM425-BN425</f>
        <v/>
      </c>
      <c r="BP425" s="220">
        <f>N425+Q425+U425+Y425+AC425+AG425+AK425+AO425+AS425+AW425+BA425+BE425+BI425+BM425</f>
        <v/>
      </c>
      <c r="BQ425" s="220">
        <f>N425+R425+V425+Z425+AD425+AH425+AL425+AP425+AT425+AX425+BB425+BF425+BJ425+BN425</f>
        <v/>
      </c>
      <c r="BR425" s="220">
        <f>BP425-BQ425</f>
        <v/>
      </c>
      <c r="BS425" s="377" t="n"/>
      <c r="BT425" s="378" t="n"/>
      <c r="BU425" s="297" t="n"/>
      <c r="BV425" s="230" t="n"/>
      <c r="BW425" s="534" t="n"/>
    </row>
    <row r="426" customFormat="1" s="210">
      <c r="A426" s="469" t="n"/>
      <c r="B426" s="220" t="inlineStr">
        <is>
          <t>补充</t>
        </is>
      </c>
      <c r="C426" s="221" t="inlineStr">
        <is>
          <t>餐饮三分部</t>
        </is>
      </c>
      <c r="D426" s="221" t="inlineStr">
        <is>
          <t>CF785</t>
        </is>
      </c>
      <c r="E426" s="221" t="inlineStr">
        <is>
          <t>苏食院第一学生食堂</t>
        </is>
      </c>
      <c r="F426" s="219" t="inlineStr">
        <is>
          <t>分组作业</t>
        </is>
      </c>
      <c r="G426" s="222" t="inlineStr">
        <is>
          <t>徐敏娟</t>
        </is>
      </c>
      <c r="H426" s="219" t="n"/>
      <c r="I426" s="237" t="inlineStr">
        <is>
          <t>麻辣烫</t>
        </is>
      </c>
      <c r="J426" s="219" t="inlineStr">
        <is>
          <t>陈军</t>
        </is>
      </c>
      <c r="K426" s="545">
        <f>LET(k,D426&amp;"|"&amp;E426&amp;"|"&amp;H426&amp;"|"&amp;I426&amp;"|"&amp;J426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26" s="546" t="n"/>
      <c r="M426" s="601" t="inlineStr">
        <is>
          <t>撤场，已结算</t>
        </is>
      </c>
      <c r="N426" s="253" t="n"/>
      <c r="O426" s="602" t="n"/>
      <c r="P426" s="284" t="n"/>
      <c r="Q426" s="461">
        <f>R426</f>
        <v/>
      </c>
      <c r="R426" s="227" t="n"/>
      <c r="S426" s="461">
        <f>Q426-R426</f>
        <v/>
      </c>
      <c r="T426" s="227" t="n"/>
      <c r="U426" s="461">
        <f>V426</f>
        <v/>
      </c>
      <c r="V426" s="227" t="n"/>
      <c r="W426" s="461">
        <f>U426-V426</f>
        <v/>
      </c>
      <c r="X426" s="227" t="n"/>
      <c r="Y426" s="461">
        <f>Z426</f>
        <v/>
      </c>
      <c r="Z426" s="227" t="n"/>
      <c r="AA426" s="461">
        <f>Y426-Z426</f>
        <v/>
      </c>
      <c r="AB426" s="227" t="n"/>
      <c r="AC426" s="461">
        <f>AD426</f>
        <v/>
      </c>
      <c r="AD426" s="227" t="n"/>
      <c r="AE426" s="461">
        <f>AC426-AD426</f>
        <v/>
      </c>
      <c r="AF426" s="227" t="n"/>
      <c r="AG426" s="461">
        <f>AH426</f>
        <v/>
      </c>
      <c r="AH426" s="227" t="n"/>
      <c r="AI426" s="461">
        <f>AG426-AH426</f>
        <v/>
      </c>
      <c r="AJ426" s="227" t="n"/>
      <c r="AK426" s="461">
        <f>AL426</f>
        <v/>
      </c>
      <c r="AL426" s="227" t="n"/>
      <c r="AM426" s="461">
        <f>AK426-AL426</f>
        <v/>
      </c>
      <c r="AN426" s="227" t="n"/>
      <c r="AO426" s="461">
        <f>AP426</f>
        <v/>
      </c>
      <c r="AP426" s="461" t="n"/>
      <c r="AQ426" s="461">
        <f>AO426-AP426</f>
        <v/>
      </c>
      <c r="AR426" s="247" t="n"/>
      <c r="AS426" s="461">
        <f>AT426</f>
        <v/>
      </c>
      <c r="AT426" s="227" t="n"/>
      <c r="AU426" s="461">
        <f>AS426-AT426</f>
        <v/>
      </c>
      <c r="AV426" s="284" t="n"/>
      <c r="AW426" s="461">
        <f>AX426</f>
        <v/>
      </c>
      <c r="AX426" s="227" t="n"/>
      <c r="AY426" s="461">
        <f>AW426-AX426</f>
        <v/>
      </c>
      <c r="AZ426" s="227" t="n"/>
      <c r="BA426" s="461">
        <f>BB426</f>
        <v/>
      </c>
      <c r="BB426" s="461" t="n"/>
      <c r="BC426" s="461">
        <f>BA426-BB426</f>
        <v/>
      </c>
      <c r="BD426" s="461" t="n"/>
      <c r="BE426" s="461">
        <f>BF426</f>
        <v/>
      </c>
      <c r="BF426" s="461" t="n"/>
      <c r="BG426" s="461">
        <f>BE426-BF426</f>
        <v/>
      </c>
      <c r="BH426" s="461" t="n"/>
      <c r="BI426" s="461">
        <f>BJ426</f>
        <v/>
      </c>
      <c r="BJ426" s="461" t="n"/>
      <c r="BK426" s="461">
        <f>BI426-BJ426</f>
        <v/>
      </c>
      <c r="BL426" s="461" t="n"/>
      <c r="BM426" s="220">
        <f>BN426</f>
        <v/>
      </c>
      <c r="BN426" s="220" t="n"/>
      <c r="BO426" s="220">
        <f>BM426-BN426</f>
        <v/>
      </c>
      <c r="BP426" s="220">
        <f>N426+Q426+U426+Y426+AC426+AG426+AK426+AO426+AS426+AW426+BA426+BE426+BI426+BM426</f>
        <v/>
      </c>
      <c r="BQ426" s="220">
        <f>N426+R426+V426+Z426+AD426+AH426+AL426+AP426+AT426+AX426+BB426+BF426+BJ426+BN426</f>
        <v/>
      </c>
      <c r="BR426" s="220">
        <f>BP426-BQ426</f>
        <v/>
      </c>
      <c r="BS426" s="377" t="n"/>
      <c r="BT426" s="378" t="n"/>
      <c r="BU426" s="297" t="n"/>
      <c r="BV426" s="230" t="n"/>
      <c r="BW426" s="534" t="n"/>
    </row>
    <row r="427" ht="24" customFormat="1" customHeight="1" s="210">
      <c r="A427" s="469" t="n"/>
      <c r="B427" s="220" t="inlineStr">
        <is>
          <t>补充</t>
        </is>
      </c>
      <c r="C427" s="221" t="inlineStr">
        <is>
          <t>餐饮三分部</t>
        </is>
      </c>
      <c r="D427" s="221" t="inlineStr">
        <is>
          <t>CF276</t>
        </is>
      </c>
      <c r="E427" s="242" t="inlineStr">
        <is>
          <t>苏州经贸二食堂</t>
        </is>
      </c>
      <c r="F427" s="219" t="inlineStr">
        <is>
          <t>分组作业</t>
        </is>
      </c>
      <c r="G427" s="243" t="inlineStr">
        <is>
          <t>郑虎</t>
        </is>
      </c>
      <c r="H427" s="219" t="inlineStr">
        <is>
          <t>已撤场</t>
        </is>
      </c>
      <c r="I427" s="237" t="inlineStr">
        <is>
          <t>千里香</t>
        </is>
      </c>
      <c r="J427" s="219" t="inlineStr">
        <is>
          <t>戴国强</t>
        </is>
      </c>
      <c r="K427" s="545">
        <f>LET(k,D427&amp;"|"&amp;E427&amp;"|"&amp;H427&amp;"|"&amp;I427&amp;"|"&amp;J427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27" s="546" t="n"/>
      <c r="M427" s="601" t="inlineStr">
        <is>
          <t>已撤场，已支付</t>
        </is>
      </c>
      <c r="N427" s="253" t="n"/>
      <c r="O427" s="602" t="n"/>
      <c r="P427" s="284" t="n"/>
      <c r="Q427" s="461">
        <f>K427*P427</f>
        <v/>
      </c>
      <c r="R427" s="227" t="n"/>
      <c r="S427" s="461">
        <f>Q427-R427</f>
        <v/>
      </c>
      <c r="T427" s="227" t="n"/>
      <c r="U427" s="461">
        <f>K427*T427</f>
        <v/>
      </c>
      <c r="V427" s="227" t="n"/>
      <c r="W427" s="461">
        <f>U427-V427</f>
        <v/>
      </c>
      <c r="X427" s="227" t="n"/>
      <c r="Y427" s="461">
        <f>K427*X427</f>
        <v/>
      </c>
      <c r="Z427" s="227" t="n"/>
      <c r="AA427" s="461">
        <f>Y427-Z427</f>
        <v/>
      </c>
      <c r="AB427" s="227" t="n"/>
      <c r="AC427" s="461">
        <f>K427*AB427</f>
        <v/>
      </c>
      <c r="AD427" s="227" t="n"/>
      <c r="AE427" s="461">
        <f>AC427-AD427</f>
        <v/>
      </c>
      <c r="AF427" s="227" t="n"/>
      <c r="AG427" s="461">
        <f>K427*AF427</f>
        <v/>
      </c>
      <c r="AH427" s="227" t="n"/>
      <c r="AI427" s="461">
        <f>AG427-AH427</f>
        <v/>
      </c>
      <c r="AJ427" s="227" t="n"/>
      <c r="AK427" s="461">
        <f>K427*AJ427</f>
        <v/>
      </c>
      <c r="AL427" s="227" t="n"/>
      <c r="AM427" s="461">
        <f>AK427-AL427</f>
        <v/>
      </c>
      <c r="AN427" s="227" t="n"/>
      <c r="AO427" s="461">
        <f>K427*AN427</f>
        <v/>
      </c>
      <c r="AP427" s="461" t="n"/>
      <c r="AQ427" s="461">
        <f>AO427-AP427</f>
        <v/>
      </c>
      <c r="AR427" s="247" t="n"/>
      <c r="AS427" s="461">
        <f>K427*AR427</f>
        <v/>
      </c>
      <c r="AT427" s="227" t="n"/>
      <c r="AU427" s="461">
        <f>AS427-AT427</f>
        <v/>
      </c>
      <c r="AV427" s="284" t="n"/>
      <c r="AW427" s="461">
        <f>K427*AV427</f>
        <v/>
      </c>
      <c r="AX427" s="227" t="n"/>
      <c r="AY427" s="461">
        <f>AW427-AX427</f>
        <v/>
      </c>
      <c r="AZ427" s="227" t="n"/>
      <c r="BA427" s="461">
        <f>K427*AZ427</f>
        <v/>
      </c>
      <c r="BB427" s="461" t="n"/>
      <c r="BC427" s="461">
        <f>BA427-BB427</f>
        <v/>
      </c>
      <c r="BD427" s="461" t="n"/>
      <c r="BE427" s="461">
        <f>K427*BD427</f>
        <v/>
      </c>
      <c r="BF427" s="461" t="n"/>
      <c r="BG427" s="461">
        <f>BE427-BF427</f>
        <v/>
      </c>
      <c r="BH427" s="461" t="n"/>
      <c r="BI427" s="461">
        <f>K427*BH427</f>
        <v/>
      </c>
      <c r="BJ427" s="461" t="n"/>
      <c r="BK427" s="461">
        <f>BI427-BJ427</f>
        <v/>
      </c>
      <c r="BL427" s="461" t="n"/>
      <c r="BM427" s="220">
        <f>K427*BL427</f>
        <v/>
      </c>
      <c r="BN427" s="220" t="n"/>
      <c r="BO427" s="220">
        <f>BM427-BN427</f>
        <v/>
      </c>
      <c r="BP427" s="220">
        <f>N427+Q427+U427+Y427+AC427+AG427+AK427+AO427+AS427+AW427+BA427+BE427+BI427+BM427</f>
        <v/>
      </c>
      <c r="BQ427" s="220">
        <f>N427+R427+V427+Z427+AD427+AH427+AL427+AP427+AT427+AX427+BB427+BF427+BJ427+BN427</f>
        <v/>
      </c>
      <c r="BR427" s="220">
        <f>BP427-BQ427</f>
        <v/>
      </c>
      <c r="BS427" s="377" t="n"/>
      <c r="BT427" s="378" t="n"/>
      <c r="BU427" s="297" t="n"/>
      <c r="BV427" s="230" t="n"/>
      <c r="BW427" s="534" t="n"/>
    </row>
    <row r="428" ht="24" customFormat="1" customHeight="1" s="210">
      <c r="A428" s="469" t="n"/>
      <c r="B428" s="220" t="inlineStr">
        <is>
          <t>补充</t>
        </is>
      </c>
      <c r="C428" s="221" t="inlineStr">
        <is>
          <t>餐饮三分部</t>
        </is>
      </c>
      <c r="D428" s="221" t="inlineStr">
        <is>
          <t>CF276</t>
        </is>
      </c>
      <c r="E428" s="242" t="inlineStr">
        <is>
          <t>苏州经贸二食堂</t>
        </is>
      </c>
      <c r="F428" s="219" t="inlineStr">
        <is>
          <t>分组作业</t>
        </is>
      </c>
      <c r="G428" s="243" t="inlineStr">
        <is>
          <t>郑虎</t>
        </is>
      </c>
      <c r="H428" s="219" t="inlineStr">
        <is>
          <t>已撤场</t>
        </is>
      </c>
      <c r="I428" s="237" t="inlineStr">
        <is>
          <t>五谷鱼粉</t>
        </is>
      </c>
      <c r="J428" s="219" t="inlineStr">
        <is>
          <t>徐亮</t>
        </is>
      </c>
      <c r="K428" s="545">
        <f>LET(k,D428&amp;"|"&amp;E428&amp;"|"&amp;H428&amp;"|"&amp;I428&amp;"|"&amp;J428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28" s="546" t="n"/>
      <c r="M428" s="601" t="inlineStr">
        <is>
          <t>已撤场，已支付</t>
        </is>
      </c>
      <c r="N428" s="253" t="n"/>
      <c r="O428" s="602" t="n"/>
      <c r="P428" s="284" t="n"/>
      <c r="Q428" s="461">
        <f>K428*P428</f>
        <v/>
      </c>
      <c r="R428" s="227" t="n"/>
      <c r="S428" s="461">
        <f>Q428-R428</f>
        <v/>
      </c>
      <c r="T428" s="227" t="n"/>
      <c r="U428" s="461">
        <f>K428*T428</f>
        <v/>
      </c>
      <c r="V428" s="227" t="n"/>
      <c r="W428" s="461">
        <f>U428-V428</f>
        <v/>
      </c>
      <c r="X428" s="227" t="n"/>
      <c r="Y428" s="461">
        <f>K428*X428</f>
        <v/>
      </c>
      <c r="Z428" s="227" t="n"/>
      <c r="AA428" s="461">
        <f>Y428-Z428</f>
        <v/>
      </c>
      <c r="AB428" s="227" t="n"/>
      <c r="AC428" s="461">
        <f>K428*AB428</f>
        <v/>
      </c>
      <c r="AD428" s="227" t="n"/>
      <c r="AE428" s="461">
        <f>AC428-AD428</f>
        <v/>
      </c>
      <c r="AF428" s="227" t="n"/>
      <c r="AG428" s="461">
        <f>K428*AF428</f>
        <v/>
      </c>
      <c r="AH428" s="227" t="n"/>
      <c r="AI428" s="461">
        <f>AG428-AH428</f>
        <v/>
      </c>
      <c r="AJ428" s="227" t="n"/>
      <c r="AK428" s="461">
        <f>K428*AJ428</f>
        <v/>
      </c>
      <c r="AL428" s="227" t="n"/>
      <c r="AM428" s="461">
        <f>AK428-AL428</f>
        <v/>
      </c>
      <c r="AN428" s="227" t="n"/>
      <c r="AO428" s="461">
        <f>K428*AN428</f>
        <v/>
      </c>
      <c r="AP428" s="461" t="n"/>
      <c r="AQ428" s="461">
        <f>AO428-AP428</f>
        <v/>
      </c>
      <c r="AR428" s="247" t="n"/>
      <c r="AS428" s="461">
        <f>K428*AR428</f>
        <v/>
      </c>
      <c r="AT428" s="227" t="n"/>
      <c r="AU428" s="461">
        <f>AS428-AT428</f>
        <v/>
      </c>
      <c r="AV428" s="284" t="n"/>
      <c r="AW428" s="461">
        <f>K428*AV428</f>
        <v/>
      </c>
      <c r="AX428" s="227" t="n"/>
      <c r="AY428" s="461">
        <f>AW428-AX428</f>
        <v/>
      </c>
      <c r="AZ428" s="227" t="n"/>
      <c r="BA428" s="461">
        <f>K428*AZ428</f>
        <v/>
      </c>
      <c r="BB428" s="461" t="n"/>
      <c r="BC428" s="461">
        <f>BA428-BB428</f>
        <v/>
      </c>
      <c r="BD428" s="461" t="n"/>
      <c r="BE428" s="461">
        <f>K428*BD428</f>
        <v/>
      </c>
      <c r="BF428" s="461" t="n"/>
      <c r="BG428" s="461">
        <f>BE428-BF428</f>
        <v/>
      </c>
      <c r="BH428" s="461" t="n"/>
      <c r="BI428" s="461">
        <f>K428*BH428</f>
        <v/>
      </c>
      <c r="BJ428" s="461" t="n"/>
      <c r="BK428" s="461">
        <f>BI428-BJ428</f>
        <v/>
      </c>
      <c r="BL428" s="461" t="n"/>
      <c r="BM428" s="220">
        <f>K428*BL428</f>
        <v/>
      </c>
      <c r="BN428" s="220" t="n"/>
      <c r="BO428" s="220">
        <f>BM428-BN428</f>
        <v/>
      </c>
      <c r="BP428" s="220">
        <f>N428+Q428+U428+Y428+AC428+AG428+AK428+AO428+AS428+AW428+BA428+BE428+BI428+BM428</f>
        <v/>
      </c>
      <c r="BQ428" s="220">
        <f>N428+R428+V428+Z428+AD428+AH428+AL428+AP428+AT428+AX428+BB428+BF428+BJ428+BN428</f>
        <v/>
      </c>
      <c r="BR428" s="220">
        <f>BP428-BQ428</f>
        <v/>
      </c>
      <c r="BS428" s="377" t="n"/>
      <c r="BT428" s="378" t="n"/>
      <c r="BU428" s="297" t="n"/>
      <c r="BV428" s="230" t="n"/>
      <c r="BW428" s="534" t="n"/>
    </row>
    <row r="429" ht="48" customFormat="1" customHeight="1" s="210">
      <c r="A429" s="469" t="n"/>
      <c r="B429" s="220" t="inlineStr">
        <is>
          <t>补充</t>
        </is>
      </c>
      <c r="C429" s="221" t="inlineStr">
        <is>
          <t>餐饮五分部</t>
        </is>
      </c>
      <c r="D429" s="221" t="inlineStr">
        <is>
          <t>CF108</t>
        </is>
      </c>
      <c r="E429" s="221" t="inlineStr">
        <is>
          <t>苏大北区六食堂</t>
        </is>
      </c>
      <c r="F429" s="219" t="inlineStr">
        <is>
          <t>分组作业</t>
        </is>
      </c>
      <c r="G429" s="222" t="inlineStr">
        <is>
          <t>卫屹</t>
        </is>
      </c>
      <c r="H429" s="219" t="n"/>
      <c r="I429" s="237" t="inlineStr">
        <is>
          <t>脆皮鸭</t>
        </is>
      </c>
      <c r="J429" s="219" t="inlineStr">
        <is>
          <t>刘立强</t>
        </is>
      </c>
      <c r="K429" s="545">
        <f>LET(k,D429&amp;"|"&amp;E429&amp;"|"&amp;H429&amp;"|"&amp;I429&amp;"|"&amp;J429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29" s="546" t="n"/>
      <c r="M429" s="601" t="inlineStr">
        <is>
          <t>已撤场，2025.11月-2026.1月绩效未结算</t>
        </is>
      </c>
      <c r="N429" s="394" t="n"/>
      <c r="O429" s="602" t="n"/>
      <c r="P429" s="284" t="n"/>
      <c r="Q429" s="461">
        <f>K429*P429</f>
        <v/>
      </c>
      <c r="R429" s="227" t="n"/>
      <c r="S429" s="461">
        <f>Q429-R429</f>
        <v/>
      </c>
      <c r="T429" s="227" t="n"/>
      <c r="U429" s="461">
        <f>K429*T429</f>
        <v/>
      </c>
      <c r="V429" s="227" t="n"/>
      <c r="W429" s="461">
        <f>U429-V429</f>
        <v/>
      </c>
      <c r="X429" s="227" t="n"/>
      <c r="Y429" s="461">
        <f>K429*X429</f>
        <v/>
      </c>
      <c r="Z429" s="227" t="n"/>
      <c r="AA429" s="461">
        <f>Y429-Z429</f>
        <v/>
      </c>
      <c r="AB429" s="227" t="n"/>
      <c r="AC429" s="461">
        <f>K429*AB429</f>
        <v/>
      </c>
      <c r="AD429" s="227" t="n"/>
      <c r="AE429" s="461">
        <f>AC429-AD429</f>
        <v/>
      </c>
      <c r="AF429" s="227" t="n"/>
      <c r="AG429" s="461">
        <f>K429*AF429</f>
        <v/>
      </c>
      <c r="AH429" s="227" t="n"/>
      <c r="AI429" s="461">
        <f>AG429-AH429</f>
        <v/>
      </c>
      <c r="AJ429" s="227" t="n"/>
      <c r="AK429" s="461">
        <f>K429*AJ429</f>
        <v/>
      </c>
      <c r="AL429" s="227" t="n"/>
      <c r="AM429" s="461">
        <f>AK429-AL429</f>
        <v/>
      </c>
      <c r="AN429" s="227" t="n"/>
      <c r="AO429" s="461">
        <f>K429*AN429</f>
        <v/>
      </c>
      <c r="AP429" s="461" t="n"/>
      <c r="AQ429" s="461">
        <f>AO429-AP429</f>
        <v/>
      </c>
      <c r="AR429" s="247" t="n"/>
      <c r="AS429" s="461">
        <f>K429*AR429</f>
        <v/>
      </c>
      <c r="AT429" s="227" t="n"/>
      <c r="AU429" s="461">
        <f>AS429-AT429</f>
        <v/>
      </c>
      <c r="AV429" s="284" t="n"/>
      <c r="AW429" s="461">
        <f>K429*AV429</f>
        <v/>
      </c>
      <c r="AX429" s="227" t="n"/>
      <c r="AY429" s="461">
        <f>AW429-AX429</f>
        <v/>
      </c>
      <c r="AZ429" s="227" t="n"/>
      <c r="BA429" s="461">
        <f>K429*AZ429</f>
        <v/>
      </c>
      <c r="BB429" s="461" t="n"/>
      <c r="BC429" s="461">
        <f>BA429-BB429</f>
        <v/>
      </c>
      <c r="BD429" s="461" t="n"/>
      <c r="BE429" s="461">
        <f>K429*BD429</f>
        <v/>
      </c>
      <c r="BF429" s="461" t="n"/>
      <c r="BG429" s="461">
        <f>BE429-BF429</f>
        <v/>
      </c>
      <c r="BH429" s="461" t="n"/>
      <c r="BI429" s="461">
        <f>K429*BH429</f>
        <v/>
      </c>
      <c r="BJ429" s="461" t="n"/>
      <c r="BK429" s="461">
        <f>BI429-BJ429</f>
        <v/>
      </c>
      <c r="BL429" s="461" t="n"/>
      <c r="BM429" s="220">
        <f>K429*BL429</f>
        <v/>
      </c>
      <c r="BN429" s="220" t="n"/>
      <c r="BO429" s="220">
        <f>BM429-BN429</f>
        <v/>
      </c>
      <c r="BP429" s="220">
        <f>N429+Q429+U429+Y429+AC429+AG429+AK429+AO429+AS429+AW429+BA429+BE429+BI429+BM429</f>
        <v/>
      </c>
      <c r="BQ429" s="220">
        <f>N429+R429+V429+Z429+AD429+AH429+AL429+AP429+AT429+AX429+BB429+BF429+BJ429+BN429</f>
        <v/>
      </c>
      <c r="BR429" s="220">
        <f>BP429-BQ429</f>
        <v/>
      </c>
      <c r="BS429" s="377" t="n"/>
      <c r="BT429" s="378" t="n"/>
      <c r="BU429" s="297" t="n"/>
      <c r="BV429" s="230" t="n"/>
      <c r="BW429" s="534" t="n"/>
    </row>
    <row r="430" ht="24" customFormat="1" customHeight="1" s="210">
      <c r="A430" s="469" t="n"/>
      <c r="B430" s="220" t="inlineStr">
        <is>
          <t>补充</t>
        </is>
      </c>
      <c r="C430" s="221" t="inlineStr">
        <is>
          <t>餐饮五分部</t>
        </is>
      </c>
      <c r="D430" s="221" t="inlineStr">
        <is>
          <t>CF108</t>
        </is>
      </c>
      <c r="E430" s="221" t="inlineStr">
        <is>
          <t>苏大北区六食堂</t>
        </is>
      </c>
      <c r="F430" s="219" t="inlineStr">
        <is>
          <t>分组作业</t>
        </is>
      </c>
      <c r="G430" s="222" t="inlineStr">
        <is>
          <t>卫屹</t>
        </is>
      </c>
      <c r="H430" s="219" t="n"/>
      <c r="I430" s="237" t="inlineStr">
        <is>
          <t>香锅</t>
        </is>
      </c>
      <c r="J430" s="219" t="inlineStr">
        <is>
          <t>吕亚臣</t>
        </is>
      </c>
      <c r="K430" s="545">
        <f>LET(k,D430&amp;"|"&amp;E430&amp;"|"&amp;H430&amp;"|"&amp;I430&amp;"|"&amp;J430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30" s="546" t="n"/>
      <c r="M430" s="601" t="inlineStr">
        <is>
          <t>已撤场，已支付</t>
        </is>
      </c>
      <c r="N430" s="253" t="n"/>
      <c r="O430" s="602" t="n"/>
      <c r="P430" s="284" t="n"/>
      <c r="Q430" s="461">
        <f>K430*P430</f>
        <v/>
      </c>
      <c r="R430" s="227" t="n"/>
      <c r="S430" s="461">
        <f>Q430-R430</f>
        <v/>
      </c>
      <c r="T430" s="227" t="n"/>
      <c r="U430" s="461">
        <f>K430*T430</f>
        <v/>
      </c>
      <c r="V430" s="227" t="n"/>
      <c r="W430" s="461">
        <f>U430-V430</f>
        <v/>
      </c>
      <c r="X430" s="227" t="n"/>
      <c r="Y430" s="461">
        <f>K430*X430</f>
        <v/>
      </c>
      <c r="Z430" s="227" t="n"/>
      <c r="AA430" s="461">
        <f>Y430-Z430</f>
        <v/>
      </c>
      <c r="AB430" s="227" t="n"/>
      <c r="AC430" s="461">
        <f>K430*AB430</f>
        <v/>
      </c>
      <c r="AD430" s="227" t="n"/>
      <c r="AE430" s="461">
        <f>AC430-AD430</f>
        <v/>
      </c>
      <c r="AF430" s="227" t="n"/>
      <c r="AG430" s="461">
        <f>K430*AF430</f>
        <v/>
      </c>
      <c r="AH430" s="227" t="n"/>
      <c r="AI430" s="461">
        <f>AG430-AH430</f>
        <v/>
      </c>
      <c r="AJ430" s="227" t="n"/>
      <c r="AK430" s="461">
        <f>K430*AJ430</f>
        <v/>
      </c>
      <c r="AL430" s="227" t="n"/>
      <c r="AM430" s="461">
        <f>AK430-AL430</f>
        <v/>
      </c>
      <c r="AN430" s="227" t="n"/>
      <c r="AO430" s="461">
        <f>K430*AN430</f>
        <v/>
      </c>
      <c r="AP430" s="461" t="n"/>
      <c r="AQ430" s="461">
        <f>AO430-AP430</f>
        <v/>
      </c>
      <c r="AR430" s="247" t="n"/>
      <c r="AS430" s="461">
        <f>K430*AR430</f>
        <v/>
      </c>
      <c r="AT430" s="227" t="n"/>
      <c r="AU430" s="461">
        <f>AS430-AT430</f>
        <v/>
      </c>
      <c r="AV430" s="284" t="n"/>
      <c r="AW430" s="461">
        <f>K430*AV430</f>
        <v/>
      </c>
      <c r="AX430" s="227" t="n"/>
      <c r="AY430" s="461">
        <f>AW430-AX430</f>
        <v/>
      </c>
      <c r="AZ430" s="227" t="n"/>
      <c r="BA430" s="461">
        <f>K430*AZ430</f>
        <v/>
      </c>
      <c r="BB430" s="461" t="n"/>
      <c r="BC430" s="461">
        <f>BA430-BB430</f>
        <v/>
      </c>
      <c r="BD430" s="461" t="n"/>
      <c r="BE430" s="461">
        <f>K430*BD430</f>
        <v/>
      </c>
      <c r="BF430" s="461" t="n"/>
      <c r="BG430" s="461">
        <f>BE430-BF430</f>
        <v/>
      </c>
      <c r="BH430" s="461" t="n"/>
      <c r="BI430" s="461">
        <f>K430*BH430</f>
        <v/>
      </c>
      <c r="BJ430" s="461" t="n"/>
      <c r="BK430" s="461">
        <f>BI430-BJ430</f>
        <v/>
      </c>
      <c r="BL430" s="461" t="n"/>
      <c r="BM430" s="220">
        <f>K430*BL430</f>
        <v/>
      </c>
      <c r="BN430" s="220" t="n"/>
      <c r="BO430" s="220">
        <f>BM430-BN430</f>
        <v/>
      </c>
      <c r="BP430" s="220">
        <f>N430+Q430+U430+Y430+AC430+AG430+AK430+AO430+AS430+AW430+BA430+BE430+BI430+BM430</f>
        <v/>
      </c>
      <c r="BQ430" s="220">
        <f>N430+R430+V430+Z430+AD430+AH430+AL430+AP430+AT430+AX430+BB430+BF430+BJ430+BN430</f>
        <v/>
      </c>
      <c r="BR430" s="220">
        <f>BP430-BQ430</f>
        <v/>
      </c>
      <c r="BS430" s="377" t="n"/>
      <c r="BT430" s="378" t="n"/>
      <c r="BU430" s="297" t="n"/>
      <c r="BV430" s="230" t="n"/>
      <c r="BW430" s="534" t="n"/>
    </row>
    <row r="431" ht="48" customFormat="1" customHeight="1" s="210">
      <c r="A431" s="469" t="n"/>
      <c r="B431" s="220" t="inlineStr">
        <is>
          <t>补充</t>
        </is>
      </c>
      <c r="C431" s="221" t="inlineStr">
        <is>
          <t>餐饮五分部</t>
        </is>
      </c>
      <c r="D431" s="221" t="inlineStr">
        <is>
          <t>CF108</t>
        </is>
      </c>
      <c r="E431" s="221" t="inlineStr">
        <is>
          <t>苏大北区六食堂</t>
        </is>
      </c>
      <c r="F431" s="219" t="inlineStr">
        <is>
          <t>分组作业</t>
        </is>
      </c>
      <c r="G431" s="222" t="inlineStr">
        <is>
          <t>卫屹</t>
        </is>
      </c>
      <c r="H431" s="219" t="n"/>
      <c r="I431" s="237" t="inlineStr">
        <is>
          <t>盖浇饭</t>
        </is>
      </c>
      <c r="J431" s="219" t="inlineStr">
        <is>
          <t>吕金春</t>
        </is>
      </c>
      <c r="K431" s="545">
        <f>LET(k,D431&amp;"|"&amp;E431&amp;"|"&amp;H431&amp;"|"&amp;I431&amp;"|"&amp;J431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31" s="546" t="n"/>
      <c r="M431" s="601" t="inlineStr">
        <is>
          <t>已撤场，2025.11月-2026.1月绩效未结算</t>
        </is>
      </c>
      <c r="N431" s="253" t="n"/>
      <c r="O431" s="602" t="n"/>
      <c r="P431" s="284" t="n"/>
      <c r="Q431" s="461">
        <f>K431*P431</f>
        <v/>
      </c>
      <c r="R431" s="227" t="n"/>
      <c r="S431" s="461">
        <f>Q431-R431</f>
        <v/>
      </c>
      <c r="T431" s="227" t="n"/>
      <c r="U431" s="461">
        <f>K431*T431</f>
        <v/>
      </c>
      <c r="V431" s="227" t="n"/>
      <c r="W431" s="461">
        <f>U431-V431</f>
        <v/>
      </c>
      <c r="X431" s="227" t="n"/>
      <c r="Y431" s="461">
        <f>K431*X431</f>
        <v/>
      </c>
      <c r="Z431" s="227" t="n"/>
      <c r="AA431" s="461">
        <f>Y431-Z431</f>
        <v/>
      </c>
      <c r="AB431" s="227" t="n"/>
      <c r="AC431" s="461">
        <f>K431*AB431</f>
        <v/>
      </c>
      <c r="AD431" s="227" t="n"/>
      <c r="AE431" s="461">
        <f>AC431-AD431</f>
        <v/>
      </c>
      <c r="AF431" s="227" t="n"/>
      <c r="AG431" s="461">
        <f>K431*AF431</f>
        <v/>
      </c>
      <c r="AH431" s="227" t="n"/>
      <c r="AI431" s="461">
        <f>AG431-AH431</f>
        <v/>
      </c>
      <c r="AJ431" s="227" t="n"/>
      <c r="AK431" s="461">
        <f>K431*AJ431</f>
        <v/>
      </c>
      <c r="AL431" s="227" t="n"/>
      <c r="AM431" s="461">
        <f>AK431-AL431</f>
        <v/>
      </c>
      <c r="AN431" s="227" t="n"/>
      <c r="AO431" s="461">
        <f>K431*AN431</f>
        <v/>
      </c>
      <c r="AP431" s="461" t="n"/>
      <c r="AQ431" s="461">
        <f>AO431-AP431</f>
        <v/>
      </c>
      <c r="AR431" s="247" t="n"/>
      <c r="AS431" s="461">
        <f>K431*AR431</f>
        <v/>
      </c>
      <c r="AT431" s="227" t="n"/>
      <c r="AU431" s="461">
        <f>AS431-AT431</f>
        <v/>
      </c>
      <c r="AV431" s="284" t="n"/>
      <c r="AW431" s="461">
        <f>K431*AV431</f>
        <v/>
      </c>
      <c r="AX431" s="227" t="n"/>
      <c r="AY431" s="461">
        <f>AW431-AX431</f>
        <v/>
      </c>
      <c r="AZ431" s="227" t="n"/>
      <c r="BA431" s="461">
        <f>K431*AZ431</f>
        <v/>
      </c>
      <c r="BB431" s="461" t="n"/>
      <c r="BC431" s="461">
        <f>BA431-BB431</f>
        <v/>
      </c>
      <c r="BD431" s="461" t="n"/>
      <c r="BE431" s="461">
        <f>K431*BD431</f>
        <v/>
      </c>
      <c r="BF431" s="461" t="n"/>
      <c r="BG431" s="461">
        <f>BE431-BF431</f>
        <v/>
      </c>
      <c r="BH431" s="461" t="n"/>
      <c r="BI431" s="461">
        <f>K431*BH431</f>
        <v/>
      </c>
      <c r="BJ431" s="461" t="n"/>
      <c r="BK431" s="461">
        <f>BI431-BJ431</f>
        <v/>
      </c>
      <c r="BL431" s="461" t="n"/>
      <c r="BM431" s="220">
        <f>K431*BL431</f>
        <v/>
      </c>
      <c r="BN431" s="220" t="n"/>
      <c r="BO431" s="220">
        <f>BM431-BN431</f>
        <v/>
      </c>
      <c r="BP431" s="220">
        <f>N431+Q431+U431+Y431+AC431+AG431+AK431+AO431+AS431+AW431+BA431+BE431+BI431+BM431</f>
        <v/>
      </c>
      <c r="BQ431" s="220">
        <f>N431+R431+V431+Z431+AD431+AH431+AL431+AP431+AT431+AX431+BB431+BF431+BJ431+BN431</f>
        <v/>
      </c>
      <c r="BR431" s="220">
        <f>BP431-BQ431</f>
        <v/>
      </c>
      <c r="BS431" s="377" t="n"/>
      <c r="BT431" s="378" t="n"/>
      <c r="BU431" s="297" t="n"/>
      <c r="BV431" s="230" t="n"/>
      <c r="BW431" s="534" t="n"/>
    </row>
    <row r="432" ht="24" customFormat="1" customHeight="1" s="210">
      <c r="A432" s="469" t="n"/>
      <c r="B432" s="220" t="inlineStr">
        <is>
          <t>补充</t>
        </is>
      </c>
      <c r="C432" s="221" t="inlineStr">
        <is>
          <t>餐饮五分部</t>
        </is>
      </c>
      <c r="D432" s="221" t="inlineStr">
        <is>
          <t>CF102</t>
        </is>
      </c>
      <c r="E432" s="221" t="inlineStr">
        <is>
          <t>苏大东区四食堂</t>
        </is>
      </c>
      <c r="F432" s="219" t="inlineStr">
        <is>
          <t>分组作业</t>
        </is>
      </c>
      <c r="G432" s="222" t="inlineStr">
        <is>
          <t>卫屹</t>
        </is>
      </c>
      <c r="H432" s="219" t="n"/>
      <c r="I432" s="237" t="inlineStr">
        <is>
          <t>深夜大食堂</t>
        </is>
      </c>
      <c r="J432" s="395" t="n"/>
      <c r="K432" s="545">
        <f>LET(k,D432&amp;"|"&amp;E432&amp;"|"&amp;H432&amp;"|"&amp;I432&amp;"|"&amp;J432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32" s="546" t="n"/>
      <c r="M432" s="601" t="inlineStr">
        <is>
          <t>新增</t>
        </is>
      </c>
      <c r="N432" s="461" t="n"/>
      <c r="O432" s="602" t="n"/>
      <c r="P432" s="284" t="n"/>
      <c r="Q432" s="461">
        <f>R432</f>
        <v/>
      </c>
      <c r="R432" s="554" t="n"/>
      <c r="S432" s="461">
        <f>Q432-R432</f>
        <v/>
      </c>
      <c r="T432" s="227" t="n"/>
      <c r="U432" s="461">
        <f>V432</f>
        <v/>
      </c>
      <c r="V432" s="461" t="n"/>
      <c r="W432" s="461">
        <f>U432-V432</f>
        <v/>
      </c>
      <c r="X432" s="227" t="n"/>
      <c r="Y432" s="461">
        <f>Z432</f>
        <v/>
      </c>
      <c r="Z432" s="554" t="n"/>
      <c r="AA432" s="461">
        <f>Y432-Z432</f>
        <v/>
      </c>
      <c r="AB432" s="227" t="n"/>
      <c r="AC432" s="461">
        <f>AD432</f>
        <v/>
      </c>
      <c r="AD432" s="461" t="n"/>
      <c r="AE432" s="461">
        <f>AC432-AD432</f>
        <v/>
      </c>
      <c r="AF432" s="227" t="n"/>
      <c r="AG432" s="461">
        <f>AH432</f>
        <v/>
      </c>
      <c r="AH432" s="461" t="n"/>
      <c r="AI432" s="461">
        <f>AG432-AH432</f>
        <v/>
      </c>
      <c r="AJ432" s="227" t="n"/>
      <c r="AK432" s="461">
        <f>AL432</f>
        <v/>
      </c>
      <c r="AL432" s="461" t="n"/>
      <c r="AM432" s="461">
        <f>AK432-AL432</f>
        <v/>
      </c>
      <c r="AN432" s="227" t="n"/>
      <c r="AO432" s="461">
        <f>AP432</f>
        <v/>
      </c>
      <c r="AP432" s="461" t="n"/>
      <c r="AQ432" s="461">
        <f>AO432-AP432</f>
        <v/>
      </c>
      <c r="AR432" s="247" t="n"/>
      <c r="AS432" s="461">
        <f>AT432</f>
        <v/>
      </c>
      <c r="AT432" s="554" t="n"/>
      <c r="AU432" s="461">
        <f>AS432-AT432</f>
        <v/>
      </c>
      <c r="AV432" s="284" t="n"/>
      <c r="AW432" s="461">
        <f>AX432</f>
        <v/>
      </c>
      <c r="AX432" s="554" t="n"/>
      <c r="AY432" s="461">
        <f>AW432-AX432</f>
        <v/>
      </c>
      <c r="AZ432" s="227" t="n"/>
      <c r="BA432" s="461">
        <f>BB432</f>
        <v/>
      </c>
      <c r="BB432" s="461" t="n"/>
      <c r="BC432" s="461">
        <f>BA432-BB432</f>
        <v/>
      </c>
      <c r="BD432" s="461" t="n"/>
      <c r="BE432" s="461">
        <f>K432*BD432</f>
        <v/>
      </c>
      <c r="BF432" s="461" t="n"/>
      <c r="BG432" s="461">
        <f>BE432-BF432</f>
        <v/>
      </c>
      <c r="BH432" s="461" t="n"/>
      <c r="BI432" s="461">
        <f>K432*BH432</f>
        <v/>
      </c>
      <c r="BJ432" s="461" t="n"/>
      <c r="BK432" s="461">
        <f>BI432-BJ432</f>
        <v/>
      </c>
      <c r="BL432" s="461" t="n"/>
      <c r="BM432" s="220">
        <f>BN432</f>
        <v/>
      </c>
      <c r="BN432" s="608" t="n"/>
      <c r="BO432" s="220">
        <f>BM432-BN432</f>
        <v/>
      </c>
      <c r="BP432" s="220">
        <f>N432+Q432+U432+Y432+AC432+AG432+AK432+AO432+AS432+AW432+BA432+BE432+BI432+BM432</f>
        <v/>
      </c>
      <c r="BQ432" s="220">
        <f>N432+R432+V432+Z432+AD432+AH432+AL432+AP432+AT432+AX432+BB432+BF432+BJ432+BN432</f>
        <v/>
      </c>
      <c r="BR432" s="220">
        <f>BP432-BQ432</f>
        <v/>
      </c>
      <c r="BS432" s="377" t="n"/>
      <c r="BT432" s="378" t="n"/>
      <c r="BU432" s="297" t="n"/>
      <c r="BV432" s="230" t="n"/>
      <c r="BW432" s="534" t="n"/>
    </row>
    <row r="433" ht="60" customFormat="1" customHeight="1" s="210">
      <c r="A433" s="469" t="n"/>
      <c r="B433" s="220" t="inlineStr">
        <is>
          <t>补充</t>
        </is>
      </c>
      <c r="C433" s="221" t="inlineStr">
        <is>
          <t>餐饮二分部</t>
        </is>
      </c>
      <c r="D433" s="221" t="inlineStr">
        <is>
          <t>CF364</t>
        </is>
      </c>
      <c r="E433" s="242" t="inlineStr">
        <is>
          <t>江苏航运思本轩食堂</t>
        </is>
      </c>
      <c r="F433" s="219" t="inlineStr">
        <is>
          <t>分组作业</t>
        </is>
      </c>
      <c r="G433" s="243" t="inlineStr">
        <is>
          <t>郑虎</t>
        </is>
      </c>
      <c r="H433" s="395" t="inlineStr">
        <is>
          <t>第十二班组</t>
        </is>
      </c>
      <c r="I433" s="397" t="inlineStr">
        <is>
          <t>炸串</t>
        </is>
      </c>
      <c r="J433" s="397" t="inlineStr">
        <is>
          <t>陆水花</t>
        </is>
      </c>
      <c r="K433" s="545">
        <f>LET(k,D433&amp;"|"&amp;E433&amp;"|"&amp;H433&amp;"|"&amp;I433&amp;"|"&amp;J433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33" s="546" t="n"/>
      <c r="M433" s="467" t="n"/>
      <c r="N433" s="399" t="n"/>
      <c r="O433" s="609" t="n"/>
      <c r="P433" s="471" t="n">
        <v>0.11</v>
      </c>
      <c r="Q433" s="461">
        <f>K433*P433</f>
        <v/>
      </c>
      <c r="R433" s="610" t="n"/>
      <c r="S433" s="461">
        <f>Q433-R433</f>
        <v/>
      </c>
      <c r="T433" s="247" t="n">
        <v>0.01</v>
      </c>
      <c r="U433" s="461">
        <f>K433*T433</f>
        <v/>
      </c>
      <c r="V433" s="560" t="n"/>
      <c r="W433" s="461">
        <f>U433-V433</f>
        <v/>
      </c>
      <c r="X433" s="469" t="n"/>
      <c r="Y433" s="469" t="n"/>
      <c r="Z433" s="469" t="n"/>
      <c r="AA433" s="469" t="n"/>
      <c r="AB433" s="247" t="n">
        <v>0.01</v>
      </c>
      <c r="AC433" s="461">
        <f>K433*AB433</f>
        <v/>
      </c>
      <c r="AD433" s="560" t="n"/>
      <c r="AE433" s="461">
        <f>AC433-AD433</f>
        <v/>
      </c>
      <c r="AF433" s="247" t="n">
        <v>0.01</v>
      </c>
      <c r="AG433" s="461">
        <f>K433*AF433</f>
        <v/>
      </c>
      <c r="AH433" s="560" t="n"/>
      <c r="AI433" s="461">
        <f>AG433-AH433</f>
        <v/>
      </c>
      <c r="AJ433" s="247" t="n">
        <v>0.01</v>
      </c>
      <c r="AK433" s="461">
        <f>K433*AJ433</f>
        <v/>
      </c>
      <c r="AL433" s="560" t="n"/>
      <c r="AM433" s="461">
        <f>AK433-AL433</f>
        <v/>
      </c>
      <c r="AN433" s="247" t="n">
        <v>0.01</v>
      </c>
      <c r="AO433" s="461">
        <f>K433*AN433</f>
        <v/>
      </c>
      <c r="AP433" s="611" t="n"/>
      <c r="AQ433" s="461" t="n"/>
      <c r="AR433" s="247" t="inlineStr">
        <is>
          <t>按实</t>
        </is>
      </c>
      <c r="AS433" s="471" t="n">
        <v>0</v>
      </c>
      <c r="AT433" s="471" t="n">
        <v>0</v>
      </c>
      <c r="AU433" s="461">
        <f>AS433-AT433</f>
        <v/>
      </c>
      <c r="AV433" s="551" t="inlineStr">
        <is>
          <t>按实</t>
        </is>
      </c>
      <c r="AW433" s="611" t="n"/>
      <c r="AX433" s="611" t="n"/>
      <c r="AY433" s="461">
        <f>AW433-AX433</f>
        <v/>
      </c>
      <c r="AZ433" s="235" t="inlineStr">
        <is>
          <t>按实</t>
        </is>
      </c>
      <c r="BA433" s="461" t="n"/>
      <c r="BB433" s="461" t="n"/>
      <c r="BC433" s="461">
        <f>BA433-BB433</f>
        <v/>
      </c>
      <c r="BD433" s="235" t="n">
        <v>0</v>
      </c>
      <c r="BE433" s="461">
        <f>K433*BD433</f>
        <v/>
      </c>
      <c r="BF433" s="461" t="n"/>
      <c r="BG433" s="461">
        <f>BE433-BF433</f>
        <v/>
      </c>
      <c r="BH433" s="235" t="n">
        <v>0</v>
      </c>
      <c r="BI433" s="461">
        <f>K433*BH433</f>
        <v/>
      </c>
      <c r="BJ433" s="461" t="n"/>
      <c r="BK433" s="461">
        <f>BI433-BJ433</f>
        <v/>
      </c>
      <c r="BL433" s="235" t="inlineStr">
        <is>
          <t>按实</t>
        </is>
      </c>
      <c r="BM433" s="472" t="n"/>
      <c r="BN433" s="472" t="n"/>
      <c r="BO433" s="220">
        <f>BM433-BN433</f>
        <v/>
      </c>
      <c r="BP433" s="220">
        <f>N433+Q433+U433+Y433+AC433+AG433+AK433+AO433+AS433+AW433+BA433+BE433+BI433+BM433</f>
        <v/>
      </c>
      <c r="BQ433" s="220">
        <f>N433+R433+V433+Z433+AD433+AH433+AL433+AP433+AT433+AX433+BB433+BF433+BJ433+BN433</f>
        <v/>
      </c>
      <c r="BR433" s="220">
        <f>BP433-BQ433</f>
        <v/>
      </c>
      <c r="BS433" s="247" t="inlineStr">
        <is>
          <t>/</t>
        </is>
      </c>
      <c r="BT433" s="235" t="inlineStr">
        <is>
          <t>/</t>
        </is>
      </c>
      <c r="BU433"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433" s="230" t="inlineStr">
        <is>
          <t>1、签订期间：2025.9.1-2026.8.31；
2、指标按照全年换算；</t>
        </is>
      </c>
      <c r="BW433" s="534" t="n"/>
    </row>
    <row r="434" ht="60.75" customFormat="1" customHeight="1" s="210">
      <c r="A434" s="469" t="n"/>
      <c r="B434" s="220" t="inlineStr">
        <is>
          <t>补充</t>
        </is>
      </c>
      <c r="C434" s="221" t="inlineStr">
        <is>
          <t>餐饮二分部</t>
        </is>
      </c>
      <c r="D434" s="221" t="inlineStr">
        <is>
          <t>CF364</t>
        </is>
      </c>
      <c r="E434" s="242" t="inlineStr">
        <is>
          <t>江苏航运思本轩食堂</t>
        </is>
      </c>
      <c r="F434" s="219" t="inlineStr">
        <is>
          <t>分组作业</t>
        </is>
      </c>
      <c r="G434" s="243" t="inlineStr">
        <is>
          <t>郑虎</t>
        </is>
      </c>
      <c r="H434" s="395" t="inlineStr">
        <is>
          <t>第十三班组</t>
        </is>
      </c>
      <c r="I434" s="405" t="inlineStr">
        <is>
          <t>马玉涛麻辣烫</t>
        </is>
      </c>
      <c r="J434" s="397" t="inlineStr">
        <is>
          <t>陆爱军</t>
        </is>
      </c>
      <c r="K434" s="545">
        <f>LET(k,D434&amp;"|"&amp;E434&amp;"|"&amp;H434&amp;"|"&amp;I434&amp;"|"&amp;J434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34" s="546" t="n"/>
      <c r="M434" s="467" t="n"/>
      <c r="N434" s="399" t="n"/>
      <c r="O434" s="609" t="n"/>
      <c r="P434" s="471" t="n">
        <v>0.12</v>
      </c>
      <c r="Q434" s="461">
        <f>K434*P434</f>
        <v/>
      </c>
      <c r="R434" s="610" t="n"/>
      <c r="S434" s="461">
        <f>Q434-R434</f>
        <v/>
      </c>
      <c r="T434" s="247" t="n">
        <v>0.01</v>
      </c>
      <c r="U434" s="461">
        <f>K434*T434</f>
        <v/>
      </c>
      <c r="V434" s="560" t="n"/>
      <c r="W434" s="461">
        <f>U434-V434</f>
        <v/>
      </c>
      <c r="X434" s="469" t="n"/>
      <c r="Y434" s="469" t="n"/>
      <c r="Z434" s="469" t="n"/>
      <c r="AA434" s="469" t="n"/>
      <c r="AB434" s="247" t="n">
        <v>0.01</v>
      </c>
      <c r="AC434" s="461">
        <f>K434*AB434</f>
        <v/>
      </c>
      <c r="AD434" s="560" t="n"/>
      <c r="AE434" s="461">
        <f>AC434-AD434</f>
        <v/>
      </c>
      <c r="AF434" s="247" t="n">
        <v>0.01</v>
      </c>
      <c r="AG434" s="461">
        <f>K434*AF434</f>
        <v/>
      </c>
      <c r="AH434" s="560" t="n"/>
      <c r="AI434" s="461">
        <f>AG434-AH434</f>
        <v/>
      </c>
      <c r="AJ434" s="247" t="n">
        <v>0.01</v>
      </c>
      <c r="AK434" s="461">
        <f>K434*AJ434</f>
        <v/>
      </c>
      <c r="AL434" s="560" t="n"/>
      <c r="AM434" s="461">
        <f>AK434-AL434</f>
        <v/>
      </c>
      <c r="AN434" s="247" t="n">
        <v>0.02</v>
      </c>
      <c r="AO434" s="461">
        <f>K434*AN434</f>
        <v/>
      </c>
      <c r="AP434" s="611" t="n"/>
      <c r="AQ434" s="461">
        <f>AO434-AP434</f>
        <v/>
      </c>
      <c r="AR434" s="247" t="inlineStr">
        <is>
          <t>按实</t>
        </is>
      </c>
      <c r="AS434" s="612" t="n"/>
      <c r="AT434" s="612" t="n"/>
      <c r="AU434" s="461">
        <f>AS434-AT434</f>
        <v/>
      </c>
      <c r="AV434" s="551" t="inlineStr">
        <is>
          <t>按实</t>
        </is>
      </c>
      <c r="AW434" s="611" t="n"/>
      <c r="AX434" s="611" t="n"/>
      <c r="AY434" s="461">
        <f>AW434-AX434</f>
        <v/>
      </c>
      <c r="AZ434" s="235" t="inlineStr">
        <is>
          <t>按实</t>
        </is>
      </c>
      <c r="BA434" s="461" t="n"/>
      <c r="BB434" s="461" t="n"/>
      <c r="BC434" s="461">
        <f>BA434-BB434</f>
        <v/>
      </c>
      <c r="BD434" s="235" t="n">
        <v>0</v>
      </c>
      <c r="BE434" s="461">
        <f>K434*BD434</f>
        <v/>
      </c>
      <c r="BF434" s="461" t="n"/>
      <c r="BG434" s="461">
        <f>BE434-BF434</f>
        <v/>
      </c>
      <c r="BH434" s="235" t="n">
        <v>0</v>
      </c>
      <c r="BI434" s="461">
        <f>K434*BH434</f>
        <v/>
      </c>
      <c r="BJ434" s="461" t="n"/>
      <c r="BK434" s="461">
        <f>BI434-BJ434</f>
        <v/>
      </c>
      <c r="BL434" s="235" t="inlineStr">
        <is>
          <t>按实</t>
        </is>
      </c>
      <c r="BM434" s="472" t="n"/>
      <c r="BN434" s="472" t="n"/>
      <c r="BO434" s="220">
        <f>BM434-BN434</f>
        <v/>
      </c>
      <c r="BP434" s="220" t="n">
        <v>0</v>
      </c>
      <c r="BQ434" s="220" t="n">
        <v>0</v>
      </c>
      <c r="BR434" s="220">
        <f>BP434-BQ434</f>
        <v/>
      </c>
      <c r="BS434" s="247" t="inlineStr">
        <is>
          <t>/</t>
        </is>
      </c>
      <c r="BT434" s="235" t="inlineStr">
        <is>
          <t>/</t>
        </is>
      </c>
      <c r="BU434"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434" s="230" t="inlineStr">
        <is>
          <t>1、签订期间：2025.9.1-2026.8.31；
2、指标按照全年换算；</t>
        </is>
      </c>
      <c r="BW434" s="534" t="n"/>
    </row>
    <row r="435" customFormat="1" s="210">
      <c r="A435" s="469" t="n"/>
      <c r="B435" s="220" t="inlineStr">
        <is>
          <t>补充</t>
        </is>
      </c>
      <c r="C435" s="221" t="inlineStr">
        <is>
          <t>餐饮六分部</t>
        </is>
      </c>
      <c r="D435" s="221" t="inlineStr">
        <is>
          <t>CF293</t>
        </is>
      </c>
      <c r="E435" s="221" t="inlineStr">
        <is>
          <t>江苏二师石湫校区食堂</t>
        </is>
      </c>
      <c r="F435" s="219" t="inlineStr">
        <is>
          <t>分组作业</t>
        </is>
      </c>
      <c r="G435" s="222" t="inlineStr">
        <is>
          <t>徐敏娟</t>
        </is>
      </c>
      <c r="H435" s="407" t="inlineStr">
        <is>
          <t>/</t>
        </is>
      </c>
      <c r="I435" s="408" t="inlineStr">
        <is>
          <t>猪脚饭</t>
        </is>
      </c>
      <c r="J435" s="408" t="inlineStr">
        <is>
          <t>孙仲弘</t>
        </is>
      </c>
      <c r="K435" s="545">
        <f>LET(k,D435&amp;"|"&amp;E435&amp;"|"&amp;H435&amp;"|"&amp;I435&amp;"|"&amp;J435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35" s="613" t="n"/>
      <c r="M435" s="410" t="n"/>
      <c r="N435" s="410" t="n"/>
      <c r="O435" s="614" t="n"/>
      <c r="P435" s="412" t="n"/>
      <c r="Q435" s="461">
        <f>R435</f>
        <v/>
      </c>
      <c r="R435" s="227" t="n"/>
      <c r="S435" s="413" t="n"/>
      <c r="T435" s="413" t="n"/>
      <c r="U435" s="413" t="n"/>
      <c r="V435" s="413" t="n"/>
      <c r="W435" s="413" t="n"/>
      <c r="X435" s="413" t="n"/>
      <c r="Y435" s="413" t="n"/>
      <c r="Z435" s="413" t="n"/>
      <c r="AA435" s="413" t="n"/>
      <c r="AB435" s="413" t="n"/>
      <c r="AC435" s="413" t="n"/>
      <c r="AD435" s="413" t="n"/>
      <c r="AE435" s="413" t="n"/>
      <c r="AF435" s="413" t="n"/>
      <c r="AG435" s="413" t="n"/>
      <c r="AH435" s="413" t="n"/>
      <c r="AI435" s="413" t="n"/>
      <c r="AJ435" s="413" t="n"/>
      <c r="AK435" s="413" t="n"/>
      <c r="AL435" s="413" t="n"/>
      <c r="AM435" s="413" t="n"/>
      <c r="AN435" s="413" t="n"/>
      <c r="AO435" s="414" t="n"/>
      <c r="AP435" s="414" t="n"/>
      <c r="AQ435" s="414" t="n"/>
      <c r="AR435" s="414" t="n"/>
      <c r="AS435" s="461">
        <f>AT435</f>
        <v/>
      </c>
      <c r="AT435" s="227" t="n"/>
      <c r="AU435" s="412" t="n"/>
      <c r="AV435" s="412" t="n"/>
      <c r="AW435" s="461">
        <f>AX435</f>
        <v/>
      </c>
      <c r="AX435" s="227" t="n"/>
      <c r="AY435" s="413" t="n"/>
      <c r="AZ435" s="413" t="n"/>
      <c r="BA435" s="410" t="n"/>
      <c r="BB435" s="410" t="n"/>
      <c r="BC435" s="410" t="n"/>
      <c r="BD435" s="410" t="n"/>
      <c r="BE435" s="410" t="n"/>
      <c r="BF435" s="410" t="n"/>
      <c r="BG435" s="410" t="n"/>
      <c r="BH435" s="410" t="n"/>
      <c r="BI435" s="410" t="n"/>
      <c r="BJ435" s="410" t="n"/>
      <c r="BK435" s="410" t="n"/>
      <c r="BL435" s="410" t="n"/>
      <c r="BM435" s="415" t="n"/>
      <c r="BN435" s="415" t="n"/>
      <c r="BO435" s="415" t="n"/>
      <c r="BP435" s="415" t="n"/>
      <c r="BQ435" s="415" t="n"/>
      <c r="BR435" s="415" t="n"/>
      <c r="BS435" s="415" t="n"/>
      <c r="BT435" s="416" t="n"/>
      <c r="BU435" s="417" t="n"/>
      <c r="BV435" s="418" t="n"/>
      <c r="BW435" s="534" t="n"/>
    </row>
    <row r="436" customFormat="1" s="210">
      <c r="A436" s="469" t="n"/>
      <c r="B436" s="220" t="inlineStr">
        <is>
          <t>补充</t>
        </is>
      </c>
      <c r="C436" s="221" t="inlineStr">
        <is>
          <t>餐饮六分部</t>
        </is>
      </c>
      <c r="D436" s="221" t="inlineStr">
        <is>
          <t>CF479</t>
        </is>
      </c>
      <c r="E436" s="221" t="inlineStr">
        <is>
          <t>江苏省交通技师学院第一食堂</t>
        </is>
      </c>
      <c r="F436" s="219" t="inlineStr">
        <is>
          <t>分组作业</t>
        </is>
      </c>
      <c r="G436" s="222" t="inlineStr">
        <is>
          <t>卫屹</t>
        </is>
      </c>
      <c r="H436" s="219" t="inlineStr">
        <is>
          <t>/</t>
        </is>
      </c>
      <c r="I436" s="397" t="inlineStr">
        <is>
          <t>自选称重</t>
        </is>
      </c>
      <c r="J436" s="395" t="inlineStr">
        <is>
          <t>周俊帅</t>
        </is>
      </c>
      <c r="K436" s="545">
        <f>LET(k,D436&amp;"|"&amp;E436&amp;"|"&amp;H436&amp;"|"&amp;I436&amp;"|"&amp;J436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36" s="615" t="n"/>
      <c r="M436" s="488" t="n"/>
      <c r="N436" s="488" t="n"/>
      <c r="O436" s="616" t="n"/>
      <c r="P436" s="422" t="n"/>
      <c r="Q436" s="490" t="n"/>
      <c r="R436" s="490" t="n"/>
      <c r="S436" s="490" t="n"/>
      <c r="T436" s="490" t="n"/>
      <c r="U436" s="490" t="n"/>
      <c r="V436" s="490" t="n"/>
      <c r="W436" s="490" t="n"/>
      <c r="X436" s="490" t="n"/>
      <c r="Y436" s="490" t="n"/>
      <c r="Z436" s="490" t="n"/>
      <c r="AA436" s="490" t="n"/>
      <c r="AB436" s="490" t="n"/>
      <c r="AC436" s="490" t="n"/>
      <c r="AD436" s="490" t="n"/>
      <c r="AE436" s="490" t="n"/>
      <c r="AF436" s="490" t="n"/>
      <c r="AG436" s="490" t="n"/>
      <c r="AH436" s="490" t="n"/>
      <c r="AI436" s="490" t="n"/>
      <c r="AJ436" s="490" t="n"/>
      <c r="AK436" s="490" t="n"/>
      <c r="AL436" s="490" t="n"/>
      <c r="AM436" s="490" t="n"/>
      <c r="AN436" s="490" t="n"/>
      <c r="AO436" s="424" t="n"/>
      <c r="AP436" s="424" t="n"/>
      <c r="AQ436" s="424" t="n"/>
      <c r="AR436" s="424" t="n"/>
      <c r="AS436" s="422" t="n"/>
      <c r="AT436" s="422" t="n"/>
      <c r="AU436" s="422" t="n"/>
      <c r="AV436" s="422" t="n"/>
      <c r="AW436" s="490" t="n"/>
      <c r="AX436" s="490" t="n"/>
      <c r="AY436" s="490" t="n"/>
      <c r="AZ436" s="490" t="n"/>
      <c r="BA436" s="488" t="n"/>
      <c r="BB436" s="488" t="n"/>
      <c r="BC436" s="488" t="n"/>
      <c r="BD436" s="488" t="n"/>
      <c r="BE436" s="488" t="n"/>
      <c r="BF436" s="488" t="n"/>
      <c r="BG436" s="488" t="n"/>
      <c r="BH436" s="488" t="n"/>
      <c r="BI436" s="488" t="n"/>
      <c r="BJ436" s="488" t="n"/>
      <c r="BK436" s="488" t="n"/>
      <c r="BL436" s="488" t="n"/>
      <c r="BM436" s="425" t="n"/>
      <c r="BN436" s="425" t="n"/>
      <c r="BO436" s="425" t="n"/>
      <c r="BP436" s="425" t="n"/>
      <c r="BQ436" s="425" t="n"/>
      <c r="BR436" s="425" t="n"/>
      <c r="BS436" s="425" t="n"/>
      <c r="BT436" s="426" t="n"/>
      <c r="BU436" s="427" t="n"/>
      <c r="BV436" s="428" t="n"/>
      <c r="BW436" s="429" t="n"/>
    </row>
    <row r="437" customFormat="1" s="210">
      <c r="A437" s="469" t="n"/>
      <c r="B437" s="227" t="inlineStr">
        <is>
          <t>补充</t>
        </is>
      </c>
      <c r="C437" s="227" t="inlineStr">
        <is>
          <t>餐饮六分部</t>
        </is>
      </c>
      <c r="D437" s="227" t="inlineStr">
        <is>
          <t>CF479</t>
        </is>
      </c>
      <c r="E437" s="227" t="inlineStr">
        <is>
          <t>江苏省交通技师学院第一食堂</t>
        </is>
      </c>
      <c r="F437" s="461" t="inlineStr">
        <is>
          <t>分组作业</t>
        </is>
      </c>
      <c r="G437" s="444" t="inlineStr">
        <is>
          <t>卫屹</t>
        </is>
      </c>
      <c r="H437" s="227" t="inlineStr">
        <is>
          <t>第十二班组</t>
        </is>
      </c>
      <c r="I437" s="461" t="inlineStr">
        <is>
          <t>自选称重</t>
        </is>
      </c>
      <c r="J437" s="227" t="inlineStr">
        <is>
          <t>周俊帅</t>
        </is>
      </c>
      <c r="K437" s="545">
        <f>LET(k,D437&amp;"|"&amp;E437&amp;"|"&amp;H437&amp;"|"&amp;I437&amp;"|"&amp;J437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37" s="617" t="n"/>
      <c r="M437" s="488" t="n"/>
      <c r="N437" s="432" t="n"/>
      <c r="O437" s="618" t="n"/>
      <c r="P437" s="434" t="n"/>
      <c r="Q437" s="435">
        <f>R437</f>
        <v/>
      </c>
      <c r="R437" s="558" t="n"/>
      <c r="S437" s="435" t="n"/>
      <c r="T437" s="435" t="n"/>
      <c r="U437" s="435" t="n"/>
      <c r="V437" s="435" t="n"/>
      <c r="W437" s="435" t="n"/>
      <c r="X437" s="435" t="n"/>
      <c r="Y437" s="435" t="n"/>
      <c r="Z437" s="435" t="n"/>
      <c r="AA437" s="435" t="n"/>
      <c r="AB437" s="435" t="n"/>
      <c r="AC437" s="435" t="n"/>
      <c r="AD437" s="435" t="n"/>
      <c r="AE437" s="435" t="n"/>
      <c r="AF437" s="435" t="n"/>
      <c r="AG437" s="435" t="n"/>
      <c r="AH437" s="435" t="n"/>
      <c r="AI437" s="435" t="n"/>
      <c r="AJ437" s="435" t="n"/>
      <c r="AK437" s="435" t="n"/>
      <c r="AL437" s="435" t="n"/>
      <c r="AM437" s="435" t="n"/>
      <c r="AN437" s="435" t="n"/>
      <c r="AO437" s="436" t="n"/>
      <c r="AP437" s="436" t="n"/>
      <c r="AQ437" s="436" t="n"/>
      <c r="AR437" s="436" t="n"/>
      <c r="AS437" s="434" t="n"/>
      <c r="AT437" s="434" t="n"/>
      <c r="AU437" s="434" t="n"/>
      <c r="AV437" s="434" t="n"/>
      <c r="AW437" s="435" t="n"/>
      <c r="AX437" s="435" t="n"/>
      <c r="AY437" s="435" t="n"/>
      <c r="AZ437" s="435" t="n"/>
      <c r="BA437" s="432" t="n"/>
      <c r="BB437" s="432" t="n"/>
      <c r="BC437" s="432" t="n"/>
      <c r="BD437" s="432" t="n"/>
      <c r="BE437" s="432" t="n"/>
      <c r="BF437" s="432" t="n"/>
      <c r="BG437" s="432" t="n"/>
      <c r="BH437" s="432" t="n"/>
      <c r="BI437" s="432" t="n"/>
      <c r="BJ437" s="432" t="n"/>
      <c r="BK437" s="432" t="n"/>
      <c r="BL437" s="432" t="n"/>
      <c r="BM437" s="437" t="n"/>
      <c r="BN437" s="437" t="n"/>
      <c r="BO437" s="437" t="n"/>
      <c r="BP437" s="437" t="n"/>
      <c r="BQ437" s="437" t="n"/>
      <c r="BR437" s="437" t="n"/>
      <c r="BS437" s="437" t="n"/>
      <c r="BT437" s="429" t="n"/>
      <c r="BU437" s="438" t="n"/>
      <c r="BV437" s="439" t="n"/>
      <c r="BW437" s="426" t="inlineStr">
        <is>
          <t>6月新增</t>
        </is>
      </c>
    </row>
    <row r="438" customFormat="1" s="210">
      <c r="A438" s="469" t="n"/>
      <c r="B438" s="227" t="inlineStr">
        <is>
          <t>补充</t>
        </is>
      </c>
      <c r="C438" s="227" t="inlineStr">
        <is>
          <t>餐饮五分部</t>
        </is>
      </c>
      <c r="D438" s="227" t="inlineStr">
        <is>
          <t>CF108</t>
        </is>
      </c>
      <c r="E438" s="221" t="inlineStr">
        <is>
          <t>苏大北区六食堂</t>
        </is>
      </c>
      <c r="F438" s="461" t="inlineStr">
        <is>
          <t>自营</t>
        </is>
      </c>
      <c r="G438" s="444" t="inlineStr">
        <is>
          <t>卫屹</t>
        </is>
      </c>
      <c r="H438" s="461" t="n"/>
      <c r="I438" s="461" t="inlineStr">
        <is>
          <t>民族餐厅</t>
        </is>
      </c>
      <c r="J438" s="227" t="inlineStr">
        <is>
          <t>/</t>
        </is>
      </c>
      <c r="K438" s="545">
        <f>LET(k,D438&amp;"|"&amp;E438&amp;"|"&amp;H438&amp;"|"&amp;I438&amp;"|"&amp;J438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38" s="617" t="n"/>
      <c r="M438" s="488" t="n"/>
      <c r="N438" s="432" t="n"/>
      <c r="O438" s="618" t="n"/>
      <c r="P438" s="434" t="n"/>
      <c r="Q438" s="435" t="n"/>
      <c r="R438" s="435" t="n"/>
      <c r="S438" s="435" t="n"/>
      <c r="T438" s="435" t="n"/>
      <c r="U438" s="435" t="n"/>
      <c r="V438" s="435" t="n"/>
      <c r="W438" s="435" t="n"/>
      <c r="X438" s="435" t="n"/>
      <c r="Y438" s="435" t="n"/>
      <c r="Z438" s="435" t="n"/>
      <c r="AA438" s="435" t="n"/>
      <c r="AB438" s="435" t="n"/>
      <c r="AC438" s="435" t="n"/>
      <c r="AD438" s="435" t="n"/>
      <c r="AE438" s="435" t="n"/>
      <c r="AF438" s="435" t="n"/>
      <c r="AG438" s="435" t="n"/>
      <c r="AH438" s="435" t="n"/>
      <c r="AI438" s="435" t="n"/>
      <c r="AJ438" s="435" t="n"/>
      <c r="AK438" s="435" t="n"/>
      <c r="AL438" s="435" t="n"/>
      <c r="AM438" s="435" t="n"/>
      <c r="AN438" s="435" t="n"/>
      <c r="AO438" s="436" t="n"/>
      <c r="AP438" s="436" t="n"/>
      <c r="AQ438" s="436" t="n"/>
      <c r="AR438" s="436" t="n"/>
      <c r="AS438" s="434" t="n"/>
      <c r="AT438" s="434" t="n"/>
      <c r="AU438" s="434" t="n"/>
      <c r="AV438" s="434" t="n"/>
      <c r="AW438" s="435" t="n"/>
      <c r="AX438" s="435" t="n"/>
      <c r="AY438" s="435" t="n"/>
      <c r="AZ438" s="435" t="n"/>
      <c r="BA438" s="432" t="n"/>
      <c r="BB438" s="432" t="n"/>
      <c r="BC438" s="432" t="n"/>
      <c r="BD438" s="432" t="n"/>
      <c r="BE438" s="432" t="n"/>
      <c r="BF438" s="432" t="n"/>
      <c r="BG438" s="432" t="n"/>
      <c r="BH438" s="432" t="n"/>
      <c r="BI438" s="432" t="n"/>
      <c r="BJ438" s="432" t="n"/>
      <c r="BK438" s="432" t="n"/>
      <c r="BL438" s="432" t="n"/>
      <c r="BM438" s="437" t="n"/>
      <c r="BN438" s="437" t="n"/>
      <c r="BO438" s="437" t="n"/>
      <c r="BP438" s="437" t="n"/>
      <c r="BQ438" s="437" t="n"/>
      <c r="BR438" s="437" t="n"/>
      <c r="BS438" s="437" t="n"/>
      <c r="BT438" s="429" t="n"/>
      <c r="BU438" s="438" t="n"/>
      <c r="BV438" s="439" t="n"/>
      <c r="BW438" s="426" t="inlineStr">
        <is>
          <t>6月新增</t>
        </is>
      </c>
    </row>
    <row r="439" ht="14.25" customFormat="1" customHeight="1" s="210">
      <c r="A439" s="469" t="n"/>
      <c r="B439" s="227" t="inlineStr">
        <is>
          <t>补充</t>
        </is>
      </c>
      <c r="C439" s="222" t="inlineStr">
        <is>
          <t>餐饮五分部</t>
        </is>
      </c>
      <c r="D439" s="227" t="n"/>
      <c r="E439" s="227" t="inlineStr">
        <is>
          <t>苏大东区四食堂</t>
        </is>
      </c>
      <c r="F439" s="461" t="inlineStr">
        <is>
          <t>分组作业</t>
        </is>
      </c>
      <c r="G439" s="444" t="inlineStr">
        <is>
          <t>卫屹</t>
        </is>
      </c>
      <c r="H439" s="461" t="inlineStr">
        <is>
          <t>/</t>
        </is>
      </c>
      <c r="I439" s="461" t="inlineStr">
        <is>
          <t>深夜大食堂</t>
        </is>
      </c>
      <c r="J439" s="227" t="inlineStr">
        <is>
          <t>左伟</t>
        </is>
      </c>
      <c r="K439" s="545">
        <f>LET(k,D439&amp;"|"&amp;E439&amp;"|"&amp;H439&amp;"|"&amp;I439&amp;"|"&amp;J439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39" s="617" t="n"/>
      <c r="M439" s="488" t="n"/>
      <c r="N439" s="432" t="n"/>
      <c r="O439" s="618" t="n"/>
      <c r="P439" s="434" t="n"/>
      <c r="Q439" s="435">
        <f>R439</f>
        <v/>
      </c>
      <c r="R439" s="435" t="n"/>
      <c r="S439" s="435" t="n"/>
      <c r="T439" s="435" t="n"/>
      <c r="U439" s="435" t="n"/>
      <c r="V439" s="435" t="n"/>
      <c r="W439" s="435" t="n"/>
      <c r="X439" s="435" t="n"/>
      <c r="Y439" s="435">
        <f>Z439</f>
        <v/>
      </c>
      <c r="Z439" s="619" t="n"/>
      <c r="AA439" s="435" t="n"/>
      <c r="AB439" s="435" t="n"/>
      <c r="AC439" s="435" t="n"/>
      <c r="AD439" s="435" t="n"/>
      <c r="AE439" s="435" t="n"/>
      <c r="AF439" s="435" t="n"/>
      <c r="AG439" s="435" t="n"/>
      <c r="AH439" s="435" t="n"/>
      <c r="AI439" s="435" t="n"/>
      <c r="AJ439" s="435" t="n"/>
      <c r="AK439" s="435" t="n"/>
      <c r="AL439" s="435" t="n"/>
      <c r="AM439" s="435" t="n"/>
      <c r="AN439" s="435" t="n"/>
      <c r="AO439" s="436" t="n"/>
      <c r="AP439" s="436" t="n"/>
      <c r="AQ439" s="436" t="n"/>
      <c r="AR439" s="436" t="n"/>
      <c r="AS439" s="435">
        <f>AT439</f>
        <v/>
      </c>
      <c r="AT439" s="620" t="n"/>
      <c r="AU439" s="434" t="n"/>
      <c r="AV439" s="434" t="n"/>
      <c r="AW439" s="435">
        <f>AX439</f>
        <v/>
      </c>
      <c r="AX439" s="435" t="n"/>
      <c r="AY439" s="435" t="n"/>
      <c r="AZ439" s="435" t="n"/>
      <c r="BA439" s="432" t="n"/>
      <c r="BB439" s="432" t="n"/>
      <c r="BC439" s="432" t="n"/>
      <c r="BD439" s="432" t="n"/>
      <c r="BE439" s="432" t="n"/>
      <c r="BF439" s="432" t="n"/>
      <c r="BG439" s="432" t="n"/>
      <c r="BH439" s="432" t="n"/>
      <c r="BI439" s="432" t="n"/>
      <c r="BJ439" s="432" t="n"/>
      <c r="BK439" s="432" t="n"/>
      <c r="BL439" s="432" t="n"/>
      <c r="BM439" s="429">
        <f>BN439</f>
        <v/>
      </c>
      <c r="BN439" s="429" t="n"/>
      <c r="BO439" s="437" t="n"/>
      <c r="BP439" s="437" t="n"/>
      <c r="BQ439" s="437" t="n"/>
      <c r="BR439" s="437" t="n"/>
      <c r="BS439" s="437" t="n"/>
      <c r="BT439" s="429" t="n"/>
      <c r="BU439" s="438" t="n"/>
      <c r="BV439" s="439" t="n"/>
      <c r="BW439" s="426" t="inlineStr">
        <is>
          <t>6月新增</t>
        </is>
      </c>
    </row>
    <row r="440" ht="21" customFormat="1" customHeight="1" s="210">
      <c r="A440" s="469" t="n"/>
      <c r="B440" s="227" t="inlineStr">
        <is>
          <t>补充</t>
        </is>
      </c>
      <c r="C440" s="221" t="inlineStr">
        <is>
          <t>餐饮三分部</t>
        </is>
      </c>
      <c r="D440" s="221" t="inlineStr">
        <is>
          <t>CF699</t>
        </is>
      </c>
      <c r="E440" s="221" t="inlineStr">
        <is>
          <t>徐医大第一食堂</t>
        </is>
      </c>
      <c r="F440" s="219" t="inlineStr">
        <is>
          <t>分组作业</t>
        </is>
      </c>
      <c r="G440" s="222" t="inlineStr">
        <is>
          <t>徐敏捷</t>
        </is>
      </c>
      <c r="H440" s="503" t="inlineStr">
        <is>
          <t>/</t>
        </is>
      </c>
      <c r="I440" s="237" t="inlineStr">
        <is>
          <t>悦轻荷</t>
        </is>
      </c>
      <c r="J440" s="219" t="inlineStr">
        <is>
          <t>王于于</t>
        </is>
      </c>
      <c r="K440" s="572">
        <f>LET(k,D440&amp;"|"&amp;E440&amp;"|"&amp;H440&amp;"|"&amp;I440&amp;"|"&amp;J440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40" s="617" t="n"/>
      <c r="M440" s="488" t="n"/>
      <c r="N440" s="432" t="n"/>
      <c r="O440" s="618" t="n"/>
      <c r="P440" s="276" t="n">
        <v>0.18</v>
      </c>
      <c r="Q440" s="566">
        <f>K440*P440</f>
        <v/>
      </c>
      <c r="R440" s="435" t="n"/>
      <c r="S440" s="566">
        <f>Q440-R440</f>
        <v/>
      </c>
      <c r="T440" s="435" t="n">
        <v>0</v>
      </c>
      <c r="U440" s="435">
        <f>K440*T440</f>
        <v/>
      </c>
      <c r="V440" s="435" t="n"/>
      <c r="W440" s="461">
        <f>U440-V440</f>
        <v/>
      </c>
      <c r="X440" s="435" t="n"/>
      <c r="Y440" s="461">
        <f>K440*X440</f>
        <v/>
      </c>
      <c r="Z440" s="435" t="n"/>
      <c r="AA440" s="461">
        <f>Y440-Z440</f>
        <v/>
      </c>
      <c r="AB440" s="227" t="n">
        <v>0</v>
      </c>
      <c r="AC440" s="461">
        <f>K440*AB440</f>
        <v/>
      </c>
      <c r="AD440" s="435" t="n"/>
      <c r="AE440" s="461">
        <f>AC440-AD440</f>
        <v/>
      </c>
      <c r="AF440" s="227" t="n">
        <v>0</v>
      </c>
      <c r="AG440" s="461">
        <f>K440*AF440</f>
        <v/>
      </c>
      <c r="AH440" s="435" t="n"/>
      <c r="AI440" s="461">
        <f>AG440-AH440</f>
        <v/>
      </c>
      <c r="AJ440" s="227" t="n">
        <v>0</v>
      </c>
      <c r="AK440" s="461">
        <f>K440*AJ440</f>
        <v/>
      </c>
      <c r="AL440" s="435" t="n"/>
      <c r="AM440" s="461">
        <f>AK440-AL440</f>
        <v/>
      </c>
      <c r="AN440" s="227" t="n">
        <v>0</v>
      </c>
      <c r="AO440" s="461">
        <f>K440*AN440</f>
        <v/>
      </c>
      <c r="AP440" s="436" t="n"/>
      <c r="AQ440" s="461">
        <f>AO440-AP440</f>
        <v/>
      </c>
      <c r="AR440" s="436" t="n"/>
      <c r="AS440" s="434" t="n"/>
      <c r="AT440" s="434" t="n"/>
      <c r="AU440" s="461">
        <f>AS440-AT440</f>
        <v/>
      </c>
      <c r="AV440" s="434" t="n"/>
      <c r="AW440" s="461">
        <f>K440*AV440</f>
        <v/>
      </c>
      <c r="AX440" s="435" t="n"/>
      <c r="AY440" s="461">
        <f>AW440-AX440</f>
        <v/>
      </c>
      <c r="AZ440" s="227" t="n">
        <v>0</v>
      </c>
      <c r="BA440" s="461">
        <f>K440*AZ440</f>
        <v/>
      </c>
      <c r="BB440" s="432" t="n"/>
      <c r="BC440" s="461">
        <f>BA440-BB440</f>
        <v/>
      </c>
      <c r="BD440" s="432" t="n"/>
      <c r="BE440" s="461">
        <f>K440*BD440</f>
        <v/>
      </c>
      <c r="BF440" s="432" t="n"/>
      <c r="BG440" s="461">
        <f>BE440-BF440</f>
        <v/>
      </c>
      <c r="BH440" s="432" t="n"/>
      <c r="BI440" s="461">
        <f>K440*BH440</f>
        <v/>
      </c>
      <c r="BJ440" s="432" t="n"/>
      <c r="BK440" s="461">
        <f>BI440-BJ440</f>
        <v/>
      </c>
      <c r="BL440" s="461" t="inlineStr">
        <is>
          <t>按实</t>
        </is>
      </c>
      <c r="BM440" s="220">
        <f>BN440</f>
        <v/>
      </c>
      <c r="BN440" s="437" t="n"/>
      <c r="BO440" s="220">
        <f>BM440-BN440</f>
        <v/>
      </c>
      <c r="BP440" s="575">
        <f>N440+Q440+U440+Y440+AC440+AG440+AK440+AO440+AS440+AW440+BA440+BE440+BI440+BM440</f>
        <v/>
      </c>
      <c r="BQ440" s="220">
        <f>N440+R440+V440+Z440+AD440+AH440+AL440+AP440+AT440+AX440+BB440+BF440+BJ440+BN440</f>
        <v/>
      </c>
      <c r="BR440" s="575">
        <f>BP440-BQ440</f>
        <v/>
      </c>
      <c r="BS440" s="254" t="inlineStr">
        <is>
          <t>/</t>
        </is>
      </c>
      <c r="BT440" s="254" t="inlineStr">
        <is>
          <t>/</t>
        </is>
      </c>
      <c r="BU440" s="438" t="n"/>
      <c r="BV440" s="439" t="n"/>
      <c r="BW440" s="426" t="inlineStr">
        <is>
          <t>6月新增</t>
        </is>
      </c>
    </row>
    <row r="441" customFormat="1" s="210">
      <c r="A441" s="469" t="n"/>
      <c r="B441" s="227" t="inlineStr">
        <is>
          <t>补充</t>
        </is>
      </c>
      <c r="C441" s="222" t="inlineStr">
        <is>
          <t>餐饮三分部</t>
        </is>
      </c>
      <c r="D441" s="222" t="inlineStr">
        <is>
          <t>CF780</t>
        </is>
      </c>
      <c r="E441" s="222" t="inlineStr">
        <is>
          <t>吉建大二食堂</t>
        </is>
      </c>
      <c r="F441" s="219" t="inlineStr">
        <is>
          <t>分组作业</t>
        </is>
      </c>
      <c r="G441" s="444" t="inlineStr">
        <is>
          <t>徐敏娟</t>
        </is>
      </c>
      <c r="H441" s="503" t="inlineStr">
        <is>
          <t>/</t>
        </is>
      </c>
      <c r="I441" s="442" t="inlineStr">
        <is>
          <t>板烧厨房</t>
        </is>
      </c>
      <c r="J441" s="222" t="inlineStr">
        <is>
          <t>徐红月</t>
        </is>
      </c>
      <c r="K441" s="545">
        <f>LET(k,D441&amp;"|"&amp;E441&amp;"|"&amp;H441&amp;"|"&amp;I441&amp;"|"&amp;J441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41" s="617" t="n"/>
      <c r="M441" s="488" t="n"/>
      <c r="N441" s="432" t="n"/>
      <c r="O441" s="618" t="n"/>
      <c r="P441" s="247" t="n">
        <v>0.1</v>
      </c>
      <c r="Q441" s="461">
        <f>K441*P441</f>
        <v/>
      </c>
      <c r="R441" s="461" t="n"/>
      <c r="S441" s="461">
        <f>Q441-R441</f>
        <v/>
      </c>
      <c r="T441" s="235" t="n">
        <v>0.01</v>
      </c>
      <c r="U441" s="461">
        <f>K441*T441</f>
        <v/>
      </c>
      <c r="V441" s="461" t="n"/>
      <c r="W441" s="461">
        <f>U441-V441</f>
        <v/>
      </c>
      <c r="X441" s="461" t="n">
        <v>0</v>
      </c>
      <c r="Y441" s="461">
        <f>K441*X441</f>
        <v/>
      </c>
      <c r="Z441" s="461" t="n"/>
      <c r="AA441" s="461">
        <f>Y441-Z441</f>
        <v/>
      </c>
      <c r="AB441" s="235" t="n">
        <v>0.04</v>
      </c>
      <c r="AC441" s="461">
        <f>K441*AB441</f>
        <v/>
      </c>
      <c r="AD441" s="461" t="n"/>
      <c r="AE441" s="461">
        <f>AC441-AD441</f>
        <v/>
      </c>
      <c r="AF441" s="235" t="n">
        <v>0.03</v>
      </c>
      <c r="AG441" s="461">
        <f>K441*AF441</f>
        <v/>
      </c>
      <c r="AH441" s="461" t="n"/>
      <c r="AI441" s="461">
        <f>AG441-AH441</f>
        <v/>
      </c>
      <c r="AJ441" s="235" t="n">
        <v>0.01</v>
      </c>
      <c r="AK441" s="461">
        <f>K441*AJ441</f>
        <v/>
      </c>
      <c r="AL441" s="461" t="n"/>
      <c r="AM441" s="461">
        <f>AK441-AL441</f>
        <v/>
      </c>
      <c r="AN441" s="235" t="n">
        <v>0.01</v>
      </c>
      <c r="AO441" s="461">
        <f>K441*AN441</f>
        <v/>
      </c>
      <c r="AP441" s="461" t="n"/>
      <c r="AQ441" s="461">
        <f>AO441-AP441</f>
        <v/>
      </c>
      <c r="AR441" s="461" t="inlineStr">
        <is>
          <t>按实</t>
        </is>
      </c>
      <c r="AS441" s="461">
        <f>AT441</f>
        <v/>
      </c>
      <c r="AT441" s="461" t="n"/>
      <c r="AU441" s="461">
        <f>AS441-AT441</f>
        <v/>
      </c>
      <c r="AV441" s="461" t="inlineStr">
        <is>
          <t>按实</t>
        </is>
      </c>
      <c r="AW441" s="461">
        <f>AX441</f>
        <v/>
      </c>
      <c r="AX441" s="461" t="n"/>
      <c r="AY441" s="461">
        <f>AW441-AX441</f>
        <v/>
      </c>
      <c r="AZ441" s="461" t="inlineStr">
        <is>
          <t>按实</t>
        </is>
      </c>
      <c r="BA441" s="461">
        <f>BB441</f>
        <v/>
      </c>
      <c r="BB441" s="461" t="n"/>
      <c r="BC441" s="461">
        <f>BA441-BB441</f>
        <v/>
      </c>
      <c r="BD441" s="461" t="n">
        <v>0</v>
      </c>
      <c r="BE441" s="461">
        <f>K441*BD441</f>
        <v/>
      </c>
      <c r="BF441" s="461" t="n"/>
      <c r="BG441" s="461">
        <f>BE441-BF441</f>
        <v/>
      </c>
      <c r="BH441" s="461" t="n">
        <v>0</v>
      </c>
      <c r="BI441" s="461">
        <f>K441*BH441</f>
        <v/>
      </c>
      <c r="BJ441" s="461" t="n"/>
      <c r="BK441" s="461">
        <f>BI441-BJ441</f>
        <v/>
      </c>
      <c r="BL441" s="461" t="inlineStr">
        <is>
          <t>按实</t>
        </is>
      </c>
      <c r="BM441" s="220">
        <f>BN441</f>
        <v/>
      </c>
      <c r="BN441" s="220" t="n"/>
      <c r="BO441" s="220">
        <f>BM441-BN441</f>
        <v/>
      </c>
      <c r="BP441" s="220">
        <f>N441+Q441+U441+Y441+AC441+AG441+AK441+AO441+AS441+AW441+BA441+BE441+BI441+BM441</f>
        <v/>
      </c>
      <c r="BQ441" s="220">
        <f>N441+R441+V441+Z441+AD441+AH441+AL441+AP441+AT441+AX441+BB441+BF441+BJ441+BN441</f>
        <v/>
      </c>
      <c r="BR441" s="220">
        <f>BP441-BQ441</f>
        <v/>
      </c>
      <c r="BS441" s="229" t="inlineStr">
        <is>
          <t>/</t>
        </is>
      </c>
      <c r="BT441" s="229" t="inlineStr">
        <is>
          <t>/</t>
        </is>
      </c>
      <c r="BU441" s="438" t="n"/>
      <c r="BV441" s="439" t="n"/>
      <c r="BW441" s="426" t="inlineStr">
        <is>
          <t>6月新增</t>
        </is>
      </c>
    </row>
    <row r="442" customFormat="1" s="210">
      <c r="A442" s="469" t="n"/>
      <c r="B442" s="227" t="inlineStr">
        <is>
          <t>补充</t>
        </is>
      </c>
      <c r="C442" s="222" t="inlineStr">
        <is>
          <t>餐饮六分部</t>
        </is>
      </c>
      <c r="D442" s="222" t="inlineStr">
        <is>
          <t>CF293</t>
        </is>
      </c>
      <c r="E442" s="222" t="inlineStr">
        <is>
          <t>江苏二师石湫校区食堂</t>
        </is>
      </c>
      <c r="F442" s="219" t="inlineStr">
        <is>
          <t>分组作业</t>
        </is>
      </c>
      <c r="G442" s="444" t="inlineStr">
        <is>
          <t>徐敏娟</t>
        </is>
      </c>
      <c r="H442" s="219" t="inlineStr">
        <is>
          <t>第二班组</t>
        </is>
      </c>
      <c r="I442" s="219" t="inlineStr">
        <is>
          <t>猪脚饭</t>
        </is>
      </c>
      <c r="J442" s="219" t="inlineStr">
        <is>
          <t>孙仲弘</t>
        </is>
      </c>
      <c r="K442" s="545">
        <f>LET(k,D442&amp;"|"&amp;E442&amp;"|"&amp;H442&amp;"|"&amp;I442&amp;"|"&amp;J442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42" s="617" t="n"/>
      <c r="M442" s="488" t="n"/>
      <c r="N442" s="432" t="n"/>
      <c r="O442" s="618" t="n"/>
      <c r="P442" s="434" t="n"/>
      <c r="Q442" s="461">
        <f>R442</f>
        <v/>
      </c>
      <c r="R442" s="227" t="n">
        <v>3755.35</v>
      </c>
      <c r="S442" s="435" t="n"/>
      <c r="T442" s="435" t="n"/>
      <c r="U442" s="435" t="n"/>
      <c r="V442" s="435" t="n"/>
      <c r="W442" s="435" t="n"/>
      <c r="X442" s="435" t="n"/>
      <c r="Y442" s="435" t="n"/>
      <c r="Z442" s="435" t="n"/>
      <c r="AA442" s="435" t="n"/>
      <c r="AB442" s="435" t="n"/>
      <c r="AC442" s="435" t="n"/>
      <c r="AD442" s="435" t="n"/>
      <c r="AE442" s="435" t="n"/>
      <c r="AF442" s="435" t="n"/>
      <c r="AG442" s="435" t="n"/>
      <c r="AH442" s="435" t="n"/>
      <c r="AI442" s="435" t="n"/>
      <c r="AJ442" s="435" t="n"/>
      <c r="AK442" s="435" t="n"/>
      <c r="AL442" s="435" t="n"/>
      <c r="AM442" s="435" t="n"/>
      <c r="AN442" s="435" t="n"/>
      <c r="AO442" s="436" t="n"/>
      <c r="AP442" s="436" t="n"/>
      <c r="AQ442" s="436" t="n"/>
      <c r="AR442" s="436" t="n"/>
      <c r="AS442" s="461">
        <f>AT442</f>
        <v/>
      </c>
      <c r="AT442" s="227" t="n">
        <v>691.78</v>
      </c>
      <c r="AU442" s="434" t="n"/>
      <c r="AV442" s="434" t="n"/>
      <c r="AW442" s="461">
        <f>AX442</f>
        <v/>
      </c>
      <c r="AX442" s="227" t="n">
        <v>1087.08</v>
      </c>
      <c r="AY442" s="435" t="n"/>
      <c r="AZ442" s="435" t="n"/>
      <c r="BA442" s="432" t="n"/>
      <c r="BB442" s="432" t="n"/>
      <c r="BC442" s="432" t="n"/>
      <c r="BD442" s="432" t="n"/>
      <c r="BE442" s="432" t="n"/>
      <c r="BF442" s="432" t="n"/>
      <c r="BG442" s="432" t="n"/>
      <c r="BH442" s="432" t="n"/>
      <c r="BI442" s="432" t="n"/>
      <c r="BJ442" s="432" t="n"/>
      <c r="BK442" s="432" t="n"/>
      <c r="BL442" s="432" t="n"/>
      <c r="BM442" s="437" t="n"/>
      <c r="BN442" s="437" t="n"/>
      <c r="BO442" s="437" t="n"/>
      <c r="BP442" s="437" t="n"/>
      <c r="BQ442" s="437" t="n"/>
      <c r="BR442" s="437" t="n"/>
      <c r="BS442" s="437" t="n"/>
      <c r="BT442" s="429" t="n"/>
      <c r="BU442" s="438" t="n"/>
      <c r="BV442" s="439" t="n"/>
      <c r="BW442" s="426" t="inlineStr">
        <is>
          <t>6月新增</t>
        </is>
      </c>
    </row>
    <row r="443" customFormat="1" s="210">
      <c r="A443" s="469" t="n"/>
      <c r="B443" s="227" t="inlineStr">
        <is>
          <t>补充</t>
        </is>
      </c>
      <c r="C443" s="222" t="inlineStr">
        <is>
          <t>餐饮六分部</t>
        </is>
      </c>
      <c r="D443" s="222" t="inlineStr">
        <is>
          <t>CF293</t>
        </is>
      </c>
      <c r="E443" s="222" t="inlineStr">
        <is>
          <t>江苏二师石湫校区食堂</t>
        </is>
      </c>
      <c r="F443" s="219" t="inlineStr">
        <is>
          <t>分组作业</t>
        </is>
      </c>
      <c r="G443" s="444" t="inlineStr">
        <is>
          <t>徐敏娟</t>
        </is>
      </c>
      <c r="H443" s="219" t="inlineStr">
        <is>
          <t>第四班组</t>
        </is>
      </c>
      <c r="I443" s="219" t="inlineStr">
        <is>
          <t>铁锅炖</t>
        </is>
      </c>
      <c r="J443" s="219" t="inlineStr">
        <is>
          <t>夏金涛</t>
        </is>
      </c>
      <c r="K443" s="545">
        <f>LET(k,D443&amp;"|"&amp;E443&amp;"|"&amp;H443&amp;"|"&amp;I443&amp;"|"&amp;J443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43" s="617" t="n"/>
      <c r="M443" s="488" t="n"/>
      <c r="N443" s="432" t="n"/>
      <c r="O443" s="618" t="n"/>
      <c r="P443" s="434" t="n"/>
      <c r="Q443" s="461">
        <f>R443</f>
        <v/>
      </c>
      <c r="R443" s="227" t="n">
        <v>5245.88</v>
      </c>
      <c r="S443" s="435" t="n"/>
      <c r="T443" s="435" t="n"/>
      <c r="U443" s="435" t="n"/>
      <c r="V443" s="435" t="n"/>
      <c r="W443" s="435" t="n"/>
      <c r="X443" s="435" t="n"/>
      <c r="Y443" s="435" t="n"/>
      <c r="Z443" s="435" t="n"/>
      <c r="AA443" s="435" t="n"/>
      <c r="AB443" s="435" t="n"/>
      <c r="AC443" s="435" t="n"/>
      <c r="AD443" s="435" t="n"/>
      <c r="AE443" s="435" t="n"/>
      <c r="AF443" s="435" t="n"/>
      <c r="AG443" s="435" t="n"/>
      <c r="AH443" s="435" t="n"/>
      <c r="AI443" s="435" t="n"/>
      <c r="AJ443" s="435" t="n"/>
      <c r="AK443" s="435" t="n"/>
      <c r="AL443" s="435" t="n"/>
      <c r="AM443" s="435" t="n"/>
      <c r="AN443" s="435" t="n"/>
      <c r="AO443" s="436" t="n"/>
      <c r="AP443" s="436" t="n"/>
      <c r="AQ443" s="436" t="n"/>
      <c r="AR443" s="436" t="n"/>
      <c r="AS443" s="461">
        <f>AT443</f>
        <v/>
      </c>
      <c r="AT443" s="227" t="n">
        <v>966.35</v>
      </c>
      <c r="AU443" s="434" t="n"/>
      <c r="AV443" s="434" t="n"/>
      <c r="AW443" s="461">
        <f>AX443</f>
        <v/>
      </c>
      <c r="AX443" s="227" t="n">
        <v>1518.54</v>
      </c>
      <c r="AY443" s="435" t="n"/>
      <c r="AZ443" s="435" t="n"/>
      <c r="BA443" s="432" t="n"/>
      <c r="BB443" s="432" t="n"/>
      <c r="BC443" s="432" t="n"/>
      <c r="BD443" s="432" t="n"/>
      <c r="BE443" s="432" t="n"/>
      <c r="BF443" s="432" t="n"/>
      <c r="BG443" s="432" t="n"/>
      <c r="BH443" s="432" t="n"/>
      <c r="BI443" s="432" t="n"/>
      <c r="BJ443" s="432" t="n"/>
      <c r="BK443" s="432" t="n"/>
      <c r="BL443" s="432" t="n"/>
      <c r="BM443" s="437" t="n"/>
      <c r="BN443" s="437" t="n"/>
      <c r="BO443" s="437" t="n"/>
      <c r="BP443" s="437" t="n"/>
      <c r="BQ443" s="437" t="n"/>
      <c r="BR443" s="437" t="n"/>
      <c r="BS443" s="437" t="n"/>
      <c r="BT443" s="429" t="n"/>
      <c r="BU443" s="438" t="n"/>
      <c r="BV443" s="439" t="n"/>
      <c r="BW443" s="426" t="inlineStr">
        <is>
          <t>6月新增</t>
        </is>
      </c>
    </row>
    <row r="444" customFormat="1" s="210">
      <c r="A444" s="219" t="n">
        <v>3</v>
      </c>
      <c r="B444" s="220" t="inlineStr">
        <is>
          <t>KQCY0003</t>
        </is>
      </c>
      <c r="C444" s="222" t="inlineStr">
        <is>
          <t>餐饮一分部</t>
        </is>
      </c>
      <c r="D444" s="222" t="inlineStr">
        <is>
          <t>CF478</t>
        </is>
      </c>
      <c r="E444" s="222" t="inlineStr">
        <is>
          <t>苏州华杨电子餐厅</t>
        </is>
      </c>
      <c r="F444" s="219" t="inlineStr">
        <is>
          <t>强责</t>
        </is>
      </c>
      <c r="G444" s="243" t="inlineStr">
        <is>
          <t>徐敏捷</t>
        </is>
      </c>
      <c r="H444" s="222" t="inlineStr">
        <is>
          <t>/</t>
        </is>
      </c>
      <c r="I444" s="503" t="inlineStr">
        <is>
          <t>/</t>
        </is>
      </c>
      <c r="J444" s="222" t="inlineStr">
        <is>
          <t>武良军</t>
        </is>
      </c>
      <c r="K444" s="545">
        <f>LET(k,D444&amp;"|"&amp;E444&amp;"|"&amp;H444&amp;"|"&amp;I444&amp;"|"&amp;J444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44" s="617" t="n"/>
      <c r="M444" s="488" t="inlineStr">
        <is>
          <t>强责责任人</t>
        </is>
      </c>
      <c r="N444" s="432" t="n">
        <v>67026.34</v>
      </c>
      <c r="O444" s="618" t="n"/>
      <c r="P444" s="434" t="n">
        <v>0.04</v>
      </c>
      <c r="Q444" s="435">
        <f>K444*P444</f>
        <v/>
      </c>
      <c r="R444" s="435" t="n">
        <v>7092.84</v>
      </c>
      <c r="S444" s="435">
        <f>Q444-R444</f>
        <v/>
      </c>
      <c r="T444" s="435" t="n"/>
      <c r="U444" s="435" t="n"/>
      <c r="V444" s="435" t="n"/>
      <c r="W444" s="435" t="n"/>
      <c r="X444" s="435" t="n"/>
      <c r="Y444" s="435" t="n"/>
      <c r="Z444" s="435" t="n"/>
      <c r="AA444" s="435" t="n"/>
      <c r="AB444" s="435" t="n"/>
      <c r="AC444" s="435" t="n"/>
      <c r="AD444" s="435" t="n"/>
      <c r="AE444" s="435" t="n"/>
      <c r="AF444" s="435" t="n"/>
      <c r="AG444" s="435" t="n"/>
      <c r="AH444" s="435" t="n"/>
      <c r="AI444" s="435" t="n"/>
      <c r="AJ444" s="435" t="n"/>
      <c r="AK444" s="435" t="n"/>
      <c r="AL444" s="435" t="n"/>
      <c r="AM444" s="435" t="n"/>
      <c r="AN444" s="435" t="n"/>
      <c r="AO444" s="436" t="n"/>
      <c r="AP444" s="436" t="n"/>
      <c r="AQ444" s="436" t="n"/>
      <c r="AR444" s="436" t="n"/>
      <c r="AS444" s="434" t="n"/>
      <c r="AT444" s="434" t="n"/>
      <c r="AU444" s="434" t="n"/>
      <c r="AV444" s="434" t="n"/>
      <c r="AW444" s="435" t="n"/>
      <c r="AX444" s="435" t="n"/>
      <c r="AY444" s="435" t="n"/>
      <c r="AZ444" s="435" t="n"/>
      <c r="BA444" s="432" t="n"/>
      <c r="BB444" s="432" t="n"/>
      <c r="BC444" s="432" t="n"/>
      <c r="BD444" s="432" t="n"/>
      <c r="BE444" s="432" t="n"/>
      <c r="BF444" s="432" t="n"/>
      <c r="BG444" s="432" t="n"/>
      <c r="BH444" s="432" t="n"/>
      <c r="BI444" s="432" t="n"/>
      <c r="BJ444" s="432" t="n"/>
      <c r="BK444" s="432" t="n"/>
      <c r="BL444" s="432" t="n"/>
      <c r="BM444" s="437">
        <f>BN444</f>
        <v/>
      </c>
      <c r="BN444" s="621" t="n">
        <v>733.6059</v>
      </c>
      <c r="BO444" s="220">
        <f>BM444-BN444</f>
        <v/>
      </c>
      <c r="BP444" s="437" t="n"/>
      <c r="BQ444" s="437" t="n"/>
      <c r="BR444" s="437" t="n"/>
      <c r="BS444" s="437" t="n"/>
      <c r="BT444" s="429" t="n"/>
      <c r="BU444" s="438" t="n"/>
      <c r="BV444" s="439" t="n"/>
      <c r="BW444" s="426" t="inlineStr">
        <is>
          <t>6月补充至该表</t>
        </is>
      </c>
    </row>
    <row r="445" customFormat="1" s="210">
      <c r="A445" s="219" t="n">
        <v>5</v>
      </c>
      <c r="B445" s="220" t="inlineStr">
        <is>
          <t>KQCY0005</t>
        </is>
      </c>
      <c r="C445" s="222" t="inlineStr">
        <is>
          <t>餐饮一分部</t>
        </is>
      </c>
      <c r="D445" s="222" t="inlineStr">
        <is>
          <t>CF474</t>
        </is>
      </c>
      <c r="E445" s="222" t="inlineStr">
        <is>
          <t>安工大七食堂</t>
        </is>
      </c>
      <c r="F445" s="219" t="inlineStr">
        <is>
          <t>强责</t>
        </is>
      </c>
      <c r="G445" s="222" t="inlineStr">
        <is>
          <t>卫屹</t>
        </is>
      </c>
      <c r="H445" s="222" t="inlineStr">
        <is>
          <t>/</t>
        </is>
      </c>
      <c r="I445" s="503" t="inlineStr">
        <is>
          <t>/</t>
        </is>
      </c>
      <c r="J445" s="503" t="inlineStr">
        <is>
          <t>李俊彦</t>
        </is>
      </c>
      <c r="K445" s="545">
        <f>LET(k,D445&amp;"|"&amp;E445&amp;"|"&amp;H445&amp;"|"&amp;I445&amp;"|"&amp;J445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45" s="617" t="n"/>
      <c r="M445" s="488" t="inlineStr">
        <is>
          <t>强责责任人</t>
        </is>
      </c>
      <c r="N445" s="432" t="n"/>
      <c r="O445" s="618" t="n"/>
      <c r="P445" s="434" t="n"/>
      <c r="Q445" s="435" t="n"/>
      <c r="R445" s="435" t="n"/>
      <c r="S445" s="435" t="n"/>
      <c r="T445" s="435" t="n"/>
      <c r="U445" s="435" t="n"/>
      <c r="V445" s="435" t="n"/>
      <c r="W445" s="435" t="n"/>
      <c r="X445" s="435" t="n"/>
      <c r="Y445" s="435" t="n"/>
      <c r="Z445" s="435" t="n"/>
      <c r="AA445" s="435" t="n"/>
      <c r="AB445" s="435" t="n"/>
      <c r="AC445" s="435" t="n"/>
      <c r="AD445" s="435" t="n"/>
      <c r="AE445" s="435" t="n"/>
      <c r="AF445" s="435" t="n"/>
      <c r="AG445" s="435" t="n"/>
      <c r="AH445" s="435" t="n"/>
      <c r="AI445" s="435" t="n"/>
      <c r="AJ445" s="435" t="n"/>
      <c r="AK445" s="435" t="n"/>
      <c r="AL445" s="435" t="n"/>
      <c r="AM445" s="435" t="n"/>
      <c r="AN445" s="435" t="n"/>
      <c r="AO445" s="436" t="n"/>
      <c r="AP445" s="436" t="n"/>
      <c r="AQ445" s="436" t="n"/>
      <c r="AR445" s="436" t="n"/>
      <c r="AS445" s="434" t="n"/>
      <c r="AT445" s="434" t="n"/>
      <c r="AU445" s="434" t="n"/>
      <c r="AV445" s="434" t="n"/>
      <c r="AW445" s="435" t="n"/>
      <c r="AX445" s="435" t="n"/>
      <c r="AY445" s="435" t="n"/>
      <c r="AZ445" s="435" t="n"/>
      <c r="BA445" s="432" t="n"/>
      <c r="BB445" s="432" t="n"/>
      <c r="BC445" s="432" t="n"/>
      <c r="BD445" s="432" t="n"/>
      <c r="BE445" s="432" t="n"/>
      <c r="BF445" s="432" t="n"/>
      <c r="BG445" s="432" t="n"/>
      <c r="BH445" s="432" t="n"/>
      <c r="BI445" s="432" t="n"/>
      <c r="BJ445" s="432" t="n"/>
      <c r="BK445" s="432" t="n"/>
      <c r="BL445" s="432" t="n"/>
      <c r="BM445" s="437" t="n"/>
      <c r="BN445" s="437" t="n"/>
      <c r="BO445" s="437" t="n"/>
      <c r="BP445" s="437" t="n"/>
      <c r="BQ445" s="437" t="n"/>
      <c r="BR445" s="437" t="n"/>
      <c r="BS445" s="437" t="n"/>
      <c r="BT445" s="429" t="n"/>
      <c r="BU445" s="438" t="n"/>
      <c r="BV445" s="439" t="n"/>
      <c r="BW445" s="426" t="inlineStr">
        <is>
          <t>6月补充至该表</t>
        </is>
      </c>
    </row>
    <row r="446" customFormat="1" s="210">
      <c r="A446" s="219" t="n">
        <v>116</v>
      </c>
      <c r="B446" s="220" t="inlineStr">
        <is>
          <t>KQCY0116</t>
        </is>
      </c>
      <c r="C446" s="222" t="inlineStr">
        <is>
          <t>餐饮二分部</t>
        </is>
      </c>
      <c r="D446" s="222" t="inlineStr">
        <is>
          <t>CF450</t>
        </is>
      </c>
      <c r="E446" s="222" t="inlineStr">
        <is>
          <t>天津大学学二食堂</t>
        </is>
      </c>
      <c r="F446" s="219" t="inlineStr">
        <is>
          <t>强责</t>
        </is>
      </c>
      <c r="G446" s="222" t="inlineStr">
        <is>
          <t>徐敏捷</t>
        </is>
      </c>
      <c r="H446" s="222" t="inlineStr">
        <is>
          <t>/</t>
        </is>
      </c>
      <c r="I446" s="503" t="inlineStr">
        <is>
          <t>/</t>
        </is>
      </c>
      <c r="J446" s="503" t="inlineStr">
        <is>
          <t>张宪</t>
        </is>
      </c>
      <c r="K446" s="545">
        <f>LET(k,D446&amp;"|"&amp;E446&amp;"|"&amp;H446&amp;"|"&amp;I446&amp;"|"&amp;J446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46" s="617" t="n"/>
      <c r="M446" s="488" t="inlineStr">
        <is>
          <t>强责责任人</t>
        </is>
      </c>
      <c r="N446" s="432" t="n"/>
      <c r="O446" s="618" t="n"/>
      <c r="P446" s="434" t="n"/>
      <c r="Q446" s="435" t="n"/>
      <c r="R446" s="435" t="n"/>
      <c r="S446" s="435" t="n"/>
      <c r="T446" s="435" t="n"/>
      <c r="U446" s="435" t="n"/>
      <c r="V446" s="435" t="n"/>
      <c r="W446" s="435" t="n"/>
      <c r="X446" s="435" t="n"/>
      <c r="Y446" s="435" t="n"/>
      <c r="Z446" s="435" t="n"/>
      <c r="AA446" s="435" t="n"/>
      <c r="AB446" s="435" t="n"/>
      <c r="AC446" s="435" t="n"/>
      <c r="AD446" s="435" t="n"/>
      <c r="AE446" s="435" t="n"/>
      <c r="AF446" s="435" t="n"/>
      <c r="AG446" s="435" t="n"/>
      <c r="AH446" s="435" t="n"/>
      <c r="AI446" s="435" t="n"/>
      <c r="AJ446" s="435" t="n"/>
      <c r="AK446" s="435" t="n"/>
      <c r="AL446" s="435" t="n"/>
      <c r="AM446" s="435" t="n"/>
      <c r="AN446" s="435" t="n"/>
      <c r="AO446" s="436" t="n"/>
      <c r="AP446" s="436" t="n"/>
      <c r="AQ446" s="436" t="n"/>
      <c r="AR446" s="436" t="n"/>
      <c r="AS446" s="434" t="n"/>
      <c r="AT446" s="434" t="n"/>
      <c r="AU446" s="434" t="n"/>
      <c r="AV446" s="434" t="n"/>
      <c r="AW446" s="435" t="n"/>
      <c r="AX446" s="435" t="n"/>
      <c r="AY446" s="435" t="n"/>
      <c r="AZ446" s="435" t="n"/>
      <c r="BA446" s="432" t="n"/>
      <c r="BB446" s="432" t="n"/>
      <c r="BC446" s="432" t="n"/>
      <c r="BD446" s="432" t="n"/>
      <c r="BE446" s="432" t="n"/>
      <c r="BF446" s="432" t="n"/>
      <c r="BG446" s="432" t="n"/>
      <c r="BH446" s="432" t="n"/>
      <c r="BI446" s="432" t="n"/>
      <c r="BJ446" s="432" t="n"/>
      <c r="BK446" s="432" t="n"/>
      <c r="BL446" s="432" t="n"/>
      <c r="BM446" s="437" t="n"/>
      <c r="BN446" s="437" t="n"/>
      <c r="BO446" s="220">
        <f>BM446-BN446</f>
        <v/>
      </c>
      <c r="BP446" s="437" t="n"/>
      <c r="BQ446" s="437" t="n"/>
      <c r="BR446" s="437" t="n"/>
      <c r="BS446" s="437" t="n"/>
      <c r="BT446" s="429" t="n"/>
      <c r="BU446" s="438" t="n"/>
      <c r="BV446" s="439" t="n"/>
      <c r="BW446" s="426" t="inlineStr">
        <is>
          <t>6月补充至该表</t>
        </is>
      </c>
    </row>
    <row r="447" customFormat="1" s="210">
      <c r="A447" s="219" t="n">
        <v>287</v>
      </c>
      <c r="B447" s="220" t="inlineStr">
        <is>
          <t>KQCY0287</t>
        </is>
      </c>
      <c r="C447" s="222" t="inlineStr">
        <is>
          <t>餐饮五分部</t>
        </is>
      </c>
      <c r="D447" s="222" t="inlineStr">
        <is>
          <t>CF620</t>
        </is>
      </c>
      <c r="E447" s="222" t="inlineStr">
        <is>
          <t>山西大学B6食堂三层</t>
        </is>
      </c>
      <c r="F447" s="219" t="inlineStr">
        <is>
          <t>强责</t>
        </is>
      </c>
      <c r="G447" s="243" t="inlineStr">
        <is>
          <t>徐敏捷</t>
        </is>
      </c>
      <c r="H447" s="222" t="inlineStr">
        <is>
          <t>/</t>
        </is>
      </c>
      <c r="I447" s="503" t="inlineStr">
        <is>
          <t>冒菜</t>
        </is>
      </c>
      <c r="J447" s="503" t="inlineStr">
        <is>
          <t>陈祥</t>
        </is>
      </c>
      <c r="K447" s="545">
        <f>LET(k,D447&amp;"|"&amp;E447&amp;"|"&amp;H447&amp;"|"&amp;I447&amp;"|"&amp;J447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47" s="617" t="n"/>
      <c r="M447" s="488" t="inlineStr">
        <is>
          <t>强责责任人</t>
        </is>
      </c>
      <c r="N447" s="432" t="n"/>
      <c r="O447" s="618" t="n"/>
      <c r="P447" s="434" t="n"/>
      <c r="Q447" s="435" t="n"/>
      <c r="R447" s="435" t="n"/>
      <c r="S447" s="435" t="n"/>
      <c r="T447" s="435" t="n"/>
      <c r="U447" s="435" t="n"/>
      <c r="V447" s="435" t="n"/>
      <c r="W447" s="435" t="n"/>
      <c r="X447" s="435" t="n"/>
      <c r="Y447" s="435" t="n"/>
      <c r="Z447" s="435" t="n"/>
      <c r="AA447" s="435" t="n"/>
      <c r="AB447" s="435" t="n"/>
      <c r="AC447" s="435" t="n"/>
      <c r="AD447" s="435" t="n"/>
      <c r="AE447" s="435" t="n"/>
      <c r="AF447" s="435" t="n"/>
      <c r="AG447" s="435" t="n"/>
      <c r="AH447" s="435" t="n"/>
      <c r="AI447" s="435" t="n"/>
      <c r="AJ447" s="435" t="n"/>
      <c r="AK447" s="435" t="n"/>
      <c r="AL447" s="435" t="n"/>
      <c r="AM447" s="435" t="n"/>
      <c r="AN447" s="435" t="n"/>
      <c r="AO447" s="436" t="n"/>
      <c r="AP447" s="436" t="n"/>
      <c r="AQ447" s="436" t="n"/>
      <c r="AR447" s="436" t="n"/>
      <c r="AS447" s="434" t="n"/>
      <c r="AT447" s="434" t="n"/>
      <c r="AU447" s="434" t="n"/>
      <c r="AV447" s="434" t="n"/>
      <c r="AW447" s="435" t="n"/>
      <c r="AX447" s="435" t="n"/>
      <c r="AY447" s="435" t="n"/>
      <c r="AZ447" s="435" t="n"/>
      <c r="BA447" s="432" t="n"/>
      <c r="BB447" s="432" t="n"/>
      <c r="BC447" s="432" t="n"/>
      <c r="BD447" s="432" t="n"/>
      <c r="BE447" s="432" t="n"/>
      <c r="BF447" s="432" t="n"/>
      <c r="BG447" s="432" t="n"/>
      <c r="BH447" s="432" t="n"/>
      <c r="BI447" s="432" t="n"/>
      <c r="BJ447" s="432" t="n"/>
      <c r="BK447" s="432" t="n"/>
      <c r="BL447" s="432" t="n"/>
      <c r="BM447" s="437" t="n"/>
      <c r="BN447" s="437" t="n"/>
      <c r="BO447" s="220">
        <f>BM447-BN447</f>
        <v/>
      </c>
      <c r="BP447" s="437" t="n"/>
      <c r="BQ447" s="437" t="n"/>
      <c r="BR447" s="437" t="n"/>
      <c r="BS447" s="437" t="n"/>
      <c r="BT447" s="429" t="n"/>
      <c r="BU447" s="438" t="n"/>
      <c r="BV447" s="439" t="n"/>
      <c r="BW447" s="426" t="inlineStr">
        <is>
          <t>6月补充至该表</t>
        </is>
      </c>
    </row>
    <row r="448" customFormat="1" s="210">
      <c r="A448" s="219" t="n">
        <v>288</v>
      </c>
      <c r="B448" s="220" t="inlineStr">
        <is>
          <t>KQCY0288</t>
        </is>
      </c>
      <c r="C448" s="222" t="inlineStr">
        <is>
          <t>餐饮五分部</t>
        </is>
      </c>
      <c r="D448" s="222" t="inlineStr">
        <is>
          <t>CF620</t>
        </is>
      </c>
      <c r="E448" s="222" t="inlineStr">
        <is>
          <t>山西大学B6食堂三层</t>
        </is>
      </c>
      <c r="F448" s="219" t="inlineStr">
        <is>
          <t>强责</t>
        </is>
      </c>
      <c r="G448" s="243" t="inlineStr">
        <is>
          <t>徐敏捷</t>
        </is>
      </c>
      <c r="H448" s="222" t="inlineStr">
        <is>
          <t>/</t>
        </is>
      </c>
      <c r="I448" s="503" t="inlineStr">
        <is>
          <t>烤盘菜</t>
        </is>
      </c>
      <c r="J448" s="503" t="inlineStr">
        <is>
          <t>陈祥</t>
        </is>
      </c>
      <c r="K448" s="545">
        <f>LET(k,D448&amp;"|"&amp;E448&amp;"|"&amp;H448&amp;"|"&amp;I448&amp;"|"&amp;J448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48" s="617" t="n"/>
      <c r="M448" s="488" t="inlineStr">
        <is>
          <t>强责责任人</t>
        </is>
      </c>
      <c r="N448" s="432" t="n"/>
      <c r="O448" s="618" t="n"/>
      <c r="P448" s="434" t="n"/>
      <c r="Q448" s="435" t="n"/>
      <c r="R448" s="435" t="n"/>
      <c r="S448" s="435" t="n"/>
      <c r="T448" s="435" t="n"/>
      <c r="U448" s="435" t="n"/>
      <c r="V448" s="435" t="n"/>
      <c r="W448" s="435" t="n"/>
      <c r="X448" s="435" t="n"/>
      <c r="Y448" s="435" t="n"/>
      <c r="Z448" s="435" t="n"/>
      <c r="AA448" s="435" t="n"/>
      <c r="AB448" s="435" t="n"/>
      <c r="AC448" s="435" t="n"/>
      <c r="AD448" s="435" t="n"/>
      <c r="AE448" s="435" t="n"/>
      <c r="AF448" s="435" t="n"/>
      <c r="AG448" s="435" t="n"/>
      <c r="AH448" s="435" t="n"/>
      <c r="AI448" s="435" t="n"/>
      <c r="AJ448" s="435" t="n"/>
      <c r="AK448" s="435" t="n"/>
      <c r="AL448" s="435" t="n"/>
      <c r="AM448" s="435" t="n"/>
      <c r="AN448" s="435" t="n"/>
      <c r="AO448" s="436" t="n"/>
      <c r="AP448" s="436" t="n"/>
      <c r="AQ448" s="436" t="n"/>
      <c r="AR448" s="436" t="n"/>
      <c r="AS448" s="434" t="n"/>
      <c r="AT448" s="434" t="n"/>
      <c r="AU448" s="434" t="n"/>
      <c r="AV448" s="434" t="n"/>
      <c r="AW448" s="435" t="n"/>
      <c r="AX448" s="435" t="n"/>
      <c r="AY448" s="435" t="n"/>
      <c r="AZ448" s="435" t="n"/>
      <c r="BA448" s="432" t="n"/>
      <c r="BB448" s="432" t="n"/>
      <c r="BC448" s="432" t="n"/>
      <c r="BD448" s="432" t="n"/>
      <c r="BE448" s="432" t="n"/>
      <c r="BF448" s="432" t="n"/>
      <c r="BG448" s="432" t="n"/>
      <c r="BH448" s="432" t="n"/>
      <c r="BI448" s="432" t="n"/>
      <c r="BJ448" s="432" t="n"/>
      <c r="BK448" s="432" t="n"/>
      <c r="BL448" s="432" t="n"/>
      <c r="BM448" s="437" t="n"/>
      <c r="BN448" s="437" t="n"/>
      <c r="BO448" s="220">
        <f>BM448-BN448</f>
        <v/>
      </c>
      <c r="BP448" s="437" t="n"/>
      <c r="BQ448" s="437" t="n"/>
      <c r="BR448" s="437" t="n"/>
      <c r="BS448" s="437" t="n"/>
      <c r="BT448" s="429" t="n"/>
      <c r="BU448" s="438" t="n"/>
      <c r="BV448" s="439" t="n"/>
      <c r="BW448" s="426" t="inlineStr">
        <is>
          <t>6月补充至该表</t>
        </is>
      </c>
    </row>
    <row r="449" customFormat="1" s="210">
      <c r="A449" s="219" t="n">
        <v>289</v>
      </c>
      <c r="B449" s="220" t="inlineStr">
        <is>
          <t>KQCY0289</t>
        </is>
      </c>
      <c r="C449" s="222" t="inlineStr">
        <is>
          <t>餐饮五分部</t>
        </is>
      </c>
      <c r="D449" s="222" t="inlineStr">
        <is>
          <t>CF620</t>
        </is>
      </c>
      <c r="E449" s="222" t="inlineStr">
        <is>
          <t>山西大学B6食堂三层</t>
        </is>
      </c>
      <c r="F449" s="219" t="inlineStr">
        <is>
          <t>强责</t>
        </is>
      </c>
      <c r="G449" s="243" t="inlineStr">
        <is>
          <t>徐敏捷</t>
        </is>
      </c>
      <c r="H449" s="222" t="inlineStr">
        <is>
          <t>/</t>
        </is>
      </c>
      <c r="I449" s="503" t="inlineStr">
        <is>
          <t>大盘鸡</t>
        </is>
      </c>
      <c r="J449" s="503" t="inlineStr">
        <is>
          <t>陈祥</t>
        </is>
      </c>
      <c r="K449" s="545">
        <f>LET(k,D449&amp;"|"&amp;E449&amp;"|"&amp;H449&amp;"|"&amp;I449&amp;"|"&amp;J449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49" s="617" t="n"/>
      <c r="M449" s="488" t="inlineStr">
        <is>
          <t>强责责任人</t>
        </is>
      </c>
      <c r="N449" s="432" t="n"/>
      <c r="O449" s="618" t="n"/>
      <c r="P449" s="434" t="n"/>
      <c r="Q449" s="435" t="n"/>
      <c r="R449" s="435" t="n"/>
      <c r="S449" s="435" t="n"/>
      <c r="T449" s="435" t="n"/>
      <c r="U449" s="435" t="n"/>
      <c r="V449" s="435" t="n"/>
      <c r="W449" s="435" t="n"/>
      <c r="X449" s="435" t="n"/>
      <c r="Y449" s="435" t="n"/>
      <c r="Z449" s="435" t="n"/>
      <c r="AA449" s="435" t="n"/>
      <c r="AB449" s="435" t="n"/>
      <c r="AC449" s="435" t="n"/>
      <c r="AD449" s="435" t="n"/>
      <c r="AE449" s="435" t="n"/>
      <c r="AF449" s="435" t="n"/>
      <c r="AG449" s="435" t="n"/>
      <c r="AH449" s="435" t="n"/>
      <c r="AI449" s="435" t="n"/>
      <c r="AJ449" s="435" t="n"/>
      <c r="AK449" s="435" t="n"/>
      <c r="AL449" s="435" t="n"/>
      <c r="AM449" s="435" t="n"/>
      <c r="AN449" s="435" t="n"/>
      <c r="AO449" s="436" t="n"/>
      <c r="AP449" s="436" t="n"/>
      <c r="AQ449" s="436" t="n"/>
      <c r="AR449" s="436" t="n"/>
      <c r="AS449" s="434" t="n"/>
      <c r="AT449" s="434" t="n"/>
      <c r="AU449" s="434" t="n"/>
      <c r="AV449" s="434" t="n"/>
      <c r="AW449" s="435" t="n"/>
      <c r="AX449" s="435" t="n"/>
      <c r="AY449" s="435" t="n"/>
      <c r="AZ449" s="435" t="n"/>
      <c r="BA449" s="432" t="n"/>
      <c r="BB449" s="432" t="n"/>
      <c r="BC449" s="432" t="n"/>
      <c r="BD449" s="432" t="n"/>
      <c r="BE449" s="432" t="n"/>
      <c r="BF449" s="432" t="n"/>
      <c r="BG449" s="432" t="n"/>
      <c r="BH449" s="432" t="n"/>
      <c r="BI449" s="432" t="n"/>
      <c r="BJ449" s="432" t="n"/>
      <c r="BK449" s="432" t="n"/>
      <c r="BL449" s="432" t="n"/>
      <c r="BM449" s="437" t="n"/>
      <c r="BN449" s="437" t="n"/>
      <c r="BO449" s="220">
        <f>BM449-BN449</f>
        <v/>
      </c>
      <c r="BP449" s="437" t="n"/>
      <c r="BQ449" s="437" t="n"/>
      <c r="BR449" s="437" t="n"/>
      <c r="BS449" s="437" t="n"/>
      <c r="BT449" s="429" t="n"/>
      <c r="BU449" s="438" t="n"/>
      <c r="BV449" s="439" t="n"/>
      <c r="BW449" s="426" t="inlineStr">
        <is>
          <t>6月补充至该表</t>
        </is>
      </c>
    </row>
    <row r="450" customFormat="1" s="210">
      <c r="A450" s="219" t="n">
        <v>290</v>
      </c>
      <c r="B450" s="220" t="inlineStr">
        <is>
          <t>KQCY0290</t>
        </is>
      </c>
      <c r="C450" s="222" t="inlineStr">
        <is>
          <t>餐饮五分部</t>
        </is>
      </c>
      <c r="D450" s="222" t="inlineStr">
        <is>
          <t>CF620</t>
        </is>
      </c>
      <c r="E450" s="222" t="inlineStr">
        <is>
          <t>山西大学B6食堂三层</t>
        </is>
      </c>
      <c r="F450" s="219" t="inlineStr">
        <is>
          <t>强责</t>
        </is>
      </c>
      <c r="G450" s="243" t="inlineStr">
        <is>
          <t>徐敏捷</t>
        </is>
      </c>
      <c r="H450" s="222" t="inlineStr">
        <is>
          <t>/</t>
        </is>
      </c>
      <c r="I450" s="503" t="inlineStr">
        <is>
          <t>小碗菜</t>
        </is>
      </c>
      <c r="J450" s="503" t="inlineStr">
        <is>
          <t>陈祥</t>
        </is>
      </c>
      <c r="K450" s="545">
        <f>LET(k,D450&amp;"|"&amp;E450&amp;"|"&amp;H450&amp;"|"&amp;I450&amp;"|"&amp;J450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50" s="617" t="n"/>
      <c r="M450" s="488" t="inlineStr">
        <is>
          <t>强责责任人</t>
        </is>
      </c>
      <c r="N450" s="432" t="n"/>
      <c r="O450" s="618" t="n"/>
      <c r="P450" s="434" t="n"/>
      <c r="Q450" s="435" t="n"/>
      <c r="R450" s="435" t="n"/>
      <c r="S450" s="435" t="n"/>
      <c r="T450" s="435" t="n"/>
      <c r="U450" s="435" t="n"/>
      <c r="V450" s="435" t="n"/>
      <c r="W450" s="435" t="n"/>
      <c r="X450" s="435" t="n"/>
      <c r="Y450" s="435" t="n"/>
      <c r="Z450" s="435" t="n"/>
      <c r="AA450" s="435" t="n"/>
      <c r="AB450" s="435" t="n"/>
      <c r="AC450" s="435" t="n"/>
      <c r="AD450" s="435" t="n"/>
      <c r="AE450" s="435" t="n"/>
      <c r="AF450" s="435" t="n"/>
      <c r="AG450" s="435" t="n"/>
      <c r="AH450" s="435" t="n"/>
      <c r="AI450" s="435" t="n"/>
      <c r="AJ450" s="435" t="n"/>
      <c r="AK450" s="435" t="n"/>
      <c r="AL450" s="435" t="n"/>
      <c r="AM450" s="435" t="n"/>
      <c r="AN450" s="435" t="n"/>
      <c r="AO450" s="436" t="n"/>
      <c r="AP450" s="436" t="n"/>
      <c r="AQ450" s="436" t="n"/>
      <c r="AR450" s="436" t="n"/>
      <c r="AS450" s="434" t="n"/>
      <c r="AT450" s="434" t="n"/>
      <c r="AU450" s="434" t="n"/>
      <c r="AV450" s="434" t="n"/>
      <c r="AW450" s="435" t="n"/>
      <c r="AX450" s="435" t="n"/>
      <c r="AY450" s="435" t="n"/>
      <c r="AZ450" s="435" t="n"/>
      <c r="BA450" s="432" t="n"/>
      <c r="BB450" s="432" t="n"/>
      <c r="BC450" s="432" t="n"/>
      <c r="BD450" s="432" t="n"/>
      <c r="BE450" s="432" t="n"/>
      <c r="BF450" s="432" t="n"/>
      <c r="BG450" s="432" t="n"/>
      <c r="BH450" s="432" t="n"/>
      <c r="BI450" s="432" t="n"/>
      <c r="BJ450" s="432" t="n"/>
      <c r="BK450" s="432" t="n"/>
      <c r="BL450" s="432" t="n"/>
      <c r="BM450" s="437" t="n"/>
      <c r="BN450" s="437" t="n"/>
      <c r="BO450" s="220">
        <f>BM450-BN450</f>
        <v/>
      </c>
      <c r="BP450" s="437" t="n"/>
      <c r="BQ450" s="437" t="n"/>
      <c r="BR450" s="437" t="n"/>
      <c r="BS450" s="437" t="n"/>
      <c r="BT450" s="429" t="n"/>
      <c r="BU450" s="438" t="n"/>
      <c r="BV450" s="439" t="n"/>
      <c r="BW450" s="426" t="inlineStr">
        <is>
          <t>6月补充至该表</t>
        </is>
      </c>
    </row>
    <row r="451" customFormat="1" s="210">
      <c r="A451" s="219" t="n">
        <v>343</v>
      </c>
      <c r="B451" s="220" t="inlineStr">
        <is>
          <t>KQCY0343</t>
        </is>
      </c>
      <c r="C451" s="222" t="inlineStr">
        <is>
          <t>餐饮五分部</t>
        </is>
      </c>
      <c r="D451" s="222" t="inlineStr">
        <is>
          <t>CF101</t>
        </is>
      </c>
      <c r="E451" s="222" t="inlineStr">
        <is>
          <t>苏大本部方塔食堂</t>
        </is>
      </c>
      <c r="F451" s="219" t="inlineStr">
        <is>
          <t>强责</t>
        </is>
      </c>
      <c r="G451" s="444" t="inlineStr">
        <is>
          <t>卫屹</t>
        </is>
      </c>
      <c r="H451" s="222" t="inlineStr">
        <is>
          <t>/</t>
        </is>
      </c>
      <c r="I451" s="503" t="inlineStr">
        <is>
          <t>/</t>
        </is>
      </c>
      <c r="J451" s="222" t="inlineStr">
        <is>
          <t>蒋德生</t>
        </is>
      </c>
      <c r="K451" s="545">
        <f>LET(k,D451&amp;"|"&amp;E451&amp;"|"&amp;H451&amp;"|"&amp;I451&amp;"|"&amp;J451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51" s="617" t="n"/>
      <c r="M451" s="488" t="inlineStr">
        <is>
          <t>强责责任人</t>
        </is>
      </c>
      <c r="N451" s="432" t="n"/>
      <c r="O451" s="618" t="n"/>
      <c r="P451" s="434" t="n"/>
      <c r="Q451" s="435" t="n"/>
      <c r="R451" s="435" t="n"/>
      <c r="S451" s="435" t="n"/>
      <c r="T451" s="435" t="n"/>
      <c r="U451" s="435" t="n"/>
      <c r="V451" s="435" t="n"/>
      <c r="W451" s="435" t="n"/>
      <c r="X451" s="435" t="n"/>
      <c r="Y451" s="435" t="n"/>
      <c r="Z451" s="435" t="n"/>
      <c r="AA451" s="435" t="n"/>
      <c r="AB451" s="435" t="n"/>
      <c r="AC451" s="435" t="n"/>
      <c r="AD451" s="435" t="n"/>
      <c r="AE451" s="435" t="n"/>
      <c r="AF451" s="435" t="n"/>
      <c r="AG451" s="435" t="n"/>
      <c r="AH451" s="435" t="n"/>
      <c r="AI451" s="435" t="n"/>
      <c r="AJ451" s="435" t="n"/>
      <c r="AK451" s="435" t="n"/>
      <c r="AL451" s="435" t="n"/>
      <c r="AM451" s="435" t="n"/>
      <c r="AN451" s="435" t="n"/>
      <c r="AO451" s="436" t="n"/>
      <c r="AP451" s="436" t="n"/>
      <c r="AQ451" s="436" t="n"/>
      <c r="AR451" s="436" t="n"/>
      <c r="AS451" s="434" t="n"/>
      <c r="AT451" s="434" t="n"/>
      <c r="AU451" s="434" t="n"/>
      <c r="AV451" s="434" t="n"/>
      <c r="AW451" s="435" t="n"/>
      <c r="AX451" s="435" t="n"/>
      <c r="AY451" s="435" t="n"/>
      <c r="AZ451" s="435" t="n"/>
      <c r="BA451" s="432" t="n"/>
      <c r="BB451" s="432" t="n"/>
      <c r="BC451" s="432" t="n"/>
      <c r="BD451" s="432" t="n"/>
      <c r="BE451" s="432" t="n"/>
      <c r="BF451" s="432" t="n"/>
      <c r="BG451" s="432" t="n"/>
      <c r="BH451" s="432" t="n"/>
      <c r="BI451" s="432" t="n"/>
      <c r="BJ451" s="432" t="n"/>
      <c r="BK451" s="432" t="n"/>
      <c r="BL451" s="432" t="n"/>
      <c r="BM451" s="437" t="n"/>
      <c r="BN451" s="437" t="n"/>
      <c r="BO451" s="437" t="n"/>
      <c r="BP451" s="437" t="n"/>
      <c r="BQ451" s="437" t="n"/>
      <c r="BR451" s="437" t="n"/>
      <c r="BS451" s="437" t="n"/>
      <c r="BT451" s="429" t="n"/>
      <c r="BU451" s="438" t="n"/>
      <c r="BV451" s="439" t="n"/>
      <c r="BW451" s="426" t="inlineStr">
        <is>
          <t>6月补充至该表</t>
        </is>
      </c>
    </row>
    <row r="452" customFormat="1" s="210">
      <c r="A452" s="219" t="n">
        <v>345</v>
      </c>
      <c r="B452" s="220" t="inlineStr">
        <is>
          <t>KQCY0345</t>
        </is>
      </c>
      <c r="C452" s="222" t="inlineStr">
        <is>
          <t>餐饮五分部</t>
        </is>
      </c>
      <c r="D452" s="222" t="inlineStr">
        <is>
          <t>CF120</t>
        </is>
      </c>
      <c r="E452" s="222" t="inlineStr">
        <is>
          <t>苏大独墅湖一食堂</t>
        </is>
      </c>
      <c r="F452" s="219" t="inlineStr">
        <is>
          <t>强责</t>
        </is>
      </c>
      <c r="G452" s="222" t="inlineStr">
        <is>
          <t>徐敏娟</t>
        </is>
      </c>
      <c r="H452" s="222" t="inlineStr">
        <is>
          <t>/</t>
        </is>
      </c>
      <c r="I452" s="503" t="inlineStr">
        <is>
          <t>/</t>
        </is>
      </c>
      <c r="J452" s="222" t="inlineStr">
        <is>
          <t>杨登钟</t>
        </is>
      </c>
      <c r="K452" s="545">
        <f>LET(k,D452&amp;"|"&amp;E452&amp;"|"&amp;H452&amp;"|"&amp;I452&amp;"|"&amp;J452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52" s="617" t="n"/>
      <c r="M452" s="488" t="inlineStr">
        <is>
          <t>强责责任人</t>
        </is>
      </c>
      <c r="N452" s="432" t="n"/>
      <c r="O452" s="618" t="n"/>
      <c r="P452" s="434" t="n"/>
      <c r="Q452" s="435" t="n"/>
      <c r="R452" s="435" t="n"/>
      <c r="S452" s="435" t="n"/>
      <c r="T452" s="435" t="n"/>
      <c r="U452" s="435" t="n"/>
      <c r="V452" s="435" t="n"/>
      <c r="W452" s="435" t="n"/>
      <c r="X452" s="435" t="n"/>
      <c r="Y452" s="435" t="n"/>
      <c r="Z452" s="435" t="n"/>
      <c r="AA452" s="435" t="n"/>
      <c r="AB452" s="435" t="n"/>
      <c r="AC452" s="435" t="n"/>
      <c r="AD452" s="435" t="n"/>
      <c r="AE452" s="435" t="n"/>
      <c r="AF452" s="435" t="n"/>
      <c r="AG452" s="435" t="n"/>
      <c r="AH452" s="435" t="n"/>
      <c r="AI452" s="435" t="n"/>
      <c r="AJ452" s="435" t="n"/>
      <c r="AK452" s="435" t="n"/>
      <c r="AL452" s="435" t="n"/>
      <c r="AM452" s="435" t="n"/>
      <c r="AN452" s="435" t="n"/>
      <c r="AO452" s="436" t="n"/>
      <c r="AP452" s="436" t="n"/>
      <c r="AQ452" s="436" t="n"/>
      <c r="AR452" s="436" t="n"/>
      <c r="AS452" s="434" t="n"/>
      <c r="AT452" s="434" t="n"/>
      <c r="AU452" s="434" t="n"/>
      <c r="AV452" s="434" t="n"/>
      <c r="AW452" s="435" t="n"/>
      <c r="AX452" s="435" t="n"/>
      <c r="AY452" s="435" t="n"/>
      <c r="AZ452" s="435" t="n"/>
      <c r="BA452" s="432" t="n"/>
      <c r="BB452" s="432" t="n"/>
      <c r="BC452" s="432" t="n"/>
      <c r="BD452" s="432" t="n"/>
      <c r="BE452" s="432" t="n"/>
      <c r="BF452" s="432" t="n"/>
      <c r="BG452" s="432" t="n"/>
      <c r="BH452" s="432" t="n"/>
      <c r="BI452" s="432" t="n"/>
      <c r="BJ452" s="432" t="n"/>
      <c r="BK452" s="432" t="n"/>
      <c r="BL452" s="432" t="n"/>
      <c r="BM452" s="437" t="n"/>
      <c r="BN452" s="437" t="n"/>
      <c r="BO452" s="437" t="n"/>
      <c r="BP452" s="437" t="n"/>
      <c r="BQ452" s="437" t="n"/>
      <c r="BR452" s="437" t="n"/>
      <c r="BS452" s="437" t="n"/>
      <c r="BT452" s="429" t="n"/>
      <c r="BU452" s="438" t="n"/>
      <c r="BV452" s="439" t="n"/>
      <c r="BW452" s="426" t="inlineStr">
        <is>
          <t>6月补充至该表</t>
        </is>
      </c>
    </row>
    <row r="453" customFormat="1" s="210">
      <c r="A453" s="219" t="n">
        <v>348</v>
      </c>
      <c r="B453" s="220" t="inlineStr">
        <is>
          <t>KQCY0348</t>
        </is>
      </c>
      <c r="C453" s="222" t="inlineStr">
        <is>
          <t>餐饮五分部</t>
        </is>
      </c>
      <c r="D453" s="222" t="inlineStr">
        <is>
          <t>CF121</t>
        </is>
      </c>
      <c r="E453" s="222" t="inlineStr">
        <is>
          <t>苏大独墅湖六食堂</t>
        </is>
      </c>
      <c r="F453" s="219" t="inlineStr">
        <is>
          <t>强责</t>
        </is>
      </c>
      <c r="G453" s="222" t="inlineStr">
        <is>
          <t>徐敏娟</t>
        </is>
      </c>
      <c r="H453" s="222" t="inlineStr">
        <is>
          <t>/</t>
        </is>
      </c>
      <c r="I453" s="503" t="inlineStr">
        <is>
          <t>/</t>
        </is>
      </c>
      <c r="J453" s="222" t="inlineStr">
        <is>
          <t>杨登钟</t>
        </is>
      </c>
      <c r="K453" s="545">
        <f>LET(k,D453&amp;"|"&amp;E453&amp;"|"&amp;H453&amp;"|"&amp;I453&amp;"|"&amp;J453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53" s="617" t="n"/>
      <c r="M453" s="488" t="inlineStr">
        <is>
          <t>强责责任人</t>
        </is>
      </c>
      <c r="N453" s="432" t="n"/>
      <c r="O453" s="618" t="n"/>
      <c r="P453" s="434" t="n"/>
      <c r="Q453" s="435" t="n"/>
      <c r="R453" s="435" t="n"/>
      <c r="S453" s="435" t="n"/>
      <c r="T453" s="435" t="n"/>
      <c r="U453" s="435" t="n"/>
      <c r="V453" s="435" t="n"/>
      <c r="W453" s="435" t="n"/>
      <c r="X453" s="435" t="n"/>
      <c r="Y453" s="435" t="n"/>
      <c r="Z453" s="435" t="n"/>
      <c r="AA453" s="435" t="n"/>
      <c r="AB453" s="435" t="n"/>
      <c r="AC453" s="435" t="n"/>
      <c r="AD453" s="435" t="n"/>
      <c r="AE453" s="435" t="n"/>
      <c r="AF453" s="435" t="n"/>
      <c r="AG453" s="435" t="n"/>
      <c r="AH453" s="435" t="n"/>
      <c r="AI453" s="435" t="n"/>
      <c r="AJ453" s="435" t="n"/>
      <c r="AK453" s="435" t="n"/>
      <c r="AL453" s="435" t="n"/>
      <c r="AM453" s="435" t="n"/>
      <c r="AN453" s="435" t="n"/>
      <c r="AO453" s="436" t="n"/>
      <c r="AP453" s="436" t="n"/>
      <c r="AQ453" s="436" t="n"/>
      <c r="AR453" s="436" t="n"/>
      <c r="AS453" s="434" t="n"/>
      <c r="AT453" s="434" t="n"/>
      <c r="AU453" s="434" t="n"/>
      <c r="AV453" s="434" t="n"/>
      <c r="AW453" s="435" t="n"/>
      <c r="AX453" s="435" t="n"/>
      <c r="AY453" s="435" t="n"/>
      <c r="AZ453" s="435" t="n"/>
      <c r="BA453" s="432" t="n"/>
      <c r="BB453" s="432" t="n"/>
      <c r="BC453" s="432" t="n"/>
      <c r="BD453" s="432" t="n"/>
      <c r="BE453" s="432" t="n"/>
      <c r="BF453" s="432" t="n"/>
      <c r="BG453" s="432" t="n"/>
      <c r="BH453" s="432" t="n"/>
      <c r="BI453" s="432" t="n"/>
      <c r="BJ453" s="432" t="n"/>
      <c r="BK453" s="432" t="n"/>
      <c r="BL453" s="432" t="n"/>
      <c r="BM453" s="437" t="n"/>
      <c r="BN453" s="437" t="n"/>
      <c r="BO453" s="437" t="n"/>
      <c r="BP453" s="437" t="n"/>
      <c r="BQ453" s="437" t="n"/>
      <c r="BR453" s="437" t="n"/>
      <c r="BS453" s="437" t="n"/>
      <c r="BT453" s="429" t="n"/>
      <c r="BU453" s="438" t="n"/>
      <c r="BV453" s="439" t="n"/>
      <c r="BW453" s="426" t="inlineStr">
        <is>
          <t>6月补充至该表</t>
        </is>
      </c>
    </row>
    <row r="454" customFormat="1" s="210">
      <c r="A454" s="445" t="n">
        <v>350</v>
      </c>
      <c r="B454" s="446" t="inlineStr">
        <is>
          <t>KQCY0350</t>
        </is>
      </c>
      <c r="C454" s="447" t="inlineStr">
        <is>
          <t>餐饮五分部</t>
        </is>
      </c>
      <c r="D454" s="447" t="inlineStr">
        <is>
          <t>CF121</t>
        </is>
      </c>
      <c r="E454" s="447" t="inlineStr">
        <is>
          <t>苏大独墅湖二食堂</t>
        </is>
      </c>
      <c r="F454" s="445" t="inlineStr">
        <is>
          <t>强责</t>
        </is>
      </c>
      <c r="G454" s="222" t="inlineStr">
        <is>
          <t>徐敏娟</t>
        </is>
      </c>
      <c r="H454" s="447" t="inlineStr">
        <is>
          <t>/</t>
        </is>
      </c>
      <c r="I454" s="483" t="inlineStr">
        <is>
          <t>/</t>
        </is>
      </c>
      <c r="J454" s="447" t="inlineStr">
        <is>
          <t>徐小林</t>
        </is>
      </c>
      <c r="K454" s="545">
        <f>LET(k,D454&amp;"|"&amp;E454&amp;"|"&amp;H454&amp;"|"&amp;I454&amp;"|"&amp;J454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54" s="622" t="n"/>
      <c r="M454" s="450" t="inlineStr">
        <is>
          <t>强责责任人</t>
        </is>
      </c>
      <c r="N454" s="451" t="n"/>
      <c r="O454" s="623" t="n"/>
      <c r="P454" s="453" t="n"/>
      <c r="Q454" s="454" t="n"/>
      <c r="R454" s="454" t="n"/>
      <c r="S454" s="454" t="n"/>
      <c r="T454" s="454" t="n"/>
      <c r="U454" s="454" t="n"/>
      <c r="V454" s="454" t="n"/>
      <c r="W454" s="454" t="n"/>
      <c r="X454" s="454" t="n"/>
      <c r="Y454" s="454" t="n"/>
      <c r="Z454" s="454" t="n"/>
      <c r="AA454" s="454" t="n"/>
      <c r="AB454" s="454" t="n"/>
      <c r="AC454" s="454" t="n"/>
      <c r="AD454" s="454" t="n"/>
      <c r="AE454" s="454" t="n"/>
      <c r="AF454" s="454" t="n"/>
      <c r="AG454" s="454" t="n"/>
      <c r="AH454" s="454" t="n"/>
      <c r="AI454" s="454" t="n"/>
      <c r="AJ454" s="454" t="n"/>
      <c r="AK454" s="454" t="n"/>
      <c r="AL454" s="454" t="n"/>
      <c r="AM454" s="454" t="n"/>
      <c r="AN454" s="454" t="n"/>
      <c r="AO454" s="455" t="n"/>
      <c r="AP454" s="455" t="n"/>
      <c r="AQ454" s="455" t="n"/>
      <c r="AR454" s="455" t="n"/>
      <c r="AS454" s="453" t="n"/>
      <c r="AT454" s="453" t="n"/>
      <c r="AU454" s="453" t="n"/>
      <c r="AV454" s="453" t="n"/>
      <c r="AW454" s="454" t="n"/>
      <c r="AX454" s="454" t="n"/>
      <c r="AY454" s="454" t="n"/>
      <c r="AZ454" s="454" t="n"/>
      <c r="BA454" s="451" t="n"/>
      <c r="BB454" s="451" t="n"/>
      <c r="BC454" s="451" t="n"/>
      <c r="BD454" s="451" t="n"/>
      <c r="BE454" s="451" t="n"/>
      <c r="BF454" s="451" t="n"/>
      <c r="BG454" s="451" t="n"/>
      <c r="BH454" s="451" t="n"/>
      <c r="BI454" s="451" t="n"/>
      <c r="BJ454" s="451" t="n"/>
      <c r="BK454" s="451" t="n"/>
      <c r="BL454" s="451" t="n"/>
      <c r="BM454" s="456" t="n"/>
      <c r="BN454" s="456" t="n"/>
      <c r="BO454" s="456" t="n"/>
      <c r="BP454" s="456" t="n"/>
      <c r="BQ454" s="456" t="n"/>
      <c r="BR454" s="456" t="n"/>
      <c r="BS454" s="456" t="n"/>
      <c r="BT454" s="457" t="n"/>
      <c r="BU454" s="458" t="n"/>
      <c r="BV454" s="459" t="n"/>
      <c r="BW454" s="460" t="inlineStr">
        <is>
          <t>6月补充至该表</t>
        </is>
      </c>
    </row>
    <row r="455">
      <c r="A455" s="461" t="n"/>
      <c r="B455" s="462" t="inlineStr">
        <is>
          <t>补充</t>
        </is>
      </c>
      <c r="C455" s="463" t="inlineStr">
        <is>
          <t>餐饮五分部</t>
        </is>
      </c>
      <c r="D455" s="462" t="inlineStr">
        <is>
          <t>CF700</t>
        </is>
      </c>
      <c r="E455" s="464" t="inlineStr">
        <is>
          <t>北理工长三角研究院(嘉兴）食堂</t>
        </is>
      </c>
      <c r="F455" s="465" t="inlineStr">
        <is>
          <t>分组作业</t>
        </is>
      </c>
      <c r="G455" s="222" t="inlineStr">
        <is>
          <t>徐敏捷</t>
        </is>
      </c>
      <c r="H455" s="466" t="inlineStr">
        <is>
          <t>自选快餐面条</t>
        </is>
      </c>
      <c r="I455" s="466" t="n"/>
      <c r="J455" s="464" t="n"/>
      <c r="K455" s="545">
        <f>LET(k,D455&amp;"|"&amp;E455&amp;"|"&amp;H455&amp;"|"&amp;I455&amp;"|"&amp;J455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55" s="467" t="n"/>
      <c r="M455" s="467" t="n"/>
      <c r="N455" s="467" t="n">
        <v>0</v>
      </c>
      <c r="O455" s="609" t="n"/>
      <c r="P455" s="276" t="n">
        <v>0.15</v>
      </c>
      <c r="Q455" s="461">
        <f>R455</f>
        <v/>
      </c>
      <c r="R455" s="461" t="n">
        <v>31987.18</v>
      </c>
      <c r="S455" s="461">
        <f>Q455-R455</f>
        <v/>
      </c>
      <c r="T455" s="469" t="n"/>
      <c r="U455" s="469" t="n"/>
      <c r="V455" s="469" t="n"/>
      <c r="W455" s="461">
        <f>U455-Z455</f>
        <v/>
      </c>
      <c r="X455" s="469" t="n"/>
      <c r="Y455" s="469" t="n"/>
      <c r="Z455" s="469" t="n"/>
      <c r="AA455" s="461">
        <f>Y455-Z455</f>
        <v/>
      </c>
      <c r="AB455" s="469" t="n"/>
      <c r="AC455" s="469" t="n"/>
      <c r="AD455" s="469" t="n"/>
      <c r="AE455" s="461">
        <f>AC455-AD455</f>
        <v/>
      </c>
      <c r="AF455" s="469" t="n"/>
      <c r="AG455" s="469" t="n"/>
      <c r="AH455" s="469" t="n"/>
      <c r="AI455" s="461">
        <f>AG455-AH455</f>
        <v/>
      </c>
      <c r="AJ455" s="469" t="n"/>
      <c r="AK455" s="469" t="n"/>
      <c r="AL455" s="469" t="n"/>
      <c r="AM455" s="461">
        <f>AK455-AL455</f>
        <v/>
      </c>
      <c r="AN455" s="469" t="n"/>
      <c r="AO455" s="470" t="n"/>
      <c r="AP455" s="470" t="n"/>
      <c r="AQ455" s="461">
        <f>AO455-AP455</f>
        <v/>
      </c>
      <c r="AR455" s="470" t="n"/>
      <c r="AS455" s="461">
        <f>K455*AR455</f>
        <v/>
      </c>
      <c r="AT455" s="471" t="n"/>
      <c r="AU455" s="461">
        <f>AS455-AT455</f>
        <v/>
      </c>
      <c r="AV455" s="471" t="n"/>
      <c r="AW455" s="461">
        <f>K455*AV455</f>
        <v/>
      </c>
      <c r="AX455" s="469" t="n"/>
      <c r="AY455" s="461">
        <f>AW455-AX455</f>
        <v/>
      </c>
      <c r="AZ455" s="469" t="n"/>
      <c r="BA455" s="461">
        <f>K455*AZ455</f>
        <v/>
      </c>
      <c r="BB455" s="467" t="n"/>
      <c r="BC455" s="461">
        <f>BA455-BB455</f>
        <v/>
      </c>
      <c r="BD455" s="467" t="n"/>
      <c r="BE455" s="467">
        <f>BF455</f>
        <v/>
      </c>
      <c r="BF455" s="467" t="n">
        <v>3125</v>
      </c>
      <c r="BG455" s="461">
        <f>BE455-BF455</f>
        <v/>
      </c>
      <c r="BH455" s="467" t="n"/>
      <c r="BI455" s="461">
        <f>K455*BH455</f>
        <v/>
      </c>
      <c r="BJ455" s="467" t="n"/>
      <c r="BK455" s="461">
        <f>BI455-BJ455</f>
        <v/>
      </c>
      <c r="BL455" s="467" t="n"/>
      <c r="BM455" s="472" t="n"/>
      <c r="BN455" s="472" t="n"/>
      <c r="BO455" s="472" t="n"/>
      <c r="BP455" s="220">
        <f>N455+Q455+U455+Y455+AC455+AG455+AK455+AO455+AS455+AW455+BA455+BE455+BI455+BM455</f>
        <v/>
      </c>
      <c r="BQ455" s="220">
        <f>N455+R455+V455+Z455+AD455+AH455+AL455+AP455+AT455+AX455+BB455+BF455+BJ455+BN455</f>
        <v/>
      </c>
      <c r="BR455" s="220">
        <f>BP455-BQ455</f>
        <v/>
      </c>
      <c r="BS455" s="254" t="inlineStr">
        <is>
          <t>/</t>
        </is>
      </c>
      <c r="BT455" s="229" t="inlineStr">
        <is>
          <t>/</t>
        </is>
      </c>
      <c r="BU455" s="328" t="n"/>
      <c r="BV455" s="473" t="n"/>
      <c r="BW455" s="474" t="n"/>
    </row>
    <row r="456" ht="21.75" customHeight="1" s="537">
      <c r="A456" s="326" t="n"/>
      <c r="B456" s="462" t="inlineStr">
        <is>
          <t>补充</t>
        </is>
      </c>
      <c r="C456" s="221" t="inlineStr">
        <is>
          <t>餐饮三分部</t>
        </is>
      </c>
      <c r="D456" s="221" t="inlineStr">
        <is>
          <t>CF699</t>
        </is>
      </c>
      <c r="E456" s="221" t="inlineStr">
        <is>
          <t>徐医大第一食堂</t>
        </is>
      </c>
      <c r="F456" s="475" t="inlineStr">
        <is>
          <t>分组作业</t>
        </is>
      </c>
      <c r="G456" s="222" t="inlineStr">
        <is>
          <t>徐敏捷</t>
        </is>
      </c>
      <c r="H456" s="326" t="inlineStr">
        <is>
          <t>/</t>
        </is>
      </c>
      <c r="I456" s="237" t="inlineStr">
        <is>
          <t>快餐</t>
        </is>
      </c>
      <c r="J456" s="219" t="inlineStr">
        <is>
          <t>张振</t>
        </is>
      </c>
      <c r="K456" s="572">
        <f>LET(k,D456&amp;"|"&amp;E456&amp;"|"&amp;H456&amp;"|"&amp;I456&amp;"|"&amp;J456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56" s="467" t="n"/>
      <c r="M456" s="467" t="n"/>
      <c r="N456" s="467" t="n"/>
      <c r="O456" s="609" t="n"/>
      <c r="P456" s="276" t="n">
        <v>0.16</v>
      </c>
      <c r="Q456" s="566">
        <f>K456*P456</f>
        <v/>
      </c>
      <c r="R456" s="469" t="n"/>
      <c r="S456" s="566">
        <f>Q456-R456</f>
        <v/>
      </c>
      <c r="T456" s="469" t="n">
        <v>0</v>
      </c>
      <c r="U456" s="469">
        <f>K456*T456</f>
        <v/>
      </c>
      <c r="V456" s="469" t="n"/>
      <c r="W456" s="461">
        <f>U456-V456</f>
        <v/>
      </c>
      <c r="X456" s="469" t="n"/>
      <c r="Y456" s="461">
        <f>K456*X456</f>
        <v/>
      </c>
      <c r="Z456" s="469" t="n"/>
      <c r="AA456" s="461">
        <f>Y456-Z456</f>
        <v/>
      </c>
      <c r="AB456" s="227" t="n">
        <v>0</v>
      </c>
      <c r="AC456" s="461">
        <f>K456*AB456</f>
        <v/>
      </c>
      <c r="AD456" s="469" t="n"/>
      <c r="AE456" s="461">
        <f>AC456-AD456</f>
        <v/>
      </c>
      <c r="AF456" s="227" t="n">
        <v>0</v>
      </c>
      <c r="AG456" s="461">
        <f>K456*AF456</f>
        <v/>
      </c>
      <c r="AH456" s="469" t="n"/>
      <c r="AI456" s="461">
        <f>AG456-AH456</f>
        <v/>
      </c>
      <c r="AJ456" s="227" t="n">
        <v>0</v>
      </c>
      <c r="AK456" s="461">
        <f>K456*AJ456</f>
        <v/>
      </c>
      <c r="AL456" s="469" t="n"/>
      <c r="AM456" s="461">
        <f>AK456-AL456</f>
        <v/>
      </c>
      <c r="AN456" s="227" t="n">
        <v>0</v>
      </c>
      <c r="AO456" s="461">
        <f>K456*AN456</f>
        <v/>
      </c>
      <c r="AP456" s="470" t="n"/>
      <c r="AQ456" s="461">
        <f>AO456-AP456</f>
        <v/>
      </c>
      <c r="AR456" s="470" t="n"/>
      <c r="AS456" s="471" t="n"/>
      <c r="AT456" s="471" t="n"/>
      <c r="AU456" s="461">
        <f>AS456-AT456</f>
        <v/>
      </c>
      <c r="AV456" s="471" t="n"/>
      <c r="AW456" s="461">
        <f>K456*AV456</f>
        <v/>
      </c>
      <c r="AX456" s="469" t="n"/>
      <c r="AY456" s="461">
        <f>AW456-AX456</f>
        <v/>
      </c>
      <c r="AZ456" s="227" t="n">
        <v>0</v>
      </c>
      <c r="BA456" s="461">
        <f>K456*AZ456</f>
        <v/>
      </c>
      <c r="BB456" s="467" t="n"/>
      <c r="BC456" s="461">
        <f>BA456-BB456</f>
        <v/>
      </c>
      <c r="BD456" s="467" t="n"/>
      <c r="BE456" s="461">
        <f>K456*BD456</f>
        <v/>
      </c>
      <c r="BF456" s="467" t="n"/>
      <c r="BG456" s="461">
        <f>BE456-BF456</f>
        <v/>
      </c>
      <c r="BH456" s="467" t="n"/>
      <c r="BI456" s="461">
        <f>K456*BH456</f>
        <v/>
      </c>
      <c r="BJ456" s="467" t="n"/>
      <c r="BK456" s="461">
        <f>BI456-BJ456</f>
        <v/>
      </c>
      <c r="BL456" s="461" t="inlineStr">
        <is>
          <t>按实</t>
        </is>
      </c>
      <c r="BM456" s="220">
        <f>BN456</f>
        <v/>
      </c>
      <c r="BN456" s="472" t="n"/>
      <c r="BO456" s="220">
        <f>BM456-BN456</f>
        <v/>
      </c>
      <c r="BP456" s="575">
        <f>N456+Q456+U456+Y456+AC456+AG456+AK456+AO456+AS456+AW456+BA456+BE456+BI456+BM456</f>
        <v/>
      </c>
      <c r="BQ456" s="220">
        <f>N456+R456+V456+Z456+AD456+AH456+AL456+AP456+AT456+AX456+BB456+BF456+BJ456+BN456</f>
        <v/>
      </c>
      <c r="BR456" s="575">
        <f>BP456-BQ456</f>
        <v/>
      </c>
      <c r="BS456" s="254" t="inlineStr">
        <is>
          <t>/</t>
        </is>
      </c>
      <c r="BT456" s="254" t="inlineStr">
        <is>
          <t>/</t>
        </is>
      </c>
      <c r="BU456" s="328" t="n"/>
      <c r="BV456" s="473" t="n"/>
      <c r="BW456" s="474" t="n"/>
    </row>
    <row r="457">
      <c r="A457" s="476" t="n"/>
      <c r="B457" s="493" t="inlineStr">
        <is>
          <t>补充</t>
        </is>
      </c>
      <c r="C457" s="493" t="inlineStr">
        <is>
          <t>餐饮二分部</t>
        </is>
      </c>
      <c r="D457" s="478" t="inlineStr">
        <is>
          <t>Q021</t>
        </is>
      </c>
      <c r="E457" s="493" t="inlineStr">
        <is>
          <t>苏州星塘医院餐厅</t>
        </is>
      </c>
      <c r="F457" s="479" t="inlineStr">
        <is>
          <t>人员服务外包</t>
        </is>
      </c>
      <c r="G457" s="444" t="inlineStr">
        <is>
          <t>卫屹</t>
        </is>
      </c>
      <c r="H457" s="462" t="inlineStr">
        <is>
          <t>/</t>
        </is>
      </c>
      <c r="I457" s="480" t="inlineStr">
        <is>
          <t>/</t>
        </is>
      </c>
      <c r="J457" s="462" t="inlineStr">
        <is>
          <t>/</t>
        </is>
      </c>
      <c r="K457" s="545">
        <f>LET(k,D457&amp;"|"&amp;E457&amp;"|"&amp;H457&amp;"|"&amp;I457&amp;"|"&amp;J457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57" s="467" t="n"/>
      <c r="M457" s="467" t="n"/>
      <c r="N457" s="467" t="n"/>
      <c r="O457" s="609" t="n"/>
      <c r="P457" s="471" t="n"/>
      <c r="Q457" s="469" t="n"/>
      <c r="R457" s="469" t="n"/>
      <c r="S457" s="469" t="n"/>
      <c r="T457" s="469" t="n"/>
      <c r="U457" s="469" t="n"/>
      <c r="V457" s="469" t="n"/>
      <c r="W457" s="469" t="n"/>
      <c r="X457" s="469" t="n"/>
      <c r="Y457" s="469" t="n"/>
      <c r="Z457" s="469" t="n"/>
      <c r="AA457" s="469" t="n"/>
      <c r="AB457" s="469" t="n"/>
      <c r="AC457" s="469" t="n"/>
      <c r="AD457" s="469" t="n"/>
      <c r="AE457" s="469" t="n"/>
      <c r="AF457" s="469" t="n"/>
      <c r="AG457" s="469" t="n"/>
      <c r="AH457" s="469" t="n"/>
      <c r="AI457" s="469" t="n"/>
      <c r="AJ457" s="469" t="n"/>
      <c r="AK457" s="469" t="n"/>
      <c r="AL457" s="469" t="n"/>
      <c r="AM457" s="469" t="n"/>
      <c r="AN457" s="469" t="n"/>
      <c r="AO457" s="470" t="n"/>
      <c r="AP457" s="470" t="n"/>
      <c r="AQ457" s="470" t="n"/>
      <c r="AR457" s="470" t="n"/>
      <c r="AS457" s="471" t="n"/>
      <c r="AT457" s="471" t="n"/>
      <c r="AU457" s="471" t="n"/>
      <c r="AV457" s="471" t="n"/>
      <c r="AW457" s="469" t="n"/>
      <c r="AX457" s="469" t="n"/>
      <c r="AY457" s="469" t="n"/>
      <c r="AZ457" s="469" t="n"/>
      <c r="BA457" s="467" t="n"/>
      <c r="BB457" s="467" t="n"/>
      <c r="BC457" s="467" t="n"/>
      <c r="BD457" s="467" t="n"/>
      <c r="BE457" s="467" t="n"/>
      <c r="BF457" s="467" t="n"/>
      <c r="BG457" s="467" t="n"/>
      <c r="BH457" s="467" t="n"/>
      <c r="BI457" s="467" t="n"/>
      <c r="BJ457" s="467" t="n"/>
      <c r="BK457" s="467" t="n"/>
      <c r="BL457" s="467" t="n"/>
      <c r="BM457" s="472" t="n"/>
      <c r="BN457" s="472" t="n"/>
      <c r="BO457" s="472" t="n"/>
      <c r="BP457" s="472" t="n"/>
      <c r="BQ457" s="472" t="n"/>
      <c r="BR457" s="472" t="n"/>
      <c r="BS457" s="472" t="n"/>
      <c r="BT457" s="474" t="n"/>
      <c r="BU457" s="328" t="n"/>
      <c r="BV457" s="473" t="n"/>
      <c r="BW457" s="474" t="n"/>
    </row>
    <row r="458">
      <c r="B458" s="462" t="inlineStr">
        <is>
          <t>补充</t>
        </is>
      </c>
      <c r="C458" s="222" t="inlineStr">
        <is>
          <t>餐饮二分部</t>
        </is>
      </c>
      <c r="D458" s="227" t="inlineStr">
        <is>
          <t>CF516</t>
        </is>
      </c>
      <c r="E458" s="227" t="inlineStr">
        <is>
          <t>苏州北美国际高级中学餐厅</t>
        </is>
      </c>
      <c r="F458" s="480" t="inlineStr">
        <is>
          <t>分组作业</t>
        </is>
      </c>
      <c r="G458" s="243" t="inlineStr">
        <is>
          <t>徐敏捷</t>
        </is>
      </c>
      <c r="H458" s="481" t="n"/>
      <c r="I458" s="482" t="inlineStr">
        <is>
          <t>个体</t>
        </is>
      </c>
      <c r="J458" s="227" t="n"/>
      <c r="K458" s="545">
        <f>LET(k,D458&amp;"|"&amp;E458&amp;"|"&amp;H458&amp;"|"&amp;I458&amp;"|"&amp;J458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N458" s="31" t="n">
        <v>0</v>
      </c>
      <c r="R458" s="27" t="n">
        <v>0</v>
      </c>
      <c r="V458" s="27" t="n">
        <v>0</v>
      </c>
    </row>
    <row r="459">
      <c r="B459" s="462" t="inlineStr">
        <is>
          <t>补充</t>
        </is>
      </c>
      <c r="C459" s="221" t="inlineStr">
        <is>
          <t>餐饮二分部</t>
        </is>
      </c>
      <c r="D459" s="221" t="inlineStr">
        <is>
          <t>CF450</t>
        </is>
      </c>
      <c r="E459" s="221" t="inlineStr">
        <is>
          <t>天津大学学二食堂</t>
        </is>
      </c>
      <c r="F459" s="483" t="inlineStr">
        <is>
          <t>强责</t>
        </is>
      </c>
      <c r="G459" s="484" t="inlineStr">
        <is>
          <t>徐敏捷</t>
        </is>
      </c>
      <c r="H459" s="485" t="inlineStr">
        <is>
          <t>/</t>
        </is>
      </c>
      <c r="I459" s="513" t="inlineStr">
        <is>
          <t>牛肉面</t>
        </is>
      </c>
      <c r="J459" s="487" t="inlineStr">
        <is>
          <t>何元双</t>
        </is>
      </c>
      <c r="K459" s="545">
        <f>LET(k,D459&amp;"|"&amp;E459&amp;"|"&amp;H459&amp;"|"&amp;I459&amp;"|"&amp;J459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59" s="488" t="n"/>
      <c r="M459" s="488" t="n"/>
      <c r="N459" s="488" t="n"/>
      <c r="O459" s="624" t="n">
        <v>400000</v>
      </c>
      <c r="P459" s="276" t="n">
        <v>0.18</v>
      </c>
      <c r="Q459" s="461">
        <f>K459*P459</f>
        <v/>
      </c>
      <c r="S459" s="461">
        <f>Q459-R459</f>
        <v/>
      </c>
      <c r="T459" s="227" t="n">
        <v>0</v>
      </c>
      <c r="U459" s="461">
        <f>K459*T459</f>
        <v/>
      </c>
      <c r="W459" s="227" t="n">
        <v>0</v>
      </c>
      <c r="X459" s="276" t="n">
        <v>0.02</v>
      </c>
      <c r="Y459" s="461">
        <f>K459*X459</f>
        <v/>
      </c>
      <c r="AA459" s="391">
        <f>Y459-Z459</f>
        <v/>
      </c>
      <c r="AB459" s="490" t="n"/>
      <c r="AC459" s="491">
        <f>K459*AB459</f>
        <v/>
      </c>
      <c r="AD459" s="490" t="n"/>
      <c r="AE459" s="253">
        <f>AC459-AD459</f>
        <v/>
      </c>
      <c r="AF459" s="227" t="n"/>
      <c r="AG459" s="461">
        <f>K459*AF459</f>
        <v/>
      </c>
      <c r="AH459" s="227" t="n"/>
      <c r="AI459" s="461">
        <f>AG459-AH459</f>
        <v/>
      </c>
      <c r="AJ459" s="227" t="n"/>
      <c r="AK459" s="461">
        <f>K459*AJ459</f>
        <v/>
      </c>
      <c r="AL459" s="227" t="n"/>
      <c r="AM459" s="461">
        <f>AK459-AL459</f>
        <v/>
      </c>
      <c r="AN459" s="227" t="n"/>
      <c r="AO459" s="461">
        <f>K459*AN459</f>
        <v/>
      </c>
      <c r="AP459" s="461" t="n"/>
      <c r="AQ459" s="461">
        <f>AO459-AP459</f>
        <v/>
      </c>
      <c r="AR459" s="235" t="n">
        <v>0.04</v>
      </c>
      <c r="AS459" s="461">
        <f>K459*AR459</f>
        <v/>
      </c>
      <c r="AT459" s="227" t="n"/>
      <c r="AU459" s="461">
        <f>AS459-AT459</f>
        <v/>
      </c>
      <c r="AV459" s="235" t="n">
        <v>0.04</v>
      </c>
      <c r="AW459" s="461">
        <f>K459*AV459</f>
        <v/>
      </c>
      <c r="AX459" s="227" t="n"/>
      <c r="AY459" s="461">
        <f>AW459-AX459</f>
        <v/>
      </c>
      <c r="AZ459" s="227" t="n">
        <v>0</v>
      </c>
      <c r="BA459" s="461">
        <f>K459*AZ459</f>
        <v/>
      </c>
      <c r="BB459" s="461" t="n"/>
      <c r="BC459" s="461">
        <f>BA459-BB459</f>
        <v/>
      </c>
      <c r="BD459" s="461" t="n"/>
      <c r="BE459" s="461">
        <f>K459*BD459</f>
        <v/>
      </c>
      <c r="BF459" s="461" t="n"/>
      <c r="BG459" s="461">
        <f>BE459-BF459</f>
        <v/>
      </c>
      <c r="BH459" s="461" t="n"/>
      <c r="BI459" s="461">
        <f>K459*BH459</f>
        <v/>
      </c>
      <c r="BJ459" s="461" t="n"/>
      <c r="BK459" s="461">
        <f>BI459-BJ459</f>
        <v/>
      </c>
      <c r="BL459" s="279" t="inlineStr">
        <is>
          <t>按实</t>
        </is>
      </c>
      <c r="BM459" s="220">
        <f>BN459</f>
        <v/>
      </c>
      <c r="BN459" s="220" t="n"/>
      <c r="BO459" s="220">
        <f>BM459-BN459</f>
        <v/>
      </c>
      <c r="BP459" s="220">
        <f>N459+Q459+U459+Y459+AC459+AG459+AK459+AO459+AS459+AW459+BA459+BE459+BI459+BM459</f>
        <v/>
      </c>
      <c r="BQ459" s="220">
        <f>N459+R459+V459+Z459+AD459+AH459+AL459+AP459+AT459+AX459+BB459+BF459+BJ459+BN459</f>
        <v/>
      </c>
      <c r="BR459" s="220">
        <f>BP459-BQ459</f>
        <v/>
      </c>
      <c r="BS459" s="227" t="inlineStr">
        <is>
          <t>/</t>
        </is>
      </c>
      <c r="BT459" s="227" t="inlineStr">
        <is>
          <t>/</t>
        </is>
      </c>
      <c r="BU459" s="297" t="n"/>
    </row>
    <row r="460">
      <c r="B460" s="462" t="inlineStr">
        <is>
          <t>补充</t>
        </is>
      </c>
      <c r="C460" s="222" t="inlineStr">
        <is>
          <t>餐饮三分部</t>
        </is>
      </c>
      <c r="D460" s="492" t="inlineStr">
        <is>
          <t>CF780</t>
        </is>
      </c>
      <c r="E460" s="493" t="inlineStr">
        <is>
          <t>吉建大二食堂</t>
        </is>
      </c>
      <c r="F460" s="494" t="inlineStr">
        <is>
          <t>分组作业</t>
        </is>
      </c>
      <c r="G460" s="513" t="inlineStr">
        <is>
          <t>徐敏娟</t>
        </is>
      </c>
      <c r="H460" s="494" t="inlineStr">
        <is>
          <t>/</t>
        </is>
      </c>
      <c r="I460" s="513" t="inlineStr">
        <is>
          <t xml:space="preserve"> 手工鲜水饺 </t>
        </is>
      </c>
      <c r="J460" s="496" t="inlineStr">
        <is>
          <t>王洪伟</t>
        </is>
      </c>
      <c r="K460" s="545">
        <f>LET(k,D460&amp;"|"&amp;E460&amp;"|"&amp;H460&amp;"|"&amp;I460&amp;"|"&amp;J460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row>
    <row r="461">
      <c r="B461" s="462" t="inlineStr">
        <is>
          <t>补充</t>
        </is>
      </c>
      <c r="C461" s="222" t="inlineStr">
        <is>
          <t>餐饮三分部</t>
        </is>
      </c>
      <c r="D461" s="492" t="inlineStr">
        <is>
          <t>CF780</t>
        </is>
      </c>
      <c r="E461" s="493" t="inlineStr">
        <is>
          <t>吉建大二食堂</t>
        </is>
      </c>
      <c r="F461" s="494" t="inlineStr">
        <is>
          <t>分组作业</t>
        </is>
      </c>
      <c r="G461" s="513" t="inlineStr">
        <is>
          <t>徐敏娟</t>
        </is>
      </c>
      <c r="H461" s="494" t="inlineStr">
        <is>
          <t>/</t>
        </is>
      </c>
      <c r="I461" s="513" t="inlineStr">
        <is>
          <t xml:space="preserve"> 荔枝鸡饭 </t>
        </is>
      </c>
      <c r="J461" s="496" t="inlineStr">
        <is>
          <t>陈志国</t>
        </is>
      </c>
      <c r="K461" s="545">
        <f>LET(k,D461&amp;"|"&amp;E461&amp;"|"&amp;H461&amp;"|"&amp;I461&amp;"|"&amp;J461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row>
    <row r="462">
      <c r="B462" s="462" t="inlineStr">
        <is>
          <t>补充</t>
        </is>
      </c>
      <c r="C462" s="222" t="inlineStr">
        <is>
          <t>餐饮三分部</t>
        </is>
      </c>
      <c r="D462" s="492" t="inlineStr">
        <is>
          <t>CF780</t>
        </is>
      </c>
      <c r="E462" s="493" t="inlineStr">
        <is>
          <t>吉建大二食堂</t>
        </is>
      </c>
      <c r="F462" s="494" t="inlineStr">
        <is>
          <t>分组作业</t>
        </is>
      </c>
      <c r="G462" s="513" t="inlineStr">
        <is>
          <t>徐敏娟</t>
        </is>
      </c>
      <c r="H462" s="494" t="inlineStr">
        <is>
          <t>/</t>
        </is>
      </c>
      <c r="I462" s="513" t="inlineStr">
        <is>
          <t>土豆泥拌饭</t>
        </is>
      </c>
      <c r="J462" s="496" t="inlineStr">
        <is>
          <t>徐启航</t>
        </is>
      </c>
      <c r="K462" s="545">
        <f>LET(k,D462&amp;"|"&amp;E462&amp;"|"&amp;H462&amp;"|"&amp;I462&amp;"|"&amp;J462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row>
    <row r="463" ht="18" customHeight="1" s="537">
      <c r="B463" s="497" t="inlineStr">
        <is>
          <t>补充</t>
        </is>
      </c>
      <c r="C463" s="221" t="inlineStr">
        <is>
          <t>餐饮五分部</t>
        </is>
      </c>
      <c r="D463" s="221" t="inlineStr">
        <is>
          <t>CF698</t>
        </is>
      </c>
      <c r="E463" s="221" t="inlineStr">
        <is>
          <t>兰理工兰工坪校区一食堂</t>
        </is>
      </c>
      <c r="F463" s="483" t="inlineStr">
        <is>
          <t>分组作业</t>
        </is>
      </c>
      <c r="G463" s="243" t="inlineStr">
        <is>
          <t>徐敏捷</t>
        </is>
      </c>
      <c r="H463" s="483" t="inlineStr">
        <is>
          <t>/</t>
        </is>
      </c>
      <c r="I463" s="237" t="inlineStr">
        <is>
          <t>小碗菜</t>
        </is>
      </c>
      <c r="J463" s="498" t="inlineStr">
        <is>
          <t>宋玉琴</t>
        </is>
      </c>
      <c r="K463" s="625">
        <f>LET(k,D463&amp;"|"&amp;E463&amp;"|"&amp;H463&amp;"|"&amp;I463&amp;"|"&amp;J463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63" s="339" t="n">
        <v>60000</v>
      </c>
      <c r="M463" s="488" t="n"/>
      <c r="N463" s="488" t="n"/>
      <c r="O463" s="548" t="n">
        <v>540000</v>
      </c>
      <c r="P463" s="276" t="n">
        <v>0.15</v>
      </c>
      <c r="Q463" s="461">
        <f>IF(K463&lt;=L463,K463*P463,L463*P463+(K463-L463)*(P463-2%))</f>
        <v/>
      </c>
      <c r="R463" s="490" t="n"/>
      <c r="S463" s="461">
        <f>Q463-R463</f>
        <v/>
      </c>
      <c r="T463" s="227" t="n">
        <v>0</v>
      </c>
      <c r="U463" s="461">
        <f>K463*T463</f>
        <v/>
      </c>
      <c r="V463" s="227" t="n"/>
      <c r="W463" s="461">
        <f>U463-V463</f>
        <v/>
      </c>
      <c r="X463" s="227" t="n">
        <v>0</v>
      </c>
      <c r="Y463" s="461">
        <f>K463*X463</f>
        <v/>
      </c>
      <c r="Z463" s="227" t="n"/>
      <c r="AA463" s="461">
        <f>Y463-Z463</f>
        <v/>
      </c>
      <c r="AB463" s="227" t="n">
        <v>0</v>
      </c>
      <c r="AC463" s="461">
        <f>K463*AB463</f>
        <v/>
      </c>
      <c r="AD463" s="227" t="n"/>
      <c r="AE463" s="461">
        <f>AC463-AD463</f>
        <v/>
      </c>
      <c r="AF463" s="227" t="n">
        <v>0</v>
      </c>
      <c r="AG463" s="461">
        <f>K463*AF463</f>
        <v/>
      </c>
      <c r="AH463" s="227" t="n"/>
      <c r="AI463" s="461">
        <f>AG463-AH463</f>
        <v/>
      </c>
      <c r="AJ463" s="227" t="n">
        <v>0</v>
      </c>
      <c r="AK463" s="461">
        <f>K463*AJ463</f>
        <v/>
      </c>
      <c r="AL463" s="227" t="n"/>
      <c r="AM463" s="461">
        <f>AK463-AL463</f>
        <v/>
      </c>
      <c r="AN463" s="227" t="n">
        <v>0</v>
      </c>
      <c r="AO463" s="461">
        <f>K463*AN463</f>
        <v/>
      </c>
      <c r="AP463" s="461" t="n"/>
      <c r="AQ463" s="461">
        <f>AO463-AP463</f>
        <v/>
      </c>
      <c r="AR463" s="461" t="n"/>
      <c r="AS463" s="461">
        <f>K463*AR463</f>
        <v/>
      </c>
      <c r="AT463" s="461" t="n"/>
      <c r="AU463" s="461">
        <f>AS463-AT463</f>
        <v/>
      </c>
      <c r="AV463" s="551" t="n"/>
      <c r="AW463" s="461">
        <f>K463*AV463</f>
        <v/>
      </c>
      <c r="AX463" s="227" t="n"/>
      <c r="AY463" s="461">
        <f>AW463-AX463</f>
        <v/>
      </c>
      <c r="AZ463" s="227" t="n">
        <v>0</v>
      </c>
      <c r="BA463" s="461">
        <f>K463*AZ463</f>
        <v/>
      </c>
      <c r="BB463" s="461" t="n"/>
      <c r="BC463" s="461">
        <f>BA463-BB463</f>
        <v/>
      </c>
      <c r="BD463" s="235" t="n"/>
      <c r="BE463" s="461">
        <f>K463*BD463</f>
        <v/>
      </c>
      <c r="BF463" s="235" t="n"/>
      <c r="BG463" s="461">
        <f>BE463-BF463</f>
        <v/>
      </c>
      <c r="BH463" s="235" t="n"/>
      <c r="BI463" s="461">
        <f>K463*BH463</f>
        <v/>
      </c>
      <c r="BJ463" s="235" t="n"/>
      <c r="BK463" s="461">
        <f>BI463-BJ463</f>
        <v/>
      </c>
      <c r="BL463" s="461" t="inlineStr">
        <is>
          <t>按实</t>
        </is>
      </c>
      <c r="BM463" s="220">
        <f>BN463</f>
        <v/>
      </c>
      <c r="BN463" s="220" t="n"/>
      <c r="BO463" s="220">
        <f>BM463-BN463</f>
        <v/>
      </c>
      <c r="BP463" s="220">
        <f>N463+Q463+U463+Y463+AC463+AG463+AK463+AO463+AS463+AW463+BA463+BE463+BI463+BM463</f>
        <v/>
      </c>
      <c r="BQ463" s="220">
        <f>N463+R463+V463+Z463+AD463+AH463+AL463+AP463+AT463+AX463+BB463+BF463+BJ463+BN463</f>
        <v/>
      </c>
      <c r="BR463" s="220">
        <f>BP463-BQ463</f>
        <v/>
      </c>
      <c r="BS463" s="254" t="inlineStr">
        <is>
          <t>/</t>
        </is>
      </c>
      <c r="BT463" s="229" t="inlineStr">
        <is>
          <t>/</t>
        </is>
      </c>
      <c r="BU463" s="230" t="n"/>
    </row>
    <row r="464">
      <c r="B464" s="499" t="inlineStr">
        <is>
          <t>补充</t>
        </is>
      </c>
      <c r="C464" s="506" t="inlineStr">
        <is>
          <t>餐饮三分部</t>
        </is>
      </c>
      <c r="D464" s="501" t="inlineStr">
        <is>
          <t>CF781</t>
        </is>
      </c>
      <c r="E464" s="502" t="inlineStr">
        <is>
          <t>苏食院第一学生食堂</t>
        </is>
      </c>
      <c r="F464" s="503" t="inlineStr">
        <is>
          <t>分组作业</t>
        </is>
      </c>
      <c r="G464" s="513" t="inlineStr">
        <is>
          <t>徐敏娟</t>
        </is>
      </c>
      <c r="H464" s="504" t="inlineStr">
        <is>
          <t>/</t>
        </is>
      </c>
      <c r="I464" s="513" t="inlineStr">
        <is>
          <t>烤鸭饭</t>
        </is>
      </c>
      <c r="J464" s="505" t="inlineStr">
        <is>
          <t>刘太华</t>
        </is>
      </c>
      <c r="K464" s="545">
        <f>LET(k,D464&amp;"|"&amp;E464&amp;"|"&amp;H464&amp;"|"&amp;I464&amp;"|"&amp;J464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64" s="339" t="n"/>
      <c r="O464" s="548" t="n"/>
      <c r="P464" s="227" t="n"/>
      <c r="Q464" s="461" t="n"/>
    </row>
    <row r="465">
      <c r="B465" s="499" t="inlineStr">
        <is>
          <t>补充</t>
        </is>
      </c>
      <c r="C465" s="506" t="inlineStr">
        <is>
          <t>餐饮三分部</t>
        </is>
      </c>
      <c r="D465" s="501" t="inlineStr">
        <is>
          <t>CF781</t>
        </is>
      </c>
      <c r="E465" s="502" t="inlineStr">
        <is>
          <t>苏食院第一学生食堂</t>
        </is>
      </c>
      <c r="F465" s="503" t="inlineStr">
        <is>
          <t>分组作业</t>
        </is>
      </c>
      <c r="G465" s="513" t="inlineStr">
        <is>
          <t>徐敏娟</t>
        </is>
      </c>
      <c r="H465" s="504" t="inlineStr">
        <is>
          <t>/</t>
        </is>
      </c>
      <c r="I465" s="513" t="inlineStr">
        <is>
          <t>现炒浇头</t>
        </is>
      </c>
      <c r="J465" s="505" t="inlineStr">
        <is>
          <t>匡雷</t>
        </is>
      </c>
      <c r="K465" s="545">
        <f>LET(k,D465&amp;"|"&amp;E465&amp;"|"&amp;H465&amp;"|"&amp;I465&amp;"|"&amp;J465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65" s="339" t="n"/>
      <c r="O465" s="548" t="n"/>
      <c r="P465" s="227" t="n"/>
      <c r="Q465" s="461" t="n"/>
    </row>
    <row r="466">
      <c r="B466" s="499" t="inlineStr">
        <is>
          <t>补充</t>
        </is>
      </c>
      <c r="C466" s="506" t="inlineStr">
        <is>
          <t>餐饮三分部</t>
        </is>
      </c>
      <c r="D466" s="501" t="inlineStr">
        <is>
          <t>CF781</t>
        </is>
      </c>
      <c r="E466" s="502" t="inlineStr">
        <is>
          <t>苏食院第一学生食堂</t>
        </is>
      </c>
      <c r="F466" s="503" t="inlineStr">
        <is>
          <t>分组作业</t>
        </is>
      </c>
      <c r="G466" s="513" t="inlineStr">
        <is>
          <t>徐敏娟</t>
        </is>
      </c>
      <c r="H466" s="504" t="inlineStr">
        <is>
          <t>/</t>
        </is>
      </c>
      <c r="I466" s="513" t="inlineStr">
        <is>
          <t>库迪咖啡</t>
        </is>
      </c>
      <c r="J466" s="505" t="inlineStr">
        <is>
          <t>张凌子</t>
        </is>
      </c>
      <c r="K466" s="545">
        <f>LET(k,D466&amp;"|"&amp;E466&amp;"|"&amp;H466&amp;"|"&amp;I466&amp;"|"&amp;J466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66" s="339" t="n"/>
      <c r="O466" s="548" t="n"/>
      <c r="P466" s="227" t="n"/>
      <c r="Q466" s="461" t="n"/>
      <c r="AV466" s="461" t="inlineStr">
        <is>
          <t>按实</t>
        </is>
      </c>
      <c r="AW466" s="461">
        <f>AX466</f>
        <v/>
      </c>
      <c r="AX466" s="27" t="n">
        <v>401.26</v>
      </c>
    </row>
    <row r="467">
      <c r="B467" s="507" t="inlineStr">
        <is>
          <t>补充</t>
        </is>
      </c>
      <c r="C467" s="506" t="inlineStr">
        <is>
          <t>餐饮三分部</t>
        </is>
      </c>
      <c r="D467" s="501" t="inlineStr">
        <is>
          <t>CF781</t>
        </is>
      </c>
      <c r="E467" s="502" t="inlineStr">
        <is>
          <t>苏食院第一学生食堂</t>
        </is>
      </c>
      <c r="F467" s="503" t="inlineStr">
        <is>
          <t>分组作业</t>
        </is>
      </c>
      <c r="G467" s="513" t="inlineStr">
        <is>
          <t>徐敏娟</t>
        </is>
      </c>
      <c r="H467" s="504" t="inlineStr">
        <is>
          <t>/</t>
        </is>
      </c>
      <c r="I467" s="513" t="inlineStr">
        <is>
          <t>水果捞</t>
        </is>
      </c>
      <c r="J467" s="505" t="inlineStr">
        <is>
          <t>徐星</t>
        </is>
      </c>
      <c r="K467" s="545">
        <f>LET(k,D467&amp;"|"&amp;E467&amp;"|"&amp;H467&amp;"|"&amp;I467&amp;"|"&amp;J467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67" s="339" t="n"/>
      <c r="O467" s="548" t="n"/>
      <c r="P467" s="227" t="n"/>
      <c r="Q467" s="461" t="n"/>
    </row>
    <row r="468">
      <c r="B468" s="499" t="inlineStr">
        <is>
          <t>补充</t>
        </is>
      </c>
      <c r="C468" s="506" t="inlineStr">
        <is>
          <t>餐饮三分部</t>
        </is>
      </c>
      <c r="D468" s="501" t="inlineStr">
        <is>
          <t>CF781</t>
        </is>
      </c>
      <c r="E468" s="508" t="inlineStr">
        <is>
          <t>苏食院第一学生食堂</t>
        </is>
      </c>
      <c r="F468" s="483" t="inlineStr">
        <is>
          <t>分组作业</t>
        </is>
      </c>
      <c r="G468" s="513" t="inlineStr">
        <is>
          <t>徐敏娟</t>
        </is>
      </c>
      <c r="H468" s="509" t="inlineStr">
        <is>
          <t>/</t>
        </is>
      </c>
      <c r="I468" s="519" t="inlineStr">
        <is>
          <t>自选菜</t>
        </is>
      </c>
      <c r="J468" s="511" t="inlineStr">
        <is>
          <t>王功成</t>
        </is>
      </c>
      <c r="K468" s="545">
        <f>LET(k,D468&amp;"|"&amp;E468&amp;"|"&amp;H468&amp;"|"&amp;I468&amp;"|"&amp;J468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68" s="339" t="n"/>
      <c r="O468" s="548" t="n"/>
      <c r="P468" s="227" t="n"/>
      <c r="Q468" s="461" t="n"/>
    </row>
    <row r="469">
      <c r="B469" s="499" t="inlineStr">
        <is>
          <t>补充</t>
        </is>
      </c>
      <c r="C469" s="506" t="inlineStr">
        <is>
          <t>餐饮三分部</t>
        </is>
      </c>
      <c r="D469" s="501" t="inlineStr">
        <is>
          <t>CF781</t>
        </is>
      </c>
      <c r="E469" s="508" t="inlineStr">
        <is>
          <t>苏食院第一学生食堂</t>
        </is>
      </c>
      <c r="F469" s="483" t="inlineStr">
        <is>
          <t>分组作业</t>
        </is>
      </c>
      <c r="G469" s="513" t="inlineStr">
        <is>
          <t>徐敏娟</t>
        </is>
      </c>
      <c r="H469" s="509" t="inlineStr">
        <is>
          <t>/</t>
        </is>
      </c>
      <c r="I469" s="519" t="inlineStr">
        <is>
          <t>麻辣烫</t>
        </is>
      </c>
      <c r="J469" s="511" t="inlineStr">
        <is>
          <t>胡长江</t>
        </is>
      </c>
      <c r="K469" s="545">
        <f>LET(k,D469&amp;"|"&amp;E469&amp;"|"&amp;H469&amp;"|"&amp;I469&amp;"|"&amp;J469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69" s="339" t="n"/>
      <c r="O469" s="548" t="n"/>
      <c r="P469" s="227" t="n"/>
      <c r="Q469" s="461" t="n"/>
    </row>
    <row r="470">
      <c r="B470" s="499" t="inlineStr">
        <is>
          <t>补充</t>
        </is>
      </c>
      <c r="C470" s="506" t="inlineStr">
        <is>
          <t>餐饮三分部</t>
        </is>
      </c>
      <c r="D470" s="501" t="inlineStr">
        <is>
          <t>CF781</t>
        </is>
      </c>
      <c r="E470" s="508" t="inlineStr">
        <is>
          <t>苏食院第一学生食堂</t>
        </is>
      </c>
      <c r="F470" s="483" t="inlineStr">
        <is>
          <t>分组作业</t>
        </is>
      </c>
      <c r="G470" s="513" t="inlineStr">
        <is>
          <t>徐敏娟</t>
        </is>
      </c>
      <c r="H470" s="509" t="inlineStr">
        <is>
          <t>/</t>
        </is>
      </c>
      <c r="I470" s="519" t="inlineStr">
        <is>
          <t>水吧</t>
        </is>
      </c>
      <c r="J470" s="511" t="inlineStr">
        <is>
          <t>刘飞</t>
        </is>
      </c>
      <c r="K470" s="545">
        <f>LET(k,D470&amp;"|"&amp;E470&amp;"|"&amp;H470&amp;"|"&amp;I470&amp;"|"&amp;J470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70" s="339" t="n"/>
      <c r="O470" s="548" t="n"/>
      <c r="P470" s="227" t="n"/>
      <c r="Q470" s="461" t="n"/>
      <c r="AV470" s="461" t="inlineStr">
        <is>
          <t>按实</t>
        </is>
      </c>
      <c r="AW470" s="461">
        <f>AX470</f>
        <v/>
      </c>
      <c r="AX470" s="27" t="n">
        <v>234.38</v>
      </c>
    </row>
    <row r="471">
      <c r="B471" s="499" t="inlineStr">
        <is>
          <t>补充</t>
        </is>
      </c>
      <c r="C471" s="506" t="inlineStr">
        <is>
          <t>餐饮三分部</t>
        </is>
      </c>
      <c r="D471" s="501" t="inlineStr">
        <is>
          <t>CF781</t>
        </is>
      </c>
      <c r="E471" s="508" t="inlineStr">
        <is>
          <t>苏食院第一学生食堂</t>
        </is>
      </c>
      <c r="F471" s="483" t="inlineStr">
        <is>
          <t>分组作业</t>
        </is>
      </c>
      <c r="G471" s="513" t="inlineStr">
        <is>
          <t>徐敏娟</t>
        </is>
      </c>
      <c r="H471" s="509" t="inlineStr">
        <is>
          <t>/</t>
        </is>
      </c>
      <c r="I471" s="519" t="inlineStr">
        <is>
          <t>西点</t>
        </is>
      </c>
      <c r="J471" s="511" t="inlineStr">
        <is>
          <t>吴贵华</t>
        </is>
      </c>
      <c r="K471" s="545">
        <f>LET(k,D471&amp;"|"&amp;E471&amp;"|"&amp;H471&amp;"|"&amp;I471&amp;"|"&amp;J471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71" s="339" t="n"/>
      <c r="O471" s="548" t="n"/>
      <c r="P471" s="227" t="n"/>
      <c r="Q471" s="461" t="n"/>
    </row>
    <row r="472">
      <c r="B472" s="499" t="inlineStr">
        <is>
          <t>补充</t>
        </is>
      </c>
      <c r="C472" s="506" t="inlineStr">
        <is>
          <t>餐饮三分部</t>
        </is>
      </c>
      <c r="D472" s="501" t="inlineStr">
        <is>
          <t>CF781</t>
        </is>
      </c>
      <c r="E472" s="508" t="inlineStr">
        <is>
          <t>苏食院第一学生食堂</t>
        </is>
      </c>
      <c r="F472" s="483" t="inlineStr">
        <is>
          <t>分组作业</t>
        </is>
      </c>
      <c r="G472" s="513" t="inlineStr">
        <is>
          <t>徐敏娟</t>
        </is>
      </c>
      <c r="H472" s="509" t="inlineStr">
        <is>
          <t>/</t>
        </is>
      </c>
      <c r="I472" s="519" t="inlineStr">
        <is>
          <t>烤鸡饭</t>
        </is>
      </c>
      <c r="J472" s="505" t="inlineStr">
        <is>
          <t>刘太华</t>
        </is>
      </c>
      <c r="K472" s="545">
        <f>LET(k,D472&amp;"|"&amp;E472&amp;"|"&amp;H472&amp;"|"&amp;I472&amp;"|"&amp;J472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72" s="339" t="n"/>
      <c r="O472" s="548" t="n"/>
      <c r="P472" s="227" t="n"/>
      <c r="Q472" s="461" t="n"/>
    </row>
    <row r="473">
      <c r="B473" s="499" t="inlineStr">
        <is>
          <t>补充</t>
        </is>
      </c>
      <c r="C473" s="506" t="inlineStr">
        <is>
          <t>餐饮三分部</t>
        </is>
      </c>
      <c r="D473" s="492" t="inlineStr">
        <is>
          <t>CF320</t>
        </is>
      </c>
      <c r="E473" s="512" t="inlineStr">
        <is>
          <t>江苏财经梅园食堂</t>
        </is>
      </c>
      <c r="F473" s="494" t="inlineStr">
        <is>
          <t>分组作业</t>
        </is>
      </c>
      <c r="G473" s="513" t="inlineStr">
        <is>
          <t>徐敏娟</t>
        </is>
      </c>
      <c r="H473" s="513" t="inlineStr">
        <is>
          <t>/</t>
        </is>
      </c>
      <c r="I473" s="513" t="inlineStr">
        <is>
          <t>牛肉汤</t>
        </is>
      </c>
      <c r="J473" s="493" t="inlineStr">
        <is>
          <t>张然</t>
        </is>
      </c>
      <c r="K473" s="545">
        <f>LET(k,D473&amp;"|"&amp;E473&amp;"|"&amp;H473&amp;"|"&amp;I473&amp;"|"&amp;J473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73" s="339" t="n"/>
      <c r="O473" s="548" t="n"/>
      <c r="P473" s="227" t="n"/>
      <c r="Q473" s="461" t="n"/>
    </row>
    <row r="474">
      <c r="B474" s="499" t="inlineStr">
        <is>
          <t>补充</t>
        </is>
      </c>
      <c r="C474" s="506" t="inlineStr">
        <is>
          <t>餐饮三分部</t>
        </is>
      </c>
      <c r="D474" s="492" t="inlineStr">
        <is>
          <t>CF320</t>
        </is>
      </c>
      <c r="E474" s="512" t="inlineStr">
        <is>
          <t>江苏财经梅园食堂</t>
        </is>
      </c>
      <c r="F474" s="494" t="inlineStr">
        <is>
          <t>分组作业</t>
        </is>
      </c>
      <c r="G474" s="513" t="inlineStr">
        <is>
          <t>徐敏娟</t>
        </is>
      </c>
      <c r="H474" s="513" t="inlineStr">
        <is>
          <t>/</t>
        </is>
      </c>
      <c r="I474" s="513" t="inlineStr">
        <is>
          <t>港式烤鸭饭</t>
        </is>
      </c>
      <c r="J474" s="493" t="inlineStr">
        <is>
          <t>籍明明</t>
        </is>
      </c>
      <c r="K474" s="545">
        <f>LET(k,D474&amp;"|"&amp;E474&amp;"|"&amp;H474&amp;"|"&amp;I474&amp;"|"&amp;J474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74" s="339" t="n"/>
      <c r="O474" s="548" t="n"/>
      <c r="P474" s="227" t="n"/>
      <c r="Q474" s="461" t="n"/>
    </row>
    <row r="475">
      <c r="B475" s="499" t="inlineStr">
        <is>
          <t>补充</t>
        </is>
      </c>
      <c r="C475" s="506" t="inlineStr">
        <is>
          <t>餐饮三分部</t>
        </is>
      </c>
      <c r="D475" s="492" t="inlineStr">
        <is>
          <t>CF320</t>
        </is>
      </c>
      <c r="E475" s="512" t="inlineStr">
        <is>
          <t>江苏财经梅园食堂</t>
        </is>
      </c>
      <c r="F475" s="494" t="inlineStr">
        <is>
          <t>分组作业</t>
        </is>
      </c>
      <c r="G475" s="513" t="inlineStr">
        <is>
          <t>徐敏娟</t>
        </is>
      </c>
      <c r="H475" s="513" t="inlineStr">
        <is>
          <t>/</t>
        </is>
      </c>
      <c r="I475" s="513" t="inlineStr">
        <is>
          <t>黄焖鸡</t>
        </is>
      </c>
      <c r="J475" s="493" t="inlineStr">
        <is>
          <t>曹学云</t>
        </is>
      </c>
      <c r="K475" s="545">
        <f>LET(k,D475&amp;"|"&amp;E475&amp;"|"&amp;H475&amp;"|"&amp;I475&amp;"|"&amp;J475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75" s="339" t="n"/>
      <c r="O475" s="548" t="n"/>
      <c r="P475" s="227" t="n"/>
      <c r="Q475" s="461" t="n"/>
    </row>
    <row r="476">
      <c r="B476" s="499" t="inlineStr">
        <is>
          <t>补充</t>
        </is>
      </c>
      <c r="C476" s="506" t="inlineStr">
        <is>
          <t>餐饮三分部</t>
        </is>
      </c>
      <c r="D476" s="492" t="inlineStr">
        <is>
          <t>CF320</t>
        </is>
      </c>
      <c r="E476" s="512" t="inlineStr">
        <is>
          <t>江苏财经梅园食堂</t>
        </is>
      </c>
      <c r="F476" s="494" t="inlineStr">
        <is>
          <t>分组作业</t>
        </is>
      </c>
      <c r="G476" s="513" t="inlineStr">
        <is>
          <t>徐敏娟</t>
        </is>
      </c>
      <c r="H476" s="513" t="inlineStr">
        <is>
          <t>/</t>
        </is>
      </c>
      <c r="I476" s="513" t="inlineStr">
        <is>
          <t>有味拉面</t>
        </is>
      </c>
      <c r="J476" s="493" t="inlineStr">
        <is>
          <t>刘万众</t>
        </is>
      </c>
      <c r="K476" s="545">
        <f>LET(k,D476&amp;"|"&amp;E476&amp;"|"&amp;H476&amp;"|"&amp;I476&amp;"|"&amp;J476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76" s="339" t="n"/>
      <c r="O476" s="548" t="n"/>
      <c r="P476" s="227" t="n"/>
      <c r="Q476" s="461" t="n"/>
    </row>
    <row r="477">
      <c r="B477" s="499" t="inlineStr">
        <is>
          <t>补充</t>
        </is>
      </c>
      <c r="C477" s="506" t="inlineStr">
        <is>
          <t>餐饮三分部</t>
        </is>
      </c>
      <c r="D477" s="492" t="inlineStr">
        <is>
          <t>CF320</t>
        </is>
      </c>
      <c r="E477" s="512" t="inlineStr">
        <is>
          <t>江苏财经梅园食堂</t>
        </is>
      </c>
      <c r="F477" s="494" t="inlineStr">
        <is>
          <t>分组作业</t>
        </is>
      </c>
      <c r="G477" s="513" t="inlineStr">
        <is>
          <t>徐敏娟</t>
        </is>
      </c>
      <c r="H477" s="513" t="inlineStr">
        <is>
          <t>/</t>
        </is>
      </c>
      <c r="I477" s="513" t="inlineStr">
        <is>
          <t>现炒浇头</t>
        </is>
      </c>
      <c r="J477" s="493" t="inlineStr">
        <is>
          <t>朱潮</t>
        </is>
      </c>
      <c r="K477" s="545">
        <f>LET(k,D477&amp;"|"&amp;E477&amp;"|"&amp;H477&amp;"|"&amp;I477&amp;"|"&amp;J477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77" s="339" t="n"/>
      <c r="O477" s="548" t="n"/>
      <c r="P477" s="227" t="n"/>
      <c r="Q477" s="461" t="n"/>
    </row>
    <row r="478">
      <c r="B478" s="499" t="inlineStr">
        <is>
          <t>补充</t>
        </is>
      </c>
      <c r="C478" s="493" t="inlineStr">
        <is>
          <t>餐饮三分部</t>
        </is>
      </c>
      <c r="D478" s="492" t="inlineStr">
        <is>
          <t>CF320</t>
        </is>
      </c>
      <c r="E478" s="512" t="inlineStr">
        <is>
          <t>江苏财经梅园食堂</t>
        </is>
      </c>
      <c r="F478" s="494" t="inlineStr">
        <is>
          <t>分组作业</t>
        </is>
      </c>
      <c r="G478" s="513" t="inlineStr">
        <is>
          <t>徐敏娟</t>
        </is>
      </c>
      <c r="H478" s="513" t="inlineStr">
        <is>
          <t>/</t>
        </is>
      </c>
      <c r="I478" s="513" t="inlineStr">
        <is>
          <t>面包</t>
        </is>
      </c>
      <c r="J478" s="514" t="inlineStr">
        <is>
          <t>吴桂华</t>
        </is>
      </c>
      <c r="K478" s="545">
        <f>LET(k,D478&amp;"|"&amp;E478&amp;"|"&amp;H478&amp;"|"&amp;I478&amp;"|"&amp;J478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78" s="339" t="n"/>
      <c r="O478" s="548" t="n"/>
      <c r="P478" s="227" t="n"/>
      <c r="Q478" s="461" t="n"/>
      <c r="AV478" s="552" t="inlineStr">
        <is>
          <t>计表</t>
        </is>
      </c>
      <c r="AW478" s="461">
        <f>AX478</f>
        <v/>
      </c>
      <c r="AX478" s="27" t="n">
        <v>4.2</v>
      </c>
    </row>
    <row r="479">
      <c r="B479" s="515" t="inlineStr">
        <is>
          <t>补充</t>
        </is>
      </c>
      <c r="C479" s="515" t="inlineStr">
        <is>
          <t>餐饮三分部</t>
        </is>
      </c>
      <c r="D479" s="516" t="inlineStr">
        <is>
          <t>CF320</t>
        </is>
      </c>
      <c r="E479" s="517" t="inlineStr">
        <is>
          <t>江苏财经梅园食堂</t>
        </is>
      </c>
      <c r="F479" s="518" t="inlineStr">
        <is>
          <t>分组作业</t>
        </is>
      </c>
      <c r="G479" s="513" t="inlineStr">
        <is>
          <t>徐敏娟</t>
        </is>
      </c>
      <c r="H479" s="519" t="inlineStr">
        <is>
          <t>/</t>
        </is>
      </c>
      <c r="I479" s="519" t="inlineStr">
        <is>
          <t>江晓笼</t>
        </is>
      </c>
      <c r="J479" s="520" t="inlineStr">
        <is>
          <t>廖文</t>
        </is>
      </c>
      <c r="K479" s="626">
        <f>LET(k,D479&amp;"|"&amp;E479&amp;"|"&amp;H479&amp;"|"&amp;I479&amp;"|"&amp;J479,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79" s="339" t="n"/>
      <c r="O479" s="548" t="n"/>
      <c r="P479" s="227" t="n"/>
      <c r="Q479" s="461" t="n"/>
      <c r="AV479" s="552" t="inlineStr">
        <is>
          <t>计表</t>
        </is>
      </c>
      <c r="AW479" s="461">
        <f>AX479</f>
        <v/>
      </c>
      <c r="AX479" s="27" t="n">
        <v>60</v>
      </c>
    </row>
    <row r="480" ht="72" customHeight="1" s="537">
      <c r="B480" s="521" t="inlineStr">
        <is>
          <t>补充</t>
        </is>
      </c>
      <c r="C480" s="522" t="inlineStr">
        <is>
          <t>餐饮六分部</t>
        </is>
      </c>
      <c r="D480" s="522" t="inlineStr">
        <is>
          <t>CF275</t>
        </is>
      </c>
      <c r="E480" s="522" t="inlineStr">
        <is>
          <t>南大苏州校区西区二食堂</t>
        </is>
      </c>
      <c r="F480" s="523" t="inlineStr">
        <is>
          <t>分组作业</t>
        </is>
      </c>
      <c r="G480" s="243" t="inlineStr">
        <is>
          <t>郑虎</t>
        </is>
      </c>
      <c r="H480" s="521" t="inlineStr">
        <is>
          <t>第十三班组</t>
        </is>
      </c>
      <c r="I480" s="524" t="inlineStr">
        <is>
          <t>西餐</t>
        </is>
      </c>
      <c r="J480" s="522" t="n"/>
      <c r="K480" s="627">
        <f>LET(k,D480&amp;"|"&amp;E480&amp;"|"&amp;H480&amp;"|"&amp;I480&amp;"|"&amp;J480,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80" s="339" t="n"/>
      <c r="M480" s="301" t="n"/>
      <c r="N480" s="526" t="n">
        <v>0</v>
      </c>
      <c r="O480" s="548" t="n"/>
      <c r="P480" s="227" t="n">
        <v>0.11</v>
      </c>
      <c r="Q480" s="461">
        <f>K480*P480</f>
        <v/>
      </c>
      <c r="R480" s="527" t="n">
        <v>11951.9169</v>
      </c>
      <c r="S480" s="527" t="n"/>
      <c r="T480" s="527" t="n"/>
      <c r="U480" s="527" t="n"/>
      <c r="V480" s="527" t="n"/>
      <c r="W480" s="527" t="n"/>
      <c r="X480" s="527" t="n"/>
      <c r="Y480" s="527" t="n"/>
      <c r="Z480" s="527" t="n"/>
      <c r="AA480" s="527" t="n"/>
      <c r="AB480" s="527" t="n"/>
      <c r="AC480" s="527" t="n"/>
      <c r="AD480" s="527" t="n"/>
      <c r="AE480" s="527" t="n"/>
      <c r="AF480" s="527" t="n"/>
      <c r="AG480" s="527" t="n"/>
      <c r="AH480" s="527" t="n"/>
      <c r="AI480" s="527" t="n"/>
      <c r="AJ480" s="527" t="n"/>
      <c r="AK480" s="527" t="n"/>
      <c r="AL480" s="527" t="n"/>
      <c r="AM480" s="527" t="n"/>
      <c r="AN480" s="527" t="n"/>
      <c r="AO480" s="528" t="n"/>
      <c r="AP480" s="528" t="n"/>
      <c r="AQ480" s="461">
        <f>AO480-AP480</f>
        <v/>
      </c>
      <c r="AR480" s="461" t="n">
        <v>0.03</v>
      </c>
      <c r="AS480" s="461">
        <f>K480*AR480</f>
        <v/>
      </c>
      <c r="AT480" s="359" t="n">
        <v>3259.6137</v>
      </c>
      <c r="AU480" s="529" t="n"/>
      <c r="AV480" s="529" t="n"/>
      <c r="AW480" s="527" t="n"/>
      <c r="AX480" s="527" t="n"/>
      <c r="AY480" s="527" t="n"/>
      <c r="AZ480" s="527" t="n"/>
      <c r="BA480" s="301" t="n"/>
      <c r="BB480" s="301" t="n"/>
      <c r="BC480" s="461">
        <f>BA480-BB480</f>
        <v/>
      </c>
      <c r="BD480" s="235" t="inlineStr">
        <is>
          <t>餐具折旧费1000元/月，1、2、7、8月份按实际运营天数结算</t>
        </is>
      </c>
      <c r="BE480" s="461" t="n">
        <v>1000</v>
      </c>
      <c r="BF480" s="596" t="n">
        <v>1000</v>
      </c>
      <c r="BG480" s="301" t="n"/>
      <c r="BH480" s="301" t="n"/>
      <c r="BI480" s="301" t="n"/>
      <c r="BJ480" s="301" t="n"/>
      <c r="BK480" s="461">
        <f>BI480-BJ480</f>
        <v/>
      </c>
      <c r="BL480" s="235" t="inlineStr">
        <is>
          <t>按实结算</t>
        </is>
      </c>
      <c r="BM480" s="530" t="n">
        <v>82892.78</v>
      </c>
      <c r="BN480" s="530" t="n">
        <v>82892.78</v>
      </c>
      <c r="BO480" s="302" t="n"/>
      <c r="BP480" s="220">
        <f>N480+Q480+U480+Y480+AC480+AG480+AK480+AO480+AS480+AW480+BA480+BE480+BI480+BM480</f>
        <v/>
      </c>
      <c r="BQ480" s="220">
        <f>N480+R480+V480+Z480+AD480+AH480+AL480+AP480+AT480+AX480+BB480+BF480+BJ480+BN480</f>
        <v/>
      </c>
      <c r="BR480" s="220">
        <f>BP480-BQ480</f>
        <v/>
      </c>
      <c r="BS480" s="247" t="inlineStr">
        <is>
          <t>/</t>
        </is>
      </c>
      <c r="BT480" s="461" t="inlineStr">
        <is>
          <t>/</t>
        </is>
      </c>
      <c r="BU480" s="230" t="inlineStr">
        <is>
          <t>1、采购费：按采购额比例5%收取，分组作业应分摊未分摊，已补分摊，采购费比例应做相应调整；                             2、服务费，分组作业应分摊未分摊，已补分摊，服务费比例应做相应调整；                            3、装修折旧：80000元/年，分组作业未分摊，服务费已包含；</t>
        </is>
      </c>
      <c r="BV480" s="230" t="inlineStr">
        <is>
          <t xml:space="preserve">
1、签订期间：2026.1.1-2026.7.31；
2、指标按照全年换算；</t>
        </is>
      </c>
      <c r="BW480" s="303" t="inlineStr">
        <is>
          <t>本月新增</t>
        </is>
      </c>
    </row>
    <row r="481">
      <c r="B481" s="462" t="inlineStr">
        <is>
          <t>补充</t>
        </is>
      </c>
      <c r="C481" s="221" t="inlineStr">
        <is>
          <t>餐饮三分部</t>
        </is>
      </c>
      <c r="D481" s="221" t="inlineStr">
        <is>
          <t>CF699</t>
        </is>
      </c>
      <c r="E481" s="221" t="inlineStr">
        <is>
          <t>徐医大第一食堂</t>
        </is>
      </c>
      <c r="F481" s="222" t="inlineStr">
        <is>
          <t>分组作业</t>
        </is>
      </c>
      <c r="G481" s="326" t="inlineStr">
        <is>
          <t>徐敏捷</t>
        </is>
      </c>
      <c r="H481" s="326" t="inlineStr">
        <is>
          <t>/</t>
        </is>
      </c>
      <c r="I481" s="237" t="inlineStr">
        <is>
          <t>炸串卷饼拌饭</t>
        </is>
      </c>
      <c r="J481" s="219" t="inlineStr">
        <is>
          <t>王倩</t>
        </is>
      </c>
      <c r="K481" s="577">
        <f>LET(k,D481&amp;"|"&amp;E481&amp;"|"&amp;H481&amp;"|"&amp;I481&amp;"|"&amp;J481,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81" s="339" t="n"/>
      <c r="M481" s="301" t="n"/>
      <c r="N481" s="301" t="n"/>
      <c r="O481" s="548" t="n">
        <v>478000</v>
      </c>
      <c r="P481" s="227" t="n">
        <v>0.19</v>
      </c>
      <c r="Q481" s="461" t="n">
        <v>128.55</v>
      </c>
      <c r="R481" s="293" t="n"/>
      <c r="S481" s="566" t="n">
        <v>128.55</v>
      </c>
      <c r="T481" s="227" t="n">
        <v>0</v>
      </c>
      <c r="U481" s="461" t="n">
        <v>0</v>
      </c>
      <c r="V481" s="461" t="n"/>
      <c r="W481" s="461" t="n">
        <v>0</v>
      </c>
      <c r="X481" s="551" t="n"/>
      <c r="Y481" s="461" t="n">
        <v>0</v>
      </c>
      <c r="Z481" s="227" t="n"/>
      <c r="AA481" s="461" t="n">
        <v>0</v>
      </c>
      <c r="AB481" s="227" t="n">
        <v>0</v>
      </c>
      <c r="AC481" s="461" t="n">
        <v>0</v>
      </c>
      <c r="AD481" s="227" t="n"/>
      <c r="AE481" s="461" t="n">
        <v>0</v>
      </c>
      <c r="AF481" s="227" t="n">
        <v>0</v>
      </c>
      <c r="AG481" s="461" t="n">
        <v>0</v>
      </c>
      <c r="AH481" s="227" t="n"/>
      <c r="AI481" s="461" t="n">
        <v>0</v>
      </c>
      <c r="AJ481" s="227" t="n">
        <v>0</v>
      </c>
      <c r="AK481" s="461" t="n">
        <v>0</v>
      </c>
      <c r="AL481" s="227" t="n"/>
      <c r="AM481" s="461" t="n">
        <v>0</v>
      </c>
      <c r="AN481" s="227" t="n">
        <v>0</v>
      </c>
      <c r="AO481" s="461" t="n">
        <v>0</v>
      </c>
      <c r="AP481" s="461" t="n"/>
      <c r="AQ481" s="461" t="n">
        <v>0</v>
      </c>
      <c r="AR481" s="573" t="n"/>
      <c r="AS481" s="461" t="n"/>
      <c r="AT481" s="461" t="n"/>
      <c r="AU481" s="461" t="n">
        <v>0</v>
      </c>
      <c r="AV481" s="551" t="n"/>
      <c r="AW481" s="461" t="n">
        <v>0</v>
      </c>
      <c r="AX481" s="293" t="n"/>
      <c r="AY481" s="461" t="n">
        <v>0</v>
      </c>
      <c r="AZ481" s="227" t="n">
        <v>0</v>
      </c>
      <c r="BA481" s="461" t="n">
        <v>0</v>
      </c>
      <c r="BB481" s="263" t="n"/>
      <c r="BC481" s="461" t="n">
        <v>0</v>
      </c>
      <c r="BD481" s="548" t="n"/>
      <c r="BE481" s="227" t="n">
        <v>0</v>
      </c>
      <c r="BF481" s="566" t="n"/>
      <c r="BG481" s="301" t="n">
        <v>0</v>
      </c>
      <c r="BH481" s="301" t="n"/>
      <c r="BI481" s="301" t="n">
        <v>0</v>
      </c>
      <c r="BJ481" s="301" t="n"/>
      <c r="BK481" s="301" t="n">
        <v>0</v>
      </c>
      <c r="BL481" s="301" t="inlineStr">
        <is>
          <t>按实</t>
        </is>
      </c>
      <c r="BM481" s="220">
        <f>BN481</f>
        <v/>
      </c>
      <c r="BN481" s="302" t="n"/>
      <c r="BO481" s="220" t="n">
        <v>0</v>
      </c>
      <c r="BP481" s="575" t="n">
        <v>128.55</v>
      </c>
      <c r="BQ481" s="220" t="n">
        <v>0</v>
      </c>
      <c r="BR481" s="575" t="n">
        <v>128.55</v>
      </c>
      <c r="BS481" s="575" t="inlineStr">
        <is>
          <t>/</t>
        </is>
      </c>
      <c r="BT481" s="254" t="inlineStr">
        <is>
          <t>/</t>
        </is>
      </c>
      <c r="BU481" s="304" t="n"/>
      <c r="BV481" s="305" t="n"/>
      <c r="BW481" s="303" t="inlineStr">
        <is>
          <t>本月新增</t>
        </is>
      </c>
    </row>
    <row r="482">
      <c r="B482" s="462" t="inlineStr">
        <is>
          <t>补充</t>
        </is>
      </c>
      <c r="C482" s="221" t="inlineStr">
        <is>
          <t>餐饮三分部</t>
        </is>
      </c>
      <c r="D482" s="221" t="inlineStr">
        <is>
          <t>CF699</t>
        </is>
      </c>
      <c r="E482" s="221" t="inlineStr">
        <is>
          <t>徐医大第一食堂</t>
        </is>
      </c>
      <c r="F482" s="222" t="inlineStr">
        <is>
          <t>分组作业</t>
        </is>
      </c>
      <c r="G482" s="326" t="inlineStr">
        <is>
          <t>徐敏捷</t>
        </is>
      </c>
      <c r="H482" s="326" t="inlineStr">
        <is>
          <t>/</t>
        </is>
      </c>
      <c r="I482" s="237" t="inlineStr">
        <is>
          <t>鸡架拌面</t>
        </is>
      </c>
      <c r="J482" s="219" t="inlineStr">
        <is>
          <t>姜艳芳</t>
        </is>
      </c>
      <c r="K482" s="577">
        <f>LET(k,D482&amp;"|"&amp;E482&amp;"|"&amp;H482&amp;"|"&amp;I482&amp;"|"&amp;J482,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82" s="339" t="n"/>
      <c r="M482" s="301" t="n"/>
      <c r="N482" s="301" t="n"/>
      <c r="O482" s="548" t="n">
        <v>828000</v>
      </c>
      <c r="P482" s="227" t="n">
        <v>0.17</v>
      </c>
      <c r="Q482" s="461" t="n">
        <v>502.33</v>
      </c>
      <c r="R482" s="293" t="n"/>
      <c r="S482" s="566" t="n">
        <v>502.33</v>
      </c>
      <c r="T482" s="227" t="n">
        <v>0</v>
      </c>
      <c r="U482" s="461" t="n">
        <v>0</v>
      </c>
      <c r="V482" s="461" t="n"/>
      <c r="W482" s="461" t="n">
        <v>0</v>
      </c>
      <c r="X482" s="551" t="n"/>
      <c r="Y482" s="461" t="n">
        <v>0</v>
      </c>
      <c r="Z482" s="227" t="n"/>
      <c r="AA482" s="461" t="n">
        <v>0</v>
      </c>
      <c r="AB482" s="227" t="n">
        <v>0</v>
      </c>
      <c r="AC482" s="461" t="n">
        <v>0</v>
      </c>
      <c r="AD482" s="227" t="n"/>
      <c r="AE482" s="461" t="n">
        <v>0</v>
      </c>
      <c r="AF482" s="227" t="n">
        <v>0</v>
      </c>
      <c r="AG482" s="461" t="n">
        <v>0</v>
      </c>
      <c r="AH482" s="227" t="n"/>
      <c r="AI482" s="461" t="n">
        <v>0</v>
      </c>
      <c r="AJ482" s="227" t="n">
        <v>0</v>
      </c>
      <c r="AK482" s="461" t="n">
        <v>0</v>
      </c>
      <c r="AL482" s="227" t="n"/>
      <c r="AM482" s="461" t="n">
        <v>0</v>
      </c>
      <c r="AN482" s="227" t="n">
        <v>0</v>
      </c>
      <c r="AO482" s="461" t="n">
        <v>0</v>
      </c>
      <c r="AP482" s="461" t="n"/>
      <c r="AQ482" s="461" t="n">
        <v>0</v>
      </c>
      <c r="AR482" s="573" t="n"/>
      <c r="AS482" s="461" t="n"/>
      <c r="AT482" s="461" t="n"/>
      <c r="AU482" s="461" t="n">
        <v>0</v>
      </c>
      <c r="AV482" s="551" t="n"/>
      <c r="AW482" s="461" t="n">
        <v>0</v>
      </c>
      <c r="AX482" s="293" t="n"/>
      <c r="AY482" s="461" t="n">
        <v>0</v>
      </c>
      <c r="AZ482" s="227" t="n">
        <v>0</v>
      </c>
      <c r="BA482" s="461" t="n">
        <v>0</v>
      </c>
      <c r="BB482" s="263" t="n"/>
      <c r="BC482" s="461" t="n">
        <v>0</v>
      </c>
      <c r="BD482" s="548" t="n"/>
      <c r="BE482" s="227" t="n">
        <v>0</v>
      </c>
      <c r="BF482" s="566" t="n"/>
      <c r="BG482" s="301" t="n">
        <v>0</v>
      </c>
      <c r="BH482" s="301" t="n"/>
      <c r="BI482" s="301" t="n">
        <v>0</v>
      </c>
      <c r="BJ482" s="301" t="n"/>
      <c r="BK482" s="301" t="n">
        <v>0</v>
      </c>
      <c r="BL482" s="301" t="inlineStr">
        <is>
          <t>按实</t>
        </is>
      </c>
      <c r="BM482" s="220">
        <f>BN482</f>
        <v/>
      </c>
      <c r="BN482" s="302" t="n"/>
      <c r="BO482" s="220" t="n">
        <v>0</v>
      </c>
      <c r="BP482" s="575" t="n">
        <v>502.33</v>
      </c>
      <c r="BQ482" s="220" t="n">
        <v>0</v>
      </c>
      <c r="BR482" s="575" t="n">
        <v>502.33</v>
      </c>
      <c r="BS482" s="575" t="inlineStr">
        <is>
          <t>/</t>
        </is>
      </c>
      <c r="BT482" s="254" t="inlineStr">
        <is>
          <t>/</t>
        </is>
      </c>
      <c r="BU482" s="304" t="n"/>
      <c r="BV482" s="305" t="n"/>
      <c r="BW482" s="303" t="inlineStr">
        <is>
          <t>本月新增</t>
        </is>
      </c>
    </row>
    <row r="483">
      <c r="B483" s="462" t="inlineStr">
        <is>
          <t>补充</t>
        </is>
      </c>
      <c r="C483" s="221" t="inlineStr">
        <is>
          <t>餐饮三分部</t>
        </is>
      </c>
      <c r="D483" s="221" t="inlineStr">
        <is>
          <t>CF320</t>
        </is>
      </c>
      <c r="E483" s="221" t="inlineStr">
        <is>
          <t>江苏财经梅园食堂</t>
        </is>
      </c>
      <c r="F483" s="222" t="inlineStr">
        <is>
          <t>分组作业</t>
        </is>
      </c>
      <c r="G483" s="513" t="inlineStr">
        <is>
          <t>徐敏娟</t>
        </is>
      </c>
      <c r="H483" s="237" t="inlineStr">
        <is>
          <t>第十六班组</t>
        </is>
      </c>
      <c r="I483" s="237" t="inlineStr">
        <is>
          <t>酷堡王</t>
        </is>
      </c>
      <c r="J483" s="219" t="inlineStr">
        <is>
          <t>王得志</t>
        </is>
      </c>
      <c r="K483" s="577">
        <f>LET(k,D483&amp;"|"&amp;E483&amp;"|"&amp;H483&amp;"|"&amp;I483&amp;"|"&amp;J483,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83" s="339" t="n"/>
      <c r="M483" s="301" t="n"/>
      <c r="N483" s="301" t="n"/>
      <c r="O483" s="548" t="n"/>
      <c r="P483" s="227" t="n"/>
      <c r="Q483" s="461" t="n"/>
      <c r="R483" s="293" t="n"/>
      <c r="S483" s="566" t="n"/>
      <c r="T483" s="227" t="n"/>
      <c r="U483" s="461" t="n"/>
      <c r="V483" s="461" t="n"/>
      <c r="W483" s="461" t="n"/>
      <c r="X483" s="551" t="n"/>
      <c r="Y483" s="461" t="n"/>
      <c r="Z483" s="227" t="n"/>
      <c r="AA483" s="461" t="n"/>
      <c r="AB483" s="227" t="n"/>
      <c r="AC483" s="461" t="n"/>
      <c r="AD483" s="227" t="n"/>
      <c r="AE483" s="461" t="n"/>
      <c r="AF483" s="227" t="n"/>
      <c r="AG483" s="461" t="n"/>
      <c r="AH483" s="227" t="n"/>
      <c r="AI483" s="461" t="n"/>
      <c r="AJ483" s="227" t="n"/>
      <c r="AK483" s="461" t="n"/>
      <c r="AL483" s="227" t="n"/>
      <c r="AM483" s="461" t="n"/>
      <c r="AN483" s="227" t="n"/>
      <c r="AO483" s="461" t="n"/>
      <c r="AP483" s="461" t="n"/>
      <c r="AQ483" s="461" t="n"/>
      <c r="AR483" s="573" t="n"/>
      <c r="AS483" s="461" t="n"/>
      <c r="AT483" s="461" t="n"/>
      <c r="AU483" s="461" t="n"/>
      <c r="AV483" s="551" t="n"/>
      <c r="AW483" s="461" t="n"/>
      <c r="AX483" s="293" t="n"/>
      <c r="AY483" s="461" t="n"/>
      <c r="AZ483" s="227" t="n"/>
      <c r="BA483" s="461" t="n"/>
      <c r="BB483" s="263" t="n"/>
      <c r="BC483" s="461" t="n"/>
      <c r="BD483" s="548" t="n"/>
      <c r="BE483" s="276" t="n"/>
      <c r="BF483" s="566" t="n"/>
      <c r="BG483" s="301" t="n"/>
      <c r="BH483" s="301" t="n"/>
      <c r="BI483" s="301" t="n"/>
      <c r="BJ483" s="301" t="n"/>
      <c r="BK483" s="301" t="n"/>
      <c r="BL483" s="301" t="n"/>
      <c r="BM483" s="220" t="n"/>
      <c r="BN483" s="302" t="n"/>
      <c r="BO483" s="220" t="n"/>
      <c r="BP483" s="575" t="n"/>
      <c r="BQ483" s="220" t="n"/>
      <c r="BR483" s="575" t="n"/>
      <c r="BS483" s="575" t="n"/>
      <c r="BT483" s="303" t="n"/>
      <c r="BU483" s="304" t="n"/>
      <c r="BV483" s="305" t="n"/>
      <c r="BW483" s="303" t="inlineStr">
        <is>
          <t>本月新增</t>
        </is>
      </c>
    </row>
    <row r="484" ht="24" customHeight="1" s="537">
      <c r="B484" s="462" t="inlineStr">
        <is>
          <t>补充</t>
        </is>
      </c>
      <c r="C484" s="221" t="inlineStr">
        <is>
          <t>餐饮五分部</t>
        </is>
      </c>
      <c r="D484" s="221" t="inlineStr">
        <is>
          <t>CF698</t>
        </is>
      </c>
      <c r="E484" s="221" t="inlineStr">
        <is>
          <t>兰理工兰工坪校区一食堂</t>
        </is>
      </c>
      <c r="F484" s="222" t="inlineStr">
        <is>
          <t>分组作业</t>
        </is>
      </c>
      <c r="G484" s="326" t="inlineStr">
        <is>
          <t>徐敏捷</t>
        </is>
      </c>
      <c r="H484" s="483" t="inlineStr">
        <is>
          <t>/</t>
        </is>
      </c>
      <c r="I484" s="237" t="inlineStr">
        <is>
          <t>早餐（包子、粥、馅饼、饺子）</t>
        </is>
      </c>
      <c r="J484" s="219" t="inlineStr">
        <is>
          <t>杨凤祥</t>
        </is>
      </c>
      <c r="K484" s="577">
        <f>LET(k,D484&amp;"|"&amp;E484&amp;"|"&amp;H484&amp;"|"&amp;I484&amp;"|"&amp;J484,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84" s="339" t="n">
        <v>130000</v>
      </c>
      <c r="M484" s="301" t="n"/>
      <c r="N484" s="301" t="n"/>
      <c r="O484" s="548" t="n">
        <v>1140000</v>
      </c>
      <c r="P484" s="276" t="n">
        <v>0.16</v>
      </c>
      <c r="Q484" s="461">
        <f>IF(K484&lt;=L484,K484*P484,L484*P484+(K484-L484)*(P484-2%))</f>
        <v/>
      </c>
      <c r="R484" s="293" t="n"/>
      <c r="S484" s="461">
        <f>Q484-R484</f>
        <v/>
      </c>
      <c r="T484" s="227" t="n">
        <v>0</v>
      </c>
      <c r="U484" s="461">
        <f>K484*T484</f>
        <v/>
      </c>
      <c r="V484" s="227" t="n"/>
      <c r="W484" s="461">
        <f>U484-V484</f>
        <v/>
      </c>
      <c r="X484" s="227" t="n">
        <v>0</v>
      </c>
      <c r="Y484" s="461">
        <f>K484*X484</f>
        <v/>
      </c>
      <c r="Z484" s="227" t="n"/>
      <c r="AA484" s="461">
        <f>Y484-Z484</f>
        <v/>
      </c>
      <c r="AB484" s="227" t="n">
        <v>0</v>
      </c>
      <c r="AC484" s="461">
        <f>K484*AB484</f>
        <v/>
      </c>
      <c r="AD484" s="227" t="n"/>
      <c r="AE484" s="461">
        <f>AC484-AD484</f>
        <v/>
      </c>
      <c r="AF484" s="227" t="n">
        <v>0</v>
      </c>
      <c r="AG484" s="461">
        <f>K484*AF484</f>
        <v/>
      </c>
      <c r="AH484" s="227" t="n"/>
      <c r="AI484" s="461">
        <f>AG484-AH484</f>
        <v/>
      </c>
      <c r="AJ484" s="227" t="n">
        <v>0</v>
      </c>
      <c r="AK484" s="461">
        <f>K484*AJ484</f>
        <v/>
      </c>
      <c r="AL484" s="227" t="n"/>
      <c r="AM484" s="461">
        <f>AK484-AL484</f>
        <v/>
      </c>
      <c r="AN484" s="227" t="n">
        <v>0</v>
      </c>
      <c r="AO484" s="461">
        <f>K484*AN484</f>
        <v/>
      </c>
      <c r="AP484" s="461" t="n"/>
      <c r="AQ484" s="461">
        <f>AO484-AP484</f>
        <v/>
      </c>
      <c r="AR484" s="461" t="n"/>
      <c r="AS484" s="461">
        <f>K484*AR484</f>
        <v/>
      </c>
      <c r="AT484" s="461" t="n"/>
      <c r="AU484" s="461">
        <f>AS484-AT484</f>
        <v/>
      </c>
      <c r="AV484" s="551" t="n"/>
      <c r="AW484" s="461">
        <f>K484*AV484</f>
        <v/>
      </c>
      <c r="AX484" s="227" t="n"/>
      <c r="AY484" s="461">
        <f>AW484-AX484</f>
        <v/>
      </c>
      <c r="AZ484" s="227" t="n">
        <v>0</v>
      </c>
      <c r="BA484" s="461">
        <f>K484*AZ484</f>
        <v/>
      </c>
      <c r="BB484" s="461" t="n"/>
      <c r="BC484" s="461">
        <f>BA484-BB484</f>
        <v/>
      </c>
      <c r="BD484" s="235" t="n"/>
      <c r="BE484" s="461">
        <f>K484*BD484</f>
        <v/>
      </c>
      <c r="BF484" s="235" t="n"/>
      <c r="BG484" s="461">
        <f>BE484-BF484</f>
        <v/>
      </c>
      <c r="BH484" s="235" t="n"/>
      <c r="BI484" s="461">
        <f>K484*BH484</f>
        <v/>
      </c>
      <c r="BJ484" s="235" t="n"/>
      <c r="BK484" s="461">
        <f>BI484-BJ484</f>
        <v/>
      </c>
      <c r="BL484" s="461" t="inlineStr">
        <is>
          <t>按实</t>
        </is>
      </c>
      <c r="BM484" s="220">
        <f>BN484</f>
        <v/>
      </c>
      <c r="BN484" s="220" t="n"/>
      <c r="BO484" s="220">
        <f>BM484-BN484</f>
        <v/>
      </c>
      <c r="BP484" s="220">
        <f>N484+Q484+U484+Y484+AC484+AG484+AK484+AO484+AS484+AW484+BA484+BE484+BI484+BM484</f>
        <v/>
      </c>
      <c r="BQ484" s="220">
        <f>N484+R484+V484+Z484+AD484+AH484+AL484+AP484+AT484+AX484+BB484+BF484+BJ484+BN484</f>
        <v/>
      </c>
      <c r="BR484" s="220">
        <f>BP484-BQ484</f>
        <v/>
      </c>
      <c r="BS484" s="254" t="inlineStr">
        <is>
          <t>/</t>
        </is>
      </c>
      <c r="BT484" s="229" t="inlineStr">
        <is>
          <t>/</t>
        </is>
      </c>
      <c r="BU484" s="230" t="n"/>
      <c r="BV484" s="305" t="n"/>
      <c r="BW484" s="303" t="inlineStr">
        <is>
          <t>本月新增</t>
        </is>
      </c>
    </row>
    <row r="485" ht="24" customHeight="1" s="537">
      <c r="B485" s="462" t="inlineStr">
        <is>
          <t>补充</t>
        </is>
      </c>
      <c r="C485" s="221" t="inlineStr">
        <is>
          <t>餐饮五分部</t>
        </is>
      </c>
      <c r="D485" s="221" t="inlineStr">
        <is>
          <t>CF698</t>
        </is>
      </c>
      <c r="E485" s="221" t="inlineStr">
        <is>
          <t>兰理工兰工坪校区一食堂</t>
        </is>
      </c>
      <c r="F485" s="222" t="inlineStr">
        <is>
          <t>分组作业</t>
        </is>
      </c>
      <c r="G485" s="326" t="inlineStr">
        <is>
          <t>徐敏捷</t>
        </is>
      </c>
      <c r="H485" s="483" t="inlineStr">
        <is>
          <t>/</t>
        </is>
      </c>
      <c r="I485" s="237" t="inlineStr">
        <is>
          <t>快餐（盖浇饭、锅仔）</t>
        </is>
      </c>
      <c r="J485" s="219" t="inlineStr">
        <is>
          <t>曾德彬</t>
        </is>
      </c>
      <c r="K485" s="577">
        <f>LET(k,D485&amp;"|"&amp;E485&amp;"|"&amp;H485&amp;"|"&amp;I485&amp;"|"&amp;J485,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85" s="339" t="n">
        <v>130000</v>
      </c>
      <c r="M485" s="301" t="n"/>
      <c r="N485" s="301" t="n"/>
      <c r="O485" s="548" t="n">
        <v>1106000</v>
      </c>
      <c r="P485" s="276" t="n">
        <v>0.15</v>
      </c>
      <c r="Q485" s="461">
        <f>IF(K485&lt;=L485,K485*P485,L485*P485+(K485-L485)*(P485-2%))</f>
        <v/>
      </c>
      <c r="R485" s="293" t="n"/>
      <c r="S485" s="461">
        <f>Q485-R485</f>
        <v/>
      </c>
      <c r="T485" s="227" t="n">
        <v>0</v>
      </c>
      <c r="U485" s="461">
        <f>K485*T485</f>
        <v/>
      </c>
      <c r="V485" s="227" t="n"/>
      <c r="W485" s="461">
        <f>U485-V485</f>
        <v/>
      </c>
      <c r="X485" s="227" t="n">
        <v>0</v>
      </c>
      <c r="Y485" s="461">
        <f>K485*X485</f>
        <v/>
      </c>
      <c r="Z485" s="227" t="n"/>
      <c r="AA485" s="461">
        <f>Y485-Z485</f>
        <v/>
      </c>
      <c r="AB485" s="227" t="n">
        <v>0</v>
      </c>
      <c r="AC485" s="461">
        <f>K485*AB485</f>
        <v/>
      </c>
      <c r="AD485" s="227" t="n"/>
      <c r="AE485" s="461">
        <f>AC485-AD485</f>
        <v/>
      </c>
      <c r="AF485" s="227" t="n">
        <v>0</v>
      </c>
      <c r="AG485" s="461">
        <f>K485*AF485</f>
        <v/>
      </c>
      <c r="AH485" s="227" t="n"/>
      <c r="AI485" s="461">
        <f>AG485-AH485</f>
        <v/>
      </c>
      <c r="AJ485" s="227" t="n">
        <v>0</v>
      </c>
      <c r="AK485" s="461">
        <f>K485*AJ485</f>
        <v/>
      </c>
      <c r="AL485" s="227" t="n"/>
      <c r="AM485" s="461">
        <f>AK485-AL485</f>
        <v/>
      </c>
      <c r="AN485" s="227" t="n">
        <v>0</v>
      </c>
      <c r="AO485" s="461">
        <f>K485*AN485</f>
        <v/>
      </c>
      <c r="AP485" s="461" t="n"/>
      <c r="AQ485" s="461">
        <f>AO485-AP485</f>
        <v/>
      </c>
      <c r="AR485" s="461" t="n"/>
      <c r="AS485" s="461">
        <f>K485*AR485</f>
        <v/>
      </c>
      <c r="AT485" s="461" t="n"/>
      <c r="AU485" s="461">
        <f>AS485-AT485</f>
        <v/>
      </c>
      <c r="AV485" s="551" t="n"/>
      <c r="AW485" s="461">
        <f>K485*AV485</f>
        <v/>
      </c>
      <c r="AX485" s="227" t="n"/>
      <c r="AY485" s="461">
        <f>AW485-AX485</f>
        <v/>
      </c>
      <c r="AZ485" s="227" t="n">
        <v>0</v>
      </c>
      <c r="BA485" s="461">
        <f>K485*AZ485</f>
        <v/>
      </c>
      <c r="BB485" s="461" t="n"/>
      <c r="BC485" s="461">
        <f>BA485-BB485</f>
        <v/>
      </c>
      <c r="BD485" s="235" t="n"/>
      <c r="BE485" s="461">
        <f>K485*BD485</f>
        <v/>
      </c>
      <c r="BF485" s="235" t="n"/>
      <c r="BG485" s="461">
        <f>BE485-BF485</f>
        <v/>
      </c>
      <c r="BH485" s="235" t="n"/>
      <c r="BI485" s="461">
        <f>K485*BH485</f>
        <v/>
      </c>
      <c r="BJ485" s="235" t="n"/>
      <c r="BK485" s="461">
        <f>BI485-BJ485</f>
        <v/>
      </c>
      <c r="BL485" s="461" t="inlineStr">
        <is>
          <t>按实</t>
        </is>
      </c>
      <c r="BM485" s="220">
        <f>BN485</f>
        <v/>
      </c>
      <c r="BN485" s="220" t="n"/>
      <c r="BO485" s="220">
        <f>BM485-BN485</f>
        <v/>
      </c>
      <c r="BP485" s="220">
        <f>N485+Q485+U485+Y485+AC485+AG485+AK485+AO485+AS485+AW485+BA485+BE485+BI485+BM485</f>
        <v/>
      </c>
      <c r="BQ485" s="220">
        <f>N485+R485+V485+Z485+AD485+AH485+AL485+AP485+AT485+AX485+BB485+BF485+BJ485+BN485</f>
        <v/>
      </c>
      <c r="BR485" s="220">
        <f>BP485-BQ485</f>
        <v/>
      </c>
      <c r="BS485" s="254" t="inlineStr">
        <is>
          <t>/</t>
        </is>
      </c>
      <c r="BT485" s="229" t="inlineStr">
        <is>
          <t>/</t>
        </is>
      </c>
      <c r="BU485" s="230" t="n"/>
      <c r="BV485" s="305" t="n"/>
      <c r="BW485" s="303" t="inlineStr">
        <is>
          <t>本月新增</t>
        </is>
      </c>
    </row>
    <row r="486">
      <c r="B486" s="462" t="inlineStr">
        <is>
          <t>补充</t>
        </is>
      </c>
      <c r="C486" s="221" t="inlineStr">
        <is>
          <t>餐饮五分部</t>
        </is>
      </c>
      <c r="D486" s="221" t="inlineStr">
        <is>
          <t>CF698</t>
        </is>
      </c>
      <c r="E486" s="221" t="inlineStr">
        <is>
          <t>兰理工兰工坪校区一食堂</t>
        </is>
      </c>
      <c r="F486" s="222" t="inlineStr">
        <is>
          <t>分组作业</t>
        </is>
      </c>
      <c r="G486" s="326" t="inlineStr">
        <is>
          <t>徐敏捷</t>
        </is>
      </c>
      <c r="H486" s="483" t="inlineStr">
        <is>
          <t>/</t>
        </is>
      </c>
      <c r="I486" s="237" t="inlineStr">
        <is>
          <t>香肉拌饭</t>
        </is>
      </c>
      <c r="J486" s="219" t="inlineStr">
        <is>
          <t>尚晓刚</t>
        </is>
      </c>
      <c r="K486" s="577">
        <f>LET(k,D486&amp;"|"&amp;E486&amp;"|"&amp;H486&amp;"|"&amp;I486&amp;"|"&amp;J486,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86" s="339" t="n">
        <v>80000</v>
      </c>
      <c r="M486" s="301" t="n"/>
      <c r="N486" s="301" t="n"/>
      <c r="O486" s="548" t="n">
        <v>700000</v>
      </c>
      <c r="P486" s="276" t="n">
        <v>0.2</v>
      </c>
      <c r="Q486" s="461">
        <f>IF(K486&lt;=L486,K486*P486,L486*P486+(K486-L486)*(P486-2%))</f>
        <v/>
      </c>
      <c r="R486" s="293" t="n"/>
      <c r="S486" s="461">
        <f>Q486-R486</f>
        <v/>
      </c>
      <c r="T486" s="227" t="n">
        <v>0</v>
      </c>
      <c r="U486" s="461">
        <f>K486*T486</f>
        <v/>
      </c>
      <c r="V486" s="227" t="n"/>
      <c r="W486" s="461">
        <f>U486-V486</f>
        <v/>
      </c>
      <c r="X486" s="227" t="n">
        <v>0</v>
      </c>
      <c r="Y486" s="461">
        <f>K486*X486</f>
        <v/>
      </c>
      <c r="Z486" s="227" t="n"/>
      <c r="AA486" s="461">
        <f>Y486-Z486</f>
        <v/>
      </c>
      <c r="AB486" s="227" t="n">
        <v>0</v>
      </c>
      <c r="AC486" s="461">
        <f>K486*AB486</f>
        <v/>
      </c>
      <c r="AD486" s="227" t="n"/>
      <c r="AE486" s="461">
        <f>AC486-AD486</f>
        <v/>
      </c>
      <c r="AF486" s="227" t="n">
        <v>0</v>
      </c>
      <c r="AG486" s="461">
        <f>K486*AF486</f>
        <v/>
      </c>
      <c r="AH486" s="227" t="n"/>
      <c r="AI486" s="461">
        <f>AG486-AH486</f>
        <v/>
      </c>
      <c r="AJ486" s="227" t="n">
        <v>0</v>
      </c>
      <c r="AK486" s="461">
        <f>K486*AJ486</f>
        <v/>
      </c>
      <c r="AL486" s="227" t="n"/>
      <c r="AM486" s="461">
        <f>AK486-AL486</f>
        <v/>
      </c>
      <c r="AN486" s="227" t="n">
        <v>0</v>
      </c>
      <c r="AO486" s="461">
        <f>K486*AN486</f>
        <v/>
      </c>
      <c r="AP486" s="461" t="n"/>
      <c r="AQ486" s="461">
        <f>AO486-AP486</f>
        <v/>
      </c>
      <c r="AR486" s="461" t="n"/>
      <c r="AS486" s="461">
        <f>K486*AR486</f>
        <v/>
      </c>
      <c r="AT486" s="461" t="n"/>
      <c r="AU486" s="461">
        <f>AS486-AT486</f>
        <v/>
      </c>
      <c r="AV486" s="551" t="n"/>
      <c r="AW486" s="461">
        <f>K486*AV486</f>
        <v/>
      </c>
      <c r="AX486" s="227" t="n"/>
      <c r="AY486" s="461">
        <f>AW486-AX486</f>
        <v/>
      </c>
      <c r="AZ486" s="227" t="n">
        <v>0</v>
      </c>
      <c r="BA486" s="461">
        <f>K486*AZ486</f>
        <v/>
      </c>
      <c r="BB486" s="461" t="n"/>
      <c r="BC486" s="461">
        <f>BA486-BB486</f>
        <v/>
      </c>
      <c r="BD486" s="235" t="n"/>
      <c r="BE486" s="461">
        <f>K486*BD486</f>
        <v/>
      </c>
      <c r="BF486" s="235" t="n"/>
      <c r="BG486" s="461">
        <f>BE486-BF486</f>
        <v/>
      </c>
      <c r="BH486" s="235" t="n"/>
      <c r="BI486" s="461">
        <f>K486*BH486</f>
        <v/>
      </c>
      <c r="BJ486" s="235" t="n"/>
      <c r="BK486" s="461">
        <f>BI486-BJ486</f>
        <v/>
      </c>
      <c r="BL486" s="461" t="inlineStr">
        <is>
          <t>按实</t>
        </is>
      </c>
      <c r="BM486" s="220">
        <f>BN486</f>
        <v/>
      </c>
      <c r="BN486" s="220" t="n"/>
      <c r="BO486" s="220">
        <f>BM486-BN486</f>
        <v/>
      </c>
      <c r="BP486" s="220">
        <f>N486+Q486+U486+Y486+AC486+AG486+AK486+AO486+AS486+AW486+BA486+BE486+BI486+BM486</f>
        <v/>
      </c>
      <c r="BQ486" s="220">
        <f>N486+R486+V486+Z486+AD486+AH486+AL486+AP486+AT486+AX486+BB486+BF486+BJ486+BN486</f>
        <v/>
      </c>
      <c r="BR486" s="220">
        <f>BP486-BQ486</f>
        <v/>
      </c>
      <c r="BS486" s="254" t="inlineStr">
        <is>
          <t>/</t>
        </is>
      </c>
      <c r="BT486" s="229" t="inlineStr">
        <is>
          <t>/</t>
        </is>
      </c>
      <c r="BU486" s="230" t="n"/>
      <c r="BV486" s="305" t="n"/>
      <c r="BW486" s="303" t="inlineStr">
        <is>
          <t>本月新增</t>
        </is>
      </c>
    </row>
    <row r="487">
      <c r="B487" s="462" t="inlineStr">
        <is>
          <t>补充</t>
        </is>
      </c>
      <c r="C487" s="221" t="inlineStr">
        <is>
          <t>餐饮五分部</t>
        </is>
      </c>
      <c r="D487" s="221" t="inlineStr">
        <is>
          <t>CF698</t>
        </is>
      </c>
      <c r="E487" s="221" t="inlineStr">
        <is>
          <t>兰理工兰工坪校区一食堂</t>
        </is>
      </c>
      <c r="F487" s="222" t="inlineStr">
        <is>
          <t>分组作业</t>
        </is>
      </c>
      <c r="G487" s="326" t="inlineStr">
        <is>
          <t>徐敏捷</t>
        </is>
      </c>
      <c r="H487" s="483" t="inlineStr">
        <is>
          <t>/</t>
        </is>
      </c>
      <c r="I487" s="237" t="inlineStr">
        <is>
          <t>面小福菜拌面</t>
        </is>
      </c>
      <c r="J487" s="219" t="inlineStr">
        <is>
          <t>周颖</t>
        </is>
      </c>
      <c r="K487" s="577">
        <f>LET(k,D487&amp;"|"&amp;E487&amp;"|"&amp;H487&amp;"|"&amp;I487&amp;"|"&amp;J487,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87" s="339" t="n">
        <v>60000</v>
      </c>
      <c r="M487" s="301" t="n"/>
      <c r="N487" s="301" t="n"/>
      <c r="O487" s="548" t="n">
        <v>552000</v>
      </c>
      <c r="P487" s="276" t="n">
        <v>0.2</v>
      </c>
      <c r="Q487" s="461">
        <f>IF(K487&lt;=L487,K487*P487,L487*P487+(K487-L487)*(P487-2%))</f>
        <v/>
      </c>
      <c r="R487" s="293" t="n"/>
      <c r="S487" s="461">
        <f>Q487-R487</f>
        <v/>
      </c>
      <c r="T487" s="227" t="n">
        <v>0</v>
      </c>
      <c r="U487" s="461">
        <f>K487*T487</f>
        <v/>
      </c>
      <c r="V487" s="227" t="n"/>
      <c r="W487" s="461">
        <f>U487-V487</f>
        <v/>
      </c>
      <c r="X487" s="227" t="n">
        <v>0</v>
      </c>
      <c r="Y487" s="461">
        <f>K487*X487</f>
        <v/>
      </c>
      <c r="Z487" s="227" t="n"/>
      <c r="AA487" s="461">
        <f>Y487-Z487</f>
        <v/>
      </c>
      <c r="AB487" s="227" t="n">
        <v>0</v>
      </c>
      <c r="AC487" s="461">
        <f>K487*AB487</f>
        <v/>
      </c>
      <c r="AD487" s="227" t="n"/>
      <c r="AE487" s="461">
        <f>AC487-AD487</f>
        <v/>
      </c>
      <c r="AF487" s="227" t="n">
        <v>0</v>
      </c>
      <c r="AG487" s="461">
        <f>K487*AF487</f>
        <v/>
      </c>
      <c r="AH487" s="227" t="n"/>
      <c r="AI487" s="461">
        <f>AG487-AH487</f>
        <v/>
      </c>
      <c r="AJ487" s="227" t="n">
        <v>0</v>
      </c>
      <c r="AK487" s="461">
        <f>K487*AJ487</f>
        <v/>
      </c>
      <c r="AL487" s="227" t="n"/>
      <c r="AM487" s="461">
        <f>AK487-AL487</f>
        <v/>
      </c>
      <c r="AN487" s="227" t="n">
        <v>0</v>
      </c>
      <c r="AO487" s="461">
        <f>K487*AN487</f>
        <v/>
      </c>
      <c r="AP487" s="461" t="n"/>
      <c r="AQ487" s="461">
        <f>AO487-AP487</f>
        <v/>
      </c>
      <c r="AR487" s="461" t="n"/>
      <c r="AS487" s="461">
        <f>K487*AR487</f>
        <v/>
      </c>
      <c r="AT487" s="461" t="n"/>
      <c r="AU487" s="461">
        <f>AS487-AT487</f>
        <v/>
      </c>
      <c r="AV487" s="551" t="n"/>
      <c r="AW487" s="461">
        <f>K487*AV487</f>
        <v/>
      </c>
      <c r="AX487" s="227" t="n"/>
      <c r="AY487" s="461">
        <f>AW487-AX487</f>
        <v/>
      </c>
      <c r="AZ487" s="227" t="n">
        <v>0</v>
      </c>
      <c r="BA487" s="461">
        <f>K487*AZ487</f>
        <v/>
      </c>
      <c r="BB487" s="461" t="n"/>
      <c r="BC487" s="461">
        <f>BA487-BB487</f>
        <v/>
      </c>
      <c r="BD487" s="235" t="n"/>
      <c r="BE487" s="461">
        <f>K487*BD487</f>
        <v/>
      </c>
      <c r="BF487" s="235" t="n"/>
      <c r="BG487" s="461">
        <f>BE487-BF487</f>
        <v/>
      </c>
      <c r="BH487" s="235" t="n"/>
      <c r="BI487" s="461">
        <f>K487*BH487</f>
        <v/>
      </c>
      <c r="BJ487" s="235" t="n"/>
      <c r="BK487" s="461">
        <f>BI487-BJ487</f>
        <v/>
      </c>
      <c r="BL487" s="461" t="inlineStr">
        <is>
          <t>按实</t>
        </is>
      </c>
      <c r="BM487" s="220">
        <f>BN487</f>
        <v/>
      </c>
      <c r="BN487" s="220" t="n"/>
      <c r="BO487" s="220">
        <f>BM487-BN487</f>
        <v/>
      </c>
      <c r="BP487" s="220">
        <f>N487+Q487+U487+Y487+AC487+AG487+AK487+AO487+AS487+AW487+BA487+BE487+BI487+BM487</f>
        <v/>
      </c>
      <c r="BQ487" s="220">
        <f>N487+R487+V487+Z487+AD487+AH487+AL487+AP487+AT487+AX487+BB487+BF487+BJ487+BN487</f>
        <v/>
      </c>
      <c r="BR487" s="220">
        <f>BP487-BQ487</f>
        <v/>
      </c>
      <c r="BS487" s="254" t="inlineStr">
        <is>
          <t>/</t>
        </is>
      </c>
      <c r="BT487" s="229" t="inlineStr">
        <is>
          <t>/</t>
        </is>
      </c>
      <c r="BU487" s="230" t="n"/>
      <c r="BV487" s="305" t="n"/>
      <c r="BW487" s="303" t="inlineStr">
        <is>
          <t>本月新增</t>
        </is>
      </c>
    </row>
    <row r="488">
      <c r="B488" s="462" t="inlineStr">
        <is>
          <t>补充</t>
        </is>
      </c>
      <c r="C488" s="221" t="inlineStr">
        <is>
          <t>餐饮五分部</t>
        </is>
      </c>
      <c r="D488" s="221" t="inlineStr">
        <is>
          <t>CF698</t>
        </is>
      </c>
      <c r="E488" s="221" t="inlineStr">
        <is>
          <t>兰理工兰工坪校区一食堂</t>
        </is>
      </c>
      <c r="F488" s="222" t="inlineStr">
        <is>
          <t>分组作业</t>
        </is>
      </c>
      <c r="G488" s="326" t="inlineStr">
        <is>
          <t>徐敏捷</t>
        </is>
      </c>
      <c r="H488" s="483" t="inlineStr">
        <is>
          <t>/</t>
        </is>
      </c>
      <c r="I488" s="237" t="inlineStr">
        <is>
          <t>一纸鸡牛肉饭</t>
        </is>
      </c>
      <c r="J488" s="219" t="inlineStr">
        <is>
          <t>蔡晓娟</t>
        </is>
      </c>
      <c r="K488" s="577">
        <f>LET(k,D488&amp;"|"&amp;E488&amp;"|"&amp;H488&amp;"|"&amp;I488&amp;"|"&amp;J488,sk,tblRevenueInput[项目代码]&amp;"|"&amp;tblRevenueInput[项目名称]&amp;"|"&amp;tblRevenueInput[分组作业名称]&amp;"|"&amp;tblRevenueInput[分组作业窗口名称]&amp;"|"&amp;tblRevenueInput[签订人],ok,tblRevenueOverride[项目代码]&amp;"|"&amp;tblRevenueOverride[项目名称]&amp;"|"&amp;tblRevenueOverride[分组作业名称]&amp;"|"&amp;tblRevenueOverride[分组作业窗口名称]&amp;"|"&amp;tblRevenueOverride[责任人],ov,IFERROR(XLOOKUP(k,ok,tblRevenueOverride[营业额覆盖],""),""),IF(ov&lt;&gt;"",ov,IFERROR(XLOOKUP(k,sk,tblRevenueInput[全额营业额合计],""),"")))</f>
        <v/>
      </c>
      <c r="L488" s="339" t="n">
        <v>60000</v>
      </c>
      <c r="M488" s="301" t="n"/>
      <c r="N488" s="301" t="n"/>
      <c r="O488" s="548" t="n">
        <v>560000</v>
      </c>
      <c r="P488" s="276" t="n">
        <v>0.17</v>
      </c>
      <c r="Q488" s="461">
        <f>IF(K488&lt;=L488,K488*P488,L488*P488+(K488-L488)*(P488-2%))</f>
        <v/>
      </c>
      <c r="R488" s="293" t="n"/>
      <c r="S488" s="461">
        <f>Q488-R488</f>
        <v/>
      </c>
      <c r="T488" s="227" t="n">
        <v>0</v>
      </c>
      <c r="U488" s="461">
        <f>K488*T488</f>
        <v/>
      </c>
      <c r="V488" s="227" t="n"/>
      <c r="W488" s="461">
        <f>U488-V488</f>
        <v/>
      </c>
      <c r="X488" s="227" t="n">
        <v>0</v>
      </c>
      <c r="Y488" s="461">
        <f>K488*X488</f>
        <v/>
      </c>
      <c r="Z488" s="227" t="n"/>
      <c r="AA488" s="461">
        <f>Y488-Z488</f>
        <v/>
      </c>
      <c r="AB488" s="227" t="n">
        <v>0</v>
      </c>
      <c r="AC488" s="461">
        <f>K488*AB488</f>
        <v/>
      </c>
      <c r="AD488" s="227" t="n"/>
      <c r="AE488" s="461">
        <f>AC488-AD488</f>
        <v/>
      </c>
      <c r="AF488" s="227" t="n">
        <v>0</v>
      </c>
      <c r="AG488" s="461">
        <f>K488*AF488</f>
        <v/>
      </c>
      <c r="AH488" s="227" t="n"/>
      <c r="AI488" s="461">
        <f>AG488-AH488</f>
        <v/>
      </c>
      <c r="AJ488" s="227" t="n">
        <v>0</v>
      </c>
      <c r="AK488" s="461">
        <f>K488*AJ488</f>
        <v/>
      </c>
      <c r="AL488" s="227" t="n"/>
      <c r="AM488" s="461">
        <f>AK488-AL488</f>
        <v/>
      </c>
      <c r="AN488" s="227" t="n">
        <v>0</v>
      </c>
      <c r="AO488" s="461">
        <f>K488*AN488</f>
        <v/>
      </c>
      <c r="AP488" s="461" t="n"/>
      <c r="AQ488" s="461">
        <f>AO488-AP488</f>
        <v/>
      </c>
      <c r="AR488" s="461" t="n"/>
      <c r="AS488" s="461">
        <f>K488*AR488</f>
        <v/>
      </c>
      <c r="AT488" s="461" t="n"/>
      <c r="AU488" s="461">
        <f>AS488-AT488</f>
        <v/>
      </c>
      <c r="AV488" s="551" t="n"/>
      <c r="AW488" s="461">
        <f>K488*AV488</f>
        <v/>
      </c>
      <c r="AX488" s="227" t="n"/>
      <c r="AY488" s="461">
        <f>AW488-AX488</f>
        <v/>
      </c>
      <c r="AZ488" s="227" t="n">
        <v>0</v>
      </c>
      <c r="BA488" s="461">
        <f>K488*AZ488</f>
        <v/>
      </c>
      <c r="BB488" s="461" t="n"/>
      <c r="BC488" s="461">
        <f>BA488-BB488</f>
        <v/>
      </c>
      <c r="BD488" s="235" t="n"/>
      <c r="BE488" s="461">
        <f>K488*BD488</f>
        <v/>
      </c>
      <c r="BF488" s="235" t="n"/>
      <c r="BG488" s="461">
        <f>BE488-BF488</f>
        <v/>
      </c>
      <c r="BH488" s="235" t="n"/>
      <c r="BI488" s="461">
        <f>K488*BH488</f>
        <v/>
      </c>
      <c r="BJ488" s="235" t="n"/>
      <c r="BK488" s="461">
        <f>BI488-BJ488</f>
        <v/>
      </c>
      <c r="BL488" s="461" t="inlineStr">
        <is>
          <t>按实</t>
        </is>
      </c>
      <c r="BM488" s="220">
        <f>BN488</f>
        <v/>
      </c>
      <c r="BN488" s="220" t="n"/>
      <c r="BO488" s="220">
        <f>BM488-BN488</f>
        <v/>
      </c>
      <c r="BP488" s="220">
        <f>N488+Q488+U488+Y488+AC488+AG488+AK488+AO488+AS488+AW488+BA488+BE488+BI488+BM488</f>
        <v/>
      </c>
      <c r="BQ488" s="220">
        <f>N488+R488+V488+Z488+AD488+AH488+AL488+AP488+AT488+AX488+BB488+BF488+BJ488+BN488</f>
        <v/>
      </c>
      <c r="BR488" s="220">
        <f>BP488-BQ488</f>
        <v/>
      </c>
      <c r="BS488" s="254" t="inlineStr">
        <is>
          <t>/</t>
        </is>
      </c>
      <c r="BT488" s="229" t="inlineStr">
        <is>
          <t>/</t>
        </is>
      </c>
      <c r="BU488" s="230" t="n"/>
      <c r="BV488" s="305" t="n"/>
      <c r="BW488" s="303" t="inlineStr">
        <is>
          <t>本月新增</t>
        </is>
      </c>
    </row>
    <row r="489">
      <c r="K489" s="628">
        <f>SUM(K3:K488)+IFERROR(SUM(INDEX(A491#,0,11)),0)</f>
        <v/>
      </c>
    </row>
    <row r="490" ht="22" customHeight="1" s="537">
      <c r="A490" s="629" t="inlineStr">
        <is>
          <t>↓ 自动新增窗口：来自“营业额数据源”；责任人变化会单独新增。成本列由成本会计维护。</t>
        </is>
      </c>
    </row>
    <row r="491">
      <c r="A491" s="540">
        <f>LET(m,tblRevenueInput[档口唯一标志]&lt;&gt;"",sid,FILTER(tblRevenueInput[档口唯一标志],m,""),sbranch,FILTER(tblRevenueInput[分部名称],m,""),scode,FILTER(tblRevenueInput[项目代码],m,""),sname,FILTER(tblRevenueInput[项目名称],m,""),stype,FILTER(tblRevenueInput[项目类型],m,""),sgroup,FILTER(tblRevenueInput[分组作业名称],m,""),swindow,FILTER(tblRevenueInput[分组作业窗口名称],m,""),ssigner,FILTER(tblRevenueInput[签订人],m,""),samount,FILTER(tblRevenueInput[全额营业额合计],m,""),sk,scode&amp;"|"&amp;sname&amp;"|"&amp;sgroup&amp;"|"&amp;swindow&amp;"|"&amp;ssigner,sf,scode&amp;"|"&amp;sname&amp;"|"&amp;sgroup&amp;"|"&amp;swindow,bk,tblTargetBase[项目代码]&amp;"|"&amp;tblTargetBase[项目名称]&amp;"|"&amp;tblTargetBase[分组作业名称]&amp;"|"&amp;tblTargetBase[分组作业窗口名称]&amp;"|"&amp;tblTargetBase[责任人],bf,tblTargetBase[项目代码]&amp;"|"&amp;tblTargetBase[项目名称]&amp;"|"&amp;tblTargetBase[分组作业名称]&amp;"|"&amp;tblTargetBase[分组作业窗口名称],newMask,ISNA(XMATCH(sk,bk)), nid,FILTER(sid,newMask,""),nstatus,FILTER(IF(ISNUMBER(XMATCH(sf,bf)),"新增（责任人变更）","新增窗口"),newMask,""),out,HSTACK(IF(nid&lt;&gt;"","新增",""),nid,FILTER(sbranch,newMask,""),FILTER(scode,newMask,""),FILTER(sname,newMask,""),FILTER(stype,newMask,""),IF(nid&lt;&gt;"","",""),FILTER(sgroup,newMask,""),FILTER(swindow,newMask,""),FILTER(ssigner,newMask,""),FILTER(samount,newMask,""),IF(nid&lt;&gt;"","",""),nstatus),FILTER(out,INDEX(out,,2)&lt;&gt;"",""))</f>
        <v/>
      </c>
      <c r="B491" s="630" t="n"/>
      <c r="C491" s="631" t="n"/>
      <c r="D491" s="631" t="n"/>
      <c r="E491" s="631" t="n"/>
      <c r="F491" s="631" t="n"/>
      <c r="G491" s="632" t="n"/>
      <c r="H491" s="633" t="n"/>
      <c r="I491" s="631" t="n"/>
      <c r="J491" s="631" t="n"/>
      <c r="K491" s="634" t="n"/>
      <c r="L491" s="635" t="n"/>
      <c r="M491" s="636" t="n"/>
    </row>
    <row r="492">
      <c r="A492" s="540" t="n"/>
      <c r="B492" s="630" t="n"/>
      <c r="C492" s="631" t="n"/>
      <c r="D492" s="631" t="n"/>
      <c r="E492" s="631" t="n"/>
      <c r="F492" s="631" t="n"/>
      <c r="G492" s="632" t="n"/>
      <c r="H492" s="633" t="n"/>
      <c r="I492" s="631" t="n"/>
      <c r="J492" s="631" t="n"/>
      <c r="K492" s="634" t="n"/>
      <c r="L492" s="635" t="n"/>
      <c r="M492" s="636" t="n"/>
    </row>
    <row r="493">
      <c r="A493" s="540" t="n"/>
      <c r="B493" s="630" t="n"/>
      <c r="C493" s="631" t="n"/>
      <c r="D493" s="631" t="n"/>
      <c r="E493" s="631" t="n"/>
      <c r="F493" s="631" t="n"/>
      <c r="G493" s="632" t="n"/>
      <c r="H493" s="633" t="n"/>
      <c r="I493" s="631" t="n"/>
      <c r="J493" s="631" t="n"/>
      <c r="K493" s="634" t="n"/>
      <c r="L493" s="635" t="n"/>
      <c r="M493" s="636" t="n"/>
      <c r="BN493" s="637" t="n"/>
    </row>
    <row r="494">
      <c r="A494" s="540" t="n"/>
      <c r="B494" s="630" t="n"/>
      <c r="C494" s="631" t="n"/>
      <c r="D494" s="631" t="n"/>
      <c r="E494" s="631" t="n"/>
      <c r="F494" s="631" t="n"/>
      <c r="G494" s="632" t="n"/>
      <c r="H494" s="633" t="n"/>
      <c r="I494" s="631" t="n"/>
      <c r="J494" s="631" t="n"/>
      <c r="K494" s="634" t="n"/>
      <c r="L494" s="635" t="n"/>
      <c r="M494" s="636" t="n"/>
      <c r="BN494" s="533" t="n"/>
    </row>
    <row r="495">
      <c r="A495" s="540" t="n"/>
      <c r="B495" s="630" t="n"/>
      <c r="C495" s="631" t="n"/>
      <c r="D495" s="631" t="n"/>
      <c r="E495" s="631" t="n"/>
      <c r="F495" s="631" t="n"/>
      <c r="G495" s="632" t="n"/>
      <c r="H495" s="633" t="n"/>
      <c r="I495" s="631" t="n"/>
      <c r="J495" s="631" t="n"/>
      <c r="K495" s="634" t="n"/>
      <c r="L495" s="635" t="n"/>
      <c r="M495" s="636" t="n"/>
    </row>
    <row r="496">
      <c r="A496" s="540" t="n"/>
      <c r="B496" s="630" t="n"/>
      <c r="C496" s="631" t="n"/>
      <c r="D496" s="631" t="n"/>
      <c r="E496" s="631" t="n"/>
      <c r="F496" s="631" t="n"/>
      <c r="G496" s="632" t="n"/>
      <c r="H496" s="633" t="n"/>
      <c r="I496" s="631" t="n"/>
      <c r="J496" s="631" t="n"/>
      <c r="K496" s="634" t="n"/>
      <c r="L496" s="635" t="n"/>
      <c r="M496" s="636" t="n"/>
    </row>
    <row r="497">
      <c r="A497" s="540" t="n"/>
      <c r="B497" s="630" t="n"/>
      <c r="C497" s="631" t="n"/>
      <c r="D497" s="631" t="n"/>
      <c r="E497" s="631" t="n"/>
      <c r="F497" s="631" t="n"/>
      <c r="G497" s="632" t="n"/>
      <c r="H497" s="633" t="n"/>
      <c r="I497" s="631" t="n"/>
      <c r="J497" s="631" t="n"/>
      <c r="K497" s="634" t="n"/>
      <c r="L497" s="635" t="n"/>
      <c r="M497" s="636" t="n"/>
    </row>
    <row r="498">
      <c r="A498" s="540" t="n"/>
      <c r="B498" s="630" t="n"/>
      <c r="C498" s="631" t="n"/>
      <c r="D498" s="631" t="n"/>
      <c r="E498" s="631" t="n"/>
      <c r="F498" s="631" t="n"/>
      <c r="G498" s="632" t="n"/>
      <c r="H498" s="633" t="n"/>
      <c r="I498" s="631" t="n"/>
      <c r="J498" s="631" t="n"/>
      <c r="K498" s="634" t="n"/>
      <c r="L498" s="635" t="n"/>
      <c r="M498" s="636" t="n"/>
    </row>
    <row r="499">
      <c r="A499" s="540" t="n"/>
      <c r="B499" s="630" t="n"/>
      <c r="C499" s="631" t="n"/>
      <c r="D499" s="631" t="n"/>
      <c r="E499" s="631" t="n"/>
      <c r="F499" s="631" t="n"/>
      <c r="G499" s="632" t="n"/>
      <c r="H499" s="633" t="n"/>
      <c r="I499" s="631" t="n"/>
      <c r="J499" s="631" t="n"/>
      <c r="K499" s="634" t="n"/>
      <c r="L499" s="635" t="n"/>
      <c r="M499" s="636" t="n"/>
    </row>
    <row r="500">
      <c r="A500" s="540" t="n"/>
      <c r="B500" s="630" t="n"/>
      <c r="C500" s="631" t="n"/>
      <c r="D500" s="631" t="n"/>
      <c r="E500" s="631" t="n"/>
      <c r="F500" s="631" t="n"/>
      <c r="G500" s="632" t="n"/>
      <c r="H500" s="633" t="n"/>
      <c r="I500" s="631" t="n"/>
      <c r="J500" s="631" t="n"/>
      <c r="K500" s="634" t="n"/>
      <c r="L500" s="635" t="n"/>
      <c r="M500" s="636" t="n"/>
    </row>
    <row r="501">
      <c r="A501" s="540" t="n"/>
      <c r="B501" s="630" t="n"/>
      <c r="C501" s="631" t="n"/>
      <c r="D501" s="631" t="n"/>
      <c r="E501" s="631" t="n"/>
      <c r="F501" s="631" t="n"/>
      <c r="G501" s="632" t="n"/>
      <c r="H501" s="633" t="n"/>
      <c r="I501" s="631" t="n"/>
      <c r="J501" s="631" t="n"/>
      <c r="K501" s="634" t="n"/>
      <c r="L501" s="635" t="n"/>
      <c r="M501" s="636" t="n"/>
    </row>
    <row r="502">
      <c r="A502" s="540" t="n"/>
      <c r="B502" s="630" t="n"/>
      <c r="C502" s="631" t="n"/>
      <c r="D502" s="631" t="n"/>
      <c r="E502" s="631" t="n"/>
      <c r="F502" s="631" t="n"/>
      <c r="G502" s="632" t="n"/>
      <c r="H502" s="633" t="n"/>
      <c r="I502" s="631" t="n"/>
      <c r="J502" s="631" t="n"/>
      <c r="K502" s="634" t="n"/>
      <c r="L502" s="635" t="n"/>
      <c r="M502" s="636" t="n"/>
    </row>
    <row r="503">
      <c r="A503" s="540" t="n"/>
      <c r="B503" s="630" t="n"/>
      <c r="C503" s="631" t="n"/>
      <c r="D503" s="631" t="n"/>
      <c r="E503" s="631" t="n"/>
      <c r="F503" s="631" t="n"/>
      <c r="G503" s="632" t="n"/>
      <c r="H503" s="633" t="n"/>
      <c r="I503" s="631" t="n"/>
      <c r="J503" s="631" t="n"/>
      <c r="K503" s="634" t="n"/>
      <c r="L503" s="635" t="n"/>
      <c r="M503" s="636" t="n"/>
    </row>
    <row r="504">
      <c r="A504" s="540" t="n"/>
      <c r="B504" s="630" t="n"/>
      <c r="C504" s="631" t="n"/>
      <c r="D504" s="631" t="n"/>
      <c r="E504" s="631" t="n"/>
      <c r="F504" s="631" t="n"/>
      <c r="G504" s="632" t="n"/>
      <c r="H504" s="633" t="n"/>
      <c r="I504" s="631" t="n"/>
      <c r="J504" s="631" t="n"/>
      <c r="K504" s="634" t="n"/>
      <c r="L504" s="635" t="n"/>
      <c r="M504" s="636" t="n"/>
    </row>
    <row r="505">
      <c r="A505" s="540" t="n"/>
      <c r="B505" s="630" t="n"/>
      <c r="C505" s="631" t="n"/>
      <c r="D505" s="631" t="n"/>
      <c r="E505" s="631" t="n"/>
      <c r="F505" s="631" t="n"/>
      <c r="G505" s="632" t="n"/>
      <c r="H505" s="633" t="n"/>
      <c r="I505" s="631" t="n"/>
      <c r="J505" s="631" t="n"/>
      <c r="K505" s="634" t="n"/>
      <c r="L505" s="635" t="n"/>
      <c r="M505" s="636" t="n"/>
    </row>
    <row r="506">
      <c r="A506" s="540" t="n"/>
      <c r="B506" s="630" t="n"/>
      <c r="C506" s="631" t="n"/>
      <c r="D506" s="631" t="n"/>
      <c r="E506" s="631" t="n"/>
      <c r="F506" s="631" t="n"/>
      <c r="G506" s="632" t="n"/>
      <c r="H506" s="633" t="n"/>
      <c r="I506" s="631" t="n"/>
      <c r="J506" s="631" t="n"/>
      <c r="K506" s="634" t="n"/>
      <c r="L506" s="635" t="n"/>
      <c r="M506" s="636" t="n"/>
    </row>
    <row r="507">
      <c r="A507" s="540" t="n"/>
      <c r="B507" s="630" t="n"/>
      <c r="C507" s="631" t="n"/>
      <c r="D507" s="631" t="n"/>
      <c r="E507" s="631" t="n"/>
      <c r="F507" s="631" t="n"/>
      <c r="G507" s="632" t="n"/>
      <c r="H507" s="633" t="n"/>
      <c r="I507" s="631" t="n"/>
      <c r="J507" s="631" t="n"/>
      <c r="K507" s="634" t="n"/>
      <c r="L507" s="635" t="n"/>
      <c r="M507" s="636" t="n"/>
    </row>
    <row r="508">
      <c r="A508" s="540" t="n"/>
      <c r="B508" s="630" t="n"/>
      <c r="C508" s="631" t="n"/>
      <c r="D508" s="631" t="n"/>
      <c r="E508" s="631" t="n"/>
      <c r="F508" s="631" t="n"/>
      <c r="G508" s="632" t="n"/>
      <c r="H508" s="633" t="n"/>
      <c r="I508" s="631" t="n"/>
      <c r="J508" s="631" t="n"/>
      <c r="K508" s="634" t="n"/>
      <c r="L508" s="635" t="n"/>
      <c r="M508" s="636" t="n"/>
    </row>
    <row r="509">
      <c r="A509" s="540" t="n"/>
      <c r="B509" s="630" t="n"/>
      <c r="C509" s="631" t="n"/>
      <c r="D509" s="631" t="n"/>
      <c r="E509" s="631" t="n"/>
      <c r="F509" s="631" t="n"/>
      <c r="G509" s="632" t="n"/>
      <c r="H509" s="633" t="n"/>
      <c r="I509" s="631" t="n"/>
      <c r="J509" s="631" t="n"/>
      <c r="K509" s="634" t="n"/>
      <c r="L509" s="635" t="n"/>
      <c r="M509" s="636" t="n"/>
      <c r="BM509" s="534" t="n"/>
    </row>
    <row r="510">
      <c r="A510" s="540" t="n"/>
      <c r="B510" s="630" t="n"/>
      <c r="C510" s="631" t="n"/>
      <c r="D510" s="631" t="n"/>
      <c r="E510" s="631" t="n"/>
      <c r="F510" s="631" t="n"/>
      <c r="G510" s="632" t="n"/>
      <c r="H510" s="633" t="n"/>
      <c r="I510" s="631" t="n"/>
      <c r="J510" s="631" t="n"/>
      <c r="K510" s="634" t="n"/>
      <c r="L510" s="635" t="n"/>
      <c r="M510" s="636" t="n"/>
    </row>
    <row r="511">
      <c r="A511" s="540" t="n"/>
      <c r="B511" s="630" t="n"/>
      <c r="C511" s="631" t="n"/>
      <c r="D511" s="631" t="n"/>
      <c r="E511" s="631" t="n"/>
      <c r="F511" s="631" t="n"/>
      <c r="G511" s="632" t="n"/>
      <c r="H511" s="633" t="n"/>
      <c r="I511" s="631" t="n"/>
      <c r="J511" s="631" t="n"/>
      <c r="K511" s="634" t="n"/>
      <c r="L511" s="635" t="n"/>
      <c r="M511" s="636" t="n"/>
    </row>
    <row r="512">
      <c r="A512" s="540" t="n"/>
      <c r="B512" s="630" t="n"/>
      <c r="C512" s="631" t="n"/>
      <c r="D512" s="631" t="n"/>
      <c r="E512" s="631" t="n"/>
      <c r="F512" s="631" t="n"/>
      <c r="G512" s="632" t="n"/>
      <c r="H512" s="633" t="n"/>
      <c r="I512" s="631" t="n"/>
      <c r="J512" s="631" t="n"/>
      <c r="K512" s="634" t="n"/>
      <c r="L512" s="635" t="n"/>
      <c r="M512" s="636" t="n"/>
    </row>
    <row r="513">
      <c r="A513" s="540" t="n"/>
      <c r="B513" s="630" t="n"/>
      <c r="C513" s="631" t="n"/>
      <c r="D513" s="631" t="n"/>
      <c r="E513" s="631" t="n"/>
      <c r="F513" s="631" t="n"/>
      <c r="G513" s="632" t="n"/>
      <c r="H513" s="633" t="n"/>
      <c r="I513" s="631" t="n"/>
      <c r="J513" s="631" t="n"/>
      <c r="K513" s="634" t="n"/>
      <c r="L513" s="635" t="n"/>
      <c r="M513" s="636" t="n"/>
    </row>
    <row r="514">
      <c r="A514" s="540" t="n"/>
      <c r="B514" s="630" t="n"/>
      <c r="C514" s="631" t="n"/>
      <c r="D514" s="631" t="n"/>
      <c r="E514" s="631" t="n"/>
      <c r="F514" s="631" t="n"/>
      <c r="G514" s="632" t="n"/>
      <c r="H514" s="633" t="n"/>
      <c r="I514" s="631" t="n"/>
      <c r="J514" s="631" t="n"/>
      <c r="K514" s="634" t="n"/>
      <c r="L514" s="635" t="n"/>
      <c r="M514" s="636" t="n"/>
    </row>
    <row r="515">
      <c r="A515" s="540" t="n"/>
      <c r="B515" s="630" t="n"/>
      <c r="C515" s="631" t="n"/>
      <c r="D515" s="631" t="n"/>
      <c r="E515" s="631" t="n"/>
      <c r="F515" s="631" t="n"/>
      <c r="G515" s="632" t="n"/>
      <c r="H515" s="633" t="n"/>
      <c r="I515" s="631" t="n"/>
      <c r="J515" s="631" t="n"/>
      <c r="K515" s="634" t="n"/>
      <c r="L515" s="635" t="n"/>
      <c r="M515" s="636" t="n"/>
    </row>
    <row r="516">
      <c r="A516" s="540" t="n"/>
      <c r="B516" s="630" t="n"/>
      <c r="C516" s="631" t="n"/>
      <c r="D516" s="631" t="n"/>
      <c r="E516" s="631" t="n"/>
      <c r="F516" s="631" t="n"/>
      <c r="G516" s="632" t="n"/>
      <c r="H516" s="633" t="n"/>
      <c r="I516" s="631" t="n"/>
      <c r="J516" s="631" t="n"/>
      <c r="K516" s="634" t="n"/>
      <c r="L516" s="635" t="n"/>
      <c r="M516" s="636" t="n"/>
    </row>
    <row r="517">
      <c r="A517" s="540" t="n"/>
      <c r="B517" s="630" t="n"/>
      <c r="C517" s="631" t="n"/>
      <c r="D517" s="631" t="n"/>
      <c r="E517" s="631" t="n"/>
      <c r="F517" s="631" t="n"/>
      <c r="G517" s="632" t="n"/>
      <c r="H517" s="633" t="n"/>
      <c r="I517" s="631" t="n"/>
      <c r="J517" s="631" t="n"/>
      <c r="K517" s="634" t="n"/>
      <c r="L517" s="635" t="n"/>
      <c r="M517" s="636" t="n"/>
    </row>
    <row r="518">
      <c r="A518" s="540" t="n"/>
      <c r="B518" s="630" t="n"/>
      <c r="C518" s="631" t="n"/>
      <c r="D518" s="631" t="n"/>
      <c r="E518" s="631" t="n"/>
      <c r="F518" s="631" t="n"/>
      <c r="G518" s="632" t="n"/>
      <c r="H518" s="633" t="n"/>
      <c r="I518" s="631" t="n"/>
      <c r="J518" s="631" t="n"/>
      <c r="K518" s="634" t="n"/>
      <c r="L518" s="635" t="n"/>
      <c r="M518" s="636" t="n"/>
    </row>
    <row r="519">
      <c r="A519" s="540" t="n"/>
      <c r="B519" s="630" t="n"/>
      <c r="C519" s="631" t="n"/>
      <c r="D519" s="631" t="n"/>
      <c r="E519" s="631" t="n"/>
      <c r="F519" s="631" t="n"/>
      <c r="G519" s="632" t="n"/>
      <c r="H519" s="633" t="n"/>
      <c r="I519" s="631" t="n"/>
      <c r="J519" s="631" t="n"/>
      <c r="K519" s="634" t="n"/>
      <c r="L519" s="635" t="n"/>
      <c r="M519" s="636" t="n"/>
    </row>
    <row r="520">
      <c r="A520" s="540" t="n"/>
      <c r="B520" s="630" t="n"/>
      <c r="C520" s="631" t="n"/>
      <c r="D520" s="631" t="n"/>
      <c r="E520" s="631" t="n"/>
      <c r="F520" s="631" t="n"/>
      <c r="G520" s="632" t="n"/>
      <c r="H520" s="633" t="n"/>
      <c r="I520" s="631" t="n"/>
      <c r="J520" s="631" t="n"/>
      <c r="K520" s="634" t="n"/>
      <c r="L520" s="635" t="n"/>
      <c r="M520" s="636" t="n"/>
    </row>
    <row r="521">
      <c r="A521" s="540" t="n"/>
      <c r="B521" s="630" t="n"/>
      <c r="C521" s="631" t="n"/>
      <c r="D521" s="631" t="n"/>
      <c r="E521" s="631" t="n"/>
      <c r="F521" s="631" t="n"/>
      <c r="G521" s="632" t="n"/>
      <c r="H521" s="633" t="n"/>
      <c r="I521" s="631" t="n"/>
      <c r="J521" s="631" t="n"/>
      <c r="K521" s="634" t="n"/>
      <c r="L521" s="635" t="n"/>
      <c r="M521" s="636" t="n"/>
    </row>
    <row r="522">
      <c r="A522" s="540" t="n"/>
      <c r="B522" s="630" t="n"/>
      <c r="C522" s="631" t="n"/>
      <c r="D522" s="631" t="n"/>
      <c r="E522" s="631" t="n"/>
      <c r="F522" s="631" t="n"/>
      <c r="G522" s="632" t="n"/>
      <c r="H522" s="633" t="n"/>
      <c r="I522" s="631" t="n"/>
      <c r="J522" s="631" t="n"/>
      <c r="K522" s="634" t="n"/>
      <c r="L522" s="635" t="n"/>
      <c r="M522" s="636" t="n"/>
    </row>
    <row r="523">
      <c r="A523" s="540" t="n"/>
      <c r="B523" s="630" t="n"/>
      <c r="C523" s="631" t="n"/>
      <c r="D523" s="631" t="n"/>
      <c r="E523" s="631" t="n"/>
      <c r="F523" s="631" t="n"/>
      <c r="G523" s="632" t="n"/>
      <c r="H523" s="633" t="n"/>
      <c r="I523" s="631" t="n"/>
      <c r="J523" s="631" t="n"/>
      <c r="K523" s="634" t="n"/>
      <c r="L523" s="635" t="n"/>
      <c r="M523" s="636" t="n"/>
    </row>
    <row r="524">
      <c r="A524" s="540" t="n"/>
      <c r="B524" s="630" t="n"/>
      <c r="C524" s="631" t="n"/>
      <c r="D524" s="631" t="n"/>
      <c r="E524" s="631" t="n"/>
      <c r="F524" s="631" t="n"/>
      <c r="G524" s="632" t="n"/>
      <c r="H524" s="633" t="n"/>
      <c r="I524" s="631" t="n"/>
      <c r="J524" s="631" t="n"/>
      <c r="K524" s="634" t="n"/>
      <c r="L524" s="635" t="n"/>
      <c r="M524" s="636" t="n"/>
    </row>
    <row r="525">
      <c r="A525" s="540" t="n"/>
      <c r="B525" s="630" t="n"/>
      <c r="C525" s="631" t="n"/>
      <c r="D525" s="631" t="n"/>
      <c r="E525" s="631" t="n"/>
      <c r="F525" s="631" t="n"/>
      <c r="G525" s="632" t="n"/>
      <c r="H525" s="633" t="n"/>
      <c r="I525" s="631" t="n"/>
      <c r="J525" s="631" t="n"/>
      <c r="K525" s="634" t="n"/>
      <c r="L525" s="635" t="n"/>
      <c r="M525" s="636" t="n"/>
    </row>
    <row r="526">
      <c r="A526" s="540" t="n"/>
      <c r="B526" s="630" t="n"/>
      <c r="C526" s="631" t="n"/>
      <c r="D526" s="631" t="n"/>
      <c r="E526" s="631" t="n"/>
      <c r="F526" s="631" t="n"/>
      <c r="G526" s="632" t="n"/>
      <c r="H526" s="633" t="n"/>
      <c r="I526" s="631" t="n"/>
      <c r="J526" s="631" t="n"/>
      <c r="K526" s="634" t="n"/>
      <c r="L526" s="635" t="n"/>
      <c r="M526" s="636" t="n"/>
    </row>
    <row r="527">
      <c r="A527" s="540" t="n"/>
      <c r="B527" s="630" t="n"/>
      <c r="C527" s="631" t="n"/>
      <c r="D527" s="631" t="n"/>
      <c r="E527" s="631" t="n"/>
      <c r="F527" s="631" t="n"/>
      <c r="G527" s="632" t="n"/>
      <c r="H527" s="633" t="n"/>
      <c r="I527" s="631" t="n"/>
      <c r="J527" s="631" t="n"/>
      <c r="K527" s="634" t="n"/>
      <c r="L527" s="635" t="n"/>
      <c r="M527" s="636" t="n"/>
    </row>
    <row r="528">
      <c r="A528" s="540" t="n"/>
      <c r="B528" s="630" t="n"/>
      <c r="C528" s="631" t="n"/>
      <c r="D528" s="631" t="n"/>
      <c r="E528" s="631" t="n"/>
      <c r="F528" s="631" t="n"/>
      <c r="G528" s="632" t="n"/>
      <c r="H528" s="633" t="n"/>
      <c r="I528" s="631" t="n"/>
      <c r="J528" s="631" t="n"/>
      <c r="K528" s="634" t="n"/>
      <c r="L528" s="635" t="n"/>
      <c r="M528" s="636" t="n"/>
    </row>
    <row r="529">
      <c r="A529" s="540" t="n"/>
      <c r="B529" s="630" t="n"/>
      <c r="C529" s="631" t="n"/>
      <c r="D529" s="631" t="n"/>
      <c r="E529" s="631" t="n"/>
      <c r="F529" s="631" t="n"/>
      <c r="G529" s="632" t="n"/>
      <c r="H529" s="633" t="n"/>
      <c r="I529" s="631" t="n"/>
      <c r="J529" s="631" t="n"/>
      <c r="K529" s="634" t="n"/>
      <c r="L529" s="635" t="n"/>
      <c r="M529" s="636" t="n"/>
    </row>
    <row r="530">
      <c r="A530" s="540" t="n"/>
      <c r="B530" s="630" t="n"/>
      <c r="C530" s="631" t="n"/>
      <c r="D530" s="631" t="n"/>
      <c r="E530" s="631" t="n"/>
      <c r="F530" s="631" t="n"/>
      <c r="G530" s="632" t="n"/>
      <c r="H530" s="633" t="n"/>
      <c r="I530" s="631" t="n"/>
      <c r="J530" s="631" t="n"/>
      <c r="K530" s="634" t="n"/>
      <c r="L530" s="635" t="n"/>
      <c r="M530" s="636" t="n"/>
    </row>
    <row r="531">
      <c r="A531" s="540" t="n"/>
      <c r="B531" s="630" t="n"/>
      <c r="C531" s="631" t="n"/>
      <c r="D531" s="631" t="n"/>
      <c r="E531" s="631" t="n"/>
      <c r="F531" s="631" t="n"/>
      <c r="G531" s="632" t="n"/>
      <c r="H531" s="633" t="n"/>
      <c r="I531" s="631" t="n"/>
      <c r="J531" s="631" t="n"/>
      <c r="K531" s="634" t="n"/>
      <c r="L531" s="635" t="n"/>
      <c r="M531" s="636" t="n"/>
    </row>
    <row r="532">
      <c r="A532" s="540" t="n"/>
      <c r="B532" s="630" t="n"/>
      <c r="C532" s="631" t="n"/>
      <c r="D532" s="631" t="n"/>
      <c r="E532" s="631" t="n"/>
      <c r="F532" s="631" t="n"/>
      <c r="G532" s="632" t="n"/>
      <c r="H532" s="633" t="n"/>
      <c r="I532" s="631" t="n"/>
      <c r="J532" s="631" t="n"/>
      <c r="K532" s="634" t="n"/>
      <c r="L532" s="635" t="n"/>
      <c r="M532" s="636" t="n"/>
    </row>
    <row r="533">
      <c r="A533" s="540" t="n"/>
      <c r="B533" s="630" t="n"/>
      <c r="C533" s="631" t="n"/>
      <c r="D533" s="631" t="n"/>
      <c r="E533" s="631" t="n"/>
      <c r="F533" s="631" t="n"/>
      <c r="G533" s="632" t="n"/>
      <c r="H533" s="633" t="n"/>
      <c r="I533" s="631" t="n"/>
      <c r="J533" s="631" t="n"/>
      <c r="K533" s="634" t="n"/>
      <c r="L533" s="635" t="n"/>
      <c r="M533" s="636" t="n"/>
    </row>
    <row r="534">
      <c r="A534" s="540" t="n"/>
      <c r="B534" s="630" t="n"/>
      <c r="C534" s="631" t="n"/>
      <c r="D534" s="631" t="n"/>
      <c r="E534" s="631" t="n"/>
      <c r="F534" s="631" t="n"/>
      <c r="G534" s="632" t="n"/>
      <c r="H534" s="633" t="n"/>
      <c r="I534" s="631" t="n"/>
      <c r="J534" s="631" t="n"/>
      <c r="K534" s="634" t="n"/>
      <c r="L534" s="635" t="n"/>
      <c r="M534" s="636" t="n"/>
    </row>
    <row r="535">
      <c r="A535" s="540" t="n"/>
      <c r="B535" s="630" t="n"/>
      <c r="C535" s="631" t="n"/>
      <c r="D535" s="631" t="n"/>
      <c r="E535" s="631" t="n"/>
      <c r="F535" s="631" t="n"/>
      <c r="G535" s="632" t="n"/>
      <c r="H535" s="633" t="n"/>
      <c r="I535" s="631" t="n"/>
      <c r="J535" s="631" t="n"/>
      <c r="K535" s="634" t="n"/>
      <c r="L535" s="635" t="n"/>
      <c r="M535" s="636" t="n"/>
    </row>
    <row r="536">
      <c r="A536" s="540" t="n"/>
      <c r="B536" s="630" t="n"/>
      <c r="C536" s="631" t="n"/>
      <c r="D536" s="631" t="n"/>
      <c r="E536" s="631" t="n"/>
      <c r="F536" s="631" t="n"/>
      <c r="G536" s="632" t="n"/>
      <c r="H536" s="633" t="n"/>
      <c r="I536" s="631" t="n"/>
      <c r="J536" s="631" t="n"/>
      <c r="K536" s="634" t="n"/>
      <c r="L536" s="635" t="n"/>
      <c r="M536" s="636" t="n"/>
    </row>
    <row r="537">
      <c r="A537" s="540" t="n"/>
      <c r="B537" s="630" t="n"/>
      <c r="C537" s="631" t="n"/>
      <c r="D537" s="631" t="n"/>
      <c r="E537" s="631" t="n"/>
      <c r="F537" s="631" t="n"/>
      <c r="G537" s="632" t="n"/>
      <c r="H537" s="633" t="n"/>
      <c r="I537" s="631" t="n"/>
      <c r="J537" s="631" t="n"/>
      <c r="K537" s="634" t="n"/>
      <c r="L537" s="635" t="n"/>
      <c r="M537" s="636" t="n"/>
    </row>
    <row r="538">
      <c r="A538" s="540" t="n"/>
      <c r="B538" s="630" t="n"/>
      <c r="C538" s="631" t="n"/>
      <c r="D538" s="631" t="n"/>
      <c r="E538" s="631" t="n"/>
      <c r="F538" s="631" t="n"/>
      <c r="G538" s="632" t="n"/>
      <c r="H538" s="633" t="n"/>
      <c r="I538" s="631" t="n"/>
      <c r="J538" s="631" t="n"/>
      <c r="K538" s="634" t="n"/>
      <c r="L538" s="635" t="n"/>
      <c r="M538" s="636" t="n"/>
    </row>
    <row r="539">
      <c r="A539" s="540" t="n"/>
      <c r="B539" s="630" t="n"/>
      <c r="C539" s="631" t="n"/>
      <c r="D539" s="631" t="n"/>
      <c r="E539" s="631" t="n"/>
      <c r="F539" s="631" t="n"/>
      <c r="G539" s="632" t="n"/>
      <c r="H539" s="633" t="n"/>
      <c r="I539" s="631" t="n"/>
      <c r="J539" s="631" t="n"/>
      <c r="K539" s="634" t="n"/>
      <c r="L539" s="635" t="n"/>
      <c r="M539" s="636" t="n"/>
    </row>
    <row r="540">
      <c r="A540" s="540" t="n"/>
      <c r="B540" s="630" t="n"/>
      <c r="C540" s="631" t="n"/>
      <c r="D540" s="631" t="n"/>
      <c r="E540" s="631" t="n"/>
      <c r="F540" s="631" t="n"/>
      <c r="G540" s="632" t="n"/>
      <c r="H540" s="633" t="n"/>
      <c r="I540" s="631" t="n"/>
      <c r="J540" s="631" t="n"/>
      <c r="K540" s="634" t="n"/>
      <c r="L540" s="635" t="n"/>
      <c r="M540" s="636" t="n"/>
    </row>
    <row r="541">
      <c r="A541" s="540" t="n"/>
      <c r="B541" s="630" t="n"/>
      <c r="C541" s="631" t="n"/>
      <c r="D541" s="631" t="n"/>
      <c r="E541" s="631" t="n"/>
      <c r="F541" s="631" t="n"/>
      <c r="G541" s="632" t="n"/>
      <c r="H541" s="633" t="n"/>
      <c r="I541" s="631" t="n"/>
      <c r="J541" s="631" t="n"/>
      <c r="K541" s="634" t="n"/>
      <c r="L541" s="635" t="n"/>
      <c r="M541" s="636" t="n"/>
    </row>
    <row r="542">
      <c r="A542" s="540" t="n"/>
      <c r="B542" s="630" t="n"/>
      <c r="C542" s="631" t="n"/>
      <c r="D542" s="631" t="n"/>
      <c r="E542" s="631" t="n"/>
      <c r="F542" s="631" t="n"/>
      <c r="G542" s="632" t="n"/>
      <c r="H542" s="633" t="n"/>
      <c r="I542" s="631" t="n"/>
      <c r="J542" s="631" t="n"/>
      <c r="K542" s="634" t="n"/>
      <c r="L542" s="635" t="n"/>
      <c r="M542" s="636" t="n"/>
    </row>
    <row r="543">
      <c r="A543" s="540" t="n"/>
      <c r="B543" s="630" t="n"/>
      <c r="C543" s="631" t="n"/>
      <c r="D543" s="631" t="n"/>
      <c r="E543" s="631" t="n"/>
      <c r="F543" s="631" t="n"/>
      <c r="G543" s="632" t="n"/>
      <c r="H543" s="633" t="n"/>
      <c r="I543" s="631" t="n"/>
      <c r="J543" s="631" t="n"/>
      <c r="K543" s="634" t="n"/>
      <c r="L543" s="635" t="n"/>
      <c r="M543" s="636" t="n"/>
    </row>
    <row r="544">
      <c r="A544" s="540" t="n"/>
      <c r="B544" s="630" t="n"/>
      <c r="C544" s="631" t="n"/>
      <c r="D544" s="631" t="n"/>
      <c r="E544" s="631" t="n"/>
      <c r="F544" s="631" t="n"/>
      <c r="G544" s="632" t="n"/>
      <c r="H544" s="633" t="n"/>
      <c r="I544" s="631" t="n"/>
      <c r="J544" s="631" t="n"/>
      <c r="K544" s="634" t="n"/>
      <c r="L544" s="635" t="n"/>
      <c r="M544" s="636" t="n"/>
    </row>
    <row r="545">
      <c r="A545" s="540" t="n"/>
      <c r="B545" s="630" t="n"/>
      <c r="C545" s="631" t="n"/>
      <c r="D545" s="631" t="n"/>
      <c r="E545" s="631" t="n"/>
      <c r="F545" s="631" t="n"/>
      <c r="G545" s="632" t="n"/>
      <c r="H545" s="633" t="n"/>
      <c r="I545" s="631" t="n"/>
      <c r="J545" s="631" t="n"/>
      <c r="K545" s="634" t="n"/>
      <c r="L545" s="635" t="n"/>
      <c r="M545" s="636" t="n"/>
    </row>
    <row r="546">
      <c r="A546" s="540" t="n"/>
      <c r="B546" s="630" t="n"/>
      <c r="C546" s="631" t="n"/>
      <c r="D546" s="631" t="n"/>
      <c r="E546" s="631" t="n"/>
      <c r="F546" s="631" t="n"/>
      <c r="G546" s="632" t="n"/>
      <c r="H546" s="633" t="n"/>
      <c r="I546" s="631" t="n"/>
      <c r="J546" s="631" t="n"/>
      <c r="K546" s="634" t="n"/>
      <c r="L546" s="635" t="n"/>
      <c r="M546" s="636" t="n"/>
    </row>
    <row r="547">
      <c r="A547" s="540" t="n"/>
      <c r="B547" s="630" t="n"/>
      <c r="C547" s="631" t="n"/>
      <c r="D547" s="631" t="n"/>
      <c r="E547" s="631" t="n"/>
      <c r="F547" s="631" t="n"/>
      <c r="G547" s="632" t="n"/>
      <c r="H547" s="633" t="n"/>
      <c r="I547" s="631" t="n"/>
      <c r="J547" s="631" t="n"/>
      <c r="K547" s="634" t="n"/>
      <c r="L547" s="635" t="n"/>
      <c r="M547" s="636" t="n"/>
    </row>
    <row r="548">
      <c r="A548" s="540" t="n"/>
      <c r="B548" s="630" t="n"/>
      <c r="C548" s="631" t="n"/>
      <c r="D548" s="631" t="n"/>
      <c r="E548" s="631" t="n"/>
      <c r="F548" s="631" t="n"/>
      <c r="G548" s="632" t="n"/>
      <c r="H548" s="633" t="n"/>
      <c r="I548" s="631" t="n"/>
      <c r="J548" s="631" t="n"/>
      <c r="K548" s="634" t="n"/>
      <c r="L548" s="635" t="n"/>
      <c r="M548" s="636" t="n"/>
    </row>
    <row r="549">
      <c r="A549" s="540" t="n"/>
      <c r="B549" s="630" t="n"/>
      <c r="C549" s="631" t="n"/>
      <c r="D549" s="631" t="n"/>
      <c r="E549" s="631" t="n"/>
      <c r="F549" s="631" t="n"/>
      <c r="G549" s="632" t="n"/>
      <c r="H549" s="633" t="n"/>
      <c r="I549" s="631" t="n"/>
      <c r="J549" s="631" t="n"/>
      <c r="K549" s="634" t="n"/>
      <c r="L549" s="635" t="n"/>
      <c r="M549" s="636" t="n"/>
    </row>
    <row r="550">
      <c r="A550" s="540" t="n"/>
      <c r="B550" s="630" t="n"/>
      <c r="C550" s="631" t="n"/>
      <c r="D550" s="631" t="n"/>
      <c r="E550" s="631" t="n"/>
      <c r="F550" s="631" t="n"/>
      <c r="G550" s="632" t="n"/>
      <c r="H550" s="633" t="n"/>
      <c r="I550" s="631" t="n"/>
      <c r="J550" s="631" t="n"/>
      <c r="K550" s="634" t="n"/>
      <c r="L550" s="635" t="n"/>
      <c r="M550" s="636" t="n"/>
    </row>
    <row r="551">
      <c r="A551" s="540" t="n"/>
      <c r="B551" s="630" t="n"/>
      <c r="C551" s="631" t="n"/>
      <c r="D551" s="631" t="n"/>
      <c r="E551" s="631" t="n"/>
      <c r="F551" s="631" t="n"/>
      <c r="G551" s="632" t="n"/>
      <c r="H551" s="633" t="n"/>
      <c r="I551" s="631" t="n"/>
      <c r="J551" s="631" t="n"/>
      <c r="K551" s="634" t="n"/>
      <c r="L551" s="635" t="n"/>
      <c r="M551" s="636" t="n"/>
    </row>
    <row r="552">
      <c r="A552" s="540" t="n"/>
      <c r="B552" s="630" t="n"/>
      <c r="C552" s="631" t="n"/>
      <c r="D552" s="631" t="n"/>
      <c r="E552" s="631" t="n"/>
      <c r="F552" s="631" t="n"/>
      <c r="G552" s="632" t="n"/>
      <c r="H552" s="633" t="n"/>
      <c r="I552" s="631" t="n"/>
      <c r="J552" s="631" t="n"/>
      <c r="K552" s="634" t="n"/>
      <c r="L552" s="635" t="n"/>
      <c r="M552" s="636" t="n"/>
    </row>
    <row r="553">
      <c r="A553" s="540" t="n"/>
      <c r="B553" s="630" t="n"/>
      <c r="C553" s="631" t="n"/>
      <c r="D553" s="631" t="n"/>
      <c r="E553" s="631" t="n"/>
      <c r="F553" s="631" t="n"/>
      <c r="G553" s="632" t="n"/>
      <c r="H553" s="633" t="n"/>
      <c r="I553" s="631" t="n"/>
      <c r="J553" s="631" t="n"/>
      <c r="K553" s="634" t="n"/>
      <c r="L553" s="635" t="n"/>
      <c r="M553" s="636" t="n"/>
    </row>
    <row r="554">
      <c r="A554" s="540" t="n"/>
      <c r="B554" s="630" t="n"/>
      <c r="C554" s="631" t="n"/>
      <c r="D554" s="631" t="n"/>
      <c r="E554" s="631" t="n"/>
      <c r="F554" s="631" t="n"/>
      <c r="G554" s="632" t="n"/>
      <c r="H554" s="633" t="n"/>
      <c r="I554" s="631" t="n"/>
      <c r="J554" s="631" t="n"/>
      <c r="K554" s="634" t="n"/>
      <c r="L554" s="635" t="n"/>
      <c r="M554" s="636" t="n"/>
    </row>
    <row r="555">
      <c r="A555" s="540" t="n"/>
      <c r="B555" s="630" t="n"/>
      <c r="C555" s="631" t="n"/>
      <c r="D555" s="631" t="n"/>
      <c r="E555" s="631" t="n"/>
      <c r="F555" s="631" t="n"/>
      <c r="G555" s="632" t="n"/>
      <c r="H555" s="633" t="n"/>
      <c r="I555" s="631" t="n"/>
      <c r="J555" s="631" t="n"/>
      <c r="K555" s="634" t="n"/>
      <c r="L555" s="635" t="n"/>
      <c r="M555" s="636" t="n"/>
    </row>
    <row r="556">
      <c r="A556" s="540" t="n"/>
      <c r="B556" s="630" t="n"/>
      <c r="C556" s="631" t="n"/>
      <c r="D556" s="631" t="n"/>
      <c r="E556" s="631" t="n"/>
      <c r="F556" s="631" t="n"/>
      <c r="G556" s="632" t="n"/>
      <c r="H556" s="633" t="n"/>
      <c r="I556" s="631" t="n"/>
      <c r="J556" s="631" t="n"/>
      <c r="K556" s="634" t="n"/>
      <c r="L556" s="635" t="n"/>
      <c r="M556" s="636" t="n"/>
    </row>
    <row r="557">
      <c r="A557" s="540" t="n"/>
      <c r="B557" s="630" t="n"/>
      <c r="C557" s="631" t="n"/>
      <c r="D557" s="631" t="n"/>
      <c r="E557" s="631" t="n"/>
      <c r="F557" s="631" t="n"/>
      <c r="G557" s="632" t="n"/>
      <c r="H557" s="633" t="n"/>
      <c r="I557" s="631" t="n"/>
      <c r="J557" s="631" t="n"/>
      <c r="K557" s="634" t="n"/>
      <c r="L557" s="635" t="n"/>
      <c r="M557" s="636" t="n"/>
    </row>
    <row r="558">
      <c r="A558" s="540" t="n"/>
      <c r="B558" s="630" t="n"/>
      <c r="C558" s="631" t="n"/>
      <c r="D558" s="631" t="n"/>
      <c r="E558" s="631" t="n"/>
      <c r="F558" s="631" t="n"/>
      <c r="G558" s="632" t="n"/>
      <c r="H558" s="633" t="n"/>
      <c r="I558" s="631" t="n"/>
      <c r="J558" s="631" t="n"/>
      <c r="K558" s="634" t="n"/>
      <c r="L558" s="635" t="n"/>
      <c r="M558" s="636" t="n"/>
    </row>
    <row r="559">
      <c r="A559" s="540" t="n"/>
      <c r="B559" s="630" t="n"/>
      <c r="C559" s="631" t="n"/>
      <c r="D559" s="631" t="n"/>
      <c r="E559" s="631" t="n"/>
      <c r="F559" s="631" t="n"/>
      <c r="G559" s="632" t="n"/>
      <c r="H559" s="633" t="n"/>
      <c r="I559" s="631" t="n"/>
      <c r="J559" s="631" t="n"/>
      <c r="K559" s="634" t="n"/>
      <c r="L559" s="635" t="n"/>
      <c r="M559" s="636" t="n"/>
    </row>
    <row r="560">
      <c r="A560" s="540" t="n"/>
      <c r="B560" s="630" t="n"/>
      <c r="C560" s="631" t="n"/>
      <c r="D560" s="631" t="n"/>
      <c r="E560" s="631" t="n"/>
      <c r="F560" s="631" t="n"/>
      <c r="G560" s="632" t="n"/>
      <c r="H560" s="633" t="n"/>
      <c r="I560" s="631" t="n"/>
      <c r="J560" s="631" t="n"/>
      <c r="K560" s="634" t="n"/>
      <c r="L560" s="635" t="n"/>
      <c r="M560" s="636" t="n"/>
    </row>
    <row r="561">
      <c r="A561" s="540" t="n"/>
      <c r="B561" s="630" t="n"/>
      <c r="C561" s="631" t="n"/>
      <c r="D561" s="631" t="n"/>
      <c r="E561" s="631" t="n"/>
      <c r="F561" s="631" t="n"/>
      <c r="G561" s="632" t="n"/>
      <c r="H561" s="633" t="n"/>
      <c r="I561" s="631" t="n"/>
      <c r="J561" s="631" t="n"/>
      <c r="K561" s="634" t="n"/>
      <c r="L561" s="635" t="n"/>
      <c r="M561" s="636" t="n"/>
    </row>
    <row r="562">
      <c r="A562" s="540" t="n"/>
      <c r="B562" s="630" t="n"/>
      <c r="C562" s="631" t="n"/>
      <c r="D562" s="631" t="n"/>
      <c r="E562" s="631" t="n"/>
      <c r="F562" s="631" t="n"/>
      <c r="G562" s="632" t="n"/>
      <c r="H562" s="633" t="n"/>
      <c r="I562" s="631" t="n"/>
      <c r="J562" s="631" t="n"/>
      <c r="K562" s="634" t="n"/>
      <c r="L562" s="635" t="n"/>
      <c r="M562" s="636" t="n"/>
    </row>
    <row r="563">
      <c r="A563" s="540" t="n"/>
      <c r="B563" s="630" t="n"/>
      <c r="C563" s="631" t="n"/>
      <c r="D563" s="631" t="n"/>
      <c r="E563" s="631" t="n"/>
      <c r="F563" s="631" t="n"/>
      <c r="G563" s="632" t="n"/>
      <c r="H563" s="633" t="n"/>
      <c r="I563" s="631" t="n"/>
      <c r="J563" s="631" t="n"/>
      <c r="K563" s="634" t="n"/>
      <c r="L563" s="635" t="n"/>
      <c r="M563" s="636" t="n"/>
    </row>
    <row r="564">
      <c r="A564" s="540" t="n"/>
      <c r="B564" s="630" t="n"/>
      <c r="C564" s="631" t="n"/>
      <c r="D564" s="631" t="n"/>
      <c r="E564" s="631" t="n"/>
      <c r="F564" s="631" t="n"/>
      <c r="G564" s="632" t="n"/>
      <c r="H564" s="633" t="n"/>
      <c r="I564" s="631" t="n"/>
      <c r="J564" s="631" t="n"/>
      <c r="K564" s="634" t="n"/>
      <c r="L564" s="635" t="n"/>
      <c r="M564" s="636" t="n"/>
    </row>
    <row r="565">
      <c r="A565" s="540" t="n"/>
      <c r="B565" s="630" t="n"/>
      <c r="C565" s="631" t="n"/>
      <c r="D565" s="631" t="n"/>
      <c r="E565" s="631" t="n"/>
      <c r="F565" s="631" t="n"/>
      <c r="G565" s="632" t="n"/>
      <c r="H565" s="633" t="n"/>
      <c r="I565" s="631" t="n"/>
      <c r="J565" s="631" t="n"/>
      <c r="K565" s="634" t="n"/>
      <c r="L565" s="635" t="n"/>
      <c r="M565" s="636" t="n"/>
    </row>
    <row r="566">
      <c r="A566" s="540" t="n"/>
      <c r="B566" s="630" t="n"/>
      <c r="C566" s="631" t="n"/>
      <c r="D566" s="631" t="n"/>
      <c r="E566" s="631" t="n"/>
      <c r="F566" s="631" t="n"/>
      <c r="G566" s="632" t="n"/>
      <c r="H566" s="633" t="n"/>
      <c r="I566" s="631" t="n"/>
      <c r="J566" s="631" t="n"/>
      <c r="K566" s="634" t="n"/>
      <c r="L566" s="635" t="n"/>
      <c r="M566" s="636" t="n"/>
    </row>
    <row r="567">
      <c r="A567" s="540" t="n"/>
      <c r="B567" s="630" t="n"/>
      <c r="C567" s="631" t="n"/>
      <c r="D567" s="631" t="n"/>
      <c r="E567" s="631" t="n"/>
      <c r="F567" s="631" t="n"/>
      <c r="G567" s="632" t="n"/>
      <c r="H567" s="633" t="n"/>
      <c r="I567" s="631" t="n"/>
      <c r="J567" s="631" t="n"/>
      <c r="K567" s="634" t="n"/>
      <c r="L567" s="635" t="n"/>
      <c r="M567" s="636" t="n"/>
    </row>
    <row r="568">
      <c r="A568" s="540" t="n"/>
      <c r="B568" s="630" t="n"/>
      <c r="C568" s="631" t="n"/>
      <c r="D568" s="631" t="n"/>
      <c r="E568" s="631" t="n"/>
      <c r="F568" s="631" t="n"/>
      <c r="G568" s="632" t="n"/>
      <c r="H568" s="633" t="n"/>
      <c r="I568" s="631" t="n"/>
      <c r="J568" s="631" t="n"/>
      <c r="K568" s="634" t="n"/>
      <c r="L568" s="635" t="n"/>
      <c r="M568" s="636" t="n"/>
    </row>
    <row r="569">
      <c r="A569" s="540" t="n"/>
      <c r="B569" s="630" t="n"/>
      <c r="C569" s="631" t="n"/>
      <c r="D569" s="631" t="n"/>
      <c r="E569" s="631" t="n"/>
      <c r="F569" s="631" t="n"/>
      <c r="G569" s="632" t="n"/>
      <c r="H569" s="633" t="n"/>
      <c r="I569" s="631" t="n"/>
      <c r="J569" s="631" t="n"/>
      <c r="K569" s="634" t="n"/>
      <c r="L569" s="635" t="n"/>
      <c r="M569" s="636" t="n"/>
    </row>
    <row r="570">
      <c r="A570" s="540" t="n"/>
      <c r="B570" s="630" t="n"/>
      <c r="C570" s="631" t="n"/>
      <c r="D570" s="631" t="n"/>
      <c r="E570" s="631" t="n"/>
      <c r="F570" s="631" t="n"/>
      <c r="G570" s="632" t="n"/>
      <c r="H570" s="633" t="n"/>
      <c r="I570" s="631" t="n"/>
      <c r="J570" s="631" t="n"/>
      <c r="K570" s="634" t="n"/>
      <c r="L570" s="635" t="n"/>
      <c r="M570" s="636" t="n"/>
    </row>
    <row r="571">
      <c r="A571" s="540" t="n"/>
      <c r="B571" s="630" t="n"/>
      <c r="C571" s="631" t="n"/>
      <c r="D571" s="631" t="n"/>
      <c r="E571" s="631" t="n"/>
      <c r="F571" s="631" t="n"/>
      <c r="G571" s="632" t="n"/>
      <c r="H571" s="633" t="n"/>
      <c r="I571" s="631" t="n"/>
      <c r="J571" s="631" t="n"/>
      <c r="K571" s="634" t="n"/>
      <c r="L571" s="635" t="n"/>
      <c r="M571" s="636" t="n"/>
    </row>
    <row r="572">
      <c r="A572" s="540" t="n"/>
      <c r="B572" s="630" t="n"/>
      <c r="C572" s="631" t="n"/>
      <c r="D572" s="631" t="n"/>
      <c r="E572" s="631" t="n"/>
      <c r="F572" s="631" t="n"/>
      <c r="G572" s="632" t="n"/>
      <c r="H572" s="633" t="n"/>
      <c r="I572" s="631" t="n"/>
      <c r="J572" s="631" t="n"/>
      <c r="K572" s="634" t="n"/>
      <c r="L572" s="635" t="n"/>
      <c r="M572" s="636" t="n"/>
    </row>
    <row r="573">
      <c r="A573" s="540" t="n"/>
      <c r="B573" s="630" t="n"/>
      <c r="C573" s="631" t="n"/>
      <c r="D573" s="631" t="n"/>
      <c r="E573" s="631" t="n"/>
      <c r="F573" s="631" t="n"/>
      <c r="G573" s="632" t="n"/>
      <c r="H573" s="633" t="n"/>
      <c r="I573" s="631" t="n"/>
      <c r="J573" s="631" t="n"/>
      <c r="K573" s="634" t="n"/>
      <c r="L573" s="635" t="n"/>
      <c r="M573" s="636" t="n"/>
    </row>
    <row r="574">
      <c r="A574" s="540" t="n"/>
      <c r="B574" s="630" t="n"/>
      <c r="C574" s="631" t="n"/>
      <c r="D574" s="631" t="n"/>
      <c r="E574" s="631" t="n"/>
      <c r="F574" s="631" t="n"/>
      <c r="G574" s="632" t="n"/>
      <c r="H574" s="633" t="n"/>
      <c r="I574" s="631" t="n"/>
      <c r="J574" s="631" t="n"/>
      <c r="K574" s="634" t="n"/>
      <c r="L574" s="635" t="n"/>
      <c r="M574" s="636" t="n"/>
    </row>
    <row r="575">
      <c r="A575" s="540" t="n"/>
      <c r="B575" s="630" t="n"/>
      <c r="C575" s="631" t="n"/>
      <c r="D575" s="631" t="n"/>
      <c r="E575" s="631" t="n"/>
      <c r="F575" s="631" t="n"/>
      <c r="G575" s="632" t="n"/>
      <c r="H575" s="633" t="n"/>
      <c r="I575" s="631" t="n"/>
      <c r="J575" s="631" t="n"/>
      <c r="K575" s="634" t="n"/>
      <c r="L575" s="635" t="n"/>
      <c r="M575" s="636" t="n"/>
    </row>
    <row r="576">
      <c r="A576" s="540" t="n"/>
      <c r="B576" s="630" t="n"/>
      <c r="C576" s="631" t="n"/>
      <c r="D576" s="631" t="n"/>
      <c r="E576" s="631" t="n"/>
      <c r="F576" s="631" t="n"/>
      <c r="G576" s="632" t="n"/>
      <c r="H576" s="633" t="n"/>
      <c r="I576" s="631" t="n"/>
      <c r="J576" s="631" t="n"/>
      <c r="K576" s="634" t="n"/>
      <c r="L576" s="635" t="n"/>
      <c r="M576" s="636" t="n"/>
    </row>
    <row r="577">
      <c r="A577" s="540" t="n"/>
      <c r="B577" s="630" t="n"/>
      <c r="C577" s="631" t="n"/>
      <c r="D577" s="631" t="n"/>
      <c r="E577" s="631" t="n"/>
      <c r="F577" s="631" t="n"/>
      <c r="G577" s="632" t="n"/>
      <c r="H577" s="633" t="n"/>
      <c r="I577" s="631" t="n"/>
      <c r="J577" s="631" t="n"/>
      <c r="K577" s="634" t="n"/>
      <c r="L577" s="635" t="n"/>
      <c r="M577" s="636" t="n"/>
    </row>
    <row r="578">
      <c r="A578" s="540" t="n"/>
      <c r="B578" s="630" t="n"/>
      <c r="C578" s="631" t="n"/>
      <c r="D578" s="631" t="n"/>
      <c r="E578" s="631" t="n"/>
      <c r="F578" s="631" t="n"/>
      <c r="G578" s="632" t="n"/>
      <c r="H578" s="633" t="n"/>
      <c r="I578" s="631" t="n"/>
      <c r="J578" s="631" t="n"/>
      <c r="K578" s="634" t="n"/>
      <c r="L578" s="635" t="n"/>
      <c r="M578" s="636" t="n"/>
    </row>
    <row r="579">
      <c r="A579" s="540" t="n"/>
      <c r="B579" s="630" t="n"/>
      <c r="C579" s="631" t="n"/>
      <c r="D579" s="631" t="n"/>
      <c r="E579" s="631" t="n"/>
      <c r="F579" s="631" t="n"/>
      <c r="G579" s="632" t="n"/>
      <c r="H579" s="633" t="n"/>
      <c r="I579" s="631" t="n"/>
      <c r="J579" s="631" t="n"/>
      <c r="K579" s="634" t="n"/>
      <c r="L579" s="635" t="n"/>
      <c r="M579" s="636" t="n"/>
    </row>
    <row r="580">
      <c r="A580" s="540" t="n"/>
      <c r="B580" s="630" t="n"/>
      <c r="C580" s="631" t="n"/>
      <c r="D580" s="631" t="n"/>
      <c r="E580" s="631" t="n"/>
      <c r="F580" s="631" t="n"/>
      <c r="G580" s="632" t="n"/>
      <c r="H580" s="633" t="n"/>
      <c r="I580" s="631" t="n"/>
      <c r="J580" s="631" t="n"/>
      <c r="K580" s="634" t="n"/>
      <c r="L580" s="635" t="n"/>
      <c r="M580" s="636" t="n"/>
    </row>
    <row r="581">
      <c r="A581" s="540" t="n"/>
      <c r="B581" s="630" t="n"/>
      <c r="C581" s="631" t="n"/>
      <c r="D581" s="631" t="n"/>
      <c r="E581" s="631" t="n"/>
      <c r="F581" s="631" t="n"/>
      <c r="G581" s="632" t="n"/>
      <c r="H581" s="633" t="n"/>
      <c r="I581" s="631" t="n"/>
      <c r="J581" s="631" t="n"/>
      <c r="K581" s="634" t="n"/>
      <c r="L581" s="635" t="n"/>
      <c r="M581" s="636" t="n"/>
    </row>
    <row r="582">
      <c r="A582" s="540" t="n"/>
      <c r="B582" s="630" t="n"/>
      <c r="C582" s="631" t="n"/>
      <c r="D582" s="631" t="n"/>
      <c r="E582" s="631" t="n"/>
      <c r="F582" s="631" t="n"/>
      <c r="G582" s="632" t="n"/>
      <c r="H582" s="633" t="n"/>
      <c r="I582" s="631" t="n"/>
      <c r="J582" s="631" t="n"/>
      <c r="K582" s="634" t="n"/>
      <c r="L582" s="635" t="n"/>
      <c r="M582" s="636" t="n"/>
    </row>
    <row r="583">
      <c r="A583" s="540" t="n"/>
      <c r="B583" s="630" t="n"/>
      <c r="C583" s="631" t="n"/>
      <c r="D583" s="631" t="n"/>
      <c r="E583" s="631" t="n"/>
      <c r="F583" s="631" t="n"/>
      <c r="G583" s="632" t="n"/>
      <c r="H583" s="633" t="n"/>
      <c r="I583" s="631" t="n"/>
      <c r="J583" s="631" t="n"/>
      <c r="K583" s="634" t="n"/>
      <c r="L583" s="635" t="n"/>
      <c r="M583" s="636" t="n"/>
    </row>
    <row r="584">
      <c r="A584" s="540" t="n"/>
      <c r="B584" s="630" t="n"/>
      <c r="C584" s="631" t="n"/>
      <c r="D584" s="631" t="n"/>
      <c r="E584" s="631" t="n"/>
      <c r="F584" s="631" t="n"/>
      <c r="G584" s="632" t="n"/>
      <c r="H584" s="633" t="n"/>
      <c r="I584" s="631" t="n"/>
      <c r="J584" s="631" t="n"/>
      <c r="K584" s="634" t="n"/>
      <c r="L584" s="635" t="n"/>
      <c r="M584" s="636" t="n"/>
    </row>
    <row r="585">
      <c r="A585" s="540" t="n"/>
      <c r="B585" s="630" t="n"/>
      <c r="C585" s="631" t="n"/>
      <c r="D585" s="631" t="n"/>
      <c r="E585" s="631" t="n"/>
      <c r="F585" s="631" t="n"/>
      <c r="G585" s="632" t="n"/>
      <c r="H585" s="633" t="n"/>
      <c r="I585" s="631" t="n"/>
      <c r="J585" s="631" t="n"/>
      <c r="K585" s="634" t="n"/>
      <c r="L585" s="635" t="n"/>
      <c r="M585" s="636" t="n"/>
    </row>
    <row r="586">
      <c r="A586" s="540" t="n"/>
      <c r="B586" s="630" t="n"/>
      <c r="C586" s="631" t="n"/>
      <c r="D586" s="631" t="n"/>
      <c r="E586" s="631" t="n"/>
      <c r="F586" s="631" t="n"/>
      <c r="G586" s="632" t="n"/>
      <c r="H586" s="633" t="n"/>
      <c r="I586" s="631" t="n"/>
      <c r="J586" s="631" t="n"/>
      <c r="K586" s="634" t="n"/>
      <c r="L586" s="635" t="n"/>
      <c r="M586" s="636" t="n"/>
    </row>
    <row r="587">
      <c r="A587" s="540" t="n"/>
      <c r="B587" s="630" t="n"/>
      <c r="C587" s="631" t="n"/>
      <c r="D587" s="631" t="n"/>
      <c r="E587" s="631" t="n"/>
      <c r="F587" s="631" t="n"/>
      <c r="G587" s="632" t="n"/>
      <c r="H587" s="633" t="n"/>
      <c r="I587" s="631" t="n"/>
      <c r="J587" s="631" t="n"/>
      <c r="K587" s="634" t="n"/>
      <c r="L587" s="635" t="n"/>
      <c r="M587" s="636" t="n"/>
    </row>
    <row r="588">
      <c r="A588" s="540" t="n"/>
      <c r="B588" s="630" t="n"/>
      <c r="C588" s="631" t="n"/>
      <c r="D588" s="631" t="n"/>
      <c r="E588" s="631" t="n"/>
      <c r="F588" s="631" t="n"/>
      <c r="G588" s="632" t="n"/>
      <c r="H588" s="633" t="n"/>
      <c r="I588" s="631" t="n"/>
      <c r="J588" s="631" t="n"/>
      <c r="K588" s="634" t="n"/>
      <c r="L588" s="635" t="n"/>
      <c r="M588" s="636" t="n"/>
    </row>
    <row r="589">
      <c r="A589" s="540" t="n"/>
      <c r="B589" s="630" t="n"/>
      <c r="C589" s="631" t="n"/>
      <c r="D589" s="631" t="n"/>
      <c r="E589" s="631" t="n"/>
      <c r="F589" s="631" t="n"/>
      <c r="G589" s="632" t="n"/>
      <c r="H589" s="633" t="n"/>
      <c r="I589" s="631" t="n"/>
      <c r="J589" s="631" t="n"/>
      <c r="K589" s="634" t="n"/>
      <c r="L589" s="635" t="n"/>
      <c r="M589" s="636" t="n"/>
    </row>
    <row r="590">
      <c r="A590" s="540" t="n"/>
      <c r="B590" s="630" t="n"/>
      <c r="C590" s="631" t="n"/>
      <c r="D590" s="631" t="n"/>
      <c r="E590" s="631" t="n"/>
      <c r="F590" s="631" t="n"/>
      <c r="G590" s="632" t="n"/>
      <c r="H590" s="633" t="n"/>
      <c r="I590" s="631" t="n"/>
      <c r="J590" s="631" t="n"/>
      <c r="K590" s="634" t="n"/>
      <c r="L590" s="635" t="n"/>
      <c r="M590" s="636" t="n"/>
    </row>
    <row r="591">
      <c r="A591" s="540" t="n"/>
      <c r="B591" s="630" t="n"/>
      <c r="C591" s="631" t="n"/>
      <c r="D591" s="631" t="n"/>
      <c r="E591" s="631" t="n"/>
      <c r="F591" s="631" t="n"/>
      <c r="G591" s="632" t="n"/>
      <c r="H591" s="633" t="n"/>
      <c r="I591" s="631" t="n"/>
      <c r="J591" s="631" t="n"/>
      <c r="K591" s="634" t="n"/>
      <c r="L591" s="635" t="n"/>
      <c r="M591" s="636" t="n"/>
    </row>
    <row r="592">
      <c r="A592" s="540" t="n"/>
      <c r="B592" s="630" t="n"/>
      <c r="C592" s="631" t="n"/>
      <c r="D592" s="631" t="n"/>
      <c r="E592" s="631" t="n"/>
      <c r="F592" s="631" t="n"/>
      <c r="G592" s="632" t="n"/>
      <c r="H592" s="633" t="n"/>
      <c r="I592" s="631" t="n"/>
      <c r="J592" s="631" t="n"/>
      <c r="K592" s="634" t="n"/>
      <c r="L592" s="635" t="n"/>
      <c r="M592" s="636" t="n"/>
    </row>
    <row r="593">
      <c r="A593" s="540" t="n"/>
      <c r="B593" s="630" t="n"/>
      <c r="C593" s="631" t="n"/>
      <c r="D593" s="631" t="n"/>
      <c r="E593" s="631" t="n"/>
      <c r="F593" s="631" t="n"/>
      <c r="G593" s="632" t="n"/>
      <c r="H593" s="633" t="n"/>
      <c r="I593" s="631" t="n"/>
      <c r="J593" s="631" t="n"/>
      <c r="K593" s="634" t="n"/>
      <c r="L593" s="635" t="n"/>
      <c r="M593" s="636" t="n"/>
    </row>
    <row r="594">
      <c r="A594" s="540" t="n"/>
      <c r="B594" s="630" t="n"/>
      <c r="C594" s="631" t="n"/>
      <c r="D594" s="631" t="n"/>
      <c r="E594" s="631" t="n"/>
      <c r="F594" s="631" t="n"/>
      <c r="G594" s="632" t="n"/>
      <c r="H594" s="633" t="n"/>
      <c r="I594" s="631" t="n"/>
      <c r="J594" s="631" t="n"/>
      <c r="K594" s="634" t="n"/>
      <c r="L594" s="635" t="n"/>
      <c r="M594" s="636" t="n"/>
    </row>
    <row r="595">
      <c r="A595" s="540" t="n"/>
      <c r="B595" s="630" t="n"/>
      <c r="C595" s="631" t="n"/>
      <c r="D595" s="631" t="n"/>
      <c r="E595" s="631" t="n"/>
      <c r="F595" s="631" t="n"/>
      <c r="G595" s="632" t="n"/>
      <c r="H595" s="633" t="n"/>
      <c r="I595" s="631" t="n"/>
      <c r="J595" s="631" t="n"/>
      <c r="K595" s="634" t="n"/>
      <c r="L595" s="635" t="n"/>
      <c r="M595" s="636" t="n"/>
    </row>
    <row r="596">
      <c r="A596" s="540" t="n"/>
      <c r="B596" s="630" t="n"/>
      <c r="C596" s="631" t="n"/>
      <c r="D596" s="631" t="n"/>
      <c r="E596" s="631" t="n"/>
      <c r="F596" s="631" t="n"/>
      <c r="G596" s="632" t="n"/>
      <c r="H596" s="633" t="n"/>
      <c r="I596" s="631" t="n"/>
      <c r="J596" s="631" t="n"/>
      <c r="K596" s="634" t="n"/>
      <c r="L596" s="635" t="n"/>
      <c r="M596" s="636" t="n"/>
    </row>
    <row r="597">
      <c r="A597" s="540" t="n"/>
      <c r="B597" s="630" t="n"/>
      <c r="C597" s="631" t="n"/>
      <c r="D597" s="631" t="n"/>
      <c r="E597" s="631" t="n"/>
      <c r="F597" s="631" t="n"/>
      <c r="G597" s="632" t="n"/>
      <c r="H597" s="633" t="n"/>
      <c r="I597" s="631" t="n"/>
      <c r="J597" s="631" t="n"/>
      <c r="K597" s="634" t="n"/>
      <c r="L597" s="635" t="n"/>
      <c r="M597" s="636" t="n"/>
    </row>
    <row r="598">
      <c r="A598" s="540" t="n"/>
      <c r="B598" s="630" t="n"/>
      <c r="C598" s="631" t="n"/>
      <c r="D598" s="631" t="n"/>
      <c r="E598" s="631" t="n"/>
      <c r="F598" s="631" t="n"/>
      <c r="G598" s="632" t="n"/>
      <c r="H598" s="633" t="n"/>
      <c r="I598" s="631" t="n"/>
      <c r="J598" s="631" t="n"/>
      <c r="K598" s="634" t="n"/>
      <c r="L598" s="635" t="n"/>
      <c r="M598" s="636" t="n"/>
    </row>
    <row r="599">
      <c r="A599" s="540" t="n"/>
      <c r="B599" s="630" t="n"/>
      <c r="C599" s="631" t="n"/>
      <c r="D599" s="631" t="n"/>
      <c r="E599" s="631" t="n"/>
      <c r="F599" s="631" t="n"/>
      <c r="G599" s="632" t="n"/>
      <c r="H599" s="633" t="n"/>
      <c r="I599" s="631" t="n"/>
      <c r="J599" s="631" t="n"/>
      <c r="K599" s="634" t="n"/>
      <c r="L599" s="635" t="n"/>
      <c r="M599" s="636" t="n"/>
    </row>
    <row r="600">
      <c r="A600" s="540" t="n"/>
      <c r="B600" s="630" t="n"/>
      <c r="C600" s="631" t="n"/>
      <c r="D600" s="631" t="n"/>
      <c r="E600" s="631" t="n"/>
      <c r="F600" s="631" t="n"/>
      <c r="G600" s="632" t="n"/>
      <c r="H600" s="633" t="n"/>
      <c r="I600" s="631" t="n"/>
      <c r="J600" s="631" t="n"/>
      <c r="K600" s="634" t="n"/>
      <c r="L600" s="635" t="n"/>
      <c r="M600" s="636" t="n"/>
    </row>
    <row r="601">
      <c r="A601" s="540" t="n"/>
      <c r="B601" s="630" t="n"/>
      <c r="C601" s="631" t="n"/>
      <c r="D601" s="631" t="n"/>
      <c r="E601" s="631" t="n"/>
      <c r="F601" s="631" t="n"/>
      <c r="G601" s="632" t="n"/>
      <c r="H601" s="633" t="n"/>
      <c r="I601" s="631" t="n"/>
      <c r="J601" s="631" t="n"/>
      <c r="K601" s="634" t="n"/>
      <c r="L601" s="635" t="n"/>
      <c r="M601" s="636" t="n"/>
    </row>
    <row r="602">
      <c r="A602" s="540" t="n"/>
      <c r="B602" s="630" t="n"/>
      <c r="C602" s="631" t="n"/>
      <c r="D602" s="631" t="n"/>
      <c r="E602" s="631" t="n"/>
      <c r="F602" s="631" t="n"/>
      <c r="G602" s="632" t="n"/>
      <c r="H602" s="633" t="n"/>
      <c r="I602" s="631" t="n"/>
      <c r="J602" s="631" t="n"/>
      <c r="K602" s="634" t="n"/>
      <c r="L602" s="635" t="n"/>
      <c r="M602" s="636" t="n"/>
    </row>
    <row r="603">
      <c r="A603" s="540" t="n"/>
      <c r="B603" s="630" t="n"/>
      <c r="C603" s="631" t="n"/>
      <c r="D603" s="631" t="n"/>
      <c r="E603" s="631" t="n"/>
      <c r="F603" s="631" t="n"/>
      <c r="G603" s="632" t="n"/>
      <c r="H603" s="633" t="n"/>
      <c r="I603" s="631" t="n"/>
      <c r="J603" s="631" t="n"/>
      <c r="K603" s="634" t="n"/>
      <c r="L603" s="635" t="n"/>
      <c r="M603" s="636" t="n"/>
    </row>
    <row r="604">
      <c r="A604" s="540" t="n"/>
      <c r="B604" s="630" t="n"/>
      <c r="C604" s="631" t="n"/>
      <c r="D604" s="631" t="n"/>
      <c r="E604" s="631" t="n"/>
      <c r="F604" s="631" t="n"/>
      <c r="G604" s="632" t="n"/>
      <c r="H604" s="633" t="n"/>
      <c r="I604" s="631" t="n"/>
      <c r="J604" s="631" t="n"/>
      <c r="K604" s="634" t="n"/>
      <c r="L604" s="635" t="n"/>
      <c r="M604" s="636" t="n"/>
    </row>
    <row r="605">
      <c r="A605" s="540" t="n"/>
      <c r="B605" s="630" t="n"/>
      <c r="C605" s="631" t="n"/>
      <c r="D605" s="631" t="n"/>
      <c r="E605" s="631" t="n"/>
      <c r="F605" s="631" t="n"/>
      <c r="G605" s="632" t="n"/>
      <c r="H605" s="633" t="n"/>
      <c r="I605" s="631" t="n"/>
      <c r="J605" s="631" t="n"/>
      <c r="K605" s="634" t="n"/>
      <c r="L605" s="635" t="n"/>
      <c r="M605" s="636" t="n"/>
    </row>
    <row r="606">
      <c r="A606" s="540" t="n"/>
      <c r="B606" s="630" t="n"/>
      <c r="C606" s="631" t="n"/>
      <c r="D606" s="631" t="n"/>
      <c r="E606" s="631" t="n"/>
      <c r="F606" s="631" t="n"/>
      <c r="G606" s="632" t="n"/>
      <c r="H606" s="633" t="n"/>
      <c r="I606" s="631" t="n"/>
      <c r="J606" s="631" t="n"/>
      <c r="K606" s="634" t="n"/>
      <c r="L606" s="635" t="n"/>
      <c r="M606" s="636" t="n"/>
    </row>
    <row r="607">
      <c r="A607" s="540" t="n"/>
      <c r="B607" s="630" t="n"/>
      <c r="C607" s="631" t="n"/>
      <c r="D607" s="631" t="n"/>
      <c r="E607" s="631" t="n"/>
      <c r="F607" s="631" t="n"/>
      <c r="G607" s="632" t="n"/>
      <c r="H607" s="633" t="n"/>
      <c r="I607" s="631" t="n"/>
      <c r="J607" s="631" t="n"/>
      <c r="K607" s="634" t="n"/>
      <c r="L607" s="635" t="n"/>
      <c r="M607" s="636" t="n"/>
    </row>
    <row r="608">
      <c r="A608" s="540" t="n"/>
      <c r="B608" s="630" t="n"/>
      <c r="C608" s="631" t="n"/>
      <c r="D608" s="631" t="n"/>
      <c r="E608" s="631" t="n"/>
      <c r="F608" s="631" t="n"/>
      <c r="G608" s="632" t="n"/>
      <c r="H608" s="633" t="n"/>
      <c r="I608" s="631" t="n"/>
      <c r="J608" s="631" t="n"/>
      <c r="K608" s="634" t="n"/>
      <c r="L608" s="635" t="n"/>
      <c r="M608" s="636" t="n"/>
    </row>
    <row r="609">
      <c r="A609" s="540" t="n"/>
      <c r="B609" s="630" t="n"/>
      <c r="C609" s="631" t="n"/>
      <c r="D609" s="631" t="n"/>
      <c r="E609" s="631" t="n"/>
      <c r="F609" s="631" t="n"/>
      <c r="G609" s="632" t="n"/>
      <c r="H609" s="633" t="n"/>
      <c r="I609" s="631" t="n"/>
      <c r="J609" s="631" t="n"/>
      <c r="K609" s="634" t="n"/>
      <c r="L609" s="635" t="n"/>
      <c r="M609" s="636" t="n"/>
    </row>
    <row r="610">
      <c r="A610" s="540" t="n"/>
      <c r="B610" s="630" t="n"/>
      <c r="C610" s="631" t="n"/>
      <c r="D610" s="631" t="n"/>
      <c r="E610" s="631" t="n"/>
      <c r="F610" s="631" t="n"/>
      <c r="G610" s="632" t="n"/>
      <c r="H610" s="633" t="n"/>
      <c r="I610" s="631" t="n"/>
      <c r="J610" s="631" t="n"/>
      <c r="K610" s="634" t="n"/>
      <c r="L610" s="635" t="n"/>
      <c r="M610" s="636" t="n"/>
    </row>
    <row r="611">
      <c r="A611" s="540" t="n"/>
      <c r="B611" s="630" t="n"/>
      <c r="C611" s="631" t="n"/>
      <c r="D611" s="631" t="n"/>
      <c r="E611" s="631" t="n"/>
      <c r="F611" s="631" t="n"/>
      <c r="G611" s="632" t="n"/>
      <c r="H611" s="633" t="n"/>
      <c r="I611" s="631" t="n"/>
      <c r="J611" s="631" t="n"/>
      <c r="K611" s="634" t="n"/>
      <c r="L611" s="635" t="n"/>
      <c r="M611" s="636" t="n"/>
    </row>
    <row r="612">
      <c r="A612" s="540" t="n"/>
      <c r="B612" s="630" t="n"/>
      <c r="C612" s="631" t="n"/>
      <c r="D612" s="631" t="n"/>
      <c r="E612" s="631" t="n"/>
      <c r="F612" s="631" t="n"/>
      <c r="G612" s="632" t="n"/>
      <c r="H612" s="633" t="n"/>
      <c r="I612" s="631" t="n"/>
      <c r="J612" s="631" t="n"/>
      <c r="K612" s="634" t="n"/>
      <c r="L612" s="635" t="n"/>
      <c r="M612" s="636" t="n"/>
    </row>
    <row r="613">
      <c r="A613" s="540" t="n"/>
      <c r="B613" s="630" t="n"/>
      <c r="C613" s="631" t="n"/>
      <c r="D613" s="631" t="n"/>
      <c r="E613" s="631" t="n"/>
      <c r="F613" s="631" t="n"/>
      <c r="G613" s="632" t="n"/>
      <c r="H613" s="633" t="n"/>
      <c r="I613" s="631" t="n"/>
      <c r="J613" s="631" t="n"/>
      <c r="K613" s="634" t="n"/>
      <c r="L613" s="635" t="n"/>
      <c r="M613" s="636" t="n"/>
    </row>
    <row r="614">
      <c r="A614" s="540" t="n"/>
      <c r="B614" s="630" t="n"/>
      <c r="C614" s="631" t="n"/>
      <c r="D614" s="631" t="n"/>
      <c r="E614" s="631" t="n"/>
      <c r="F614" s="631" t="n"/>
      <c r="G614" s="632" t="n"/>
      <c r="H614" s="633" t="n"/>
      <c r="I614" s="631" t="n"/>
      <c r="J614" s="631" t="n"/>
      <c r="K614" s="634" t="n"/>
      <c r="L614" s="635" t="n"/>
      <c r="M614" s="636" t="n"/>
    </row>
    <row r="615">
      <c r="A615" s="540" t="n"/>
      <c r="B615" s="630" t="n"/>
      <c r="C615" s="631" t="n"/>
      <c r="D615" s="631" t="n"/>
      <c r="E615" s="631" t="n"/>
      <c r="F615" s="631" t="n"/>
      <c r="G615" s="632" t="n"/>
      <c r="H615" s="633" t="n"/>
      <c r="I615" s="631" t="n"/>
      <c r="J615" s="631" t="n"/>
      <c r="K615" s="634" t="n"/>
      <c r="L615" s="635" t="n"/>
      <c r="M615" s="636" t="n"/>
    </row>
    <row r="616">
      <c r="A616" s="540" t="n"/>
      <c r="B616" s="630" t="n"/>
      <c r="C616" s="631" t="n"/>
      <c r="D616" s="631" t="n"/>
      <c r="E616" s="631" t="n"/>
      <c r="F616" s="631" t="n"/>
      <c r="G616" s="632" t="n"/>
      <c r="H616" s="633" t="n"/>
      <c r="I616" s="631" t="n"/>
      <c r="J616" s="631" t="n"/>
      <c r="K616" s="634" t="n"/>
      <c r="L616" s="635" t="n"/>
      <c r="M616" s="636" t="n"/>
    </row>
    <row r="617">
      <c r="A617" s="540" t="n"/>
      <c r="B617" s="630" t="n"/>
      <c r="C617" s="631" t="n"/>
      <c r="D617" s="631" t="n"/>
      <c r="E617" s="631" t="n"/>
      <c r="F617" s="631" t="n"/>
      <c r="G617" s="632" t="n"/>
      <c r="H617" s="633" t="n"/>
      <c r="I617" s="631" t="n"/>
      <c r="J617" s="631" t="n"/>
      <c r="K617" s="634" t="n"/>
      <c r="L617" s="635" t="n"/>
      <c r="M617" s="636" t="n"/>
    </row>
    <row r="618">
      <c r="A618" s="540" t="n"/>
      <c r="B618" s="630" t="n"/>
      <c r="C618" s="631" t="n"/>
      <c r="D618" s="631" t="n"/>
      <c r="E618" s="631" t="n"/>
      <c r="F618" s="631" t="n"/>
      <c r="G618" s="632" t="n"/>
      <c r="H618" s="633" t="n"/>
      <c r="I618" s="631" t="n"/>
      <c r="J618" s="631" t="n"/>
      <c r="K618" s="634" t="n"/>
      <c r="L618" s="635" t="n"/>
      <c r="M618" s="636" t="n"/>
    </row>
    <row r="619">
      <c r="A619" s="540" t="n"/>
      <c r="B619" s="630" t="n"/>
      <c r="C619" s="631" t="n"/>
      <c r="D619" s="631" t="n"/>
      <c r="E619" s="631" t="n"/>
      <c r="F619" s="631" t="n"/>
      <c r="G619" s="632" t="n"/>
      <c r="H619" s="633" t="n"/>
      <c r="I619" s="631" t="n"/>
      <c r="J619" s="631" t="n"/>
      <c r="K619" s="634" t="n"/>
      <c r="L619" s="635" t="n"/>
      <c r="M619" s="636" t="n"/>
    </row>
    <row r="620">
      <c r="A620" s="540" t="n"/>
      <c r="B620" s="630" t="n"/>
      <c r="C620" s="631" t="n"/>
      <c r="D620" s="631" t="n"/>
      <c r="E620" s="631" t="n"/>
      <c r="F620" s="631" t="n"/>
      <c r="G620" s="632" t="n"/>
      <c r="H620" s="633" t="n"/>
      <c r="I620" s="631" t="n"/>
      <c r="J620" s="631" t="n"/>
      <c r="K620" s="634" t="n"/>
      <c r="L620" s="635" t="n"/>
      <c r="M620" s="636" t="n"/>
    </row>
    <row r="621">
      <c r="A621" s="540" t="n"/>
      <c r="B621" s="630" t="n"/>
      <c r="C621" s="631" t="n"/>
      <c r="D621" s="631" t="n"/>
      <c r="E621" s="631" t="n"/>
      <c r="F621" s="631" t="n"/>
      <c r="G621" s="632" t="n"/>
      <c r="H621" s="633" t="n"/>
      <c r="I621" s="631" t="n"/>
      <c r="J621" s="631" t="n"/>
      <c r="K621" s="634" t="n"/>
      <c r="L621" s="635" t="n"/>
      <c r="M621" s="636" t="n"/>
    </row>
    <row r="622">
      <c r="A622" s="540" t="n"/>
      <c r="B622" s="630" t="n"/>
      <c r="C622" s="631" t="n"/>
      <c r="D622" s="631" t="n"/>
      <c r="E622" s="631" t="n"/>
      <c r="F622" s="631" t="n"/>
      <c r="G622" s="632" t="n"/>
      <c r="H622" s="633" t="n"/>
      <c r="I622" s="631" t="n"/>
      <c r="J622" s="631" t="n"/>
      <c r="K622" s="634" t="n"/>
      <c r="L622" s="635" t="n"/>
      <c r="M622" s="636" t="n"/>
    </row>
    <row r="623">
      <c r="A623" s="540" t="n"/>
      <c r="B623" s="630" t="n"/>
      <c r="C623" s="631" t="n"/>
      <c r="D623" s="631" t="n"/>
      <c r="E623" s="631" t="n"/>
      <c r="F623" s="631" t="n"/>
      <c r="G623" s="632" t="n"/>
      <c r="H623" s="633" t="n"/>
      <c r="I623" s="631" t="n"/>
      <c r="J623" s="631" t="n"/>
      <c r="K623" s="634" t="n"/>
      <c r="L623" s="635" t="n"/>
      <c r="M623" s="636" t="n"/>
    </row>
    <row r="624">
      <c r="A624" s="540" t="n"/>
      <c r="B624" s="630" t="n"/>
      <c r="C624" s="631" t="n"/>
      <c r="D624" s="631" t="n"/>
      <c r="E624" s="631" t="n"/>
      <c r="F624" s="631" t="n"/>
      <c r="G624" s="632" t="n"/>
      <c r="H624" s="633" t="n"/>
      <c r="I624" s="631" t="n"/>
      <c r="J624" s="631" t="n"/>
      <c r="K624" s="634" t="n"/>
      <c r="L624" s="635" t="n"/>
      <c r="M624" s="636" t="n"/>
    </row>
    <row r="625">
      <c r="A625" s="540" t="n"/>
      <c r="B625" s="630" t="n"/>
      <c r="C625" s="631" t="n"/>
      <c r="D625" s="631" t="n"/>
      <c r="E625" s="631" t="n"/>
      <c r="F625" s="631" t="n"/>
      <c r="G625" s="632" t="n"/>
      <c r="H625" s="633" t="n"/>
      <c r="I625" s="631" t="n"/>
      <c r="J625" s="631" t="n"/>
      <c r="K625" s="634" t="n"/>
      <c r="L625" s="635" t="n"/>
      <c r="M625" s="636" t="n"/>
    </row>
    <row r="626">
      <c r="A626" s="540" t="n"/>
      <c r="B626" s="630" t="n"/>
      <c r="C626" s="631" t="n"/>
      <c r="D626" s="631" t="n"/>
      <c r="E626" s="631" t="n"/>
      <c r="F626" s="631" t="n"/>
      <c r="G626" s="632" t="n"/>
      <c r="H626" s="633" t="n"/>
      <c r="I626" s="631" t="n"/>
      <c r="J626" s="631" t="n"/>
      <c r="K626" s="634" t="n"/>
      <c r="L626" s="635" t="n"/>
      <c r="M626" s="636" t="n"/>
    </row>
    <row r="627">
      <c r="A627" s="540" t="n"/>
      <c r="B627" s="630" t="n"/>
      <c r="C627" s="631" t="n"/>
      <c r="D627" s="631" t="n"/>
      <c r="E627" s="631" t="n"/>
      <c r="F627" s="631" t="n"/>
      <c r="G627" s="632" t="n"/>
      <c r="H627" s="633" t="n"/>
      <c r="I627" s="631" t="n"/>
      <c r="J627" s="631" t="n"/>
      <c r="K627" s="634" t="n"/>
      <c r="L627" s="635" t="n"/>
      <c r="M627" s="636" t="n"/>
    </row>
    <row r="628">
      <c r="A628" s="540" t="n"/>
      <c r="B628" s="630" t="n"/>
      <c r="C628" s="631" t="n"/>
      <c r="D628" s="631" t="n"/>
      <c r="E628" s="631" t="n"/>
      <c r="F628" s="631" t="n"/>
      <c r="G628" s="632" t="n"/>
      <c r="H628" s="633" t="n"/>
      <c r="I628" s="631" t="n"/>
      <c r="J628" s="631" t="n"/>
      <c r="K628" s="634" t="n"/>
      <c r="L628" s="635" t="n"/>
      <c r="M628" s="636" t="n"/>
    </row>
    <row r="629">
      <c r="A629" s="540" t="n"/>
      <c r="B629" s="630" t="n"/>
      <c r="C629" s="631" t="n"/>
      <c r="D629" s="631" t="n"/>
      <c r="E629" s="631" t="n"/>
      <c r="F629" s="631" t="n"/>
      <c r="G629" s="632" t="n"/>
      <c r="H629" s="633" t="n"/>
      <c r="I629" s="631" t="n"/>
      <c r="J629" s="631" t="n"/>
      <c r="K629" s="634" t="n"/>
      <c r="L629" s="635" t="n"/>
      <c r="M629" s="636" t="n"/>
    </row>
    <row r="630">
      <c r="A630" s="540" t="n"/>
      <c r="B630" s="630" t="n"/>
      <c r="C630" s="631" t="n"/>
      <c r="D630" s="631" t="n"/>
      <c r="E630" s="631" t="n"/>
      <c r="F630" s="631" t="n"/>
      <c r="G630" s="632" t="n"/>
      <c r="H630" s="633" t="n"/>
      <c r="I630" s="631" t="n"/>
      <c r="J630" s="631" t="n"/>
      <c r="K630" s="634" t="n"/>
      <c r="L630" s="635" t="n"/>
      <c r="M630" s="636" t="n"/>
    </row>
    <row r="631">
      <c r="A631" s="540" t="n"/>
      <c r="B631" s="630" t="n"/>
      <c r="C631" s="631" t="n"/>
      <c r="D631" s="631" t="n"/>
      <c r="E631" s="631" t="n"/>
      <c r="F631" s="631" t="n"/>
      <c r="G631" s="632" t="n"/>
      <c r="H631" s="633" t="n"/>
      <c r="I631" s="631" t="n"/>
      <c r="J631" s="631" t="n"/>
      <c r="K631" s="634" t="n"/>
      <c r="L631" s="635" t="n"/>
      <c r="M631" s="636" t="n"/>
    </row>
    <row r="632">
      <c r="A632" s="540" t="n"/>
      <c r="B632" s="630" t="n"/>
      <c r="C632" s="631" t="n"/>
      <c r="D632" s="631" t="n"/>
      <c r="E632" s="631" t="n"/>
      <c r="F632" s="631" t="n"/>
      <c r="G632" s="632" t="n"/>
      <c r="H632" s="633" t="n"/>
      <c r="I632" s="631" t="n"/>
      <c r="J632" s="631" t="n"/>
      <c r="K632" s="634" t="n"/>
      <c r="L632" s="635" t="n"/>
      <c r="M632" s="636" t="n"/>
    </row>
    <row r="633">
      <c r="A633" s="540" t="n"/>
      <c r="B633" s="630" t="n"/>
      <c r="C633" s="631" t="n"/>
      <c r="D633" s="631" t="n"/>
      <c r="E633" s="631" t="n"/>
      <c r="F633" s="631" t="n"/>
      <c r="G633" s="632" t="n"/>
      <c r="H633" s="633" t="n"/>
      <c r="I633" s="631" t="n"/>
      <c r="J633" s="631" t="n"/>
      <c r="K633" s="634" t="n"/>
      <c r="L633" s="635" t="n"/>
      <c r="M633" s="636" t="n"/>
    </row>
    <row r="634">
      <c r="A634" s="540" t="n"/>
      <c r="B634" s="630" t="n"/>
      <c r="C634" s="631" t="n"/>
      <c r="D634" s="631" t="n"/>
      <c r="E634" s="631" t="n"/>
      <c r="F634" s="631" t="n"/>
      <c r="G634" s="632" t="n"/>
      <c r="H634" s="633" t="n"/>
      <c r="I634" s="631" t="n"/>
      <c r="J634" s="631" t="n"/>
      <c r="K634" s="634" t="n"/>
      <c r="L634" s="635" t="n"/>
      <c r="M634" s="636" t="n"/>
    </row>
    <row r="635">
      <c r="A635" s="540" t="n"/>
      <c r="B635" s="630" t="n"/>
      <c r="C635" s="631" t="n"/>
      <c r="D635" s="631" t="n"/>
      <c r="E635" s="631" t="n"/>
      <c r="F635" s="631" t="n"/>
      <c r="G635" s="632" t="n"/>
      <c r="H635" s="633" t="n"/>
      <c r="I635" s="631" t="n"/>
      <c r="J635" s="631" t="n"/>
      <c r="K635" s="634" t="n"/>
      <c r="L635" s="635" t="n"/>
      <c r="M635" s="636" t="n"/>
    </row>
    <row r="636">
      <c r="A636" s="540" t="n"/>
      <c r="B636" s="630" t="n"/>
      <c r="C636" s="631" t="n"/>
      <c r="D636" s="631" t="n"/>
      <c r="E636" s="631" t="n"/>
      <c r="F636" s="631" t="n"/>
      <c r="G636" s="632" t="n"/>
      <c r="H636" s="633" t="n"/>
      <c r="I636" s="631" t="n"/>
      <c r="J636" s="631" t="n"/>
      <c r="K636" s="634" t="n"/>
      <c r="L636" s="635" t="n"/>
      <c r="M636" s="636" t="n"/>
    </row>
    <row r="637">
      <c r="A637" s="540" t="n"/>
      <c r="B637" s="630" t="n"/>
      <c r="C637" s="631" t="n"/>
      <c r="D637" s="631" t="n"/>
      <c r="E637" s="631" t="n"/>
      <c r="F637" s="631" t="n"/>
      <c r="G637" s="632" t="n"/>
      <c r="H637" s="633" t="n"/>
      <c r="I637" s="631" t="n"/>
      <c r="J637" s="631" t="n"/>
      <c r="K637" s="634" t="n"/>
      <c r="L637" s="635" t="n"/>
      <c r="M637" s="636" t="n"/>
    </row>
    <row r="638">
      <c r="A638" s="540" t="n"/>
      <c r="B638" s="630" t="n"/>
      <c r="C638" s="631" t="n"/>
      <c r="D638" s="631" t="n"/>
      <c r="E638" s="631" t="n"/>
      <c r="F638" s="631" t="n"/>
      <c r="G638" s="632" t="n"/>
      <c r="H638" s="633" t="n"/>
      <c r="I638" s="631" t="n"/>
      <c r="J638" s="631" t="n"/>
      <c r="K638" s="634" t="n"/>
      <c r="L638" s="635" t="n"/>
      <c r="M638" s="636" t="n"/>
    </row>
    <row r="639">
      <c r="A639" s="540" t="n"/>
      <c r="B639" s="630" t="n"/>
      <c r="C639" s="631" t="n"/>
      <c r="D639" s="631" t="n"/>
      <c r="E639" s="631" t="n"/>
      <c r="F639" s="631" t="n"/>
      <c r="G639" s="632" t="n"/>
      <c r="H639" s="633" t="n"/>
      <c r="I639" s="631" t="n"/>
      <c r="J639" s="631" t="n"/>
      <c r="K639" s="634" t="n"/>
      <c r="L639" s="635" t="n"/>
      <c r="M639" s="636" t="n"/>
    </row>
    <row r="640">
      <c r="A640" s="540" t="n"/>
      <c r="B640" s="630" t="n"/>
      <c r="C640" s="631" t="n"/>
      <c r="D640" s="631" t="n"/>
      <c r="E640" s="631" t="n"/>
      <c r="F640" s="631" t="n"/>
      <c r="G640" s="632" t="n"/>
      <c r="H640" s="633" t="n"/>
      <c r="I640" s="631" t="n"/>
      <c r="J640" s="631" t="n"/>
      <c r="K640" s="634" t="n"/>
      <c r="L640" s="635" t="n"/>
      <c r="M640" s="636" t="n"/>
    </row>
    <row r="641">
      <c r="A641" s="540" t="n"/>
      <c r="B641" s="630" t="n"/>
      <c r="C641" s="631" t="n"/>
      <c r="D641" s="631" t="n"/>
      <c r="E641" s="631" t="n"/>
      <c r="F641" s="631" t="n"/>
      <c r="G641" s="632" t="n"/>
      <c r="H641" s="633" t="n"/>
      <c r="I641" s="631" t="n"/>
      <c r="J641" s="631" t="n"/>
      <c r="K641" s="634" t="n"/>
      <c r="L641" s="635" t="n"/>
      <c r="M641" s="636" t="n"/>
    </row>
    <row r="642">
      <c r="A642" s="540" t="n"/>
      <c r="B642" s="630" t="n"/>
      <c r="C642" s="631" t="n"/>
      <c r="D642" s="631" t="n"/>
      <c r="E642" s="631" t="n"/>
      <c r="F642" s="631" t="n"/>
      <c r="G642" s="632" t="n"/>
      <c r="H642" s="633" t="n"/>
      <c r="I642" s="631" t="n"/>
      <c r="J642" s="631" t="n"/>
      <c r="K642" s="634" t="n"/>
      <c r="L642" s="635" t="n"/>
      <c r="M642" s="636" t="n"/>
    </row>
    <row r="643">
      <c r="A643" s="540" t="n"/>
      <c r="B643" s="630" t="n"/>
      <c r="C643" s="631" t="n"/>
      <c r="D643" s="631" t="n"/>
      <c r="E643" s="631" t="n"/>
      <c r="F643" s="631" t="n"/>
      <c r="G643" s="632" t="n"/>
      <c r="H643" s="633" t="n"/>
      <c r="I643" s="631" t="n"/>
      <c r="J643" s="631" t="n"/>
      <c r="K643" s="634" t="n"/>
      <c r="L643" s="635" t="n"/>
      <c r="M643" s="636" t="n"/>
    </row>
    <row r="644">
      <c r="A644" s="540" t="n"/>
      <c r="B644" s="630" t="n"/>
      <c r="C644" s="631" t="n"/>
      <c r="D644" s="631" t="n"/>
      <c r="E644" s="631" t="n"/>
      <c r="F644" s="631" t="n"/>
      <c r="G644" s="632" t="n"/>
      <c r="H644" s="633" t="n"/>
      <c r="I644" s="631" t="n"/>
      <c r="J644" s="631" t="n"/>
      <c r="K644" s="634" t="n"/>
      <c r="L644" s="635" t="n"/>
      <c r="M644" s="636" t="n"/>
    </row>
    <row r="645">
      <c r="A645" s="540" t="n"/>
      <c r="B645" s="630" t="n"/>
      <c r="C645" s="631" t="n"/>
      <c r="D645" s="631" t="n"/>
      <c r="E645" s="631" t="n"/>
      <c r="F645" s="631" t="n"/>
      <c r="G645" s="632" t="n"/>
      <c r="H645" s="633" t="n"/>
      <c r="I645" s="631" t="n"/>
      <c r="J645" s="631" t="n"/>
      <c r="K645" s="634" t="n"/>
      <c r="L645" s="635" t="n"/>
      <c r="M645" s="636" t="n"/>
    </row>
    <row r="646">
      <c r="A646" s="540" t="n"/>
      <c r="B646" s="630" t="n"/>
      <c r="C646" s="631" t="n"/>
      <c r="D646" s="631" t="n"/>
      <c r="E646" s="631" t="n"/>
      <c r="F646" s="631" t="n"/>
      <c r="G646" s="632" t="n"/>
      <c r="H646" s="633" t="n"/>
      <c r="I646" s="631" t="n"/>
      <c r="J646" s="631" t="n"/>
      <c r="K646" s="634" t="n"/>
      <c r="L646" s="635" t="n"/>
      <c r="M646" s="636" t="n"/>
    </row>
    <row r="647">
      <c r="A647" s="540" t="n"/>
      <c r="B647" s="630" t="n"/>
      <c r="C647" s="631" t="n"/>
      <c r="D647" s="631" t="n"/>
      <c r="E647" s="631" t="n"/>
      <c r="F647" s="631" t="n"/>
      <c r="G647" s="632" t="n"/>
      <c r="H647" s="633" t="n"/>
      <c r="I647" s="631" t="n"/>
      <c r="J647" s="631" t="n"/>
      <c r="K647" s="634" t="n"/>
      <c r="L647" s="635" t="n"/>
      <c r="M647" s="636" t="n"/>
    </row>
    <row r="648">
      <c r="A648" s="540" t="n"/>
      <c r="B648" s="630" t="n"/>
      <c r="C648" s="631" t="n"/>
      <c r="D648" s="631" t="n"/>
      <c r="E648" s="631" t="n"/>
      <c r="F648" s="631" t="n"/>
      <c r="G648" s="632" t="n"/>
      <c r="H648" s="633" t="n"/>
      <c r="I648" s="631" t="n"/>
      <c r="J648" s="631" t="n"/>
      <c r="K648" s="634" t="n"/>
      <c r="L648" s="635" t="n"/>
      <c r="M648" s="636" t="n"/>
    </row>
    <row r="649">
      <c r="A649" s="540" t="n"/>
      <c r="B649" s="630" t="n"/>
      <c r="C649" s="631" t="n"/>
      <c r="D649" s="631" t="n"/>
      <c r="E649" s="631" t="n"/>
      <c r="F649" s="631" t="n"/>
      <c r="G649" s="632" t="n"/>
      <c r="H649" s="633" t="n"/>
      <c r="I649" s="631" t="n"/>
      <c r="J649" s="631" t="n"/>
      <c r="K649" s="634" t="n"/>
      <c r="L649" s="635" t="n"/>
      <c r="M649" s="636" t="n"/>
    </row>
    <row r="650">
      <c r="A650" s="540" t="n"/>
      <c r="B650" s="630" t="n"/>
      <c r="C650" s="631" t="n"/>
      <c r="D650" s="631" t="n"/>
      <c r="E650" s="631" t="n"/>
      <c r="F650" s="631" t="n"/>
      <c r="G650" s="632" t="n"/>
      <c r="H650" s="633" t="n"/>
      <c r="I650" s="631" t="n"/>
      <c r="J650" s="631" t="n"/>
      <c r="K650" s="634" t="n"/>
      <c r="L650" s="635" t="n"/>
      <c r="M650" s="636" t="n"/>
    </row>
    <row r="651">
      <c r="A651" s="540" t="n"/>
      <c r="B651" s="630" t="n"/>
      <c r="C651" s="631" t="n"/>
      <c r="D651" s="631" t="n"/>
      <c r="E651" s="631" t="n"/>
      <c r="F651" s="631" t="n"/>
      <c r="G651" s="632" t="n"/>
      <c r="H651" s="633" t="n"/>
      <c r="I651" s="631" t="n"/>
      <c r="J651" s="631" t="n"/>
      <c r="K651" s="634" t="n"/>
      <c r="L651" s="635" t="n"/>
      <c r="M651" s="636" t="n"/>
    </row>
    <row r="652">
      <c r="A652" s="540" t="n"/>
      <c r="B652" s="630" t="n"/>
      <c r="C652" s="631" t="n"/>
      <c r="D652" s="631" t="n"/>
      <c r="E652" s="631" t="n"/>
      <c r="F652" s="631" t="n"/>
      <c r="G652" s="632" t="n"/>
      <c r="H652" s="633" t="n"/>
      <c r="I652" s="631" t="n"/>
      <c r="J652" s="631" t="n"/>
      <c r="K652" s="634" t="n"/>
      <c r="L652" s="635" t="n"/>
      <c r="M652" s="636" t="n"/>
    </row>
    <row r="653">
      <c r="A653" s="540" t="n"/>
      <c r="B653" s="630" t="n"/>
      <c r="C653" s="631" t="n"/>
      <c r="D653" s="631" t="n"/>
      <c r="E653" s="631" t="n"/>
      <c r="F653" s="631" t="n"/>
      <c r="G653" s="632" t="n"/>
      <c r="H653" s="633" t="n"/>
      <c r="I653" s="631" t="n"/>
      <c r="J653" s="631" t="n"/>
      <c r="K653" s="634" t="n"/>
      <c r="L653" s="635" t="n"/>
      <c r="M653" s="636" t="n"/>
    </row>
    <row r="654">
      <c r="A654" s="540" t="n"/>
      <c r="B654" s="630" t="n"/>
      <c r="C654" s="631" t="n"/>
      <c r="D654" s="631" t="n"/>
      <c r="E654" s="631" t="n"/>
      <c r="F654" s="631" t="n"/>
      <c r="G654" s="632" t="n"/>
      <c r="H654" s="633" t="n"/>
      <c r="I654" s="631" t="n"/>
      <c r="J654" s="631" t="n"/>
      <c r="K654" s="634" t="n"/>
      <c r="L654" s="635" t="n"/>
      <c r="M654" s="636" t="n"/>
    </row>
    <row r="655">
      <c r="A655" s="540" t="n"/>
      <c r="B655" s="630" t="n"/>
      <c r="C655" s="631" t="n"/>
      <c r="D655" s="631" t="n"/>
      <c r="E655" s="631" t="n"/>
      <c r="F655" s="631" t="n"/>
      <c r="G655" s="632" t="n"/>
      <c r="H655" s="633" t="n"/>
      <c r="I655" s="631" t="n"/>
      <c r="J655" s="631" t="n"/>
      <c r="K655" s="634" t="n"/>
      <c r="L655" s="635" t="n"/>
      <c r="M655" s="636" t="n"/>
    </row>
    <row r="656">
      <c r="A656" s="540" t="n"/>
      <c r="B656" s="630" t="n"/>
      <c r="C656" s="631" t="n"/>
      <c r="D656" s="631" t="n"/>
      <c r="E656" s="631" t="n"/>
      <c r="F656" s="631" t="n"/>
      <c r="G656" s="632" t="n"/>
      <c r="H656" s="633" t="n"/>
      <c r="I656" s="631" t="n"/>
      <c r="J656" s="631" t="n"/>
      <c r="K656" s="634" t="n"/>
      <c r="L656" s="635" t="n"/>
      <c r="M656" s="636" t="n"/>
    </row>
    <row r="657">
      <c r="A657" s="540" t="n"/>
      <c r="B657" s="630" t="n"/>
      <c r="C657" s="631" t="n"/>
      <c r="D657" s="631" t="n"/>
      <c r="E657" s="631" t="n"/>
      <c r="F657" s="631" t="n"/>
      <c r="G657" s="632" t="n"/>
      <c r="H657" s="633" t="n"/>
      <c r="I657" s="631" t="n"/>
      <c r="J657" s="631" t="n"/>
      <c r="K657" s="634" t="n"/>
      <c r="L657" s="635" t="n"/>
      <c r="M657" s="636" t="n"/>
    </row>
    <row r="658">
      <c r="A658" s="540" t="n"/>
      <c r="B658" s="630" t="n"/>
      <c r="C658" s="631" t="n"/>
      <c r="D658" s="631" t="n"/>
      <c r="E658" s="631" t="n"/>
      <c r="F658" s="631" t="n"/>
      <c r="G658" s="632" t="n"/>
      <c r="H658" s="633" t="n"/>
      <c r="I658" s="631" t="n"/>
      <c r="J658" s="631" t="n"/>
      <c r="K658" s="634" t="n"/>
      <c r="L658" s="635" t="n"/>
      <c r="M658" s="636" t="n"/>
    </row>
    <row r="659">
      <c r="A659" s="540" t="n"/>
      <c r="B659" s="630" t="n"/>
      <c r="C659" s="631" t="n"/>
      <c r="D659" s="631" t="n"/>
      <c r="E659" s="631" t="n"/>
      <c r="F659" s="631" t="n"/>
      <c r="G659" s="632" t="n"/>
      <c r="H659" s="633" t="n"/>
      <c r="I659" s="631" t="n"/>
      <c r="J659" s="631" t="n"/>
      <c r="K659" s="634" t="n"/>
      <c r="L659" s="635" t="n"/>
      <c r="M659" s="636" t="n"/>
    </row>
    <row r="660">
      <c r="A660" s="540" t="n"/>
      <c r="B660" s="630" t="n"/>
      <c r="C660" s="631" t="n"/>
      <c r="D660" s="631" t="n"/>
      <c r="E660" s="631" t="n"/>
      <c r="F660" s="631" t="n"/>
      <c r="G660" s="632" t="n"/>
      <c r="H660" s="633" t="n"/>
      <c r="I660" s="631" t="n"/>
      <c r="J660" s="631" t="n"/>
      <c r="K660" s="634" t="n"/>
      <c r="L660" s="635" t="n"/>
      <c r="M660" s="636" t="n"/>
    </row>
    <row r="661">
      <c r="A661" s="540" t="n"/>
      <c r="B661" s="630" t="n"/>
      <c r="C661" s="631" t="n"/>
      <c r="D661" s="631" t="n"/>
      <c r="E661" s="631" t="n"/>
      <c r="F661" s="631" t="n"/>
      <c r="G661" s="632" t="n"/>
      <c r="H661" s="633" t="n"/>
      <c r="I661" s="631" t="n"/>
      <c r="J661" s="631" t="n"/>
      <c r="K661" s="634" t="n"/>
      <c r="L661" s="635" t="n"/>
      <c r="M661" s="636" t="n"/>
    </row>
    <row r="662">
      <c r="A662" s="540" t="n"/>
      <c r="B662" s="630" t="n"/>
      <c r="C662" s="631" t="n"/>
      <c r="D662" s="631" t="n"/>
      <c r="E662" s="631" t="n"/>
      <c r="F662" s="631" t="n"/>
      <c r="G662" s="632" t="n"/>
      <c r="H662" s="633" t="n"/>
      <c r="I662" s="631" t="n"/>
      <c r="J662" s="631" t="n"/>
      <c r="K662" s="634" t="n"/>
      <c r="L662" s="635" t="n"/>
      <c r="M662" s="636" t="n"/>
    </row>
    <row r="663">
      <c r="A663" s="540" t="n"/>
      <c r="B663" s="630" t="n"/>
      <c r="C663" s="631" t="n"/>
      <c r="D663" s="631" t="n"/>
      <c r="E663" s="631" t="n"/>
      <c r="F663" s="631" t="n"/>
      <c r="G663" s="632" t="n"/>
      <c r="H663" s="633" t="n"/>
      <c r="I663" s="631" t="n"/>
      <c r="J663" s="631" t="n"/>
      <c r="K663" s="634" t="n"/>
      <c r="L663" s="635" t="n"/>
      <c r="M663" s="636" t="n"/>
    </row>
    <row r="664">
      <c r="A664" s="540" t="n"/>
      <c r="B664" s="630" t="n"/>
      <c r="C664" s="631" t="n"/>
      <c r="D664" s="631" t="n"/>
      <c r="E664" s="631" t="n"/>
      <c r="F664" s="631" t="n"/>
      <c r="G664" s="632" t="n"/>
      <c r="H664" s="633" t="n"/>
      <c r="I664" s="631" t="n"/>
      <c r="J664" s="631" t="n"/>
      <c r="K664" s="634" t="n"/>
      <c r="L664" s="635" t="n"/>
      <c r="M664" s="636" t="n"/>
    </row>
    <row r="665">
      <c r="A665" s="540" t="n"/>
      <c r="B665" s="630" t="n"/>
      <c r="C665" s="631" t="n"/>
      <c r="D665" s="631" t="n"/>
      <c r="E665" s="631" t="n"/>
      <c r="F665" s="631" t="n"/>
      <c r="G665" s="632" t="n"/>
      <c r="H665" s="633" t="n"/>
      <c r="I665" s="631" t="n"/>
      <c r="J665" s="631" t="n"/>
      <c r="K665" s="634" t="n"/>
      <c r="L665" s="635" t="n"/>
      <c r="M665" s="636" t="n"/>
    </row>
    <row r="666">
      <c r="A666" s="540" t="n"/>
      <c r="B666" s="630" t="n"/>
      <c r="C666" s="631" t="n"/>
      <c r="D666" s="631" t="n"/>
      <c r="E666" s="631" t="n"/>
      <c r="F666" s="631" t="n"/>
      <c r="G666" s="632" t="n"/>
      <c r="H666" s="633" t="n"/>
      <c r="I666" s="631" t="n"/>
      <c r="J666" s="631" t="n"/>
      <c r="K666" s="634" t="n"/>
      <c r="L666" s="635" t="n"/>
      <c r="M666" s="636" t="n"/>
    </row>
    <row r="667">
      <c r="A667" s="540" t="n"/>
      <c r="B667" s="630" t="n"/>
      <c r="C667" s="631" t="n"/>
      <c r="D667" s="631" t="n"/>
      <c r="E667" s="631" t="n"/>
      <c r="F667" s="631" t="n"/>
      <c r="G667" s="632" t="n"/>
      <c r="H667" s="633" t="n"/>
      <c r="I667" s="631" t="n"/>
      <c r="J667" s="631" t="n"/>
      <c r="K667" s="634" t="n"/>
      <c r="L667" s="635" t="n"/>
      <c r="M667" s="636" t="n"/>
    </row>
    <row r="668">
      <c r="A668" s="540" t="n"/>
      <c r="B668" s="630" t="n"/>
      <c r="C668" s="631" t="n"/>
      <c r="D668" s="631" t="n"/>
      <c r="E668" s="631" t="n"/>
      <c r="F668" s="631" t="n"/>
      <c r="G668" s="632" t="n"/>
      <c r="H668" s="633" t="n"/>
      <c r="I668" s="631" t="n"/>
      <c r="J668" s="631" t="n"/>
      <c r="K668" s="634" t="n"/>
      <c r="L668" s="635" t="n"/>
      <c r="M668" s="636" t="n"/>
    </row>
    <row r="669">
      <c r="A669" s="540" t="n"/>
      <c r="B669" s="630" t="n"/>
      <c r="C669" s="631" t="n"/>
      <c r="D669" s="631" t="n"/>
      <c r="E669" s="631" t="n"/>
      <c r="F669" s="631" t="n"/>
      <c r="G669" s="632" t="n"/>
      <c r="H669" s="633" t="n"/>
      <c r="I669" s="631" t="n"/>
      <c r="J669" s="631" t="n"/>
      <c r="K669" s="634" t="n"/>
      <c r="L669" s="635" t="n"/>
      <c r="M669" s="636" t="n"/>
    </row>
    <row r="670">
      <c r="A670" s="540" t="n"/>
      <c r="B670" s="630" t="n"/>
      <c r="C670" s="631" t="n"/>
      <c r="D670" s="631" t="n"/>
      <c r="E670" s="631" t="n"/>
      <c r="F670" s="631" t="n"/>
      <c r="G670" s="632" t="n"/>
      <c r="H670" s="633" t="n"/>
      <c r="I670" s="631" t="n"/>
      <c r="J670" s="631" t="n"/>
      <c r="K670" s="634" t="n"/>
      <c r="L670" s="635" t="n"/>
      <c r="M670" s="636" t="n"/>
    </row>
    <row r="671">
      <c r="A671" s="540" t="n"/>
      <c r="B671" s="630" t="n"/>
      <c r="C671" s="631" t="n"/>
      <c r="D671" s="631" t="n"/>
      <c r="E671" s="631" t="n"/>
      <c r="F671" s="631" t="n"/>
      <c r="G671" s="632" t="n"/>
      <c r="H671" s="633" t="n"/>
      <c r="I671" s="631" t="n"/>
      <c r="J671" s="631" t="n"/>
      <c r="K671" s="634" t="n"/>
      <c r="L671" s="635" t="n"/>
      <c r="M671" s="636" t="n"/>
    </row>
    <row r="672">
      <c r="A672" s="540" t="n"/>
      <c r="B672" s="630" t="n"/>
      <c r="C672" s="631" t="n"/>
      <c r="D672" s="631" t="n"/>
      <c r="E672" s="631" t="n"/>
      <c r="F672" s="631" t="n"/>
      <c r="G672" s="632" t="n"/>
      <c r="H672" s="633" t="n"/>
      <c r="I672" s="631" t="n"/>
      <c r="J672" s="631" t="n"/>
      <c r="K672" s="634" t="n"/>
      <c r="L672" s="635" t="n"/>
      <c r="M672" s="636" t="n"/>
    </row>
    <row r="673">
      <c r="A673" s="540" t="n"/>
      <c r="B673" s="630" t="n"/>
      <c r="C673" s="631" t="n"/>
      <c r="D673" s="631" t="n"/>
      <c r="E673" s="631" t="n"/>
      <c r="F673" s="631" t="n"/>
      <c r="G673" s="632" t="n"/>
      <c r="H673" s="633" t="n"/>
      <c r="I673" s="631" t="n"/>
      <c r="J673" s="631" t="n"/>
      <c r="K673" s="634" t="n"/>
      <c r="L673" s="635" t="n"/>
      <c r="M673" s="636" t="n"/>
    </row>
    <row r="674">
      <c r="A674" s="540" t="n"/>
      <c r="B674" s="630" t="n"/>
      <c r="C674" s="631" t="n"/>
      <c r="D674" s="631" t="n"/>
      <c r="E674" s="631" t="n"/>
      <c r="F674" s="631" t="n"/>
      <c r="G674" s="632" t="n"/>
      <c r="H674" s="633" t="n"/>
      <c r="I674" s="631" t="n"/>
      <c r="J674" s="631" t="n"/>
      <c r="K674" s="634" t="n"/>
      <c r="L674" s="635" t="n"/>
      <c r="M674" s="636" t="n"/>
    </row>
    <row r="675">
      <c r="A675" s="540" t="n"/>
      <c r="B675" s="630" t="n"/>
      <c r="C675" s="631" t="n"/>
      <c r="D675" s="631" t="n"/>
      <c r="E675" s="631" t="n"/>
      <c r="F675" s="631" t="n"/>
      <c r="G675" s="632" t="n"/>
      <c r="H675" s="633" t="n"/>
      <c r="I675" s="631" t="n"/>
      <c r="J675" s="631" t="n"/>
      <c r="K675" s="634" t="n"/>
      <c r="L675" s="635" t="n"/>
      <c r="M675" s="636" t="n"/>
    </row>
    <row r="676">
      <c r="A676" s="540" t="n"/>
      <c r="B676" s="630" t="n"/>
      <c r="C676" s="631" t="n"/>
      <c r="D676" s="631" t="n"/>
      <c r="E676" s="631" t="n"/>
      <c r="F676" s="631" t="n"/>
      <c r="G676" s="632" t="n"/>
      <c r="H676" s="633" t="n"/>
      <c r="I676" s="631" t="n"/>
      <c r="J676" s="631" t="n"/>
      <c r="K676" s="634" t="n"/>
      <c r="L676" s="635" t="n"/>
      <c r="M676" s="636" t="n"/>
    </row>
    <row r="677">
      <c r="A677" s="540" t="n"/>
      <c r="B677" s="630" t="n"/>
      <c r="C677" s="631" t="n"/>
      <c r="D677" s="631" t="n"/>
      <c r="E677" s="631" t="n"/>
      <c r="F677" s="631" t="n"/>
      <c r="G677" s="632" t="n"/>
      <c r="H677" s="633" t="n"/>
      <c r="I677" s="631" t="n"/>
      <c r="J677" s="631" t="n"/>
      <c r="K677" s="634" t="n"/>
      <c r="L677" s="635" t="n"/>
      <c r="M677" s="636" t="n"/>
    </row>
    <row r="678">
      <c r="A678" s="540" t="n"/>
      <c r="B678" s="630" t="n"/>
      <c r="C678" s="631" t="n"/>
      <c r="D678" s="631" t="n"/>
      <c r="E678" s="631" t="n"/>
      <c r="F678" s="631" t="n"/>
      <c r="G678" s="632" t="n"/>
      <c r="H678" s="633" t="n"/>
      <c r="I678" s="631" t="n"/>
      <c r="J678" s="631" t="n"/>
      <c r="K678" s="634" t="n"/>
      <c r="L678" s="635" t="n"/>
      <c r="M678" s="636" t="n"/>
    </row>
    <row r="679">
      <c r="A679" s="540" t="n"/>
      <c r="B679" s="630" t="n"/>
      <c r="C679" s="631" t="n"/>
      <c r="D679" s="631" t="n"/>
      <c r="E679" s="631" t="n"/>
      <c r="F679" s="631" t="n"/>
      <c r="G679" s="632" t="n"/>
      <c r="H679" s="633" t="n"/>
      <c r="I679" s="631" t="n"/>
      <c r="J679" s="631" t="n"/>
      <c r="K679" s="634" t="n"/>
      <c r="L679" s="635" t="n"/>
      <c r="M679" s="636" t="n"/>
    </row>
    <row r="680">
      <c r="A680" s="540" t="n"/>
      <c r="B680" s="630" t="n"/>
      <c r="C680" s="631" t="n"/>
      <c r="D680" s="631" t="n"/>
      <c r="E680" s="631" t="n"/>
      <c r="F680" s="631" t="n"/>
      <c r="G680" s="632" t="n"/>
      <c r="H680" s="633" t="n"/>
      <c r="I680" s="631" t="n"/>
      <c r="J680" s="631" t="n"/>
      <c r="K680" s="634" t="n"/>
      <c r="L680" s="635" t="n"/>
      <c r="M680" s="636" t="n"/>
    </row>
    <row r="681">
      <c r="A681" s="540" t="n"/>
      <c r="B681" s="630" t="n"/>
      <c r="C681" s="631" t="n"/>
      <c r="D681" s="631" t="n"/>
      <c r="E681" s="631" t="n"/>
      <c r="F681" s="631" t="n"/>
      <c r="G681" s="632" t="n"/>
      <c r="H681" s="633" t="n"/>
      <c r="I681" s="631" t="n"/>
      <c r="J681" s="631" t="n"/>
      <c r="K681" s="634" t="n"/>
      <c r="L681" s="635" t="n"/>
      <c r="M681" s="636" t="n"/>
    </row>
    <row r="682">
      <c r="A682" s="540" t="n"/>
      <c r="B682" s="630" t="n"/>
      <c r="C682" s="631" t="n"/>
      <c r="D682" s="631" t="n"/>
      <c r="E682" s="631" t="n"/>
      <c r="F682" s="631" t="n"/>
      <c r="G682" s="632" t="n"/>
      <c r="H682" s="633" t="n"/>
      <c r="I682" s="631" t="n"/>
      <c r="J682" s="631" t="n"/>
      <c r="K682" s="634" t="n"/>
      <c r="L682" s="635" t="n"/>
      <c r="M682" s="636" t="n"/>
    </row>
    <row r="683">
      <c r="A683" s="540" t="n"/>
      <c r="B683" s="630" t="n"/>
      <c r="C683" s="631" t="n"/>
      <c r="D683" s="631" t="n"/>
      <c r="E683" s="631" t="n"/>
      <c r="F683" s="631" t="n"/>
      <c r="G683" s="632" t="n"/>
      <c r="H683" s="633" t="n"/>
      <c r="I683" s="631" t="n"/>
      <c r="J683" s="631" t="n"/>
      <c r="K683" s="634" t="n"/>
      <c r="L683" s="635" t="n"/>
      <c r="M683" s="636" t="n"/>
    </row>
    <row r="684">
      <c r="A684" s="540" t="n"/>
      <c r="B684" s="630" t="n"/>
      <c r="C684" s="631" t="n"/>
      <c r="D684" s="631" t="n"/>
      <c r="E684" s="631" t="n"/>
      <c r="F684" s="631" t="n"/>
      <c r="G684" s="632" t="n"/>
      <c r="H684" s="633" t="n"/>
      <c r="I684" s="631" t="n"/>
      <c r="J684" s="631" t="n"/>
      <c r="K684" s="634" t="n"/>
      <c r="L684" s="635" t="n"/>
      <c r="M684" s="636" t="n"/>
    </row>
    <row r="685">
      <c r="A685" s="540" t="n"/>
      <c r="B685" s="630" t="n"/>
      <c r="C685" s="631" t="n"/>
      <c r="D685" s="631" t="n"/>
      <c r="E685" s="631" t="n"/>
      <c r="F685" s="631" t="n"/>
      <c r="G685" s="632" t="n"/>
      <c r="H685" s="633" t="n"/>
      <c r="I685" s="631" t="n"/>
      <c r="J685" s="631" t="n"/>
      <c r="K685" s="634" t="n"/>
      <c r="L685" s="635" t="n"/>
      <c r="M685" s="636" t="n"/>
    </row>
    <row r="686">
      <c r="A686" s="540" t="n"/>
      <c r="B686" s="630" t="n"/>
      <c r="C686" s="631" t="n"/>
      <c r="D686" s="631" t="n"/>
      <c r="E686" s="631" t="n"/>
      <c r="F686" s="631" t="n"/>
      <c r="G686" s="632" t="n"/>
      <c r="H686" s="633" t="n"/>
      <c r="I686" s="631" t="n"/>
      <c r="J686" s="631" t="n"/>
      <c r="K686" s="634" t="n"/>
      <c r="L686" s="635" t="n"/>
      <c r="M686" s="636" t="n"/>
    </row>
    <row r="687">
      <c r="A687" s="540" t="n"/>
      <c r="B687" s="630" t="n"/>
      <c r="C687" s="631" t="n"/>
      <c r="D687" s="631" t="n"/>
      <c r="E687" s="631" t="n"/>
      <c r="F687" s="631" t="n"/>
      <c r="G687" s="632" t="n"/>
      <c r="H687" s="633" t="n"/>
      <c r="I687" s="631" t="n"/>
      <c r="J687" s="631" t="n"/>
      <c r="K687" s="634" t="n"/>
      <c r="L687" s="635" t="n"/>
      <c r="M687" s="636" t="n"/>
    </row>
    <row r="688">
      <c r="A688" s="540" t="n"/>
      <c r="B688" s="630" t="n"/>
      <c r="C688" s="631" t="n"/>
      <c r="D688" s="631" t="n"/>
      <c r="E688" s="631" t="n"/>
      <c r="F688" s="631" t="n"/>
      <c r="G688" s="632" t="n"/>
      <c r="H688" s="633" t="n"/>
      <c r="I688" s="631" t="n"/>
      <c r="J688" s="631" t="n"/>
      <c r="K688" s="634" t="n"/>
      <c r="L688" s="635" t="n"/>
      <c r="M688" s="636" t="n"/>
    </row>
    <row r="689">
      <c r="A689" s="540" t="n"/>
      <c r="B689" s="630" t="n"/>
      <c r="C689" s="631" t="n"/>
      <c r="D689" s="631" t="n"/>
      <c r="E689" s="631" t="n"/>
      <c r="F689" s="631" t="n"/>
      <c r="G689" s="632" t="n"/>
      <c r="H689" s="633" t="n"/>
      <c r="I689" s="631" t="n"/>
      <c r="J689" s="631" t="n"/>
      <c r="K689" s="634" t="n"/>
      <c r="L689" s="635" t="n"/>
      <c r="M689" s="636" t="n"/>
    </row>
    <row r="690">
      <c r="A690" s="540" t="n"/>
      <c r="B690" s="630" t="n"/>
      <c r="C690" s="631" t="n"/>
      <c r="D690" s="631" t="n"/>
      <c r="E690" s="631" t="n"/>
      <c r="F690" s="631" t="n"/>
      <c r="G690" s="632" t="n"/>
      <c r="H690" s="633" t="n"/>
      <c r="I690" s="631" t="n"/>
      <c r="J690" s="631" t="n"/>
      <c r="K690" s="634" t="n"/>
      <c r="L690" s="635" t="n"/>
      <c r="M690" s="636" t="n"/>
    </row>
    <row r="691">
      <c r="A691" s="540" t="n"/>
      <c r="B691" s="630" t="n"/>
      <c r="C691" s="631" t="n"/>
      <c r="D691" s="631" t="n"/>
      <c r="E691" s="631" t="n"/>
      <c r="F691" s="631" t="n"/>
      <c r="G691" s="632" t="n"/>
      <c r="H691" s="633" t="n"/>
      <c r="I691" s="631" t="n"/>
      <c r="J691" s="631" t="n"/>
      <c r="K691" s="634" t="n"/>
      <c r="L691" s="635" t="n"/>
      <c r="M691" s="636" t="n"/>
    </row>
    <row r="692">
      <c r="A692" s="540" t="n"/>
      <c r="B692" s="630" t="n"/>
      <c r="C692" s="631" t="n"/>
      <c r="D692" s="631" t="n"/>
      <c r="E692" s="631" t="n"/>
      <c r="F692" s="631" t="n"/>
      <c r="G692" s="632" t="n"/>
      <c r="H692" s="633" t="n"/>
      <c r="I692" s="631" t="n"/>
      <c r="J692" s="631" t="n"/>
      <c r="K692" s="634" t="n"/>
      <c r="L692" s="635" t="n"/>
      <c r="M692" s="636" t="n"/>
    </row>
    <row r="693">
      <c r="A693" s="540" t="n"/>
      <c r="B693" s="630" t="n"/>
      <c r="C693" s="631" t="n"/>
      <c r="D693" s="631" t="n"/>
      <c r="E693" s="631" t="n"/>
      <c r="F693" s="631" t="n"/>
      <c r="G693" s="632" t="n"/>
      <c r="H693" s="633" t="n"/>
      <c r="I693" s="631" t="n"/>
      <c r="J693" s="631" t="n"/>
      <c r="K693" s="634" t="n"/>
      <c r="L693" s="635" t="n"/>
      <c r="M693" s="636" t="n"/>
    </row>
    <row r="694">
      <c r="A694" s="540" t="n"/>
      <c r="B694" s="630" t="n"/>
      <c r="C694" s="631" t="n"/>
      <c r="D694" s="631" t="n"/>
      <c r="E694" s="631" t="n"/>
      <c r="F694" s="631" t="n"/>
      <c r="G694" s="632" t="n"/>
      <c r="H694" s="633" t="n"/>
      <c r="I694" s="631" t="n"/>
      <c r="J694" s="631" t="n"/>
      <c r="K694" s="634" t="n"/>
      <c r="L694" s="635" t="n"/>
      <c r="M694" s="636" t="n"/>
    </row>
    <row r="695">
      <c r="A695" s="540" t="n"/>
      <c r="B695" s="630" t="n"/>
      <c r="C695" s="631" t="n"/>
      <c r="D695" s="631" t="n"/>
      <c r="E695" s="631" t="n"/>
      <c r="F695" s="631" t="n"/>
      <c r="G695" s="632" t="n"/>
      <c r="H695" s="633" t="n"/>
      <c r="I695" s="631" t="n"/>
      <c r="J695" s="631" t="n"/>
      <c r="K695" s="634" t="n"/>
      <c r="L695" s="635" t="n"/>
      <c r="M695" s="636" t="n"/>
    </row>
    <row r="696">
      <c r="A696" s="540" t="n"/>
      <c r="B696" s="630" t="n"/>
      <c r="C696" s="631" t="n"/>
      <c r="D696" s="631" t="n"/>
      <c r="E696" s="631" t="n"/>
      <c r="F696" s="631" t="n"/>
      <c r="G696" s="632" t="n"/>
      <c r="H696" s="633" t="n"/>
      <c r="I696" s="631" t="n"/>
      <c r="J696" s="631" t="n"/>
      <c r="K696" s="634" t="n"/>
      <c r="L696" s="635" t="n"/>
      <c r="M696" s="636" t="n"/>
    </row>
    <row r="697">
      <c r="A697" s="540" t="n"/>
      <c r="B697" s="630" t="n"/>
      <c r="C697" s="631" t="n"/>
      <c r="D697" s="631" t="n"/>
      <c r="E697" s="631" t="n"/>
      <c r="F697" s="631" t="n"/>
      <c r="G697" s="632" t="n"/>
      <c r="H697" s="633" t="n"/>
      <c r="I697" s="631" t="n"/>
      <c r="J697" s="631" t="n"/>
      <c r="K697" s="634" t="n"/>
      <c r="L697" s="635" t="n"/>
      <c r="M697" s="636" t="n"/>
    </row>
    <row r="698">
      <c r="A698" s="540" t="n"/>
      <c r="B698" s="630" t="n"/>
      <c r="C698" s="631" t="n"/>
      <c r="D698" s="631" t="n"/>
      <c r="E698" s="631" t="n"/>
      <c r="F698" s="631" t="n"/>
      <c r="G698" s="632" t="n"/>
      <c r="H698" s="633" t="n"/>
      <c r="I698" s="631" t="n"/>
      <c r="J698" s="631" t="n"/>
      <c r="K698" s="634" t="n"/>
      <c r="L698" s="635" t="n"/>
      <c r="M698" s="636" t="n"/>
    </row>
    <row r="699">
      <c r="A699" s="540" t="n"/>
      <c r="B699" s="630" t="n"/>
      <c r="C699" s="631" t="n"/>
      <c r="D699" s="631" t="n"/>
      <c r="E699" s="631" t="n"/>
      <c r="F699" s="631" t="n"/>
      <c r="G699" s="632" t="n"/>
      <c r="H699" s="633" t="n"/>
      <c r="I699" s="631" t="n"/>
      <c r="J699" s="631" t="n"/>
      <c r="K699" s="634" t="n"/>
      <c r="L699" s="635" t="n"/>
      <c r="M699" s="636" t="n"/>
    </row>
    <row r="700">
      <c r="A700" s="540" t="n"/>
      <c r="B700" s="630" t="n"/>
      <c r="C700" s="631" t="n"/>
      <c r="D700" s="631" t="n"/>
      <c r="E700" s="631" t="n"/>
      <c r="F700" s="631" t="n"/>
      <c r="G700" s="632" t="n"/>
      <c r="H700" s="633" t="n"/>
      <c r="I700" s="631" t="n"/>
      <c r="J700" s="631" t="n"/>
      <c r="K700" s="634" t="n"/>
      <c r="L700" s="635" t="n"/>
      <c r="M700" s="636" t="n"/>
    </row>
    <row r="701">
      <c r="A701" s="540" t="n"/>
      <c r="B701" s="630" t="n"/>
      <c r="C701" s="631" t="n"/>
      <c r="D701" s="631" t="n"/>
      <c r="E701" s="631" t="n"/>
      <c r="F701" s="631" t="n"/>
      <c r="G701" s="632" t="n"/>
      <c r="H701" s="633" t="n"/>
      <c r="I701" s="631" t="n"/>
      <c r="J701" s="631" t="n"/>
      <c r="K701" s="634" t="n"/>
      <c r="L701" s="635" t="n"/>
      <c r="M701" s="636" t="n"/>
    </row>
    <row r="702">
      <c r="A702" s="540" t="n"/>
      <c r="B702" s="630" t="n"/>
      <c r="C702" s="631" t="n"/>
      <c r="D702" s="631" t="n"/>
      <c r="E702" s="631" t="n"/>
      <c r="F702" s="631" t="n"/>
      <c r="G702" s="632" t="n"/>
      <c r="H702" s="633" t="n"/>
      <c r="I702" s="631" t="n"/>
      <c r="J702" s="631" t="n"/>
      <c r="K702" s="634" t="n"/>
      <c r="L702" s="635" t="n"/>
      <c r="M702" s="636" t="n"/>
    </row>
    <row r="703">
      <c r="A703" s="540" t="n"/>
      <c r="B703" s="630" t="n"/>
      <c r="C703" s="631" t="n"/>
      <c r="D703" s="631" t="n"/>
      <c r="E703" s="631" t="n"/>
      <c r="F703" s="631" t="n"/>
      <c r="G703" s="632" t="n"/>
      <c r="H703" s="633" t="n"/>
      <c r="I703" s="631" t="n"/>
      <c r="J703" s="631" t="n"/>
      <c r="K703" s="634" t="n"/>
      <c r="L703" s="635" t="n"/>
      <c r="M703" s="636" t="n"/>
    </row>
    <row r="704">
      <c r="A704" s="540" t="n"/>
      <c r="B704" s="630" t="n"/>
      <c r="C704" s="631" t="n"/>
      <c r="D704" s="631" t="n"/>
      <c r="E704" s="631" t="n"/>
      <c r="F704" s="631" t="n"/>
      <c r="G704" s="632" t="n"/>
      <c r="H704" s="633" t="n"/>
      <c r="I704" s="631" t="n"/>
      <c r="J704" s="631" t="n"/>
      <c r="K704" s="634" t="n"/>
      <c r="L704" s="635" t="n"/>
      <c r="M704" s="636" t="n"/>
    </row>
    <row r="705">
      <c r="A705" s="540" t="n"/>
      <c r="B705" s="630" t="n"/>
      <c r="C705" s="631" t="n"/>
      <c r="D705" s="631" t="n"/>
      <c r="E705" s="631" t="n"/>
      <c r="F705" s="631" t="n"/>
      <c r="G705" s="632" t="n"/>
      <c r="H705" s="633" t="n"/>
      <c r="I705" s="631" t="n"/>
      <c r="J705" s="631" t="n"/>
      <c r="K705" s="634" t="n"/>
      <c r="L705" s="635" t="n"/>
      <c r="M705" s="636" t="n"/>
    </row>
    <row r="706">
      <c r="A706" s="540" t="n"/>
      <c r="B706" s="630" t="n"/>
      <c r="C706" s="631" t="n"/>
      <c r="D706" s="631" t="n"/>
      <c r="E706" s="631" t="n"/>
      <c r="F706" s="631" t="n"/>
      <c r="G706" s="632" t="n"/>
      <c r="H706" s="633" t="n"/>
      <c r="I706" s="631" t="n"/>
      <c r="J706" s="631" t="n"/>
      <c r="K706" s="634" t="n"/>
      <c r="L706" s="635" t="n"/>
      <c r="M706" s="636" t="n"/>
    </row>
    <row r="707">
      <c r="A707" s="540" t="n"/>
      <c r="B707" s="630" t="n"/>
      <c r="C707" s="631" t="n"/>
      <c r="D707" s="631" t="n"/>
      <c r="E707" s="631" t="n"/>
      <c r="F707" s="631" t="n"/>
      <c r="G707" s="632" t="n"/>
      <c r="H707" s="633" t="n"/>
      <c r="I707" s="631" t="n"/>
      <c r="J707" s="631" t="n"/>
      <c r="K707" s="634" t="n"/>
      <c r="L707" s="635" t="n"/>
      <c r="M707" s="636" t="n"/>
    </row>
    <row r="708">
      <c r="A708" s="540" t="n"/>
      <c r="B708" s="630" t="n"/>
      <c r="C708" s="631" t="n"/>
      <c r="D708" s="631" t="n"/>
      <c r="E708" s="631" t="n"/>
      <c r="F708" s="631" t="n"/>
      <c r="G708" s="632" t="n"/>
      <c r="H708" s="633" t="n"/>
      <c r="I708" s="631" t="n"/>
      <c r="J708" s="631" t="n"/>
      <c r="K708" s="634" t="n"/>
      <c r="L708" s="635" t="n"/>
      <c r="M708" s="636" t="n"/>
    </row>
    <row r="709">
      <c r="A709" s="540" t="n"/>
      <c r="B709" s="630" t="n"/>
      <c r="C709" s="631" t="n"/>
      <c r="D709" s="631" t="n"/>
      <c r="E709" s="631" t="n"/>
      <c r="F709" s="631" t="n"/>
      <c r="G709" s="632" t="n"/>
      <c r="H709" s="633" t="n"/>
      <c r="I709" s="631" t="n"/>
      <c r="J709" s="631" t="n"/>
      <c r="K709" s="634" t="n"/>
      <c r="L709" s="635" t="n"/>
      <c r="M709" s="636" t="n"/>
    </row>
    <row r="710">
      <c r="A710" s="540" t="n"/>
      <c r="B710" s="630" t="n"/>
      <c r="C710" s="631" t="n"/>
      <c r="D710" s="631" t="n"/>
      <c r="E710" s="631" t="n"/>
      <c r="F710" s="631" t="n"/>
      <c r="G710" s="632" t="n"/>
      <c r="H710" s="633" t="n"/>
      <c r="I710" s="631" t="n"/>
      <c r="J710" s="631" t="n"/>
      <c r="K710" s="634" t="n"/>
      <c r="L710" s="635" t="n"/>
      <c r="M710" s="636" t="n"/>
    </row>
    <row r="711">
      <c r="A711" s="540" t="n"/>
      <c r="B711" s="630" t="n"/>
      <c r="C711" s="631" t="n"/>
      <c r="D711" s="631" t="n"/>
      <c r="E711" s="631" t="n"/>
      <c r="F711" s="631" t="n"/>
      <c r="G711" s="632" t="n"/>
      <c r="H711" s="633" t="n"/>
      <c r="I711" s="631" t="n"/>
      <c r="J711" s="631" t="n"/>
      <c r="K711" s="634" t="n"/>
      <c r="L711" s="635" t="n"/>
      <c r="M711" s="636" t="n"/>
    </row>
    <row r="712">
      <c r="A712" s="540" t="n"/>
      <c r="B712" s="630" t="n"/>
      <c r="C712" s="631" t="n"/>
      <c r="D712" s="631" t="n"/>
      <c r="E712" s="631" t="n"/>
      <c r="F712" s="631" t="n"/>
      <c r="G712" s="632" t="n"/>
      <c r="H712" s="633" t="n"/>
      <c r="I712" s="631" t="n"/>
      <c r="J712" s="631" t="n"/>
      <c r="K712" s="634" t="n"/>
      <c r="L712" s="635" t="n"/>
      <c r="M712" s="636" t="n"/>
    </row>
    <row r="713">
      <c r="A713" s="540" t="n"/>
      <c r="B713" s="630" t="n"/>
      <c r="C713" s="631" t="n"/>
      <c r="D713" s="631" t="n"/>
      <c r="E713" s="631" t="n"/>
      <c r="F713" s="631" t="n"/>
      <c r="G713" s="632" t="n"/>
      <c r="H713" s="633" t="n"/>
      <c r="I713" s="631" t="n"/>
      <c r="J713" s="631" t="n"/>
      <c r="K713" s="634" t="n"/>
      <c r="L713" s="635" t="n"/>
      <c r="M713" s="636" t="n"/>
    </row>
    <row r="714">
      <c r="A714" s="540" t="n"/>
      <c r="B714" s="630" t="n"/>
      <c r="C714" s="631" t="n"/>
      <c r="D714" s="631" t="n"/>
      <c r="E714" s="631" t="n"/>
      <c r="F714" s="631" t="n"/>
      <c r="G714" s="632" t="n"/>
      <c r="H714" s="633" t="n"/>
      <c r="I714" s="631" t="n"/>
      <c r="J714" s="631" t="n"/>
      <c r="K714" s="634" t="n"/>
      <c r="L714" s="635" t="n"/>
      <c r="M714" s="636" t="n"/>
    </row>
    <row r="715">
      <c r="A715" s="540" t="n"/>
      <c r="B715" s="630" t="n"/>
      <c r="C715" s="631" t="n"/>
      <c r="D715" s="631" t="n"/>
      <c r="E715" s="631" t="n"/>
      <c r="F715" s="631" t="n"/>
      <c r="G715" s="632" t="n"/>
      <c r="H715" s="633" t="n"/>
      <c r="I715" s="631" t="n"/>
      <c r="J715" s="631" t="n"/>
      <c r="K715" s="634" t="n"/>
      <c r="L715" s="635" t="n"/>
      <c r="M715" s="636" t="n"/>
    </row>
    <row r="716">
      <c r="A716" s="540" t="n"/>
      <c r="B716" s="630" t="n"/>
      <c r="C716" s="631" t="n"/>
      <c r="D716" s="631" t="n"/>
      <c r="E716" s="631" t="n"/>
      <c r="F716" s="631" t="n"/>
      <c r="G716" s="632" t="n"/>
      <c r="H716" s="633" t="n"/>
      <c r="I716" s="631" t="n"/>
      <c r="J716" s="631" t="n"/>
      <c r="K716" s="634" t="n"/>
      <c r="L716" s="635" t="n"/>
      <c r="M716" s="636" t="n"/>
    </row>
    <row r="717">
      <c r="A717" s="540" t="n"/>
      <c r="B717" s="630" t="n"/>
      <c r="C717" s="631" t="n"/>
      <c r="D717" s="631" t="n"/>
      <c r="E717" s="631" t="n"/>
      <c r="F717" s="631" t="n"/>
      <c r="G717" s="632" t="n"/>
      <c r="H717" s="633" t="n"/>
      <c r="I717" s="631" t="n"/>
      <c r="J717" s="631" t="n"/>
      <c r="K717" s="634" t="n"/>
      <c r="L717" s="635" t="n"/>
      <c r="M717" s="636" t="n"/>
    </row>
    <row r="718">
      <c r="A718" s="540" t="n"/>
      <c r="B718" s="630" t="n"/>
      <c r="C718" s="631" t="n"/>
      <c r="D718" s="631" t="n"/>
      <c r="E718" s="631" t="n"/>
      <c r="F718" s="631" t="n"/>
      <c r="G718" s="632" t="n"/>
      <c r="H718" s="633" t="n"/>
      <c r="I718" s="631" t="n"/>
      <c r="J718" s="631" t="n"/>
      <c r="K718" s="634" t="n"/>
      <c r="L718" s="635" t="n"/>
      <c r="M718" s="636" t="n"/>
    </row>
    <row r="719">
      <c r="A719" s="540" t="n"/>
      <c r="B719" s="630" t="n"/>
      <c r="C719" s="631" t="n"/>
      <c r="D719" s="631" t="n"/>
      <c r="E719" s="631" t="n"/>
      <c r="F719" s="631" t="n"/>
      <c r="G719" s="632" t="n"/>
      <c r="H719" s="633" t="n"/>
      <c r="I719" s="631" t="n"/>
      <c r="J719" s="631" t="n"/>
      <c r="K719" s="634" t="n"/>
      <c r="L719" s="635" t="n"/>
      <c r="M719" s="636" t="n"/>
    </row>
    <row r="720">
      <c r="A720" s="540" t="n"/>
      <c r="B720" s="630" t="n"/>
      <c r="C720" s="631" t="n"/>
      <c r="D720" s="631" t="n"/>
      <c r="E720" s="631" t="n"/>
      <c r="F720" s="631" t="n"/>
      <c r="G720" s="632" t="n"/>
      <c r="H720" s="633" t="n"/>
      <c r="I720" s="631" t="n"/>
      <c r="J720" s="631" t="n"/>
      <c r="K720" s="634" t="n"/>
      <c r="L720" s="635" t="n"/>
      <c r="M720" s="636" t="n"/>
    </row>
    <row r="721">
      <c r="A721" s="540" t="n"/>
      <c r="B721" s="630" t="n"/>
      <c r="C721" s="631" t="n"/>
      <c r="D721" s="631" t="n"/>
      <c r="E721" s="631" t="n"/>
      <c r="F721" s="631" t="n"/>
      <c r="G721" s="632" t="n"/>
      <c r="H721" s="633" t="n"/>
      <c r="I721" s="631" t="n"/>
      <c r="J721" s="631" t="n"/>
      <c r="K721" s="634" t="n"/>
      <c r="L721" s="635" t="n"/>
      <c r="M721" s="636" t="n"/>
    </row>
    <row r="722">
      <c r="A722" s="540" t="n"/>
      <c r="B722" s="630" t="n"/>
      <c r="C722" s="631" t="n"/>
      <c r="D722" s="631" t="n"/>
      <c r="E722" s="631" t="n"/>
      <c r="F722" s="631" t="n"/>
      <c r="G722" s="632" t="n"/>
      <c r="H722" s="633" t="n"/>
      <c r="I722" s="631" t="n"/>
      <c r="J722" s="631" t="n"/>
      <c r="K722" s="634" t="n"/>
      <c r="L722" s="635" t="n"/>
      <c r="M722" s="636" t="n"/>
    </row>
    <row r="723">
      <c r="A723" s="540" t="n"/>
      <c r="B723" s="630" t="n"/>
      <c r="C723" s="631" t="n"/>
      <c r="D723" s="631" t="n"/>
      <c r="E723" s="631" t="n"/>
      <c r="F723" s="631" t="n"/>
      <c r="G723" s="632" t="n"/>
      <c r="H723" s="633" t="n"/>
      <c r="I723" s="631" t="n"/>
      <c r="J723" s="631" t="n"/>
      <c r="K723" s="634" t="n"/>
      <c r="L723" s="635" t="n"/>
      <c r="M723" s="636" t="n"/>
    </row>
    <row r="724">
      <c r="A724" s="540" t="n"/>
      <c r="B724" s="630" t="n"/>
      <c r="C724" s="631" t="n"/>
      <c r="D724" s="631" t="n"/>
      <c r="E724" s="631" t="n"/>
      <c r="F724" s="631" t="n"/>
      <c r="G724" s="632" t="n"/>
      <c r="H724" s="633" t="n"/>
      <c r="I724" s="631" t="n"/>
      <c r="J724" s="631" t="n"/>
      <c r="K724" s="634" t="n"/>
      <c r="L724" s="635" t="n"/>
      <c r="M724" s="636" t="n"/>
    </row>
    <row r="725">
      <c r="A725" s="540" t="n"/>
      <c r="B725" s="630" t="n"/>
      <c r="C725" s="631" t="n"/>
      <c r="D725" s="631" t="n"/>
      <c r="E725" s="631" t="n"/>
      <c r="F725" s="631" t="n"/>
      <c r="G725" s="632" t="n"/>
      <c r="H725" s="633" t="n"/>
      <c r="I725" s="631" t="n"/>
      <c r="J725" s="631" t="n"/>
      <c r="K725" s="634" t="n"/>
      <c r="L725" s="635" t="n"/>
      <c r="M725" s="636" t="n"/>
    </row>
    <row r="726">
      <c r="A726" s="540" t="n"/>
      <c r="B726" s="630" t="n"/>
      <c r="C726" s="631" t="n"/>
      <c r="D726" s="631" t="n"/>
      <c r="E726" s="631" t="n"/>
      <c r="F726" s="631" t="n"/>
      <c r="G726" s="632" t="n"/>
      <c r="H726" s="633" t="n"/>
      <c r="I726" s="631" t="n"/>
      <c r="J726" s="631" t="n"/>
      <c r="K726" s="634" t="n"/>
      <c r="L726" s="635" t="n"/>
      <c r="M726" s="636" t="n"/>
    </row>
    <row r="727">
      <c r="A727" s="540" t="n"/>
      <c r="B727" s="630" t="n"/>
      <c r="C727" s="631" t="n"/>
      <c r="D727" s="631" t="n"/>
      <c r="E727" s="631" t="n"/>
      <c r="F727" s="631" t="n"/>
      <c r="G727" s="632" t="n"/>
      <c r="H727" s="633" t="n"/>
      <c r="I727" s="631" t="n"/>
      <c r="J727" s="631" t="n"/>
      <c r="K727" s="634" t="n"/>
      <c r="L727" s="635" t="n"/>
      <c r="M727" s="636" t="n"/>
    </row>
    <row r="728">
      <c r="A728" s="540" t="n"/>
      <c r="B728" s="630" t="n"/>
      <c r="C728" s="631" t="n"/>
      <c r="D728" s="631" t="n"/>
      <c r="E728" s="631" t="n"/>
      <c r="F728" s="631" t="n"/>
      <c r="G728" s="632" t="n"/>
      <c r="H728" s="633" t="n"/>
      <c r="I728" s="631" t="n"/>
      <c r="J728" s="631" t="n"/>
      <c r="K728" s="634" t="n"/>
      <c r="L728" s="635" t="n"/>
      <c r="M728" s="636" t="n"/>
    </row>
    <row r="729">
      <c r="A729" s="540" t="n"/>
      <c r="B729" s="630" t="n"/>
      <c r="C729" s="631" t="n"/>
      <c r="D729" s="631" t="n"/>
      <c r="E729" s="631" t="n"/>
      <c r="F729" s="631" t="n"/>
      <c r="G729" s="632" t="n"/>
      <c r="H729" s="633" t="n"/>
      <c r="I729" s="631" t="n"/>
      <c r="J729" s="631" t="n"/>
      <c r="K729" s="634" t="n"/>
      <c r="L729" s="635" t="n"/>
      <c r="M729" s="636" t="n"/>
    </row>
    <row r="730">
      <c r="A730" s="540" t="n"/>
      <c r="B730" s="630" t="n"/>
      <c r="C730" s="631" t="n"/>
      <c r="D730" s="631" t="n"/>
      <c r="E730" s="631" t="n"/>
      <c r="F730" s="631" t="n"/>
      <c r="G730" s="632" t="n"/>
      <c r="H730" s="633" t="n"/>
      <c r="I730" s="631" t="n"/>
      <c r="J730" s="631" t="n"/>
      <c r="K730" s="634" t="n"/>
      <c r="L730" s="635" t="n"/>
      <c r="M730" s="636" t="n"/>
    </row>
    <row r="731">
      <c r="A731" s="540" t="n"/>
      <c r="B731" s="630" t="n"/>
      <c r="C731" s="631" t="n"/>
      <c r="D731" s="631" t="n"/>
      <c r="E731" s="631" t="n"/>
      <c r="F731" s="631" t="n"/>
      <c r="G731" s="632" t="n"/>
      <c r="H731" s="633" t="n"/>
      <c r="I731" s="631" t="n"/>
      <c r="J731" s="631" t="n"/>
      <c r="K731" s="634" t="n"/>
      <c r="L731" s="635" t="n"/>
      <c r="M731" s="636" t="n"/>
    </row>
    <row r="732">
      <c r="A732" s="540" t="n"/>
      <c r="B732" s="630" t="n"/>
      <c r="C732" s="631" t="n"/>
      <c r="D732" s="631" t="n"/>
      <c r="E732" s="631" t="n"/>
      <c r="F732" s="631" t="n"/>
      <c r="G732" s="632" t="n"/>
      <c r="H732" s="633" t="n"/>
      <c r="I732" s="631" t="n"/>
      <c r="J732" s="631" t="n"/>
      <c r="K732" s="634" t="n"/>
      <c r="L732" s="635" t="n"/>
      <c r="M732" s="636" t="n"/>
    </row>
    <row r="733">
      <c r="A733" s="540" t="n"/>
      <c r="B733" s="630" t="n"/>
      <c r="C733" s="631" t="n"/>
      <c r="D733" s="631" t="n"/>
      <c r="E733" s="631" t="n"/>
      <c r="F733" s="631" t="n"/>
      <c r="G733" s="632" t="n"/>
      <c r="H733" s="633" t="n"/>
      <c r="I733" s="631" t="n"/>
      <c r="J733" s="631" t="n"/>
      <c r="K733" s="634" t="n"/>
      <c r="L733" s="635" t="n"/>
      <c r="M733" s="636" t="n"/>
    </row>
    <row r="734">
      <c r="A734" s="540" t="n"/>
      <c r="B734" s="630" t="n"/>
      <c r="C734" s="631" t="n"/>
      <c r="D734" s="631" t="n"/>
      <c r="E734" s="631" t="n"/>
      <c r="F734" s="631" t="n"/>
      <c r="G734" s="632" t="n"/>
      <c r="H734" s="633" t="n"/>
      <c r="I734" s="631" t="n"/>
      <c r="J734" s="631" t="n"/>
      <c r="K734" s="634" t="n"/>
      <c r="L734" s="635" t="n"/>
      <c r="M734" s="636" t="n"/>
    </row>
    <row r="735">
      <c r="A735" s="540" t="n"/>
      <c r="B735" s="630" t="n"/>
      <c r="C735" s="631" t="n"/>
      <c r="D735" s="631" t="n"/>
      <c r="E735" s="631" t="n"/>
      <c r="F735" s="631" t="n"/>
      <c r="G735" s="632" t="n"/>
      <c r="H735" s="633" t="n"/>
      <c r="I735" s="631" t="n"/>
      <c r="J735" s="631" t="n"/>
      <c r="K735" s="634" t="n"/>
      <c r="L735" s="635" t="n"/>
      <c r="M735" s="636" t="n"/>
    </row>
    <row r="736">
      <c r="A736" s="540" t="n"/>
      <c r="B736" s="630" t="n"/>
      <c r="C736" s="631" t="n"/>
      <c r="D736" s="631" t="n"/>
      <c r="E736" s="631" t="n"/>
      <c r="F736" s="631" t="n"/>
      <c r="G736" s="632" t="n"/>
      <c r="H736" s="633" t="n"/>
      <c r="I736" s="631" t="n"/>
      <c r="J736" s="631" t="n"/>
      <c r="K736" s="634" t="n"/>
      <c r="L736" s="635" t="n"/>
      <c r="M736" s="636" t="n"/>
    </row>
    <row r="737">
      <c r="A737" s="540" t="n"/>
      <c r="B737" s="630" t="n"/>
      <c r="C737" s="631" t="n"/>
      <c r="D737" s="631" t="n"/>
      <c r="E737" s="631" t="n"/>
      <c r="F737" s="631" t="n"/>
      <c r="G737" s="632" t="n"/>
      <c r="H737" s="633" t="n"/>
      <c r="I737" s="631" t="n"/>
      <c r="J737" s="631" t="n"/>
      <c r="K737" s="634" t="n"/>
      <c r="L737" s="635" t="n"/>
      <c r="M737" s="636" t="n"/>
    </row>
    <row r="738">
      <c r="A738" s="540" t="n"/>
      <c r="B738" s="630" t="n"/>
      <c r="C738" s="631" t="n"/>
      <c r="D738" s="631" t="n"/>
      <c r="E738" s="631" t="n"/>
      <c r="F738" s="631" t="n"/>
      <c r="G738" s="632" t="n"/>
      <c r="H738" s="633" t="n"/>
      <c r="I738" s="631" t="n"/>
      <c r="J738" s="631" t="n"/>
      <c r="K738" s="634" t="n"/>
      <c r="L738" s="635" t="n"/>
      <c r="M738" s="636" t="n"/>
    </row>
    <row r="739">
      <c r="A739" s="540" t="n"/>
      <c r="B739" s="630" t="n"/>
      <c r="C739" s="631" t="n"/>
      <c r="D739" s="631" t="n"/>
      <c r="E739" s="631" t="n"/>
      <c r="F739" s="631" t="n"/>
      <c r="G739" s="632" t="n"/>
      <c r="H739" s="633" t="n"/>
      <c r="I739" s="631" t="n"/>
      <c r="J739" s="631" t="n"/>
      <c r="K739" s="634" t="n"/>
      <c r="L739" s="635" t="n"/>
      <c r="M739" s="636" t="n"/>
    </row>
    <row r="740">
      <c r="A740" s="540" t="n"/>
      <c r="B740" s="630" t="n"/>
      <c r="C740" s="631" t="n"/>
      <c r="D740" s="631" t="n"/>
      <c r="E740" s="631" t="n"/>
      <c r="F740" s="631" t="n"/>
      <c r="G740" s="632" t="n"/>
      <c r="H740" s="633" t="n"/>
      <c r="I740" s="631" t="n"/>
      <c r="J740" s="631" t="n"/>
      <c r="K740" s="634" t="n"/>
      <c r="L740" s="635" t="n"/>
      <c r="M740" s="636" t="n"/>
    </row>
    <row r="741">
      <c r="A741" s="540" t="n"/>
      <c r="B741" s="630" t="n"/>
      <c r="C741" s="631" t="n"/>
      <c r="D741" s="631" t="n"/>
      <c r="E741" s="631" t="n"/>
      <c r="F741" s="631" t="n"/>
      <c r="G741" s="632" t="n"/>
      <c r="H741" s="633" t="n"/>
      <c r="I741" s="631" t="n"/>
      <c r="J741" s="631" t="n"/>
      <c r="K741" s="634" t="n"/>
      <c r="L741" s="635" t="n"/>
      <c r="M741" s="636" t="n"/>
    </row>
    <row r="742">
      <c r="A742" s="540" t="n"/>
      <c r="B742" s="630" t="n"/>
      <c r="C742" s="631" t="n"/>
      <c r="D742" s="631" t="n"/>
      <c r="E742" s="631" t="n"/>
      <c r="F742" s="631" t="n"/>
      <c r="G742" s="632" t="n"/>
      <c r="H742" s="633" t="n"/>
      <c r="I742" s="631" t="n"/>
      <c r="J742" s="631" t="n"/>
      <c r="K742" s="634" t="n"/>
      <c r="L742" s="635" t="n"/>
      <c r="M742" s="636" t="n"/>
    </row>
    <row r="743">
      <c r="A743" s="540" t="n"/>
      <c r="B743" s="630" t="n"/>
      <c r="C743" s="631" t="n"/>
      <c r="D743" s="631" t="n"/>
      <c r="E743" s="631" t="n"/>
      <c r="F743" s="631" t="n"/>
      <c r="G743" s="632" t="n"/>
      <c r="H743" s="633" t="n"/>
      <c r="I743" s="631" t="n"/>
      <c r="J743" s="631" t="n"/>
      <c r="K743" s="634" t="n"/>
      <c r="L743" s="635" t="n"/>
      <c r="M743" s="636" t="n"/>
    </row>
    <row r="744">
      <c r="A744" s="540" t="n"/>
      <c r="B744" s="630" t="n"/>
      <c r="C744" s="631" t="n"/>
      <c r="D744" s="631" t="n"/>
      <c r="E744" s="631" t="n"/>
      <c r="F744" s="631" t="n"/>
      <c r="G744" s="632" t="n"/>
      <c r="H744" s="633" t="n"/>
      <c r="I744" s="631" t="n"/>
      <c r="J744" s="631" t="n"/>
      <c r="K744" s="634" t="n"/>
      <c r="L744" s="635" t="n"/>
      <c r="M744" s="636" t="n"/>
    </row>
    <row r="745">
      <c r="A745" s="540" t="n"/>
      <c r="B745" s="630" t="n"/>
      <c r="C745" s="631" t="n"/>
      <c r="D745" s="631" t="n"/>
      <c r="E745" s="631" t="n"/>
      <c r="F745" s="631" t="n"/>
      <c r="G745" s="632" t="n"/>
      <c r="H745" s="633" t="n"/>
      <c r="I745" s="631" t="n"/>
      <c r="J745" s="631" t="n"/>
      <c r="K745" s="634" t="n"/>
      <c r="L745" s="635" t="n"/>
      <c r="M745" s="636" t="n"/>
    </row>
    <row r="746">
      <c r="A746" s="540" t="n"/>
      <c r="B746" s="630" t="n"/>
      <c r="C746" s="631" t="n"/>
      <c r="D746" s="631" t="n"/>
      <c r="E746" s="631" t="n"/>
      <c r="F746" s="631" t="n"/>
      <c r="G746" s="632" t="n"/>
      <c r="H746" s="633" t="n"/>
      <c r="I746" s="631" t="n"/>
      <c r="J746" s="631" t="n"/>
      <c r="K746" s="634" t="n"/>
      <c r="L746" s="635" t="n"/>
      <c r="M746" s="636" t="n"/>
    </row>
    <row r="747">
      <c r="A747" s="540" t="n"/>
      <c r="B747" s="630" t="n"/>
      <c r="C747" s="631" t="n"/>
      <c r="D747" s="631" t="n"/>
      <c r="E747" s="631" t="n"/>
      <c r="F747" s="631" t="n"/>
      <c r="G747" s="632" t="n"/>
      <c r="H747" s="633" t="n"/>
      <c r="I747" s="631" t="n"/>
      <c r="J747" s="631" t="n"/>
      <c r="K747" s="634" t="n"/>
      <c r="L747" s="635" t="n"/>
      <c r="M747" s="636" t="n"/>
    </row>
    <row r="748">
      <c r="A748" s="540" t="n"/>
      <c r="B748" s="630" t="n"/>
      <c r="C748" s="631" t="n"/>
      <c r="D748" s="631" t="n"/>
      <c r="E748" s="631" t="n"/>
      <c r="F748" s="631" t="n"/>
      <c r="G748" s="632" t="n"/>
      <c r="H748" s="633" t="n"/>
      <c r="I748" s="631" t="n"/>
      <c r="J748" s="631" t="n"/>
      <c r="K748" s="634" t="n"/>
      <c r="L748" s="635" t="n"/>
      <c r="M748" s="636" t="n"/>
    </row>
    <row r="749">
      <c r="A749" s="540" t="n"/>
      <c r="B749" s="630" t="n"/>
      <c r="C749" s="631" t="n"/>
      <c r="D749" s="631" t="n"/>
      <c r="E749" s="631" t="n"/>
      <c r="F749" s="631" t="n"/>
      <c r="G749" s="632" t="n"/>
      <c r="H749" s="633" t="n"/>
      <c r="I749" s="631" t="n"/>
      <c r="J749" s="631" t="n"/>
      <c r="K749" s="634" t="n"/>
      <c r="L749" s="635" t="n"/>
      <c r="M749" s="636" t="n"/>
    </row>
    <row r="750">
      <c r="A750" s="540" t="n"/>
      <c r="B750" s="630" t="n"/>
      <c r="C750" s="631" t="n"/>
      <c r="D750" s="631" t="n"/>
      <c r="E750" s="631" t="n"/>
      <c r="F750" s="631" t="n"/>
      <c r="G750" s="632" t="n"/>
      <c r="H750" s="633" t="n"/>
      <c r="I750" s="631" t="n"/>
      <c r="J750" s="631" t="n"/>
      <c r="K750" s="634" t="n"/>
      <c r="L750" s="635" t="n"/>
      <c r="M750" s="636" t="n"/>
    </row>
  </sheetData>
  <mergeCells count="2">
    <mergeCell ref="A1:T1"/>
    <mergeCell ref="A490:M490"/>
  </mergeCells>
  <conditionalFormatting sqref="A491:M750">
    <cfRule type="expression" priority="1" dxfId="17">
      <formula>$A491="新增"</formula>
    </cfRule>
  </conditionalFormatting>
  <dataValidations count="1">
    <dataValidation sqref="F108:F114" showDropDown="0" showInputMessage="1" showErrorMessage="1" allowBlank="1" type="list">
      <formula1>"自营/分组作业,分组作业,强责,自营,人员服务外包,人员服务外包/自营"</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M491"/>
  <sheetViews>
    <sheetView showGridLines="0" workbookViewId="0">
      <pane ySplit="3" topLeftCell="A4" activePane="bottomLeft" state="frozen"/>
      <selection pane="bottomLeft" activeCell="A1" sqref="A1"/>
    </sheetView>
  </sheetViews>
  <sheetFormatPr baseColWidth="8" defaultRowHeight="15"/>
  <cols>
    <col width="8" customWidth="1" style="537" min="1" max="1"/>
    <col width="16" customWidth="1" style="537" min="2" max="2"/>
    <col width="18" customWidth="1" style="537" min="3" max="3"/>
    <col width="14" customWidth="1" style="537" min="4" max="4"/>
    <col width="30" customWidth="1" style="537" min="5" max="5"/>
    <col width="14" customWidth="1" style="537" min="6" max="6"/>
    <col width="18" customWidth="1" style="537" min="7" max="7"/>
    <col width="34" customWidth="1" style="537" min="8" max="8"/>
    <col width="14" customWidth="1" style="537" min="9" max="9"/>
    <col width="18" customWidth="1" style="537" min="10" max="10"/>
    <col width="14" customWidth="1" style="537" min="11" max="11"/>
    <col width="14" customWidth="1" style="537" min="12" max="12"/>
    <col width="30" customWidth="1" style="537" min="13" max="13"/>
  </cols>
  <sheetData>
    <row r="1">
      <c r="A1" s="638" t="inlineStr">
        <is>
          <t>营业额数据源（每月覆盖粘贴 A:M 数据区）</t>
        </is>
      </c>
    </row>
    <row r="2">
      <c r="A2" s="639" t="inlineStr">
        <is>
          <t>数据行从第 4 行开始；目标输出以项目代码、项目名称、班组、窗口、责任人五项进行精确匹配。</t>
        </is>
      </c>
    </row>
    <row r="3">
      <c r="A3" s="640" t="inlineStr">
        <is>
          <t>序号</t>
        </is>
      </c>
      <c r="B3" s="640" t="inlineStr">
        <is>
          <t>档口唯一标志</t>
        </is>
      </c>
      <c r="C3" s="640" t="inlineStr">
        <is>
          <t>分部名称</t>
        </is>
      </c>
      <c r="D3" s="640" t="inlineStr">
        <is>
          <t>项目代码</t>
        </is>
      </c>
      <c r="E3" s="640" t="inlineStr">
        <is>
          <t>项目名称</t>
        </is>
      </c>
      <c r="F3" s="640" t="inlineStr">
        <is>
          <t>项目类型</t>
        </is>
      </c>
      <c r="G3" s="640" t="inlineStr">
        <is>
          <t>分组作业名称</t>
        </is>
      </c>
      <c r="H3" s="640" t="inlineStr">
        <is>
          <t>分组作业窗口名称</t>
        </is>
      </c>
      <c r="I3" s="640" t="inlineStr">
        <is>
          <t>签订人</t>
        </is>
      </c>
      <c r="J3" s="640" t="inlineStr">
        <is>
          <t>全额营业额合计</t>
        </is>
      </c>
      <c r="K3" s="640" t="inlineStr">
        <is>
          <t>备注状态</t>
        </is>
      </c>
      <c r="L3" s="640" t="inlineStr">
        <is>
          <t>收入会计</t>
        </is>
      </c>
      <c r="M3" s="640" t="inlineStr">
        <is>
          <t>补充说明</t>
        </is>
      </c>
    </row>
    <row r="4">
      <c r="A4" s="540" t="n">
        <v>1</v>
      </c>
      <c r="B4" s="540" t="inlineStr">
        <is>
          <t>KQCY0001</t>
        </is>
      </c>
      <c r="C4" s="540" t="inlineStr">
        <is>
          <t>餐饮一分部</t>
        </is>
      </c>
      <c r="D4" s="540" t="inlineStr">
        <is>
          <t>CF139</t>
        </is>
      </c>
      <c r="E4" s="540" t="inlineStr">
        <is>
          <t>苏州中科新药篮餐厅</t>
        </is>
      </c>
      <c r="F4" s="540" t="inlineStr">
        <is>
          <t>自营</t>
        </is>
      </c>
      <c r="G4" s="540" t="inlineStr">
        <is>
          <t>自营</t>
        </is>
      </c>
      <c r="H4" s="540" t="inlineStr">
        <is>
          <t>/</t>
        </is>
      </c>
      <c r="I4" s="540" t="inlineStr">
        <is>
          <t>/</t>
        </is>
      </c>
      <c r="J4" s="540" t="n">
        <v>201107.98</v>
      </c>
      <c r="K4" s="540" t="n"/>
      <c r="L4" s="540" t="inlineStr">
        <is>
          <t>谢苗苗</t>
        </is>
      </c>
      <c r="M4" s="540" t="inlineStr">
        <is>
          <t>已核对</t>
        </is>
      </c>
    </row>
    <row r="5">
      <c r="A5" s="540" t="n">
        <v>2</v>
      </c>
      <c r="B5" s="540" t="inlineStr">
        <is>
          <t>KQCY0002</t>
        </is>
      </c>
      <c r="C5" s="540" t="inlineStr">
        <is>
          <t>餐饮一分部</t>
        </is>
      </c>
      <c r="D5" s="540" t="inlineStr">
        <is>
          <t>CF481</t>
        </is>
      </c>
      <c r="E5" s="540" t="inlineStr">
        <is>
          <t>常熟世华高级中学食堂</t>
        </is>
      </c>
      <c r="F5" s="540" t="inlineStr">
        <is>
          <t>自营</t>
        </is>
      </c>
      <c r="G5" s="540" t="inlineStr">
        <is>
          <t>自营</t>
        </is>
      </c>
      <c r="H5" s="540" t="inlineStr">
        <is>
          <t>/</t>
        </is>
      </c>
      <c r="I5" s="540" t="inlineStr">
        <is>
          <t>杨志军</t>
        </is>
      </c>
      <c r="J5" s="540" t="n">
        <v>66255.63</v>
      </c>
      <c r="K5" s="540" t="n"/>
      <c r="L5" s="540" t="inlineStr">
        <is>
          <t>谢苗苗</t>
        </is>
      </c>
      <c r="M5" s="540" t="inlineStr">
        <is>
          <t>已核对</t>
        </is>
      </c>
    </row>
    <row r="6">
      <c r="A6" s="540" t="n">
        <v>3</v>
      </c>
      <c r="B6" s="540" t="inlineStr">
        <is>
          <t>KQCY0003</t>
        </is>
      </c>
      <c r="C6" s="540" t="inlineStr">
        <is>
          <t>餐饮一分部</t>
        </is>
      </c>
      <c r="D6" s="540" t="inlineStr">
        <is>
          <t>CF478</t>
        </is>
      </c>
      <c r="E6" s="540" t="inlineStr">
        <is>
          <t>苏州华杨电子餐厅</t>
        </is>
      </c>
      <c r="F6" s="540" t="inlineStr">
        <is>
          <t>强责</t>
        </is>
      </c>
      <c r="G6" s="540" t="inlineStr">
        <is>
          <t>/</t>
        </is>
      </c>
      <c r="H6" s="540" t="inlineStr">
        <is>
          <t>/</t>
        </is>
      </c>
      <c r="I6" s="540" t="inlineStr">
        <is>
          <t>武良军</t>
        </is>
      </c>
      <c r="J6" s="540" t="n">
        <v>170171.4</v>
      </c>
      <c r="K6" s="540" t="n"/>
      <c r="L6" s="540" t="inlineStr">
        <is>
          <t>谢苗苗</t>
        </is>
      </c>
      <c r="M6" s="540" t="inlineStr">
        <is>
          <t>已核对</t>
        </is>
      </c>
    </row>
    <row r="7">
      <c r="A7" s="540" t="n">
        <v>4</v>
      </c>
      <c r="B7" s="540" t="inlineStr">
        <is>
          <t>KQCY0004</t>
        </is>
      </c>
      <c r="C7" s="540" t="inlineStr">
        <is>
          <t>餐饮一分部</t>
        </is>
      </c>
      <c r="D7" s="540" t="inlineStr">
        <is>
          <t>CF751</t>
        </is>
      </c>
      <c r="E7" s="540" t="inlineStr">
        <is>
          <t>国防科大（长沙）食堂</t>
        </is>
      </c>
      <c r="F7" s="540" t="inlineStr">
        <is>
          <t>人员服务外包</t>
        </is>
      </c>
      <c r="G7" s="540" t="inlineStr">
        <is>
          <t>/</t>
        </is>
      </c>
      <c r="H7" s="540" t="inlineStr">
        <is>
          <t>/</t>
        </is>
      </c>
      <c r="I7" s="540" t="inlineStr">
        <is>
          <t>/</t>
        </is>
      </c>
      <c r="J7" s="540" t="n">
        <v>621582.5</v>
      </c>
      <c r="K7" s="540" t="n"/>
      <c r="L7" s="540" t="inlineStr">
        <is>
          <t>位军浩</t>
        </is>
      </c>
      <c r="M7" s="540" t="n"/>
    </row>
    <row r="8">
      <c r="A8" s="540" t="n">
        <v>5</v>
      </c>
      <c r="B8" s="540" t="inlineStr">
        <is>
          <t>KQCY0005</t>
        </is>
      </c>
      <c r="C8" s="540" t="inlineStr">
        <is>
          <t>餐饮一分部</t>
        </is>
      </c>
      <c r="D8" s="540" t="inlineStr">
        <is>
          <t>CF474</t>
        </is>
      </c>
      <c r="E8" s="540" t="inlineStr">
        <is>
          <t>安工大七食堂</t>
        </is>
      </c>
      <c r="F8" s="540" t="inlineStr">
        <is>
          <t>强责</t>
        </is>
      </c>
      <c r="G8" s="540" t="inlineStr">
        <is>
          <t>/</t>
        </is>
      </c>
      <c r="H8" s="540" t="inlineStr">
        <is>
          <t>/</t>
        </is>
      </c>
      <c r="I8" s="540" t="inlineStr">
        <is>
          <t>李俊彦</t>
        </is>
      </c>
      <c r="J8" s="641" t="n">
        <v>29505.2</v>
      </c>
      <c r="K8" s="540" t="n"/>
      <c r="L8" s="540" t="inlineStr">
        <is>
          <t>位军浩</t>
        </is>
      </c>
      <c r="M8" s="540" t="n"/>
    </row>
    <row r="9">
      <c r="A9" s="540" t="n">
        <v>6</v>
      </c>
      <c r="B9" s="540" t="inlineStr">
        <is>
          <t>KQCY0006</t>
        </is>
      </c>
      <c r="C9" s="540" t="inlineStr">
        <is>
          <t>餐饮一分部</t>
        </is>
      </c>
      <c r="D9" s="540" t="inlineStr">
        <is>
          <t>CF474</t>
        </is>
      </c>
      <c r="E9" s="540" t="inlineStr">
        <is>
          <t>安工大七食堂</t>
        </is>
      </c>
      <c r="F9" s="540" t="inlineStr">
        <is>
          <t>强责</t>
        </is>
      </c>
      <c r="G9" s="540" t="inlineStr">
        <is>
          <t>第一班组</t>
        </is>
      </c>
      <c r="H9" s="540" t="inlineStr">
        <is>
          <t>手工馄饨（大陷水饺、刀削面/汆肉米线）</t>
        </is>
      </c>
      <c r="I9" s="540" t="inlineStr">
        <is>
          <t>潘海英</t>
        </is>
      </c>
      <c r="J9" s="540" t="n">
        <v>0</v>
      </c>
      <c r="K9" s="540" t="inlineStr">
        <is>
          <t>已退场</t>
        </is>
      </c>
      <c r="L9" s="540" t="inlineStr">
        <is>
          <t>位军浩</t>
        </is>
      </c>
      <c r="M9" s="540" t="n"/>
    </row>
    <row r="10">
      <c r="A10" s="540" t="n">
        <v>7</v>
      </c>
      <c r="B10" s="540" t="inlineStr">
        <is>
          <t>KQCY0007</t>
        </is>
      </c>
      <c r="C10" s="540" t="inlineStr">
        <is>
          <t>餐饮一分部</t>
        </is>
      </c>
      <c r="D10" s="540" t="inlineStr">
        <is>
          <t>CF474</t>
        </is>
      </c>
      <c r="E10" s="540" t="inlineStr">
        <is>
          <t>安工大七食堂</t>
        </is>
      </c>
      <c r="F10" s="540" t="inlineStr">
        <is>
          <t>强责</t>
        </is>
      </c>
      <c r="G10" s="540" t="inlineStr">
        <is>
          <t>第二班组</t>
        </is>
      </c>
      <c r="H10" s="540" t="inlineStr">
        <is>
          <t>黄焖系列（酸菜肉煲系列、椒麻鸡系列、酸菜鱼系列）</t>
        </is>
      </c>
      <c r="I10" s="540" t="inlineStr">
        <is>
          <t>胡科才</t>
        </is>
      </c>
      <c r="J10" s="641" t="n">
        <v>1807.5</v>
      </c>
      <c r="K10" s="540" t="n"/>
      <c r="L10" s="540" t="inlineStr">
        <is>
          <t>位军浩</t>
        </is>
      </c>
      <c r="M10" s="540" t="n"/>
    </row>
    <row r="11">
      <c r="A11" s="540" t="n">
        <v>8</v>
      </c>
      <c r="B11" s="540" t="inlineStr">
        <is>
          <t>KQCY0008</t>
        </is>
      </c>
      <c r="C11" s="540" t="inlineStr">
        <is>
          <t>餐饮一分部</t>
        </is>
      </c>
      <c r="D11" s="540" t="inlineStr">
        <is>
          <t>CF474</t>
        </is>
      </c>
      <c r="E11" s="540" t="inlineStr">
        <is>
          <t>安工大七食堂</t>
        </is>
      </c>
      <c r="F11" s="540" t="inlineStr">
        <is>
          <t>强责</t>
        </is>
      </c>
      <c r="G11" s="540" t="inlineStr">
        <is>
          <t>第三班组</t>
        </is>
      </c>
      <c r="H11" s="540" t="inlineStr">
        <is>
          <t>猪脚饭系列（套饭系列、菜饭骨头汤系列）</t>
        </is>
      </c>
      <c r="I11" s="540" t="inlineStr">
        <is>
          <t>杨克顺</t>
        </is>
      </c>
      <c r="J11" s="641" t="n">
        <v>2179.5</v>
      </c>
      <c r="K11" s="540" t="n"/>
      <c r="L11" s="540" t="inlineStr">
        <is>
          <t>位军浩</t>
        </is>
      </c>
      <c r="M11" s="540" t="n"/>
    </row>
    <row r="12">
      <c r="A12" s="540" t="n">
        <v>9</v>
      </c>
      <c r="B12" s="540" t="inlineStr">
        <is>
          <t>KQCY0009</t>
        </is>
      </c>
      <c r="C12" s="540" t="inlineStr">
        <is>
          <t>餐饮一分部</t>
        </is>
      </c>
      <c r="D12" s="540" t="inlineStr">
        <is>
          <t>CF474</t>
        </is>
      </c>
      <c r="E12" s="540" t="inlineStr">
        <is>
          <t>安工大七食堂</t>
        </is>
      </c>
      <c r="F12" s="540" t="inlineStr">
        <is>
          <t>强责</t>
        </is>
      </c>
      <c r="G12" s="540" t="inlineStr">
        <is>
          <t>第四班组</t>
        </is>
      </c>
      <c r="H12" s="540" t="inlineStr">
        <is>
          <t>拌饭系列（肉夹馍、紫菜包饭）</t>
        </is>
      </c>
      <c r="I12" s="540" t="inlineStr">
        <is>
          <t>魏祖华</t>
        </is>
      </c>
      <c r="J12" s="540" t="n">
        <v>0</v>
      </c>
      <c r="K12" s="540" t="inlineStr">
        <is>
          <t>已退场</t>
        </is>
      </c>
      <c r="L12" s="540" t="inlineStr">
        <is>
          <t>位军浩</t>
        </is>
      </c>
      <c r="M12" s="540" t="n"/>
    </row>
    <row r="13">
      <c r="A13" s="540" t="n">
        <v>10</v>
      </c>
      <c r="B13" s="540" t="inlineStr">
        <is>
          <t>KQCY0010</t>
        </is>
      </c>
      <c r="C13" s="540" t="inlineStr">
        <is>
          <t>餐饮一分部</t>
        </is>
      </c>
      <c r="D13" s="540" t="inlineStr">
        <is>
          <t>CF477</t>
        </is>
      </c>
      <c r="E13" s="540" t="inlineStr">
        <is>
          <t>上海民航第一食堂</t>
        </is>
      </c>
      <c r="F13" s="540" t="inlineStr">
        <is>
          <t>自营</t>
        </is>
      </c>
      <c r="G13" s="540" t="inlineStr">
        <is>
          <t>自营</t>
        </is>
      </c>
      <c r="H13" s="540" t="inlineStr">
        <is>
          <t>/</t>
        </is>
      </c>
      <c r="I13" s="540" t="inlineStr">
        <is>
          <t>/</t>
        </is>
      </c>
      <c r="J13" s="540" t="n">
        <v>0</v>
      </c>
      <c r="K13" s="540" t="n"/>
      <c r="L13" s="540" t="inlineStr">
        <is>
          <t>谢苗苗</t>
        </is>
      </c>
      <c r="M13" s="540" t="inlineStr">
        <is>
          <t>已核对</t>
        </is>
      </c>
    </row>
    <row r="14">
      <c r="A14" s="540" t="n">
        <v>11</v>
      </c>
      <c r="B14" s="540" t="inlineStr">
        <is>
          <t>KQCY0011</t>
        </is>
      </c>
      <c r="C14" s="540" t="inlineStr">
        <is>
          <t>餐饮一分部</t>
        </is>
      </c>
      <c r="D14" s="540" t="inlineStr">
        <is>
          <t>CF477</t>
        </is>
      </c>
      <c r="E14" s="540" t="inlineStr">
        <is>
          <t>上海民航第一食堂</t>
        </is>
      </c>
      <c r="F14" s="540" t="inlineStr">
        <is>
          <t>分组作业</t>
        </is>
      </c>
      <c r="G14" s="540" t="inlineStr">
        <is>
          <t>第二班组</t>
        </is>
      </c>
      <c r="H14" s="540" t="inlineStr">
        <is>
          <t>山东煎饼</t>
        </is>
      </c>
      <c r="I14" s="540" t="inlineStr">
        <is>
          <t>姚群</t>
        </is>
      </c>
      <c r="J14" s="540" t="n">
        <v>0</v>
      </c>
      <c r="K14" s="540" t="n"/>
      <c r="L14" s="540" t="inlineStr">
        <is>
          <t>谢苗苗</t>
        </is>
      </c>
      <c r="M14" s="540" t="inlineStr">
        <is>
          <t>已核对</t>
        </is>
      </c>
    </row>
    <row r="15">
      <c r="A15" s="540" t="n">
        <v>12</v>
      </c>
      <c r="B15" s="540" t="inlineStr">
        <is>
          <t>KQCY0012</t>
        </is>
      </c>
      <c r="C15" s="540" t="inlineStr">
        <is>
          <t>餐饮一分部</t>
        </is>
      </c>
      <c r="D15" s="540" t="inlineStr">
        <is>
          <t>CF477</t>
        </is>
      </c>
      <c r="E15" s="540" t="inlineStr">
        <is>
          <t>上海民航第一食堂</t>
        </is>
      </c>
      <c r="F15" s="540" t="inlineStr">
        <is>
          <t>分组作业</t>
        </is>
      </c>
      <c r="G15" s="540" t="inlineStr">
        <is>
          <t>第六班组</t>
        </is>
      </c>
      <c r="H15" s="540" t="inlineStr">
        <is>
          <t>蜜雪冰城</t>
        </is>
      </c>
      <c r="I15" s="540" t="inlineStr">
        <is>
          <t>任黎明</t>
        </is>
      </c>
      <c r="J15" s="540" t="n">
        <v>0</v>
      </c>
      <c r="K15" s="540" t="n"/>
      <c r="L15" s="540" t="inlineStr">
        <is>
          <t>谢苗苗</t>
        </is>
      </c>
      <c r="M15" s="540" t="inlineStr">
        <is>
          <t>已核对</t>
        </is>
      </c>
    </row>
    <row r="16">
      <c r="A16" s="540" t="n">
        <v>13</v>
      </c>
      <c r="B16" s="540" t="inlineStr">
        <is>
          <t>KQCY0013</t>
        </is>
      </c>
      <c r="C16" s="540" t="inlineStr">
        <is>
          <t>餐饮一分部</t>
        </is>
      </c>
      <c r="D16" s="540" t="inlineStr">
        <is>
          <t>CF477</t>
        </is>
      </c>
      <c r="E16" s="540" t="inlineStr">
        <is>
          <t>上海民航第一食堂</t>
        </is>
      </c>
      <c r="F16" s="540" t="inlineStr">
        <is>
          <t>分组作业</t>
        </is>
      </c>
      <c r="G16" s="540" t="inlineStr">
        <is>
          <t>第三班组</t>
        </is>
      </c>
      <c r="H16" s="540" t="inlineStr">
        <is>
          <t>糖水粥铺</t>
        </is>
      </c>
      <c r="I16" s="540" t="inlineStr">
        <is>
          <t>孙青青</t>
        </is>
      </c>
      <c r="J16" s="540" t="n">
        <v>0</v>
      </c>
      <c r="K16" s="540" t="n"/>
      <c r="L16" s="540" t="inlineStr">
        <is>
          <t>谢苗苗</t>
        </is>
      </c>
      <c r="M16" s="540" t="inlineStr">
        <is>
          <t>已核对</t>
        </is>
      </c>
    </row>
    <row r="17">
      <c r="A17" s="540" t="n">
        <v>14</v>
      </c>
      <c r="B17" s="540" t="inlineStr">
        <is>
          <t>KQCY0014</t>
        </is>
      </c>
      <c r="C17" s="540" t="inlineStr">
        <is>
          <t>餐饮一分部</t>
        </is>
      </c>
      <c r="D17" s="540" t="inlineStr">
        <is>
          <t>CF477</t>
        </is>
      </c>
      <c r="E17" s="540" t="inlineStr">
        <is>
          <t>上海民航第一食堂</t>
        </is>
      </c>
      <c r="F17" s="540" t="inlineStr">
        <is>
          <t>分组作业</t>
        </is>
      </c>
      <c r="G17" s="540" t="inlineStr">
        <is>
          <t>第四班组</t>
        </is>
      </c>
      <c r="H17" s="540" t="inlineStr">
        <is>
          <t>大碗面</t>
        </is>
      </c>
      <c r="I17" s="540" t="inlineStr">
        <is>
          <t>景帅帅</t>
        </is>
      </c>
      <c r="J17" s="540" t="n">
        <v>0</v>
      </c>
      <c r="K17" s="540" t="n"/>
      <c r="L17" s="540" t="inlineStr">
        <is>
          <t>谢苗苗</t>
        </is>
      </c>
      <c r="M17" s="540" t="inlineStr">
        <is>
          <t>已核对</t>
        </is>
      </c>
    </row>
    <row r="18">
      <c r="A18" s="540" t="n">
        <v>15</v>
      </c>
      <c r="B18" s="540" t="inlineStr">
        <is>
          <t>KQCY0015</t>
        </is>
      </c>
      <c r="C18" s="540" t="inlineStr">
        <is>
          <t>餐饮一分部</t>
        </is>
      </c>
      <c r="D18" s="540" t="inlineStr">
        <is>
          <t>CF477</t>
        </is>
      </c>
      <c r="E18" s="540" t="inlineStr">
        <is>
          <t>上海民航第一食堂</t>
        </is>
      </c>
      <c r="F18" s="540" t="inlineStr">
        <is>
          <t>分组作业</t>
        </is>
      </c>
      <c r="G18" s="540" t="inlineStr">
        <is>
          <t>第一班组</t>
        </is>
      </c>
      <c r="H18" s="540" t="inlineStr">
        <is>
          <t>早餐</t>
        </is>
      </c>
      <c r="I18" s="540" t="inlineStr">
        <is>
          <t>芦磊</t>
        </is>
      </c>
      <c r="J18" s="540" t="n">
        <v>0</v>
      </c>
      <c r="K18" s="540" t="n"/>
      <c r="L18" s="540" t="inlineStr">
        <is>
          <t>谢苗苗</t>
        </is>
      </c>
      <c r="M18" s="540" t="inlineStr">
        <is>
          <t>已核对</t>
        </is>
      </c>
    </row>
    <row r="19">
      <c r="A19" s="540" t="n">
        <v>16</v>
      </c>
      <c r="B19" s="540" t="inlineStr">
        <is>
          <t>KQCY0016</t>
        </is>
      </c>
      <c r="C19" s="540" t="inlineStr">
        <is>
          <t>餐饮一分部</t>
        </is>
      </c>
      <c r="D19" s="540" t="inlineStr">
        <is>
          <t>CF272</t>
        </is>
      </c>
      <c r="E19" s="540" t="inlineStr">
        <is>
          <t>苏州工学院南一食堂</t>
        </is>
      </c>
      <c r="F19" s="540" t="inlineStr">
        <is>
          <t>强责</t>
        </is>
      </c>
      <c r="G19" s="540" t="inlineStr">
        <is>
          <t>/</t>
        </is>
      </c>
      <c r="H19" s="540" t="inlineStr">
        <is>
          <t>/</t>
        </is>
      </c>
      <c r="I19" s="540" t="inlineStr">
        <is>
          <t>/</t>
        </is>
      </c>
      <c r="J19" s="540" t="n"/>
      <c r="K19" s="540" t="n"/>
      <c r="L19" s="540" t="inlineStr">
        <is>
          <t>位军浩</t>
        </is>
      </c>
      <c r="M19" s="540" t="n"/>
    </row>
    <row r="20">
      <c r="A20" s="540" t="n">
        <v>17</v>
      </c>
      <c r="B20" s="540" t="inlineStr">
        <is>
          <t>KQCY0017</t>
        </is>
      </c>
      <c r="C20" s="540" t="inlineStr">
        <is>
          <t>餐饮一分部</t>
        </is>
      </c>
      <c r="D20" s="540" t="inlineStr">
        <is>
          <t>CF272</t>
        </is>
      </c>
      <c r="E20" s="540" t="inlineStr">
        <is>
          <t>苏州工学院南一食堂</t>
        </is>
      </c>
      <c r="F20" s="540" t="inlineStr">
        <is>
          <t>强责</t>
        </is>
      </c>
      <c r="G20" s="540" t="inlineStr">
        <is>
          <t>/</t>
        </is>
      </c>
      <c r="H20" s="540" t="inlineStr">
        <is>
          <t>饼铺</t>
        </is>
      </c>
      <c r="I20" s="540" t="inlineStr">
        <is>
          <t>纪洪强</t>
        </is>
      </c>
      <c r="J20" s="540" t="n">
        <v>0</v>
      </c>
      <c r="K20" s="540" t="n"/>
      <c r="L20" s="540" t="inlineStr">
        <is>
          <t>位军浩</t>
        </is>
      </c>
      <c r="M20" s="540" t="n"/>
    </row>
    <row r="21">
      <c r="A21" s="540" t="n">
        <v>18</v>
      </c>
      <c r="B21" s="540" t="inlineStr">
        <is>
          <t>KQCY0018</t>
        </is>
      </c>
      <c r="C21" s="540" t="inlineStr">
        <is>
          <t>餐饮一分部</t>
        </is>
      </c>
      <c r="D21" s="540" t="inlineStr">
        <is>
          <t>CF272</t>
        </is>
      </c>
      <c r="E21" s="540" t="inlineStr">
        <is>
          <t>苏州工学院南一食堂</t>
        </is>
      </c>
      <c r="F21" s="540" t="inlineStr">
        <is>
          <t>强责</t>
        </is>
      </c>
      <c r="G21" s="540" t="inlineStr">
        <is>
          <t>/</t>
        </is>
      </c>
      <c r="H21" s="540" t="inlineStr">
        <is>
          <t>粥铺</t>
        </is>
      </c>
      <c r="I21" s="540" t="inlineStr">
        <is>
          <t>贺明</t>
        </is>
      </c>
      <c r="J21" s="540" t="n">
        <v>0</v>
      </c>
      <c r="K21" s="540" t="n"/>
      <c r="L21" s="540" t="inlineStr">
        <is>
          <t>位军浩</t>
        </is>
      </c>
      <c r="M21" s="540" t="n"/>
    </row>
    <row r="22">
      <c r="A22" s="540" t="n">
        <v>19</v>
      </c>
      <c r="B22" s="540" t="inlineStr">
        <is>
          <t>KQCY0019</t>
        </is>
      </c>
      <c r="C22" s="540" t="inlineStr">
        <is>
          <t>餐饮一分部</t>
        </is>
      </c>
      <c r="D22" s="540" t="inlineStr">
        <is>
          <t>CF272</t>
        </is>
      </c>
      <c r="E22" s="540" t="inlineStr">
        <is>
          <t>苏州工学院南一食堂</t>
        </is>
      </c>
      <c r="F22" s="540" t="inlineStr">
        <is>
          <t>强责</t>
        </is>
      </c>
      <c r="G22" s="540" t="inlineStr">
        <is>
          <t>/</t>
        </is>
      </c>
      <c r="H22" s="540" t="inlineStr">
        <is>
          <t>老乡邨</t>
        </is>
      </c>
      <c r="I22" s="540" t="inlineStr">
        <is>
          <t>刘少军</t>
        </is>
      </c>
      <c r="J22" s="540" t="n">
        <v>0</v>
      </c>
      <c r="K22" s="540" t="n"/>
      <c r="L22" s="540" t="inlineStr">
        <is>
          <t>位军浩</t>
        </is>
      </c>
      <c r="M22" s="540" t="n"/>
    </row>
    <row r="23">
      <c r="A23" s="540" t="n">
        <v>20</v>
      </c>
      <c r="B23" s="540" t="inlineStr">
        <is>
          <t>KQCY0020</t>
        </is>
      </c>
      <c r="C23" s="540" t="inlineStr">
        <is>
          <t>餐饮一分部</t>
        </is>
      </c>
      <c r="D23" s="540" t="inlineStr">
        <is>
          <t>CF272</t>
        </is>
      </c>
      <c r="E23" s="540" t="inlineStr">
        <is>
          <t>苏州工学院南一食堂</t>
        </is>
      </c>
      <c r="F23" s="540" t="inlineStr">
        <is>
          <t>强责</t>
        </is>
      </c>
      <c r="G23" s="540" t="inlineStr">
        <is>
          <t>/</t>
        </is>
      </c>
      <c r="H23" s="540" t="inlineStr">
        <is>
          <t>科桥小厨</t>
        </is>
      </c>
      <c r="I23" s="540" t="inlineStr">
        <is>
          <t>吴浩</t>
        </is>
      </c>
      <c r="J23" s="540" t="n">
        <v>0</v>
      </c>
      <c r="K23" s="540" t="n"/>
      <c r="L23" s="540" t="inlineStr">
        <is>
          <t>位军浩</t>
        </is>
      </c>
      <c r="M23" s="540" t="n"/>
    </row>
    <row r="24">
      <c r="A24" s="540" t="n">
        <v>21</v>
      </c>
      <c r="B24" s="540" t="inlineStr">
        <is>
          <t>KQCY0021</t>
        </is>
      </c>
      <c r="C24" s="540" t="inlineStr">
        <is>
          <t>餐饮一分部</t>
        </is>
      </c>
      <c r="D24" s="540" t="inlineStr">
        <is>
          <t>CF272</t>
        </is>
      </c>
      <c r="E24" s="540" t="inlineStr">
        <is>
          <t>苏州工学院南一食堂</t>
        </is>
      </c>
      <c r="F24" s="540" t="inlineStr">
        <is>
          <t>强责</t>
        </is>
      </c>
      <c r="G24" s="540" t="inlineStr">
        <is>
          <t>/</t>
        </is>
      </c>
      <c r="H24" s="540" t="inlineStr">
        <is>
          <t>清汤米线</t>
        </is>
      </c>
      <c r="I24" s="540" t="inlineStr">
        <is>
          <t>张郁磊</t>
        </is>
      </c>
      <c r="J24" s="540" t="n"/>
      <c r="K24" s="540" t="inlineStr">
        <is>
          <t>已撤场</t>
        </is>
      </c>
      <c r="L24" s="540" t="inlineStr">
        <is>
          <t>位军浩</t>
        </is>
      </c>
      <c r="M24" s="540" t="n"/>
    </row>
    <row r="25">
      <c r="A25" s="540" t="n">
        <v>22</v>
      </c>
      <c r="B25" s="540" t="inlineStr">
        <is>
          <t>KQCY0022</t>
        </is>
      </c>
      <c r="C25" s="540" t="inlineStr">
        <is>
          <t>餐饮一分部</t>
        </is>
      </c>
      <c r="D25" s="540" t="inlineStr">
        <is>
          <t>CF272</t>
        </is>
      </c>
      <c r="E25" s="540" t="inlineStr">
        <is>
          <t>苏州工学院南一食堂</t>
        </is>
      </c>
      <c r="F25" s="540" t="inlineStr">
        <is>
          <t>强责</t>
        </is>
      </c>
      <c r="G25" s="540" t="inlineStr">
        <is>
          <t>/</t>
        </is>
      </c>
      <c r="H25" s="540" t="inlineStr">
        <is>
          <t>黑鸭堡</t>
        </is>
      </c>
      <c r="I25" s="540" t="inlineStr">
        <is>
          <t>张郁磊</t>
        </is>
      </c>
      <c r="J25" s="540" t="n">
        <v>0</v>
      </c>
      <c r="K25" s="540" t="n"/>
      <c r="L25" s="540" t="inlineStr">
        <is>
          <t>位军浩</t>
        </is>
      </c>
      <c r="M25" s="540" t="n"/>
    </row>
    <row r="26">
      <c r="A26" s="540" t="n">
        <v>23</v>
      </c>
      <c r="B26" s="540" t="inlineStr">
        <is>
          <t>KQCY0023</t>
        </is>
      </c>
      <c r="C26" s="540" t="inlineStr">
        <is>
          <t>餐饮一分部</t>
        </is>
      </c>
      <c r="D26" s="540" t="inlineStr">
        <is>
          <t>CF272</t>
        </is>
      </c>
      <c r="E26" s="540" t="inlineStr">
        <is>
          <t>苏州工学院南一食堂</t>
        </is>
      </c>
      <c r="F26" s="540" t="inlineStr">
        <is>
          <t>强责</t>
        </is>
      </c>
      <c r="G26" s="540" t="inlineStr">
        <is>
          <t>/</t>
        </is>
      </c>
      <c r="H26" s="540" t="inlineStr">
        <is>
          <t>7分甜</t>
        </is>
      </c>
      <c r="I26" s="540" t="inlineStr">
        <is>
          <t>纪洪强</t>
        </is>
      </c>
      <c r="J26" s="540" t="n">
        <v>0</v>
      </c>
      <c r="K26" s="540" t="n"/>
      <c r="L26" s="540" t="inlineStr">
        <is>
          <t>位军浩</t>
        </is>
      </c>
      <c r="M26" s="540" t="n"/>
    </row>
    <row r="27">
      <c r="A27" s="540" t="n">
        <v>24</v>
      </c>
      <c r="B27" s="540" t="inlineStr">
        <is>
          <t>KQCY0024</t>
        </is>
      </c>
      <c r="C27" s="540" t="inlineStr">
        <is>
          <t>餐饮一分部</t>
        </is>
      </c>
      <c r="D27" s="540" t="inlineStr">
        <is>
          <t>CF272</t>
        </is>
      </c>
      <c r="E27" s="540" t="inlineStr">
        <is>
          <t>苏州工学院南一食堂</t>
        </is>
      </c>
      <c r="F27" s="540" t="inlineStr">
        <is>
          <t>强责</t>
        </is>
      </c>
      <c r="G27" s="540" t="inlineStr">
        <is>
          <t>/</t>
        </is>
      </c>
      <c r="H27" s="540" t="inlineStr">
        <is>
          <t>药膳鸡</t>
        </is>
      </c>
      <c r="I27" s="540" t="inlineStr">
        <is>
          <t>匡正娟</t>
        </is>
      </c>
      <c r="J27" s="540" t="n">
        <v>0</v>
      </c>
      <c r="K27" s="540" t="n"/>
      <c r="L27" s="540" t="inlineStr">
        <is>
          <t>位军浩</t>
        </is>
      </c>
      <c r="M27" s="540" t="n"/>
    </row>
    <row r="28">
      <c r="A28" s="540" t="n">
        <v>25</v>
      </c>
      <c r="B28" s="540" t="inlineStr">
        <is>
          <t>KQCY0025</t>
        </is>
      </c>
      <c r="C28" s="540" t="inlineStr">
        <is>
          <t>餐饮一分部</t>
        </is>
      </c>
      <c r="D28" s="540" t="inlineStr">
        <is>
          <t>CF272</t>
        </is>
      </c>
      <c r="E28" s="540" t="inlineStr">
        <is>
          <t>苏州工学院南一食堂</t>
        </is>
      </c>
      <c r="F28" s="540" t="inlineStr">
        <is>
          <t>强责</t>
        </is>
      </c>
      <c r="G28" s="540" t="inlineStr">
        <is>
          <t>/</t>
        </is>
      </c>
      <c r="H28" s="540" t="inlineStr">
        <is>
          <t>麻辣香锅</t>
        </is>
      </c>
      <c r="I28" s="540" t="inlineStr">
        <is>
          <t>纪洪强</t>
        </is>
      </c>
      <c r="J28" s="540" t="n">
        <v>0</v>
      </c>
      <c r="K28" s="540" t="n"/>
      <c r="L28" s="540" t="inlineStr">
        <is>
          <t>位军浩</t>
        </is>
      </c>
      <c r="M28" s="540" t="n"/>
    </row>
    <row r="29">
      <c r="A29" s="540" t="n">
        <v>26</v>
      </c>
      <c r="B29" s="540" t="inlineStr">
        <is>
          <t>KQCY0026</t>
        </is>
      </c>
      <c r="C29" s="540" t="inlineStr">
        <is>
          <t>餐饮一分部</t>
        </is>
      </c>
      <c r="D29" s="540" t="inlineStr">
        <is>
          <t>CF272</t>
        </is>
      </c>
      <c r="E29" s="540" t="inlineStr">
        <is>
          <t>苏州工学院南一食堂</t>
        </is>
      </c>
      <c r="F29" s="540" t="inlineStr">
        <is>
          <t>强责</t>
        </is>
      </c>
      <c r="G29" s="540" t="inlineStr">
        <is>
          <t>/</t>
        </is>
      </c>
      <c r="H29" s="540" t="inlineStr">
        <is>
          <t>生煎牛肉汤</t>
        </is>
      </c>
      <c r="I29" s="540" t="inlineStr">
        <is>
          <t>徐雪晗</t>
        </is>
      </c>
      <c r="J29" s="540" t="n">
        <v>0</v>
      </c>
      <c r="K29" s="540" t="n"/>
      <c r="L29" s="540" t="inlineStr">
        <is>
          <t>位军浩</t>
        </is>
      </c>
      <c r="M29" s="540" t="n"/>
    </row>
    <row r="30">
      <c r="A30" s="540" t="n">
        <v>27</v>
      </c>
      <c r="B30" s="540" t="inlineStr">
        <is>
          <t>KQCY0027</t>
        </is>
      </c>
      <c r="C30" s="540" t="inlineStr">
        <is>
          <t>餐饮一分部</t>
        </is>
      </c>
      <c r="D30" s="540" t="inlineStr">
        <is>
          <t>CF272</t>
        </is>
      </c>
      <c r="E30" s="540" t="inlineStr">
        <is>
          <t>苏州工学院南一食堂</t>
        </is>
      </c>
      <c r="F30" s="540" t="inlineStr">
        <is>
          <t>强责</t>
        </is>
      </c>
      <c r="G30" s="540" t="inlineStr">
        <is>
          <t>/</t>
        </is>
      </c>
      <c r="H30" s="540" t="inlineStr">
        <is>
          <t>西式简餐</t>
        </is>
      </c>
      <c r="I30" s="540" t="inlineStr">
        <is>
          <t>李明发</t>
        </is>
      </c>
      <c r="J30" s="540" t="n">
        <v>0</v>
      </c>
      <c r="K30" s="540" t="n"/>
      <c r="L30" s="540" t="inlineStr">
        <is>
          <t>位军浩</t>
        </is>
      </c>
      <c r="M30" s="540" t="n"/>
    </row>
    <row r="31">
      <c r="A31" s="540" t="n">
        <v>28</v>
      </c>
      <c r="B31" s="540" t="inlineStr">
        <is>
          <t>KQCY0028</t>
        </is>
      </c>
      <c r="C31" s="540" t="inlineStr">
        <is>
          <t>餐饮一分部</t>
        </is>
      </c>
      <c r="D31" s="540" t="inlineStr">
        <is>
          <t>CF272</t>
        </is>
      </c>
      <c r="E31" s="540" t="inlineStr">
        <is>
          <t>苏州工学院南一食堂</t>
        </is>
      </c>
      <c r="F31" s="540" t="inlineStr">
        <is>
          <t>强责</t>
        </is>
      </c>
      <c r="G31" s="540" t="inlineStr">
        <is>
          <t>/</t>
        </is>
      </c>
      <c r="H31" s="540" t="inlineStr">
        <is>
          <t>苏式面</t>
        </is>
      </c>
      <c r="I31" s="540" t="inlineStr">
        <is>
          <t>许正芳</t>
        </is>
      </c>
      <c r="J31" s="540" t="n">
        <v>0</v>
      </c>
      <c r="K31" s="540" t="n"/>
      <c r="L31" s="540" t="inlineStr">
        <is>
          <t>位军浩</t>
        </is>
      </c>
      <c r="M31" s="540" t="n"/>
    </row>
    <row r="32">
      <c r="A32" s="540" t="n">
        <v>29</v>
      </c>
      <c r="B32" s="540" t="inlineStr">
        <is>
          <t>KQCY0029</t>
        </is>
      </c>
      <c r="C32" s="540" t="inlineStr">
        <is>
          <t>餐饮一分部</t>
        </is>
      </c>
      <c r="D32" s="540" t="inlineStr">
        <is>
          <t>CF272</t>
        </is>
      </c>
      <c r="E32" s="540" t="inlineStr">
        <is>
          <t>苏州工学院南一食堂</t>
        </is>
      </c>
      <c r="F32" s="540" t="inlineStr">
        <is>
          <t>强责</t>
        </is>
      </c>
      <c r="G32" s="540" t="inlineStr">
        <is>
          <t>/</t>
        </is>
      </c>
      <c r="H32" s="540" t="inlineStr">
        <is>
          <t>王记炒饭</t>
        </is>
      </c>
      <c r="I32" s="540" t="inlineStr">
        <is>
          <t>王梓骏</t>
        </is>
      </c>
      <c r="J32" s="540" t="n">
        <v>0</v>
      </c>
      <c r="K32" s="540" t="n"/>
      <c r="L32" s="540" t="inlineStr">
        <is>
          <t>位军浩</t>
        </is>
      </c>
      <c r="M32" s="540" t="n"/>
    </row>
    <row r="33">
      <c r="A33" s="540" t="n">
        <v>30</v>
      </c>
      <c r="B33" s="540" t="inlineStr">
        <is>
          <t>KQCY0030</t>
        </is>
      </c>
      <c r="C33" s="540" t="inlineStr">
        <is>
          <t>餐饮一分部</t>
        </is>
      </c>
      <c r="D33" s="540" t="inlineStr">
        <is>
          <t>CF272</t>
        </is>
      </c>
      <c r="E33" s="540" t="inlineStr">
        <is>
          <t>苏州工学院南一食堂</t>
        </is>
      </c>
      <c r="F33" s="540" t="inlineStr">
        <is>
          <t>强责</t>
        </is>
      </c>
      <c r="G33" s="540" t="inlineStr">
        <is>
          <t>/</t>
        </is>
      </c>
      <c r="H33" s="540" t="inlineStr">
        <is>
          <t>烤鸭</t>
        </is>
      </c>
      <c r="I33" s="540" t="inlineStr">
        <is>
          <t>王鑫</t>
        </is>
      </c>
      <c r="J33" s="540" t="n">
        <v>0</v>
      </c>
      <c r="K33" s="540" t="n"/>
      <c r="L33" s="540" t="inlineStr">
        <is>
          <t>位军浩</t>
        </is>
      </c>
      <c r="M33" s="540" t="n"/>
    </row>
    <row r="34">
      <c r="A34" s="540" t="n">
        <v>31</v>
      </c>
      <c r="B34" s="540" t="inlineStr">
        <is>
          <t>KQCY0031</t>
        </is>
      </c>
      <c r="C34" s="540" t="inlineStr">
        <is>
          <t>餐饮一分部</t>
        </is>
      </c>
      <c r="D34" s="540" t="inlineStr">
        <is>
          <t>CF272</t>
        </is>
      </c>
      <c r="E34" s="540" t="inlineStr">
        <is>
          <t>苏州工学院南一食堂</t>
        </is>
      </c>
      <c r="F34" s="540" t="inlineStr">
        <is>
          <t>强责</t>
        </is>
      </c>
      <c r="G34" s="540" t="inlineStr">
        <is>
          <t>/</t>
        </is>
      </c>
      <c r="H34" s="540" t="inlineStr">
        <is>
          <t>小街胡同牛杂面</t>
        </is>
      </c>
      <c r="I34" s="540" t="inlineStr">
        <is>
          <t>黄雨</t>
        </is>
      </c>
      <c r="J34" s="540" t="n">
        <v>0</v>
      </c>
      <c r="K34" s="540" t="n"/>
      <c r="L34" s="540" t="inlineStr">
        <is>
          <t>位军浩</t>
        </is>
      </c>
      <c r="M34" s="540" t="n"/>
    </row>
    <row r="35">
      <c r="A35" s="540" t="n">
        <v>32</v>
      </c>
      <c r="B35" s="540" t="inlineStr">
        <is>
          <t>KQCY0032</t>
        </is>
      </c>
      <c r="C35" s="540" t="inlineStr">
        <is>
          <t>餐饮一分部</t>
        </is>
      </c>
      <c r="D35" s="540" t="inlineStr">
        <is>
          <t>CF272</t>
        </is>
      </c>
      <c r="E35" s="540" t="inlineStr">
        <is>
          <t>苏州工学院南一食堂</t>
        </is>
      </c>
      <c r="F35" s="540" t="inlineStr">
        <is>
          <t>强责</t>
        </is>
      </c>
      <c r="G35" s="540" t="inlineStr">
        <is>
          <t>/</t>
        </is>
      </c>
      <c r="H35" s="540" t="inlineStr">
        <is>
          <t>汉堡炸鸡</t>
        </is>
      </c>
      <c r="I35" s="540" t="inlineStr">
        <is>
          <t>陆林峰</t>
        </is>
      </c>
      <c r="J35" s="540" t="n"/>
      <c r="K35" s="540" t="inlineStr">
        <is>
          <t>已撤场</t>
        </is>
      </c>
      <c r="L35" s="540" t="inlineStr">
        <is>
          <t>位军浩</t>
        </is>
      </c>
      <c r="M35" s="540" t="n"/>
    </row>
    <row r="36">
      <c r="A36" s="540" t="n">
        <v>33</v>
      </c>
      <c r="B36" s="540" t="inlineStr">
        <is>
          <t>KQCY0033</t>
        </is>
      </c>
      <c r="C36" s="540" t="inlineStr">
        <is>
          <t>餐饮一分部</t>
        </is>
      </c>
      <c r="D36" s="540" t="inlineStr">
        <is>
          <t>CF272</t>
        </is>
      </c>
      <c r="E36" s="540" t="inlineStr">
        <is>
          <t>苏州工学院南一食堂</t>
        </is>
      </c>
      <c r="F36" s="540" t="inlineStr">
        <is>
          <t>强责</t>
        </is>
      </c>
      <c r="G36" s="540" t="inlineStr">
        <is>
          <t>/</t>
        </is>
      </c>
      <c r="H36" s="540" t="inlineStr">
        <is>
          <t>旋转小火锅</t>
        </is>
      </c>
      <c r="I36" s="540" t="inlineStr">
        <is>
          <t>潘祥</t>
        </is>
      </c>
      <c r="J36" s="540" t="n"/>
      <c r="K36" s="540" t="inlineStr">
        <is>
          <t>已撤场</t>
        </is>
      </c>
      <c r="L36" s="540" t="inlineStr">
        <is>
          <t>位军浩</t>
        </is>
      </c>
      <c r="M36" s="540" t="n"/>
    </row>
    <row r="37">
      <c r="A37" s="540" t="n">
        <v>34</v>
      </c>
      <c r="B37" s="540" t="inlineStr">
        <is>
          <t>KQCY0034</t>
        </is>
      </c>
      <c r="C37" s="540" t="inlineStr">
        <is>
          <t>餐饮一分部</t>
        </is>
      </c>
      <c r="D37" s="540" t="inlineStr">
        <is>
          <t>CF127-1</t>
        </is>
      </c>
      <c r="E37" s="540" t="inlineStr">
        <is>
          <t>泰科老厂餐厅</t>
        </is>
      </c>
      <c r="F37" s="540" t="inlineStr">
        <is>
          <t>自营</t>
        </is>
      </c>
      <c r="G37" s="540" t="inlineStr">
        <is>
          <t>自营</t>
        </is>
      </c>
      <c r="H37" s="540" t="inlineStr">
        <is>
          <t>/</t>
        </is>
      </c>
      <c r="I37" s="540" t="inlineStr">
        <is>
          <t>/</t>
        </is>
      </c>
      <c r="J37" s="540" t="n">
        <v>1482243.75</v>
      </c>
      <c r="K37" s="540" t="inlineStr">
        <is>
          <t>预估</t>
        </is>
      </c>
      <c r="L37" s="540" t="inlineStr">
        <is>
          <t>位军浩</t>
        </is>
      </c>
      <c r="M37" s="540" t="n"/>
    </row>
    <row r="38">
      <c r="A38" s="540" t="n">
        <v>35</v>
      </c>
      <c r="B38" s="540" t="inlineStr">
        <is>
          <t>KQCY0035</t>
        </is>
      </c>
      <c r="C38" s="540" t="inlineStr">
        <is>
          <t>餐饮一分部</t>
        </is>
      </c>
      <c r="D38" s="540" t="inlineStr">
        <is>
          <t>CF127-3</t>
        </is>
      </c>
      <c r="E38" s="540" t="inlineStr">
        <is>
          <t>泰科新厂餐厅</t>
        </is>
      </c>
      <c r="F38" s="540" t="inlineStr">
        <is>
          <t>自营</t>
        </is>
      </c>
      <c r="G38" s="540" t="inlineStr">
        <is>
          <t>自营</t>
        </is>
      </c>
      <c r="H38" s="540" t="inlineStr">
        <is>
          <t>/</t>
        </is>
      </c>
      <c r="I38" s="540" t="inlineStr">
        <is>
          <t>/</t>
        </is>
      </c>
      <c r="J38" s="540" t="n">
        <v>1891615.12</v>
      </c>
      <c r="K38" s="540" t="inlineStr">
        <is>
          <t>预估</t>
        </is>
      </c>
      <c r="L38" s="540" t="inlineStr">
        <is>
          <t>位军浩</t>
        </is>
      </c>
      <c r="M38" s="540" t="n"/>
    </row>
    <row r="39">
      <c r="A39" s="540" t="n">
        <v>36</v>
      </c>
      <c r="B39" s="540" t="inlineStr">
        <is>
          <t>KQCY0036</t>
        </is>
      </c>
      <c r="C39" s="540" t="inlineStr">
        <is>
          <t>餐饮一分部</t>
        </is>
      </c>
      <c r="D39" s="540" t="inlineStr">
        <is>
          <t>CF141</t>
        </is>
      </c>
      <c r="E39" s="540" t="inlineStr">
        <is>
          <t>泰科阳澄湖工厂</t>
        </is>
      </c>
      <c r="F39" s="540" t="inlineStr">
        <is>
          <t>自营</t>
        </is>
      </c>
      <c r="G39" s="540" t="inlineStr">
        <is>
          <t>自营</t>
        </is>
      </c>
      <c r="H39" s="540" t="inlineStr">
        <is>
          <t>/</t>
        </is>
      </c>
      <c r="I39" s="540" t="inlineStr">
        <is>
          <t>/</t>
        </is>
      </c>
      <c r="J39" s="540" t="n">
        <v>817926.85</v>
      </c>
      <c r="K39" s="540" t="inlineStr">
        <is>
          <t>预估</t>
        </is>
      </c>
      <c r="L39" s="540" t="inlineStr">
        <is>
          <t>位军浩</t>
        </is>
      </c>
      <c r="M39" s="540" t="n"/>
    </row>
    <row r="40">
      <c r="A40" s="540" t="n">
        <v>37</v>
      </c>
      <c r="B40" s="540" t="inlineStr">
        <is>
          <t>KQCY0037</t>
        </is>
      </c>
      <c r="C40" s="540" t="inlineStr">
        <is>
          <t>餐饮一分部</t>
        </is>
      </c>
      <c r="D40" s="540" t="inlineStr">
        <is>
          <t>CF129-1</t>
        </is>
      </c>
      <c r="E40" s="540" t="inlineStr">
        <is>
          <t>中央厨房（加工服务部）</t>
        </is>
      </c>
      <c r="F40" s="540" t="inlineStr">
        <is>
          <t>自营</t>
        </is>
      </c>
      <c r="G40" s="540" t="inlineStr">
        <is>
          <t>自营</t>
        </is>
      </c>
      <c r="H40" s="540" t="inlineStr">
        <is>
          <t>/</t>
        </is>
      </c>
      <c r="I40" s="540" t="inlineStr">
        <is>
          <t>/</t>
        </is>
      </c>
      <c r="J40" s="540" t="n"/>
      <c r="K40" s="540" t="inlineStr">
        <is>
          <t>不存在收入</t>
        </is>
      </c>
      <c r="L40" s="540" t="inlineStr">
        <is>
          <t>位军浩</t>
        </is>
      </c>
      <c r="M40" s="540" t="n"/>
    </row>
    <row r="41">
      <c r="A41" s="540" t="n">
        <v>38</v>
      </c>
      <c r="B41" s="540" t="inlineStr">
        <is>
          <t>KQCY0038</t>
        </is>
      </c>
      <c r="C41" s="540" t="inlineStr">
        <is>
          <t>餐饮一分部</t>
        </is>
      </c>
      <c r="D41" s="540" t="inlineStr">
        <is>
          <t>CF142</t>
        </is>
      </c>
      <c r="E41" s="540" t="inlineStr">
        <is>
          <t>卡特彼勒（吴江）餐厅</t>
        </is>
      </c>
      <c r="F41" s="540" t="inlineStr">
        <is>
          <t>自营</t>
        </is>
      </c>
      <c r="G41" s="540" t="inlineStr">
        <is>
          <t>自营</t>
        </is>
      </c>
      <c r="H41" s="540" t="inlineStr">
        <is>
          <t>/</t>
        </is>
      </c>
      <c r="I41" s="540" t="inlineStr">
        <is>
          <t>/</t>
        </is>
      </c>
      <c r="J41" s="540" t="n"/>
      <c r="K41" s="540" t="inlineStr">
        <is>
          <t>已退场</t>
        </is>
      </c>
      <c r="L41" s="540" t="inlineStr">
        <is>
          <t>位军浩</t>
        </is>
      </c>
      <c r="M41" s="540" t="n"/>
    </row>
    <row r="42">
      <c r="A42" s="540" t="n">
        <v>39</v>
      </c>
      <c r="B42" s="540" t="inlineStr">
        <is>
          <t>KQCY0039</t>
        </is>
      </c>
      <c r="C42" s="540" t="inlineStr">
        <is>
          <t>餐饮一分部</t>
        </is>
      </c>
      <c r="D42" s="540" t="inlineStr">
        <is>
          <t>CF138</t>
        </is>
      </c>
      <c r="E42" s="540" t="inlineStr">
        <is>
          <t>苏州生物产业园三期餐厅</t>
        </is>
      </c>
      <c r="F42" s="540" t="inlineStr">
        <is>
          <t>自营</t>
        </is>
      </c>
      <c r="G42" s="540" t="inlineStr">
        <is>
          <t>自营</t>
        </is>
      </c>
      <c r="H42" s="540" t="inlineStr">
        <is>
          <t>/</t>
        </is>
      </c>
      <c r="I42" s="540" t="inlineStr">
        <is>
          <t>/</t>
        </is>
      </c>
      <c r="J42" s="540" t="n">
        <v>212081.83</v>
      </c>
      <c r="K42" s="540" t="inlineStr">
        <is>
          <t>准确金额下午两点核算出，现为预估金额</t>
        </is>
      </c>
      <c r="L42" s="540" t="inlineStr">
        <is>
          <t>位军浩</t>
        </is>
      </c>
      <c r="M42" s="540" t="n"/>
    </row>
    <row r="43">
      <c r="A43" s="540" t="n">
        <v>40</v>
      </c>
      <c r="B43" s="540" t="inlineStr">
        <is>
          <t>KQCY0040</t>
        </is>
      </c>
      <c r="C43" s="540" t="inlineStr">
        <is>
          <t>餐饮二分部</t>
        </is>
      </c>
      <c r="D43" s="540" t="inlineStr">
        <is>
          <t>CF181</t>
        </is>
      </c>
      <c r="E43" s="540" t="inlineStr">
        <is>
          <t>中科大苏州研究院食堂</t>
        </is>
      </c>
      <c r="F43" s="540" t="inlineStr">
        <is>
          <t>自营</t>
        </is>
      </c>
      <c r="G43" s="540" t="inlineStr">
        <is>
          <t>自营</t>
        </is>
      </c>
      <c r="H43" s="540" t="inlineStr">
        <is>
          <t>/</t>
        </is>
      </c>
      <c r="I43" s="540" t="inlineStr">
        <is>
          <t>/</t>
        </is>
      </c>
      <c r="J43" s="540" t="n">
        <v>135117.53</v>
      </c>
      <c r="K43" s="540" t="n"/>
      <c r="L43" s="540" t="inlineStr">
        <is>
          <t>谢苗苗</t>
        </is>
      </c>
      <c r="M43" s="540" t="inlineStr">
        <is>
          <t>已核对</t>
        </is>
      </c>
    </row>
    <row r="44">
      <c r="A44" s="540" t="n">
        <v>41</v>
      </c>
      <c r="B44" s="540" t="inlineStr">
        <is>
          <t>KQCY0041</t>
        </is>
      </c>
      <c r="C44" s="540" t="inlineStr">
        <is>
          <t>餐饮二分部</t>
        </is>
      </c>
      <c r="D44" s="540" t="inlineStr">
        <is>
          <t>CF124</t>
        </is>
      </c>
      <c r="E44" s="540" t="inlineStr">
        <is>
          <t>苏州评弹学院食堂</t>
        </is>
      </c>
      <c r="F44" s="540" t="inlineStr">
        <is>
          <t>自营</t>
        </is>
      </c>
      <c r="G44" s="540" t="inlineStr">
        <is>
          <t>自营</t>
        </is>
      </c>
      <c r="H44" s="540" t="inlineStr">
        <is>
          <t>/</t>
        </is>
      </c>
      <c r="I44" s="540" t="inlineStr">
        <is>
          <t>/</t>
        </is>
      </c>
      <c r="J44" s="540" t="n">
        <v>0</v>
      </c>
      <c r="K44" s="540" t="inlineStr">
        <is>
          <t>暑期放假</t>
        </is>
      </c>
      <c r="L44" s="540" t="inlineStr">
        <is>
          <t>谢苗苗</t>
        </is>
      </c>
      <c r="M44" s="540" t="inlineStr">
        <is>
          <t>已核对</t>
        </is>
      </c>
    </row>
    <row r="45">
      <c r="A45" s="540" t="n">
        <v>42</v>
      </c>
      <c r="B45" s="540" t="inlineStr">
        <is>
          <t>KQCY0042</t>
        </is>
      </c>
      <c r="C45" s="540" t="inlineStr">
        <is>
          <t>餐饮二分部</t>
        </is>
      </c>
      <c r="D45" s="540" t="inlineStr">
        <is>
          <t>CF125</t>
        </is>
      </c>
      <c r="E45" s="540" t="inlineStr">
        <is>
          <t>西浦大学宏愿食堂（南）</t>
        </is>
      </c>
      <c r="F45" s="540" t="inlineStr">
        <is>
          <t>自营</t>
        </is>
      </c>
      <c r="G45" s="540" t="inlineStr">
        <is>
          <t>自营</t>
        </is>
      </c>
      <c r="H45" s="540" t="inlineStr">
        <is>
          <t>/</t>
        </is>
      </c>
      <c r="I45" s="540" t="inlineStr">
        <is>
          <t>/</t>
        </is>
      </c>
      <c r="J45" s="540" t="n">
        <v>130412.6</v>
      </c>
      <c r="K45" s="540" t="n"/>
      <c r="L45" s="540" t="inlineStr">
        <is>
          <t>谢苗苗</t>
        </is>
      </c>
      <c r="M45" s="540" t="inlineStr">
        <is>
          <t>已核对</t>
        </is>
      </c>
    </row>
    <row r="46">
      <c r="A46" s="540" t="n">
        <v>43</v>
      </c>
      <c r="B46" s="540" t="inlineStr">
        <is>
          <t>KQCY0043</t>
        </is>
      </c>
      <c r="C46" s="540" t="inlineStr">
        <is>
          <t>餐饮二分部</t>
        </is>
      </c>
      <c r="D46" s="540" t="inlineStr">
        <is>
          <t>CF125</t>
        </is>
      </c>
      <c r="E46" s="540" t="inlineStr">
        <is>
          <t>西浦大学宏愿食堂（南）</t>
        </is>
      </c>
      <c r="F46" s="540" t="inlineStr">
        <is>
          <t>分组作业</t>
        </is>
      </c>
      <c r="G46" s="540" t="inlineStr">
        <is>
          <t>/</t>
        </is>
      </c>
      <c r="H46" s="540" t="inlineStr">
        <is>
          <t>麻辣烫</t>
        </is>
      </c>
      <c r="I46" s="540" t="inlineStr">
        <is>
          <t>何军军</t>
        </is>
      </c>
      <c r="J46" s="540" t="n">
        <v>0</v>
      </c>
      <c r="K46" s="540" t="n"/>
      <c r="L46" s="540" t="inlineStr">
        <is>
          <t>谢苗苗</t>
        </is>
      </c>
      <c r="M46" s="540" t="inlineStr">
        <is>
          <t>已核对</t>
        </is>
      </c>
    </row>
    <row r="47">
      <c r="A47" s="540" t="n">
        <v>44</v>
      </c>
      <c r="B47" s="540" t="inlineStr">
        <is>
          <t>KQCY0044</t>
        </is>
      </c>
      <c r="C47" s="540" t="inlineStr">
        <is>
          <t>餐饮二分部</t>
        </is>
      </c>
      <c r="D47" s="540" t="inlineStr">
        <is>
          <t>CF125</t>
        </is>
      </c>
      <c r="E47" s="540" t="inlineStr">
        <is>
          <t>西浦大学宏愿食堂（南）</t>
        </is>
      </c>
      <c r="F47" s="540" t="inlineStr">
        <is>
          <t>分组作业</t>
        </is>
      </c>
      <c r="G47" s="540" t="inlineStr">
        <is>
          <t>/</t>
        </is>
      </c>
      <c r="H47" s="540" t="inlineStr">
        <is>
          <t>小炒</t>
        </is>
      </c>
      <c r="I47" s="540" t="inlineStr">
        <is>
          <t>王成龙</t>
        </is>
      </c>
      <c r="J47" s="540" t="n">
        <v>32020.6</v>
      </c>
      <c r="K47" s="540" t="n"/>
      <c r="L47" s="540" t="inlineStr">
        <is>
          <t>谢苗苗</t>
        </is>
      </c>
      <c r="M47" s="540" t="inlineStr">
        <is>
          <t>已核对</t>
        </is>
      </c>
    </row>
    <row r="48">
      <c r="A48" s="540" t="n">
        <v>45</v>
      </c>
      <c r="B48" s="540" t="inlineStr">
        <is>
          <t>KQCY0045</t>
        </is>
      </c>
      <c r="C48" s="540" t="inlineStr">
        <is>
          <t>餐饮二分部</t>
        </is>
      </c>
      <c r="D48" s="540" t="inlineStr">
        <is>
          <t>CF125</t>
        </is>
      </c>
      <c r="E48" s="540" t="inlineStr">
        <is>
          <t>西浦大学宏愿食堂（南）</t>
        </is>
      </c>
      <c r="F48" s="540" t="inlineStr">
        <is>
          <t>分组作业</t>
        </is>
      </c>
      <c r="G48" s="540" t="inlineStr">
        <is>
          <t>/</t>
        </is>
      </c>
      <c r="H48" s="540" t="inlineStr">
        <is>
          <t>枣糕</t>
        </is>
      </c>
      <c r="I48" s="540" t="inlineStr">
        <is>
          <t>杜松松</t>
        </is>
      </c>
      <c r="J48" s="540" t="n">
        <v>2181</v>
      </c>
      <c r="K48" s="540" t="n"/>
      <c r="L48" s="540" t="inlineStr">
        <is>
          <t>谢苗苗</t>
        </is>
      </c>
      <c r="M48" s="540" t="inlineStr">
        <is>
          <t>已核对</t>
        </is>
      </c>
    </row>
    <row r="49">
      <c r="A49" s="540" t="n">
        <v>46</v>
      </c>
      <c r="B49" s="540" t="inlineStr">
        <is>
          <t>KQCY0046</t>
        </is>
      </c>
      <c r="C49" s="540" t="inlineStr">
        <is>
          <t>餐饮二分部</t>
        </is>
      </c>
      <c r="D49" s="540" t="inlineStr">
        <is>
          <t>CF125</t>
        </is>
      </c>
      <c r="E49" s="540" t="inlineStr">
        <is>
          <t>西浦大学宏愿食堂（南）</t>
        </is>
      </c>
      <c r="F49" s="540" t="inlineStr">
        <is>
          <t>分组作业</t>
        </is>
      </c>
      <c r="G49" s="540" t="inlineStr">
        <is>
          <t>/</t>
        </is>
      </c>
      <c r="H49" s="540" t="inlineStr">
        <is>
          <t>面条</t>
        </is>
      </c>
      <c r="I49" s="540" t="inlineStr">
        <is>
          <t>葛文静</t>
        </is>
      </c>
      <c r="J49" s="540" t="n">
        <v>0</v>
      </c>
      <c r="K49" s="540" t="inlineStr">
        <is>
          <t>已撤场</t>
        </is>
      </c>
      <c r="L49" s="540" t="inlineStr">
        <is>
          <t>谢苗苗</t>
        </is>
      </c>
      <c r="M49" s="540" t="inlineStr">
        <is>
          <t>已核对</t>
        </is>
      </c>
    </row>
    <row r="50">
      <c r="A50" s="540" t="n">
        <v>47</v>
      </c>
      <c r="B50" s="540" t="inlineStr">
        <is>
          <t>KQCY0047</t>
        </is>
      </c>
      <c r="C50" s="540" t="inlineStr">
        <is>
          <t>餐饮二分部</t>
        </is>
      </c>
      <c r="D50" s="540" t="inlineStr">
        <is>
          <t>CF125</t>
        </is>
      </c>
      <c r="E50" s="540" t="inlineStr">
        <is>
          <t>西浦大学宏愿食堂（南）</t>
        </is>
      </c>
      <c r="F50" s="540" t="inlineStr">
        <is>
          <t>分组作业</t>
        </is>
      </c>
      <c r="G50" s="540" t="inlineStr">
        <is>
          <t>/</t>
        </is>
      </c>
      <c r="H50" s="540" t="inlineStr">
        <is>
          <t>烤肉</t>
        </is>
      </c>
      <c r="I50" s="540" t="inlineStr">
        <is>
          <t>杜松松</t>
        </is>
      </c>
      <c r="J50" s="540" t="n">
        <v>0</v>
      </c>
      <c r="K50" s="540" t="inlineStr">
        <is>
          <t>已撤场</t>
        </is>
      </c>
      <c r="L50" s="540" t="inlineStr">
        <is>
          <t>谢苗苗</t>
        </is>
      </c>
      <c r="M50" s="540" t="inlineStr">
        <is>
          <t>已核对</t>
        </is>
      </c>
    </row>
    <row r="51">
      <c r="A51" s="540" t="n">
        <v>48</v>
      </c>
      <c r="B51" s="540" t="inlineStr">
        <is>
          <t>KQCY0048</t>
        </is>
      </c>
      <c r="C51" s="540" t="inlineStr">
        <is>
          <t>餐饮二分部</t>
        </is>
      </c>
      <c r="D51" s="540" t="inlineStr">
        <is>
          <t>CF125</t>
        </is>
      </c>
      <c r="E51" s="540" t="inlineStr">
        <is>
          <t>西浦大学宏愿食堂（南）</t>
        </is>
      </c>
      <c r="F51" s="540" t="inlineStr">
        <is>
          <t>分组作业</t>
        </is>
      </c>
      <c r="G51" s="540" t="inlineStr">
        <is>
          <t>/</t>
        </is>
      </c>
      <c r="H51" s="540" t="inlineStr">
        <is>
          <t>粉丝汤</t>
        </is>
      </c>
      <c r="I51" s="540" t="inlineStr">
        <is>
          <t>李鑫</t>
        </is>
      </c>
      <c r="J51" s="540" t="n">
        <v>7077.97</v>
      </c>
      <c r="K51" s="540" t="n"/>
      <c r="L51" s="540" t="inlineStr">
        <is>
          <t>谢苗苗</t>
        </is>
      </c>
      <c r="M51" s="540" t="inlineStr">
        <is>
          <t>已核对</t>
        </is>
      </c>
    </row>
    <row r="52">
      <c r="A52" s="540" t="n">
        <v>49</v>
      </c>
      <c r="B52" s="540" t="inlineStr">
        <is>
          <t>KQCY0049</t>
        </is>
      </c>
      <c r="C52" s="540" t="inlineStr">
        <is>
          <t>餐饮二分部</t>
        </is>
      </c>
      <c r="D52" s="540" t="inlineStr">
        <is>
          <t>CF137</t>
        </is>
      </c>
      <c r="E52" s="540" t="inlineStr">
        <is>
          <t>西浦大学宏愿食堂（北）</t>
        </is>
      </c>
      <c r="F52" s="540" t="inlineStr">
        <is>
          <t>自营</t>
        </is>
      </c>
      <c r="G52" s="540" t="inlineStr">
        <is>
          <t>自营</t>
        </is>
      </c>
      <c r="H52" s="540" t="inlineStr">
        <is>
          <t>/</t>
        </is>
      </c>
      <c r="I52" s="540" t="inlineStr">
        <is>
          <t>/</t>
        </is>
      </c>
      <c r="J52" s="540" t="n">
        <v>0</v>
      </c>
      <c r="K52" s="540" t="inlineStr">
        <is>
          <t>系统出错31号卡机收入无法查询，未加金额</t>
        </is>
      </c>
      <c r="L52" s="540" t="inlineStr">
        <is>
          <t>谢苗苗</t>
        </is>
      </c>
      <c r="M52" s="540" t="inlineStr">
        <is>
          <t>已核对</t>
        </is>
      </c>
    </row>
    <row r="53">
      <c r="A53" s="540" t="n">
        <v>50</v>
      </c>
      <c r="B53" s="540" t="inlineStr">
        <is>
          <t>KQCY0050</t>
        </is>
      </c>
      <c r="C53" s="540" t="inlineStr">
        <is>
          <t>餐饮二分部</t>
        </is>
      </c>
      <c r="D53" s="540" t="inlineStr">
        <is>
          <t>CF137</t>
        </is>
      </c>
      <c r="E53" s="540" t="inlineStr">
        <is>
          <t>西浦大学宏愿食堂（北）</t>
        </is>
      </c>
      <c r="F53" s="540" t="inlineStr">
        <is>
          <t>分组作业</t>
        </is>
      </c>
      <c r="G53" s="540" t="inlineStr">
        <is>
          <t>/</t>
        </is>
      </c>
      <c r="H53" s="540" t="inlineStr">
        <is>
          <t>滑蛋饭</t>
        </is>
      </c>
      <c r="I53" s="540" t="inlineStr">
        <is>
          <t>赵广伟</t>
        </is>
      </c>
      <c r="J53" s="540" t="n">
        <v>0</v>
      </c>
      <c r="K53" s="540" t="inlineStr">
        <is>
          <t>未营业</t>
        </is>
      </c>
      <c r="L53" s="540" t="inlineStr">
        <is>
          <t>谢苗苗</t>
        </is>
      </c>
      <c r="M53" s="540" t="inlineStr">
        <is>
          <t>已核对</t>
        </is>
      </c>
    </row>
    <row r="54">
      <c r="A54" s="540" t="n">
        <v>51</v>
      </c>
      <c r="B54" s="540" t="inlineStr">
        <is>
          <t>KQCY0051</t>
        </is>
      </c>
      <c r="C54" s="540" t="inlineStr">
        <is>
          <t>餐饮二分部</t>
        </is>
      </c>
      <c r="D54" s="540" t="inlineStr">
        <is>
          <t>CF137</t>
        </is>
      </c>
      <c r="E54" s="540" t="inlineStr">
        <is>
          <t>西浦大学宏愿食堂（北）</t>
        </is>
      </c>
      <c r="F54" s="540" t="inlineStr">
        <is>
          <t>分组作业</t>
        </is>
      </c>
      <c r="G54" s="540" t="inlineStr">
        <is>
          <t>/</t>
        </is>
      </c>
      <c r="H54" s="540" t="inlineStr">
        <is>
          <t>手工水饺</t>
        </is>
      </c>
      <c r="I54" s="540" t="inlineStr">
        <is>
          <t>赵玉才</t>
        </is>
      </c>
      <c r="J54" s="540" t="n">
        <v>0</v>
      </c>
      <c r="K54" s="540" t="inlineStr">
        <is>
          <t>系统出错31号卡机收入无法查询，未加金额</t>
        </is>
      </c>
      <c r="L54" s="540" t="inlineStr">
        <is>
          <t>谢苗苗</t>
        </is>
      </c>
      <c r="M54" s="540" t="inlineStr">
        <is>
          <t>已核对</t>
        </is>
      </c>
    </row>
    <row r="55">
      <c r="A55" s="540" t="n">
        <v>52</v>
      </c>
      <c r="B55" s="540" t="inlineStr">
        <is>
          <t>KQCY0052</t>
        </is>
      </c>
      <c r="C55" s="540" t="inlineStr">
        <is>
          <t>餐饮二分部</t>
        </is>
      </c>
      <c r="D55" s="540" t="inlineStr">
        <is>
          <t>CF137</t>
        </is>
      </c>
      <c r="E55" s="540" t="inlineStr">
        <is>
          <t>西浦大学宏愿食堂（北）</t>
        </is>
      </c>
      <c r="F55" s="540" t="inlineStr">
        <is>
          <t>分组作业</t>
        </is>
      </c>
      <c r="G55" s="540" t="inlineStr">
        <is>
          <t>/</t>
        </is>
      </c>
      <c r="H55" s="540" t="inlineStr">
        <is>
          <t>烤盘饭</t>
        </is>
      </c>
      <c r="I55" s="540" t="inlineStr">
        <is>
          <t>付昌杰</t>
        </is>
      </c>
      <c r="J55" s="540" t="n">
        <v>0</v>
      </c>
      <c r="K55" s="540" t="inlineStr">
        <is>
          <t>系统出错31号卡机收入无法查询，未加金额</t>
        </is>
      </c>
      <c r="L55" s="540" t="inlineStr">
        <is>
          <t>谢苗苗</t>
        </is>
      </c>
      <c r="M55" s="540" t="inlineStr">
        <is>
          <t>已核对</t>
        </is>
      </c>
    </row>
    <row r="56">
      <c r="A56" s="540" t="n">
        <v>53</v>
      </c>
      <c r="B56" s="540" t="inlineStr">
        <is>
          <t>KQCY0053</t>
        </is>
      </c>
      <c r="C56" s="540" t="inlineStr">
        <is>
          <t>餐饮二分部</t>
        </is>
      </c>
      <c r="D56" s="540" t="inlineStr">
        <is>
          <t>CF137</t>
        </is>
      </c>
      <c r="E56" s="540" t="inlineStr">
        <is>
          <t>西浦大学宏愿食堂（北）</t>
        </is>
      </c>
      <c r="F56" s="540" t="inlineStr">
        <is>
          <t>分组作业</t>
        </is>
      </c>
      <c r="G56" s="540" t="inlineStr">
        <is>
          <t>/</t>
        </is>
      </c>
      <c r="H56" s="540" t="inlineStr">
        <is>
          <t>大花米线</t>
        </is>
      </c>
      <c r="I56" s="540" t="inlineStr">
        <is>
          <t>钱卫军</t>
        </is>
      </c>
      <c r="J56" s="540" t="n">
        <v>0</v>
      </c>
      <c r="K56" s="540" t="inlineStr">
        <is>
          <t>系统出错31号卡机收入无法查询，未加金额</t>
        </is>
      </c>
      <c r="L56" s="540" t="inlineStr">
        <is>
          <t>谢苗苗</t>
        </is>
      </c>
      <c r="M56" s="540" t="inlineStr">
        <is>
          <t>已核对</t>
        </is>
      </c>
    </row>
    <row r="57">
      <c r="A57" s="540" t="n">
        <v>54</v>
      </c>
      <c r="B57" s="540" t="inlineStr">
        <is>
          <t>KQCY0054</t>
        </is>
      </c>
      <c r="C57" s="540" t="inlineStr">
        <is>
          <t>餐饮二分部</t>
        </is>
      </c>
      <c r="D57" s="540" t="inlineStr">
        <is>
          <t>CF137</t>
        </is>
      </c>
      <c r="E57" s="540" t="inlineStr">
        <is>
          <t>西浦大学宏愿食堂（北）</t>
        </is>
      </c>
      <c r="F57" s="540" t="inlineStr">
        <is>
          <t>分组作业</t>
        </is>
      </c>
      <c r="G57" s="540" t="inlineStr">
        <is>
          <t>/</t>
        </is>
      </c>
      <c r="H57" s="540" t="inlineStr">
        <is>
          <t>石锅饭</t>
        </is>
      </c>
      <c r="I57" s="540" t="inlineStr">
        <is>
          <t>葛颖</t>
        </is>
      </c>
      <c r="J57" s="540" t="n">
        <v>0</v>
      </c>
      <c r="K57" s="540" t="inlineStr">
        <is>
          <t>系统出错31号卡机收入无法查询，未加金额</t>
        </is>
      </c>
      <c r="L57" s="540" t="inlineStr">
        <is>
          <t>谢苗苗</t>
        </is>
      </c>
      <c r="M57" s="540" t="inlineStr">
        <is>
          <t>已核对</t>
        </is>
      </c>
    </row>
    <row r="58">
      <c r="A58" s="540" t="n">
        <v>55</v>
      </c>
      <c r="B58" s="540" t="inlineStr">
        <is>
          <t>KQCY0055</t>
        </is>
      </c>
      <c r="C58" s="540" t="inlineStr">
        <is>
          <t>餐饮二分部</t>
        </is>
      </c>
      <c r="D58" s="540" t="inlineStr">
        <is>
          <t>CF137</t>
        </is>
      </c>
      <c r="E58" s="540" t="inlineStr">
        <is>
          <t>西浦大学宏愿食堂（北）</t>
        </is>
      </c>
      <c r="F58" s="540" t="inlineStr">
        <is>
          <t>分组作业</t>
        </is>
      </c>
      <c r="G58" s="540" t="inlineStr">
        <is>
          <t>/</t>
        </is>
      </c>
      <c r="H58" s="540" t="inlineStr">
        <is>
          <t>一鸣鲜奶吧</t>
        </is>
      </c>
      <c r="I58" s="540" t="inlineStr">
        <is>
          <t>黎欢</t>
        </is>
      </c>
      <c r="J58" s="540" t="n">
        <v>0</v>
      </c>
      <c r="K58" s="540" t="inlineStr">
        <is>
          <t>系统出错31号卡机收入无法查询，未加金额</t>
        </is>
      </c>
      <c r="L58" s="540" t="inlineStr">
        <is>
          <t>谢苗苗</t>
        </is>
      </c>
      <c r="M58" s="540" t="inlineStr">
        <is>
          <t>已核对</t>
        </is>
      </c>
    </row>
    <row r="59">
      <c r="A59" s="540" t="n">
        <v>56</v>
      </c>
      <c r="B59" s="540" t="inlineStr">
        <is>
          <t>KQCY0056</t>
        </is>
      </c>
      <c r="C59" s="540" t="inlineStr">
        <is>
          <t>餐饮二分部</t>
        </is>
      </c>
      <c r="D59" s="540" t="inlineStr">
        <is>
          <t>CF140</t>
        </is>
      </c>
      <c r="E59" s="540" t="inlineStr">
        <is>
          <t>西浦大学太仓校区食堂</t>
        </is>
      </c>
      <c r="F59" s="540" t="inlineStr">
        <is>
          <t>自营</t>
        </is>
      </c>
      <c r="G59" s="540" t="inlineStr">
        <is>
          <t>自营</t>
        </is>
      </c>
      <c r="H59" s="540" t="inlineStr">
        <is>
          <t>/</t>
        </is>
      </c>
      <c r="I59" s="540" t="inlineStr">
        <is>
          <t>/</t>
        </is>
      </c>
      <c r="J59" s="540" t="n">
        <v>134752.83</v>
      </c>
      <c r="K59" s="540" t="n"/>
      <c r="L59" s="540" t="inlineStr">
        <is>
          <t>谢苗苗</t>
        </is>
      </c>
      <c r="M59" s="540" t="inlineStr">
        <is>
          <t>已核对</t>
        </is>
      </c>
    </row>
    <row r="60">
      <c r="A60" s="540" t="n">
        <v>57</v>
      </c>
      <c r="B60" s="540" t="inlineStr">
        <is>
          <t>KQCY0057</t>
        </is>
      </c>
      <c r="C60" s="540" t="inlineStr">
        <is>
          <t>餐饮二分部</t>
        </is>
      </c>
      <c r="D60" s="540" t="inlineStr">
        <is>
          <t>CF140</t>
        </is>
      </c>
      <c r="E60" s="540" t="inlineStr">
        <is>
          <t>西浦大学太仓校区食堂</t>
        </is>
      </c>
      <c r="F60" s="540" t="inlineStr">
        <is>
          <t>分组作业</t>
        </is>
      </c>
      <c r="G60" s="540" t="inlineStr">
        <is>
          <t>第一班组</t>
        </is>
      </c>
      <c r="H60" s="540" t="inlineStr">
        <is>
          <t>蛋包饭(肥牛米线、水饺、烤盘饭)</t>
        </is>
      </c>
      <c r="I60" s="540" t="inlineStr">
        <is>
          <t>赵广伟</t>
        </is>
      </c>
      <c r="J60" s="540" t="n">
        <v>66066.8</v>
      </c>
      <c r="K60" s="540" t="n"/>
      <c r="L60" s="540" t="inlineStr">
        <is>
          <t>谢苗苗</t>
        </is>
      </c>
      <c r="M60" s="540" t="inlineStr">
        <is>
          <t>已核对</t>
        </is>
      </c>
    </row>
    <row r="61">
      <c r="A61" s="540" t="n">
        <v>58</v>
      </c>
      <c r="B61" s="540" t="inlineStr">
        <is>
          <t>KQCY0058</t>
        </is>
      </c>
      <c r="C61" s="540" t="inlineStr">
        <is>
          <t>餐饮二分部</t>
        </is>
      </c>
      <c r="D61" s="540" t="inlineStr">
        <is>
          <t>CF140</t>
        </is>
      </c>
      <c r="E61" s="540" t="inlineStr">
        <is>
          <t>西浦大学太仓校区食堂</t>
        </is>
      </c>
      <c r="F61" s="540" t="inlineStr">
        <is>
          <t>分组作业</t>
        </is>
      </c>
      <c r="G61" s="540" t="inlineStr">
        <is>
          <t>第二班组</t>
        </is>
      </c>
      <c r="H61" s="540" t="inlineStr">
        <is>
          <t>枣糕&amp;热饮(韩式拌饭)</t>
        </is>
      </c>
      <c r="I61" s="540" t="inlineStr">
        <is>
          <t>杜松松</t>
        </is>
      </c>
      <c r="J61" s="540" t="n">
        <v>0</v>
      </c>
      <c r="K61" s="540" t="inlineStr">
        <is>
          <t>已撤场</t>
        </is>
      </c>
      <c r="L61" s="540" t="inlineStr">
        <is>
          <t>谢苗苗</t>
        </is>
      </c>
      <c r="M61" s="540" t="inlineStr">
        <is>
          <t>已核对</t>
        </is>
      </c>
    </row>
    <row r="62">
      <c r="A62" s="540" t="n">
        <v>59</v>
      </c>
      <c r="B62" s="540" t="inlineStr">
        <is>
          <t>KQCY0059</t>
        </is>
      </c>
      <c r="C62" s="540" t="inlineStr">
        <is>
          <t>餐饮二分部</t>
        </is>
      </c>
      <c r="D62" s="540" t="inlineStr">
        <is>
          <t>CF182</t>
        </is>
      </c>
      <c r="E62" s="540" t="inlineStr">
        <is>
          <t>无锡工艺第二食堂</t>
        </is>
      </c>
      <c r="F62" s="540" t="inlineStr">
        <is>
          <t>自营</t>
        </is>
      </c>
      <c r="G62" s="540" t="inlineStr">
        <is>
          <t>自营</t>
        </is>
      </c>
      <c r="H62" s="540" t="inlineStr">
        <is>
          <t>/</t>
        </is>
      </c>
      <c r="I62" s="540" t="inlineStr">
        <is>
          <t>/</t>
        </is>
      </c>
      <c r="J62" s="540" t="n">
        <v>0</v>
      </c>
      <c r="K62" s="540" t="n"/>
      <c r="L62" s="540" t="inlineStr">
        <is>
          <t>谢苗苗</t>
        </is>
      </c>
      <c r="M62" s="540" t="inlineStr">
        <is>
          <t>已核对</t>
        </is>
      </c>
    </row>
    <row r="63">
      <c r="A63" s="540" t="n">
        <v>60</v>
      </c>
      <c r="B63" s="540" t="inlineStr">
        <is>
          <t>KQCY0060</t>
        </is>
      </c>
      <c r="C63" s="540" t="inlineStr">
        <is>
          <t>餐饮二分部</t>
        </is>
      </c>
      <c r="D63" s="540" t="inlineStr">
        <is>
          <t>CF182</t>
        </is>
      </c>
      <c r="E63" s="540" t="inlineStr">
        <is>
          <t>无锡工艺第二食堂</t>
        </is>
      </c>
      <c r="F63" s="540" t="inlineStr">
        <is>
          <t>分组作业</t>
        </is>
      </c>
      <c r="G63" s="540" t="inlineStr">
        <is>
          <t>/</t>
        </is>
      </c>
      <c r="H63" s="540" t="inlineStr">
        <is>
          <t>快餐</t>
        </is>
      </c>
      <c r="I63" s="540" t="inlineStr">
        <is>
          <t>林见锋</t>
        </is>
      </c>
      <c r="J63" s="540" t="n">
        <v>0</v>
      </c>
      <c r="K63" s="540" t="n"/>
      <c r="L63" s="540" t="inlineStr">
        <is>
          <t>谢苗苗</t>
        </is>
      </c>
      <c r="M63" s="540" t="inlineStr">
        <is>
          <t>已核对</t>
        </is>
      </c>
    </row>
    <row r="64">
      <c r="A64" s="540" t="n">
        <v>61</v>
      </c>
      <c r="B64" s="540" t="inlineStr">
        <is>
          <t>KQCY0061</t>
        </is>
      </c>
      <c r="C64" s="540" t="inlineStr">
        <is>
          <t>餐饮二分部</t>
        </is>
      </c>
      <c r="D64" s="540" t="inlineStr">
        <is>
          <t>CF182</t>
        </is>
      </c>
      <c r="E64" s="540" t="inlineStr">
        <is>
          <t>无锡工艺第二食堂</t>
        </is>
      </c>
      <c r="F64" s="540" t="inlineStr">
        <is>
          <t>分组作业</t>
        </is>
      </c>
      <c r="G64" s="540" t="inlineStr">
        <is>
          <t>第二班组</t>
        </is>
      </c>
      <c r="H64" s="540" t="inlineStr">
        <is>
          <t>烤鸭饭</t>
        </is>
      </c>
      <c r="I64" s="540" t="inlineStr">
        <is>
          <t>徐其国</t>
        </is>
      </c>
      <c r="J64" s="540" t="n">
        <v>0</v>
      </c>
      <c r="K64" s="540" t="n"/>
      <c r="L64" s="540" t="inlineStr">
        <is>
          <t>谢苗苗</t>
        </is>
      </c>
      <c r="M64" s="540" t="inlineStr">
        <is>
          <t>已核对</t>
        </is>
      </c>
    </row>
    <row r="65">
      <c r="A65" s="540" t="n">
        <v>62</v>
      </c>
      <c r="B65" s="540" t="inlineStr">
        <is>
          <t>KQCY0062</t>
        </is>
      </c>
      <c r="C65" s="540" t="inlineStr">
        <is>
          <t>餐饮二分部</t>
        </is>
      </c>
      <c r="D65" s="540" t="inlineStr">
        <is>
          <t>CF182</t>
        </is>
      </c>
      <c r="E65" s="540" t="inlineStr">
        <is>
          <t>无锡工艺第二食堂</t>
        </is>
      </c>
      <c r="F65" s="540" t="inlineStr">
        <is>
          <t>分组作业</t>
        </is>
      </c>
      <c r="G65" s="540" t="inlineStr">
        <is>
          <t>第三班组</t>
        </is>
      </c>
      <c r="H65" s="540" t="inlineStr">
        <is>
          <t>营养粥、小笼包</t>
        </is>
      </c>
      <c r="I65" s="540" t="n"/>
      <c r="J65" s="540" t="n">
        <v>0</v>
      </c>
      <c r="K65" s="540" t="n"/>
      <c r="L65" s="540" t="inlineStr">
        <is>
          <t>谢苗苗</t>
        </is>
      </c>
      <c r="M65" s="540" t="inlineStr">
        <is>
          <t>已核对</t>
        </is>
      </c>
    </row>
    <row r="66">
      <c r="A66" s="540" t="n">
        <v>63</v>
      </c>
      <c r="B66" s="540" t="inlineStr">
        <is>
          <t>KQCY0063</t>
        </is>
      </c>
      <c r="C66" s="540" t="inlineStr">
        <is>
          <t>餐饮二分部</t>
        </is>
      </c>
      <c r="D66" s="540" t="inlineStr">
        <is>
          <t>CF182</t>
        </is>
      </c>
      <c r="E66" s="540" t="inlineStr">
        <is>
          <t>无锡工艺第二食堂</t>
        </is>
      </c>
      <c r="F66" s="540" t="inlineStr">
        <is>
          <t>分组作业</t>
        </is>
      </c>
      <c r="G66" s="540" t="inlineStr">
        <is>
          <t>第四班组</t>
        </is>
      </c>
      <c r="H66" s="540" t="inlineStr">
        <is>
          <t>武汉热干面、隆江猪脚饭</t>
        </is>
      </c>
      <c r="I66" s="540" t="inlineStr">
        <is>
          <t>田振</t>
        </is>
      </c>
      <c r="J66" s="540" t="n">
        <v>0</v>
      </c>
      <c r="K66" s="540" t="n"/>
      <c r="L66" s="540" t="inlineStr">
        <is>
          <t>谢苗苗</t>
        </is>
      </c>
      <c r="M66" s="540" t="inlineStr">
        <is>
          <t>已核对</t>
        </is>
      </c>
    </row>
    <row r="67">
      <c r="A67" s="540" t="n">
        <v>64</v>
      </c>
      <c r="B67" s="540" t="inlineStr">
        <is>
          <t>KQCY0064</t>
        </is>
      </c>
      <c r="C67" s="540" t="inlineStr">
        <is>
          <t>餐饮二分部</t>
        </is>
      </c>
      <c r="D67" s="540" t="inlineStr">
        <is>
          <t>CF182</t>
        </is>
      </c>
      <c r="E67" s="540" t="inlineStr">
        <is>
          <t>无锡工艺第二食堂</t>
        </is>
      </c>
      <c r="F67" s="540" t="inlineStr">
        <is>
          <t>分组作业</t>
        </is>
      </c>
      <c r="G67" s="540" t="inlineStr">
        <is>
          <t>第六班组</t>
        </is>
      </c>
      <c r="H67" s="540" t="inlineStr">
        <is>
          <t>称重水饺、馄饨</t>
        </is>
      </c>
      <c r="I67" s="540" t="inlineStr">
        <is>
          <t>张宜轩</t>
        </is>
      </c>
      <c r="J67" s="540" t="n">
        <v>0</v>
      </c>
      <c r="K67" s="540" t="n"/>
      <c r="L67" s="540" t="inlineStr">
        <is>
          <t>谢苗苗</t>
        </is>
      </c>
      <c r="M67" s="540" t="inlineStr">
        <is>
          <t>已核对</t>
        </is>
      </c>
    </row>
    <row r="68">
      <c r="A68" s="540" t="n">
        <v>65</v>
      </c>
      <c r="B68" s="540" t="inlineStr">
        <is>
          <t>KQCY0065</t>
        </is>
      </c>
      <c r="C68" s="540" t="inlineStr">
        <is>
          <t>餐饮二分部</t>
        </is>
      </c>
      <c r="D68" s="540" t="inlineStr">
        <is>
          <t>CF182</t>
        </is>
      </c>
      <c r="E68" s="540" t="inlineStr">
        <is>
          <t>无锡工艺第二食堂</t>
        </is>
      </c>
      <c r="F68" s="540" t="inlineStr">
        <is>
          <t>分组作业</t>
        </is>
      </c>
      <c r="G68" s="540" t="inlineStr">
        <is>
          <t>第七班组</t>
        </is>
      </c>
      <c r="H68" s="540" t="inlineStr">
        <is>
          <t>掉渣饼、徐州米线、鸡汤饭</t>
        </is>
      </c>
      <c r="I68" s="540" t="inlineStr">
        <is>
          <t>武玉柳</t>
        </is>
      </c>
      <c r="J68" s="540" t="n">
        <v>0</v>
      </c>
      <c r="K68" s="540" t="n"/>
      <c r="L68" s="540" t="inlineStr">
        <is>
          <t>谢苗苗</t>
        </is>
      </c>
      <c r="M68" s="540" t="inlineStr">
        <is>
          <t>已核对</t>
        </is>
      </c>
    </row>
    <row r="69">
      <c r="A69" s="540" t="n">
        <v>66</v>
      </c>
      <c r="B69" s="540" t="inlineStr">
        <is>
          <t>KQCY0066</t>
        </is>
      </c>
      <c r="C69" s="540" t="inlineStr">
        <is>
          <t>餐饮二分部</t>
        </is>
      </c>
      <c r="D69" s="540" t="inlineStr">
        <is>
          <t>CF182</t>
        </is>
      </c>
      <c r="E69" s="540" t="inlineStr">
        <is>
          <t>无锡工艺第二食堂</t>
        </is>
      </c>
      <c r="F69" s="540" t="inlineStr">
        <is>
          <t>分组作业</t>
        </is>
      </c>
      <c r="G69" s="540" t="inlineStr">
        <is>
          <t>第八班组</t>
        </is>
      </c>
      <c r="H69" s="540" t="inlineStr">
        <is>
          <t>爆炒盖浇饭、套餐饭</t>
        </is>
      </c>
      <c r="I69" s="540" t="inlineStr">
        <is>
          <t>赵裕旭</t>
        </is>
      </c>
      <c r="J69" s="540" t="n">
        <v>0</v>
      </c>
      <c r="K69" s="540" t="n"/>
      <c r="L69" s="540" t="inlineStr">
        <is>
          <t>谢苗苗</t>
        </is>
      </c>
      <c r="M69" s="540" t="inlineStr">
        <is>
          <t>已核对</t>
        </is>
      </c>
    </row>
    <row r="70">
      <c r="A70" s="540" t="n">
        <v>67</v>
      </c>
      <c r="B70" s="540" t="inlineStr">
        <is>
          <t>KQCY0067</t>
        </is>
      </c>
      <c r="C70" s="540" t="inlineStr">
        <is>
          <t>餐饮二分部</t>
        </is>
      </c>
      <c r="D70" s="540" t="inlineStr">
        <is>
          <t>CF182</t>
        </is>
      </c>
      <c r="E70" s="540" t="inlineStr">
        <is>
          <t>无锡工艺第二食堂</t>
        </is>
      </c>
      <c r="F70" s="540" t="inlineStr">
        <is>
          <t>分组作业</t>
        </is>
      </c>
      <c r="G70" s="540" t="inlineStr">
        <is>
          <t>第九班组</t>
        </is>
      </c>
      <c r="H70" s="540" t="inlineStr">
        <is>
          <t>休闲水吧、水果</t>
        </is>
      </c>
      <c r="I70" s="540" t="inlineStr">
        <is>
          <t>党玉真</t>
        </is>
      </c>
      <c r="J70" s="540" t="n">
        <v>0</v>
      </c>
      <c r="K70" s="540" t="n"/>
      <c r="L70" s="540" t="inlineStr">
        <is>
          <t>谢苗苗</t>
        </is>
      </c>
      <c r="M70" s="540" t="inlineStr">
        <is>
          <t>已核对</t>
        </is>
      </c>
    </row>
    <row r="71">
      <c r="A71" s="540" t="n">
        <v>68</v>
      </c>
      <c r="B71" s="540" t="inlineStr">
        <is>
          <t>KQCY0068</t>
        </is>
      </c>
      <c r="C71" s="540" t="inlineStr">
        <is>
          <t>餐饮二分部</t>
        </is>
      </c>
      <c r="D71" s="540" t="inlineStr">
        <is>
          <t>CF182</t>
        </is>
      </c>
      <c r="E71" s="540" t="inlineStr">
        <is>
          <t>无锡工艺第二食堂</t>
        </is>
      </c>
      <c r="F71" s="540" t="inlineStr">
        <is>
          <t>分组作业</t>
        </is>
      </c>
      <c r="G71" s="540" t="inlineStr">
        <is>
          <t>第十一班组</t>
        </is>
      </c>
      <c r="H71" s="540" t="inlineStr">
        <is>
          <t>（二楼特色小吃）汉堡、炸鸡、自主称重快餐、千里香馄饨、手擀面</t>
        </is>
      </c>
      <c r="I71" s="540" t="n"/>
      <c r="J71" s="540" t="n">
        <v>0</v>
      </c>
      <c r="K71" s="540" t="n"/>
      <c r="L71" s="540" t="inlineStr">
        <is>
          <t>谢苗苗</t>
        </is>
      </c>
      <c r="M71" s="540" t="inlineStr">
        <is>
          <t>已核对</t>
        </is>
      </c>
    </row>
    <row r="72">
      <c r="A72" s="540" t="n">
        <v>69</v>
      </c>
      <c r="B72" s="540" t="inlineStr">
        <is>
          <t>KQCY0069</t>
        </is>
      </c>
      <c r="C72" s="540" t="inlineStr">
        <is>
          <t>餐饮二分部</t>
        </is>
      </c>
      <c r="D72" s="540" t="inlineStr">
        <is>
          <t>CF360</t>
        </is>
      </c>
      <c r="E72" s="540" t="inlineStr">
        <is>
          <t>南通师专新校区食堂</t>
        </is>
      </c>
      <c r="F72" s="540" t="inlineStr">
        <is>
          <t>自营</t>
        </is>
      </c>
      <c r="G72" s="540" t="inlineStr">
        <is>
          <t>自营</t>
        </is>
      </c>
      <c r="H72" s="540" t="inlineStr">
        <is>
          <t>快餐</t>
        </is>
      </c>
      <c r="I72" s="540" t="n"/>
      <c r="J72" s="540" t="n">
        <v>0</v>
      </c>
      <c r="K72" s="540" t="n"/>
      <c r="L72" s="540" t="inlineStr">
        <is>
          <t>位军浩</t>
        </is>
      </c>
      <c r="M72" s="540" t="n"/>
    </row>
    <row r="73">
      <c r="A73" s="540" t="n">
        <v>70</v>
      </c>
      <c r="B73" s="540" t="inlineStr">
        <is>
          <t>KQCY0070</t>
        </is>
      </c>
      <c r="C73" s="540" t="inlineStr">
        <is>
          <t>餐饮二分部</t>
        </is>
      </c>
      <c r="D73" s="540" t="inlineStr">
        <is>
          <t>CF360</t>
        </is>
      </c>
      <c r="E73" s="540" t="inlineStr">
        <is>
          <t>南通师专新校区食堂</t>
        </is>
      </c>
      <c r="F73" s="540" t="inlineStr">
        <is>
          <t>分组作业</t>
        </is>
      </c>
      <c r="G73" s="540" t="inlineStr">
        <is>
          <t>第一班组</t>
        </is>
      </c>
      <c r="H73" s="540" t="inlineStr">
        <is>
          <t>琳榆炸鸡腿</t>
        </is>
      </c>
      <c r="I73" s="540" t="inlineStr">
        <is>
          <t>王友强</t>
        </is>
      </c>
      <c r="J73" s="540" t="n">
        <v>0</v>
      </c>
      <c r="K73" s="540" t="inlineStr">
        <is>
          <t>已撤场</t>
        </is>
      </c>
      <c r="L73" s="540" t="inlineStr">
        <is>
          <t>位军浩</t>
        </is>
      </c>
      <c r="M73" s="540" t="n"/>
    </row>
    <row r="74">
      <c r="A74" s="540" t="n">
        <v>71</v>
      </c>
      <c r="B74" s="540" t="inlineStr">
        <is>
          <t>KQCY0071</t>
        </is>
      </c>
      <c r="C74" s="540" t="inlineStr">
        <is>
          <t>餐饮二分部</t>
        </is>
      </c>
      <c r="D74" s="540" t="inlineStr">
        <is>
          <t>CF360</t>
        </is>
      </c>
      <c r="E74" s="540" t="inlineStr">
        <is>
          <t>南通师专新校区食堂</t>
        </is>
      </c>
      <c r="F74" s="540" t="inlineStr">
        <is>
          <t>分组作业</t>
        </is>
      </c>
      <c r="G74" s="540" t="inlineStr">
        <is>
          <t>第二班组</t>
        </is>
      </c>
      <c r="H74" s="540" t="inlineStr">
        <is>
          <t>中式早点</t>
        </is>
      </c>
      <c r="I74" s="540" t="inlineStr">
        <is>
          <t>何小杏</t>
        </is>
      </c>
      <c r="J74" s="540" t="n">
        <v>0</v>
      </c>
      <c r="K74" s="540" t="n"/>
      <c r="L74" s="540" t="inlineStr">
        <is>
          <t>位军浩</t>
        </is>
      </c>
      <c r="M74" s="540" t="n"/>
    </row>
    <row r="75">
      <c r="A75" s="540" t="n">
        <v>72</v>
      </c>
      <c r="B75" s="540" t="inlineStr">
        <is>
          <t>KQCY0072</t>
        </is>
      </c>
      <c r="C75" s="540" t="inlineStr">
        <is>
          <t>餐饮二分部</t>
        </is>
      </c>
      <c r="D75" s="540" t="inlineStr">
        <is>
          <t>CF360</t>
        </is>
      </c>
      <c r="E75" s="540" t="inlineStr">
        <is>
          <t>南通师专新校区食堂</t>
        </is>
      </c>
      <c r="F75" s="540" t="inlineStr">
        <is>
          <t>分组作业</t>
        </is>
      </c>
      <c r="G75" s="540" t="inlineStr">
        <is>
          <t>第三班组</t>
        </is>
      </c>
      <c r="H75" s="540" t="inlineStr">
        <is>
          <t>土耳其烤肉饭</t>
        </is>
      </c>
      <c r="I75" s="540" t="inlineStr">
        <is>
          <t>薛小勇</t>
        </is>
      </c>
      <c r="J75" s="540" t="n">
        <v>0</v>
      </c>
      <c r="K75" s="540" t="inlineStr">
        <is>
          <t>已撤场</t>
        </is>
      </c>
      <c r="L75" s="540" t="inlineStr">
        <is>
          <t>位军浩</t>
        </is>
      </c>
      <c r="M75" s="540" t="n"/>
    </row>
    <row r="76">
      <c r="A76" s="540" t="n">
        <v>73</v>
      </c>
      <c r="B76" s="540" t="inlineStr">
        <is>
          <t>KQCY0073</t>
        </is>
      </c>
      <c r="C76" s="540" t="inlineStr">
        <is>
          <t>餐饮二分部</t>
        </is>
      </c>
      <c r="D76" s="540" t="inlineStr">
        <is>
          <t>CF360</t>
        </is>
      </c>
      <c r="E76" s="540" t="inlineStr">
        <is>
          <t>南通师专新校区食堂</t>
        </is>
      </c>
      <c r="F76" s="540" t="inlineStr">
        <is>
          <t>分组作业</t>
        </is>
      </c>
      <c r="G76" s="540" t="inlineStr">
        <is>
          <t>第四班组</t>
        </is>
      </c>
      <c r="H76" s="540" t="inlineStr">
        <is>
          <t>营养粥小笼包</t>
        </is>
      </c>
      <c r="I76" s="540" t="inlineStr">
        <is>
          <t>沈玲</t>
        </is>
      </c>
      <c r="J76" s="540" t="n">
        <v>0</v>
      </c>
      <c r="K76" s="540" t="n"/>
      <c r="L76" s="540" t="inlineStr">
        <is>
          <t>位军浩</t>
        </is>
      </c>
      <c r="M76" s="540" t="n"/>
    </row>
    <row r="77">
      <c r="A77" s="540" t="n">
        <v>74</v>
      </c>
      <c r="B77" s="540" t="inlineStr">
        <is>
          <t>KQCY0074</t>
        </is>
      </c>
      <c r="C77" s="540" t="inlineStr">
        <is>
          <t>餐饮二分部</t>
        </is>
      </c>
      <c r="D77" s="540" t="inlineStr">
        <is>
          <t>CF360</t>
        </is>
      </c>
      <c r="E77" s="540" t="inlineStr">
        <is>
          <t>南通师专新校区食堂</t>
        </is>
      </c>
      <c r="F77" s="540" t="inlineStr">
        <is>
          <t>分组作业</t>
        </is>
      </c>
      <c r="G77" s="540" t="inlineStr">
        <is>
          <t>第五班组</t>
        </is>
      </c>
      <c r="H77" s="540" t="inlineStr">
        <is>
          <t>生烫牛肉米线</t>
        </is>
      </c>
      <c r="I77" s="540" t="inlineStr">
        <is>
          <t>刘海霞</t>
        </is>
      </c>
      <c r="J77" s="540" t="n">
        <v>0</v>
      </c>
      <c r="K77" s="540" t="n"/>
      <c r="L77" s="540" t="inlineStr">
        <is>
          <t>位军浩</t>
        </is>
      </c>
      <c r="M77" s="540" t="n"/>
    </row>
    <row r="78">
      <c r="A78" s="540" t="n">
        <v>75</v>
      </c>
      <c r="B78" s="540" t="inlineStr">
        <is>
          <t>KQCY0075</t>
        </is>
      </c>
      <c r="C78" s="540" t="inlineStr">
        <is>
          <t>餐饮二分部</t>
        </is>
      </c>
      <c r="D78" s="540" t="inlineStr">
        <is>
          <t>CF360</t>
        </is>
      </c>
      <c r="E78" s="540" t="inlineStr">
        <is>
          <t>南通师专新校区食堂</t>
        </is>
      </c>
      <c r="F78" s="540" t="inlineStr">
        <is>
          <t>分组作业</t>
        </is>
      </c>
      <c r="G78" s="540" t="inlineStr">
        <is>
          <t>第六班组</t>
        </is>
      </c>
      <c r="H78" s="540" t="inlineStr">
        <is>
          <t>咖喱蛋包饭</t>
        </is>
      </c>
      <c r="I78" s="540" t="inlineStr">
        <is>
          <t>余娇</t>
        </is>
      </c>
      <c r="J78" s="540" t="n">
        <v>0</v>
      </c>
      <c r="K78" s="540" t="inlineStr">
        <is>
          <t>已撤场</t>
        </is>
      </c>
      <c r="L78" s="540" t="inlineStr">
        <is>
          <t>位军浩</t>
        </is>
      </c>
      <c r="M78" s="540" t="n"/>
    </row>
    <row r="79">
      <c r="A79" s="540" t="n">
        <v>76</v>
      </c>
      <c r="B79" s="540" t="inlineStr">
        <is>
          <t>KQCY0076</t>
        </is>
      </c>
      <c r="C79" s="540" t="inlineStr">
        <is>
          <t>餐饮二分部</t>
        </is>
      </c>
      <c r="D79" s="540" t="inlineStr">
        <is>
          <t>CF360</t>
        </is>
      </c>
      <c r="E79" s="540" t="inlineStr">
        <is>
          <t>南通师专新校区食堂</t>
        </is>
      </c>
      <c r="F79" s="540" t="inlineStr">
        <is>
          <t>分组作业</t>
        </is>
      </c>
      <c r="G79" s="540" t="inlineStr">
        <is>
          <t>第七班组</t>
        </is>
      </c>
      <c r="H79" s="540" t="inlineStr">
        <is>
          <t>麻辣烫麻辣拌</t>
        </is>
      </c>
      <c r="I79" s="540" t="inlineStr">
        <is>
          <t>虞冬梅</t>
        </is>
      </c>
      <c r="J79" s="540" t="n">
        <v>0</v>
      </c>
      <c r="K79" s="540" t="n"/>
      <c r="L79" s="540" t="inlineStr">
        <is>
          <t>位军浩</t>
        </is>
      </c>
      <c r="M79" s="540" t="n"/>
    </row>
    <row r="80">
      <c r="A80" s="540" t="n">
        <v>77</v>
      </c>
      <c r="B80" s="540" t="inlineStr">
        <is>
          <t>KQCY0077</t>
        </is>
      </c>
      <c r="C80" s="540" t="inlineStr">
        <is>
          <t>餐饮二分部</t>
        </is>
      </c>
      <c r="D80" s="540" t="inlineStr">
        <is>
          <t>CF360</t>
        </is>
      </c>
      <c r="E80" s="540" t="inlineStr">
        <is>
          <t>南通师专新校区食堂</t>
        </is>
      </c>
      <c r="F80" s="540" t="inlineStr">
        <is>
          <t>分组作业</t>
        </is>
      </c>
      <c r="G80" s="540" t="inlineStr">
        <is>
          <t>第八班组</t>
        </is>
      </c>
      <c r="H80" s="540" t="inlineStr">
        <is>
          <t>真老大手工云吞</t>
        </is>
      </c>
      <c r="I80" s="540" t="inlineStr">
        <is>
          <t>彭晴</t>
        </is>
      </c>
      <c r="J80" s="540" t="n">
        <v>0</v>
      </c>
      <c r="K80" s="540" t="n"/>
      <c r="L80" s="540" t="inlineStr">
        <is>
          <t>位军浩</t>
        </is>
      </c>
      <c r="M80" s="540" t="n"/>
    </row>
    <row r="81">
      <c r="A81" s="540" t="n">
        <v>78</v>
      </c>
      <c r="B81" s="540" t="inlineStr">
        <is>
          <t>KQCY0078</t>
        </is>
      </c>
      <c r="C81" s="540" t="inlineStr">
        <is>
          <t>餐饮二分部</t>
        </is>
      </c>
      <c r="D81" s="540" t="inlineStr">
        <is>
          <t>CF360</t>
        </is>
      </c>
      <c r="E81" s="540" t="inlineStr">
        <is>
          <t>南通师专新校区食堂</t>
        </is>
      </c>
      <c r="F81" s="540" t="inlineStr">
        <is>
          <t>分组作业</t>
        </is>
      </c>
      <c r="G81" s="540" t="inlineStr">
        <is>
          <t>第九班组</t>
        </is>
      </c>
      <c r="H81" s="540" t="inlineStr">
        <is>
          <t>朱家小馆羊杂面</t>
        </is>
      </c>
      <c r="I81" s="540" t="inlineStr">
        <is>
          <t>薛桂中</t>
        </is>
      </c>
      <c r="J81" s="540" t="n">
        <v>0</v>
      </c>
      <c r="K81" s="540" t="n"/>
      <c r="L81" s="540" t="inlineStr">
        <is>
          <t>位军浩</t>
        </is>
      </c>
      <c r="M81" s="540" t="n"/>
    </row>
    <row r="82">
      <c r="A82" s="540" t="n">
        <v>79</v>
      </c>
      <c r="B82" s="540" t="inlineStr">
        <is>
          <t>KQCY0079</t>
        </is>
      </c>
      <c r="C82" s="540" t="inlineStr">
        <is>
          <t>餐饮二分部</t>
        </is>
      </c>
      <c r="D82" s="540" t="inlineStr">
        <is>
          <t>CF360</t>
        </is>
      </c>
      <c r="E82" s="540" t="inlineStr">
        <is>
          <t>南通师专新校区食堂</t>
        </is>
      </c>
      <c r="F82" s="540" t="inlineStr">
        <is>
          <t>分组作业</t>
        </is>
      </c>
      <c r="G82" s="540" t="inlineStr">
        <is>
          <t>第十班组</t>
        </is>
      </c>
      <c r="H82" s="540" t="inlineStr">
        <is>
          <t>奶茶</t>
        </is>
      </c>
      <c r="I82" s="540" t="inlineStr">
        <is>
          <t>王艳</t>
        </is>
      </c>
      <c r="J82" s="540" t="n">
        <v>0</v>
      </c>
      <c r="K82" s="540" t="n"/>
      <c r="L82" s="540" t="inlineStr">
        <is>
          <t>位军浩</t>
        </is>
      </c>
      <c r="M82" s="540" t="n"/>
    </row>
    <row r="83">
      <c r="A83" s="540" t="n">
        <v>80</v>
      </c>
      <c r="B83" s="540" t="inlineStr">
        <is>
          <t>KQCY0080</t>
        </is>
      </c>
      <c r="C83" s="540" t="inlineStr">
        <is>
          <t>餐饮二分部</t>
        </is>
      </c>
      <c r="D83" s="540" t="inlineStr">
        <is>
          <t>CF364</t>
        </is>
      </c>
      <c r="E83" s="540" t="inlineStr">
        <is>
          <t>江苏航运思本轩食堂</t>
        </is>
      </c>
      <c r="F83" s="540" t="inlineStr">
        <is>
          <t>自营</t>
        </is>
      </c>
      <c r="G83" s="540" t="inlineStr">
        <is>
          <t>自营</t>
        </is>
      </c>
      <c r="H83" s="540" t="inlineStr">
        <is>
          <t>/</t>
        </is>
      </c>
      <c r="I83" s="540" t="inlineStr">
        <is>
          <t>/</t>
        </is>
      </c>
      <c r="J83" s="540" t="n">
        <v>42101.43</v>
      </c>
      <c r="K83" s="540" t="n"/>
      <c r="L83" s="540" t="inlineStr">
        <is>
          <t>位军浩</t>
        </is>
      </c>
      <c r="M83" s="540" t="n"/>
    </row>
    <row r="84">
      <c r="A84" s="540" t="n">
        <v>82</v>
      </c>
      <c r="B84" s="540" t="inlineStr">
        <is>
          <t>KQCY0082</t>
        </is>
      </c>
      <c r="C84" s="540" t="inlineStr">
        <is>
          <t>餐饮二分部</t>
        </is>
      </c>
      <c r="D84" s="540" t="inlineStr">
        <is>
          <t>CF364</t>
        </is>
      </c>
      <c r="E84" s="540" t="inlineStr">
        <is>
          <t>江苏航运思本轩食堂</t>
        </is>
      </c>
      <c r="F84" s="540" t="inlineStr">
        <is>
          <t>分组作业</t>
        </is>
      </c>
      <c r="G84" s="540" t="inlineStr">
        <is>
          <t>第二班组</t>
        </is>
      </c>
      <c r="H84" s="540" t="inlineStr">
        <is>
          <t>粉丝汤（牛肉、老母鸡、牛杂、拆骨）</t>
        </is>
      </c>
      <c r="I84" s="540" t="inlineStr">
        <is>
          <t>满超</t>
        </is>
      </c>
      <c r="J84" s="540" t="n">
        <v>7010.6</v>
      </c>
      <c r="K84" s="540" t="n"/>
      <c r="L84" s="540" t="inlineStr">
        <is>
          <t>位军浩</t>
        </is>
      </c>
      <c r="M84" s="540" t="n"/>
    </row>
    <row r="85">
      <c r="A85" s="540" t="n">
        <v>83</v>
      </c>
      <c r="B85" s="540" t="inlineStr">
        <is>
          <t>KQCY0083</t>
        </is>
      </c>
      <c r="C85" s="540" t="inlineStr">
        <is>
          <t>餐饮二分部</t>
        </is>
      </c>
      <c r="D85" s="540" t="inlineStr">
        <is>
          <t>CF364</t>
        </is>
      </c>
      <c r="E85" s="540" t="inlineStr">
        <is>
          <t>江苏航运思本轩食堂</t>
        </is>
      </c>
      <c r="F85" s="540" t="inlineStr">
        <is>
          <t>分组作业</t>
        </is>
      </c>
      <c r="G85" s="540" t="inlineStr">
        <is>
          <t>第三班组</t>
        </is>
      </c>
      <c r="H85" s="540" t="inlineStr">
        <is>
          <t>拌饭（鸡腿饭、酸梅鸭饭）</t>
        </is>
      </c>
      <c r="I85" s="540" t="inlineStr">
        <is>
          <t>唐德生</t>
        </is>
      </c>
      <c r="J85" s="540" t="n">
        <v>11700.09</v>
      </c>
      <c r="K85" s="540" t="n"/>
      <c r="L85" s="540" t="inlineStr">
        <is>
          <t>位军浩</t>
        </is>
      </c>
      <c r="M85" s="540" t="n"/>
    </row>
    <row r="86">
      <c r="A86" s="540" t="n">
        <v>84</v>
      </c>
      <c r="B86" s="540" t="inlineStr">
        <is>
          <t>KQCY0084</t>
        </is>
      </c>
      <c r="C86" s="540" t="inlineStr">
        <is>
          <t>餐饮二分部</t>
        </is>
      </c>
      <c r="D86" s="540" t="inlineStr">
        <is>
          <t>CF364</t>
        </is>
      </c>
      <c r="E86" s="540" t="inlineStr">
        <is>
          <t>江苏航运思本轩食堂</t>
        </is>
      </c>
      <c r="F86" s="540" t="inlineStr">
        <is>
          <t>分组作业</t>
        </is>
      </c>
      <c r="G86" s="540" t="inlineStr">
        <is>
          <t>第五班组</t>
        </is>
      </c>
      <c r="H86" s="540" t="inlineStr">
        <is>
          <t>早餐</t>
        </is>
      </c>
      <c r="I86" s="540" t="inlineStr">
        <is>
          <t>潘捷</t>
        </is>
      </c>
      <c r="J86" s="540" t="n">
        <v>0</v>
      </c>
      <c r="K86" s="540" t="inlineStr">
        <is>
          <t>撤场</t>
        </is>
      </c>
      <c r="L86" s="540" t="inlineStr">
        <is>
          <t>位军浩</t>
        </is>
      </c>
      <c r="M86" s="540" t="n"/>
    </row>
    <row r="87">
      <c r="A87" s="540" t="n">
        <v>86</v>
      </c>
      <c r="B87" s="540" t="inlineStr">
        <is>
          <t>KQCY0086</t>
        </is>
      </c>
      <c r="C87" s="540" t="inlineStr">
        <is>
          <t>餐饮二分部</t>
        </is>
      </c>
      <c r="D87" s="540" t="inlineStr">
        <is>
          <t>CF364</t>
        </is>
      </c>
      <c r="E87" s="540" t="inlineStr">
        <is>
          <t>江苏航运思本轩食堂</t>
        </is>
      </c>
      <c r="F87" s="540" t="inlineStr">
        <is>
          <t>分组作业</t>
        </is>
      </c>
      <c r="G87" s="540" t="inlineStr">
        <is>
          <t>第七班组</t>
        </is>
      </c>
      <c r="H87" s="540" t="inlineStr">
        <is>
          <t>锡纸饭</t>
        </is>
      </c>
      <c r="I87" s="540" t="inlineStr">
        <is>
          <t>陈芳</t>
        </is>
      </c>
      <c r="J87" s="540" t="n">
        <v>3129.47</v>
      </c>
      <c r="K87" s="540" t="n"/>
      <c r="L87" s="540" t="inlineStr">
        <is>
          <t>位军浩</t>
        </is>
      </c>
      <c r="M87" s="540" t="n"/>
    </row>
    <row r="88">
      <c r="A88" s="540" t="n">
        <v>89</v>
      </c>
      <c r="B88" s="540" t="inlineStr">
        <is>
          <t>KQCY0089</t>
        </is>
      </c>
      <c r="C88" s="540" t="inlineStr">
        <is>
          <t>餐饮二分部</t>
        </is>
      </c>
      <c r="D88" s="540" t="inlineStr">
        <is>
          <t>CF364</t>
        </is>
      </c>
      <c r="E88" s="540" t="inlineStr">
        <is>
          <t>江苏航运思本轩食堂</t>
        </is>
      </c>
      <c r="F88" s="540" t="inlineStr">
        <is>
          <t>分组作业</t>
        </is>
      </c>
      <c r="G88" s="540" t="inlineStr">
        <is>
          <t>第十班组</t>
        </is>
      </c>
      <c r="H88" s="540" t="inlineStr">
        <is>
          <t>烤鸭饭</t>
        </is>
      </c>
      <c r="I88" s="540" t="inlineStr">
        <is>
          <t>蒋继承</t>
        </is>
      </c>
      <c r="J88" s="540" t="n">
        <v>10513.32</v>
      </c>
      <c r="K88" s="540" t="n"/>
      <c r="L88" s="540" t="inlineStr">
        <is>
          <t>位军浩</t>
        </is>
      </c>
      <c r="M88" s="540" t="n"/>
    </row>
    <row r="89">
      <c r="A89" s="540" t="n">
        <v>90</v>
      </c>
      <c r="B89" s="540" t="inlineStr">
        <is>
          <t>KQCY0090</t>
        </is>
      </c>
      <c r="C89" s="540" t="inlineStr">
        <is>
          <t>餐饮二分部</t>
        </is>
      </c>
      <c r="D89" s="540" t="inlineStr">
        <is>
          <t>CF364</t>
        </is>
      </c>
      <c r="E89" s="540" t="inlineStr">
        <is>
          <t>江苏航运思本轩食堂</t>
        </is>
      </c>
      <c r="F89" s="540" t="inlineStr">
        <is>
          <t>分组作业</t>
        </is>
      </c>
      <c r="G89" s="540" t="inlineStr">
        <is>
          <t>第十一班组</t>
        </is>
      </c>
      <c r="H89" s="540" t="inlineStr">
        <is>
          <t>朱家小馆</t>
        </is>
      </c>
      <c r="I89" s="540" t="inlineStr">
        <is>
          <t>张慧南</t>
        </is>
      </c>
      <c r="J89" s="540" t="n">
        <v>9466.25</v>
      </c>
      <c r="K89" s="540" t="n"/>
      <c r="L89" s="540" t="inlineStr">
        <is>
          <t>位军浩</t>
        </is>
      </c>
      <c r="M89" s="540" t="n"/>
    </row>
    <row r="90">
      <c r="A90" s="540" t="n">
        <v>94</v>
      </c>
      <c r="B90" s="540" t="inlineStr">
        <is>
          <t>KQCY0094</t>
        </is>
      </c>
      <c r="C90" s="540" t="inlineStr">
        <is>
          <t>餐饮二分部</t>
        </is>
      </c>
      <c r="D90" s="540" t="inlineStr">
        <is>
          <t>CF363</t>
        </is>
      </c>
      <c r="E90" s="540" t="inlineStr">
        <is>
          <t>南通大学启东校区</t>
        </is>
      </c>
      <c r="F90" s="540" t="inlineStr">
        <is>
          <t>自营</t>
        </is>
      </c>
      <c r="G90" s="540" t="inlineStr">
        <is>
          <t>自营</t>
        </is>
      </c>
      <c r="H90" s="540" t="inlineStr">
        <is>
          <t>/</t>
        </is>
      </c>
      <c r="I90" s="540" t="inlineStr">
        <is>
          <t>/</t>
        </is>
      </c>
      <c r="J90" s="540" t="n">
        <v>0</v>
      </c>
      <c r="K90" s="540" t="n"/>
      <c r="L90" s="540" t="inlineStr">
        <is>
          <t>位军浩</t>
        </is>
      </c>
      <c r="M90" s="540" t="n"/>
    </row>
    <row r="91">
      <c r="A91" s="540" t="n">
        <v>95</v>
      </c>
      <c r="B91" s="540" t="inlineStr">
        <is>
          <t>KQCY0095</t>
        </is>
      </c>
      <c r="C91" s="540" t="inlineStr">
        <is>
          <t>餐饮二分部</t>
        </is>
      </c>
      <c r="D91" s="540" t="inlineStr">
        <is>
          <t>CF363</t>
        </is>
      </c>
      <c r="E91" s="540" t="inlineStr">
        <is>
          <t>南通大学启东校区</t>
        </is>
      </c>
      <c r="F91" s="540" t="inlineStr">
        <is>
          <t>分组作业</t>
        </is>
      </c>
      <c r="G91" s="540" t="inlineStr">
        <is>
          <t>第一班组</t>
        </is>
      </c>
      <c r="H91" s="540" t="inlineStr">
        <is>
          <t>基本大伙</t>
        </is>
      </c>
      <c r="I91" s="540" t="inlineStr">
        <is>
          <t>朱寿凤</t>
        </is>
      </c>
      <c r="J91" s="540" t="n">
        <v>0</v>
      </c>
      <c r="K91" s="540" t="n"/>
      <c r="L91" s="540" t="inlineStr">
        <is>
          <t>位军浩</t>
        </is>
      </c>
      <c r="M91" s="540" t="n"/>
    </row>
    <row r="92">
      <c r="A92" s="540" t="n">
        <v>96</v>
      </c>
      <c r="B92" s="540" t="inlineStr">
        <is>
          <t>KQCY0096</t>
        </is>
      </c>
      <c r="C92" s="540" t="inlineStr">
        <is>
          <t>餐饮二分部</t>
        </is>
      </c>
      <c r="D92" s="540" t="inlineStr">
        <is>
          <t>CF363</t>
        </is>
      </c>
      <c r="E92" s="540" t="inlineStr">
        <is>
          <t>南通大学启东校区</t>
        </is>
      </c>
      <c r="F92" s="540" t="inlineStr">
        <is>
          <t>分组作业</t>
        </is>
      </c>
      <c r="G92" s="540" t="inlineStr">
        <is>
          <t>第二班组</t>
        </is>
      </c>
      <c r="H92" s="540" t="inlineStr">
        <is>
          <t>自选称重</t>
        </is>
      </c>
      <c r="I92" s="540" t="inlineStr">
        <is>
          <t>朱寿凤</t>
        </is>
      </c>
      <c r="J92" s="540" t="n">
        <v>0</v>
      </c>
      <c r="K92" s="540" t="n"/>
      <c r="L92" s="540" t="inlineStr">
        <is>
          <t>位军浩</t>
        </is>
      </c>
      <c r="M92" s="540" t="n"/>
    </row>
    <row r="93">
      <c r="A93" s="540" t="n">
        <v>97</v>
      </c>
      <c r="B93" s="540" t="inlineStr">
        <is>
          <t>KQCY0097</t>
        </is>
      </c>
      <c r="C93" s="540" t="inlineStr">
        <is>
          <t>餐饮二分部</t>
        </is>
      </c>
      <c r="D93" s="540" t="inlineStr">
        <is>
          <t>CF363</t>
        </is>
      </c>
      <c r="E93" s="540" t="inlineStr">
        <is>
          <t>南通大学启东校区</t>
        </is>
      </c>
      <c r="F93" s="540" t="inlineStr">
        <is>
          <t>分组作业</t>
        </is>
      </c>
      <c r="G93" s="540" t="inlineStr">
        <is>
          <t>第三班组</t>
        </is>
      </c>
      <c r="H93" s="540" t="inlineStr">
        <is>
          <t>中式早点</t>
        </is>
      </c>
      <c r="I93" s="540" t="inlineStr">
        <is>
          <t>王正明</t>
        </is>
      </c>
      <c r="J93" s="540" t="n">
        <v>0</v>
      </c>
      <c r="K93" s="540" t="n"/>
      <c r="L93" s="540" t="inlineStr">
        <is>
          <t>位军浩</t>
        </is>
      </c>
      <c r="M93" s="540" t="n"/>
    </row>
    <row r="94">
      <c r="A94" s="540" t="n">
        <v>98</v>
      </c>
      <c r="B94" s="540" t="inlineStr">
        <is>
          <t>KQCY0098</t>
        </is>
      </c>
      <c r="C94" s="540" t="inlineStr">
        <is>
          <t>餐饮二分部</t>
        </is>
      </c>
      <c r="D94" s="540" t="inlineStr">
        <is>
          <t>CF363</t>
        </is>
      </c>
      <c r="E94" s="540" t="inlineStr">
        <is>
          <t>南通大学启东校区</t>
        </is>
      </c>
      <c r="F94" s="540" t="inlineStr">
        <is>
          <t>分组作业</t>
        </is>
      </c>
      <c r="G94" s="540" t="inlineStr">
        <is>
          <t>第四班组</t>
        </is>
      </c>
      <c r="H94" s="540" t="inlineStr">
        <is>
          <t>黄焖鸡酸菜鱼</t>
        </is>
      </c>
      <c r="I94" s="540" t="inlineStr">
        <is>
          <t>金健华</t>
        </is>
      </c>
      <c r="J94" s="540" t="n">
        <v>0</v>
      </c>
      <c r="K94" s="540" t="n"/>
      <c r="L94" s="540" t="inlineStr">
        <is>
          <t>位军浩</t>
        </is>
      </c>
      <c r="M94" s="540" t="n"/>
    </row>
    <row r="95">
      <c r="A95" s="540" t="n">
        <v>99</v>
      </c>
      <c r="B95" s="540" t="inlineStr">
        <is>
          <t>KQCY0099</t>
        </is>
      </c>
      <c r="C95" s="540" t="inlineStr">
        <is>
          <t>餐饮二分部</t>
        </is>
      </c>
      <c r="D95" s="540" t="inlineStr">
        <is>
          <t>CF363</t>
        </is>
      </c>
      <c r="E95" s="540" t="inlineStr">
        <is>
          <t>南通大学启东校区</t>
        </is>
      </c>
      <c r="F95" s="540" t="inlineStr">
        <is>
          <t>分组作业</t>
        </is>
      </c>
      <c r="G95" s="540" t="inlineStr">
        <is>
          <t>第五班组</t>
        </is>
      </c>
      <c r="H95" s="540" t="inlineStr">
        <is>
          <t>卤肉饭套餐</t>
        </is>
      </c>
      <c r="I95" s="540" t="inlineStr">
        <is>
          <t>金健华</t>
        </is>
      </c>
      <c r="J95" s="540" t="n">
        <v>0</v>
      </c>
      <c r="K95" s="540" t="n"/>
      <c r="L95" s="540" t="inlineStr">
        <is>
          <t>位军浩</t>
        </is>
      </c>
      <c r="M95" s="540" t="n"/>
    </row>
    <row r="96">
      <c r="A96" s="540" t="n">
        <v>100</v>
      </c>
      <c r="B96" s="540" t="inlineStr">
        <is>
          <t>KQCY0100</t>
        </is>
      </c>
      <c r="C96" s="540" t="inlineStr">
        <is>
          <t>餐饮二分部</t>
        </is>
      </c>
      <c r="D96" s="540" t="inlineStr">
        <is>
          <t>CF363</t>
        </is>
      </c>
      <c r="E96" s="540" t="inlineStr">
        <is>
          <t>南通大学启东校区</t>
        </is>
      </c>
      <c r="F96" s="540" t="inlineStr">
        <is>
          <t>分组作业</t>
        </is>
      </c>
      <c r="G96" s="540" t="inlineStr">
        <is>
          <t>第六班组</t>
        </is>
      </c>
      <c r="H96" s="540" t="inlineStr">
        <is>
          <t>营养粥杂粮煎饼</t>
        </is>
      </c>
      <c r="I96" s="540" t="inlineStr">
        <is>
          <t>邵国才</t>
        </is>
      </c>
      <c r="J96" s="540" t="n">
        <v>0</v>
      </c>
      <c r="K96" s="540" t="n"/>
      <c r="L96" s="540" t="inlineStr">
        <is>
          <t>位军浩</t>
        </is>
      </c>
      <c r="M96" s="540" t="n"/>
    </row>
    <row r="97">
      <c r="A97" s="540" t="n">
        <v>101</v>
      </c>
      <c r="B97" s="540" t="inlineStr">
        <is>
          <t>KQCY0101</t>
        </is>
      </c>
      <c r="C97" s="540" t="inlineStr">
        <is>
          <t>餐饮二分部</t>
        </is>
      </c>
      <c r="D97" s="540" t="inlineStr">
        <is>
          <t>CF363</t>
        </is>
      </c>
      <c r="E97" s="540" t="inlineStr">
        <is>
          <t>南通大学启东校区</t>
        </is>
      </c>
      <c r="F97" s="540" t="inlineStr">
        <is>
          <t>分组作业</t>
        </is>
      </c>
      <c r="G97" s="540" t="inlineStr">
        <is>
          <t>第七班组</t>
        </is>
      </c>
      <c r="H97" s="540" t="inlineStr">
        <is>
          <t>面条馄饨</t>
        </is>
      </c>
      <c r="I97" s="540" t="inlineStr">
        <is>
          <t>邵国才</t>
        </is>
      </c>
      <c r="J97" s="540" t="n">
        <v>0</v>
      </c>
      <c r="K97" s="540" t="n"/>
      <c r="L97" s="540" t="inlineStr">
        <is>
          <t>位军浩</t>
        </is>
      </c>
      <c r="M97" s="540" t="n"/>
    </row>
    <row r="98">
      <c r="A98" s="540" t="n">
        <v>102</v>
      </c>
      <c r="B98" s="540" t="inlineStr">
        <is>
          <t>KQCY0102</t>
        </is>
      </c>
      <c r="C98" s="540" t="inlineStr">
        <is>
          <t>餐饮二分部</t>
        </is>
      </c>
      <c r="D98" s="540" t="inlineStr">
        <is>
          <t>CF363</t>
        </is>
      </c>
      <c r="E98" s="540" t="inlineStr">
        <is>
          <t>南通大学启东校区</t>
        </is>
      </c>
      <c r="F98" s="540" t="inlineStr">
        <is>
          <t>分组作业</t>
        </is>
      </c>
      <c r="G98" s="540" t="inlineStr">
        <is>
          <t>第八班组</t>
        </is>
      </c>
      <c r="H98" s="540" t="inlineStr">
        <is>
          <t>米线汤包</t>
        </is>
      </c>
      <c r="I98" s="540" t="inlineStr">
        <is>
          <t>王友强</t>
        </is>
      </c>
      <c r="J98" s="540" t="n">
        <v>0</v>
      </c>
      <c r="K98" s="540" t="n"/>
      <c r="L98" s="540" t="inlineStr">
        <is>
          <t>位军浩</t>
        </is>
      </c>
      <c r="M98" s="540" t="n"/>
    </row>
    <row r="99">
      <c r="A99" s="540" t="n">
        <v>103</v>
      </c>
      <c r="B99" s="540" t="inlineStr">
        <is>
          <t>KQCY0103</t>
        </is>
      </c>
      <c r="C99" s="540" t="inlineStr">
        <is>
          <t>餐饮二分部</t>
        </is>
      </c>
      <c r="D99" s="540" t="inlineStr">
        <is>
          <t>CF363</t>
        </is>
      </c>
      <c r="E99" s="540" t="inlineStr">
        <is>
          <t>南通大学启东校区</t>
        </is>
      </c>
      <c r="F99" s="540" t="inlineStr">
        <is>
          <t>分组作业</t>
        </is>
      </c>
      <c r="G99" s="540" t="inlineStr">
        <is>
          <t>第九班组</t>
        </is>
      </c>
      <c r="H99" s="540" t="inlineStr">
        <is>
          <t>香锅焖面</t>
        </is>
      </c>
      <c r="I99" s="540" t="inlineStr">
        <is>
          <t>王正明</t>
        </is>
      </c>
      <c r="J99" s="540" t="n">
        <v>0</v>
      </c>
      <c r="K99" s="540" t="n"/>
      <c r="L99" s="540" t="inlineStr">
        <is>
          <t>位军浩</t>
        </is>
      </c>
      <c r="M99" s="540" t="n"/>
    </row>
    <row r="100">
      <c r="A100" s="540" t="n">
        <v>104</v>
      </c>
      <c r="B100" s="540" t="inlineStr">
        <is>
          <t>KQCY0104</t>
        </is>
      </c>
      <c r="C100" s="540" t="inlineStr">
        <is>
          <t>餐饮二分部</t>
        </is>
      </c>
      <c r="D100" s="540" t="inlineStr">
        <is>
          <t>CF363</t>
        </is>
      </c>
      <c r="E100" s="540" t="inlineStr">
        <is>
          <t>南通大学启东校区</t>
        </is>
      </c>
      <c r="F100" s="540" t="inlineStr">
        <is>
          <t>分组作业</t>
        </is>
      </c>
      <c r="G100" s="540" t="inlineStr">
        <is>
          <t>第十班组</t>
        </is>
      </c>
      <c r="H100" s="540" t="inlineStr">
        <is>
          <t>猪肚鸡瓦罐汤套餐</t>
        </is>
      </c>
      <c r="I100" s="540" t="inlineStr">
        <is>
          <t>翟林璐</t>
        </is>
      </c>
      <c r="J100" s="540" t="n">
        <v>0</v>
      </c>
      <c r="K100" s="540" t="n"/>
      <c r="L100" s="540" t="inlineStr">
        <is>
          <t>位军浩</t>
        </is>
      </c>
      <c r="M100" s="540" t="n"/>
    </row>
    <row r="101">
      <c r="A101" s="540" t="n">
        <v>105</v>
      </c>
      <c r="B101" s="540" t="inlineStr">
        <is>
          <t>KQCY0105</t>
        </is>
      </c>
      <c r="C101" s="540" t="inlineStr">
        <is>
          <t>餐饮二分部</t>
        </is>
      </c>
      <c r="D101" s="540" t="inlineStr">
        <is>
          <t>CF363</t>
        </is>
      </c>
      <c r="E101" s="540" t="inlineStr">
        <is>
          <t>南通大学启东校区</t>
        </is>
      </c>
      <c r="F101" s="540" t="inlineStr">
        <is>
          <t>分组作业</t>
        </is>
      </c>
      <c r="G101" s="540" t="inlineStr">
        <is>
          <t>第十一班组</t>
        </is>
      </c>
      <c r="H101" s="540" t="inlineStr">
        <is>
          <t>汉堡小锅现炒</t>
        </is>
      </c>
      <c r="I101" s="540" t="inlineStr">
        <is>
          <t>韩荣荣</t>
        </is>
      </c>
      <c r="J101" s="540" t="n">
        <v>0</v>
      </c>
      <c r="K101" s="540" t="n"/>
      <c r="L101" s="540" t="inlineStr">
        <is>
          <t>位军浩</t>
        </is>
      </c>
      <c r="M101" s="540" t="n"/>
    </row>
    <row r="102">
      <c r="A102" s="540" t="n">
        <v>106</v>
      </c>
      <c r="B102" s="540" t="inlineStr">
        <is>
          <t>KQCY0106</t>
        </is>
      </c>
      <c r="C102" s="540" t="inlineStr">
        <is>
          <t>餐饮二分部</t>
        </is>
      </c>
      <c r="D102" s="540" t="inlineStr">
        <is>
          <t>CF363</t>
        </is>
      </c>
      <c r="E102" s="540" t="inlineStr">
        <is>
          <t>南通大学启东校区</t>
        </is>
      </c>
      <c r="F102" s="540" t="inlineStr">
        <is>
          <t>分组作业</t>
        </is>
      </c>
      <c r="G102" s="540" t="inlineStr">
        <is>
          <t>第十二班组</t>
        </is>
      </c>
      <c r="H102" s="540" t="inlineStr">
        <is>
          <t>铁板炒饭</t>
        </is>
      </c>
      <c r="I102" s="540" t="inlineStr">
        <is>
          <t>王志河</t>
        </is>
      </c>
      <c r="J102" s="540" t="n">
        <v>0</v>
      </c>
      <c r="K102" s="540" t="n"/>
      <c r="L102" s="540" t="inlineStr">
        <is>
          <t>位军浩</t>
        </is>
      </c>
      <c r="M102" s="540" t="n"/>
    </row>
    <row r="103">
      <c r="A103" s="540" t="n"/>
      <c r="B103" s="540" t="inlineStr">
        <is>
          <t>KQCY0107</t>
        </is>
      </c>
      <c r="C103" s="540" t="inlineStr">
        <is>
          <t>餐饮二分部</t>
        </is>
      </c>
      <c r="D103" s="540" t="inlineStr">
        <is>
          <t>CF160</t>
        </is>
      </c>
      <c r="E103" s="540" t="inlineStr">
        <is>
          <t>高新区实验高中食堂(金山路校区)</t>
        </is>
      </c>
      <c r="F103" s="540" t="inlineStr">
        <is>
          <t>人员服务外包</t>
        </is>
      </c>
      <c r="G103" s="540" t="inlineStr">
        <is>
          <t>/</t>
        </is>
      </c>
      <c r="H103" s="540" t="inlineStr">
        <is>
          <t>/</t>
        </is>
      </c>
      <c r="I103" s="540" t="inlineStr">
        <is>
          <t>/</t>
        </is>
      </c>
      <c r="J103" s="540" t="n">
        <v>111638.94</v>
      </c>
      <c r="K103" s="540" t="n"/>
      <c r="L103" s="540" t="inlineStr">
        <is>
          <t>位军浩</t>
        </is>
      </c>
      <c r="M103" s="540" t="n"/>
    </row>
    <row r="104">
      <c r="A104" s="540" t="n">
        <v>108</v>
      </c>
      <c r="B104" s="540" t="inlineStr">
        <is>
          <t>KQCY0108</t>
        </is>
      </c>
      <c r="C104" s="540" t="inlineStr">
        <is>
          <t>餐饮二分部</t>
        </is>
      </c>
      <c r="D104" s="540" t="inlineStr">
        <is>
          <t>CF174</t>
        </is>
      </c>
      <c r="E104" s="540" t="inlineStr">
        <is>
          <t>高新区实验高中食堂(科技城校区)</t>
        </is>
      </c>
      <c r="F104" s="540" t="inlineStr">
        <is>
          <t>人员服务外包</t>
        </is>
      </c>
      <c r="G104" s="540" t="inlineStr">
        <is>
          <t>/</t>
        </is>
      </c>
      <c r="H104" s="540" t="inlineStr">
        <is>
          <t>/</t>
        </is>
      </c>
      <c r="I104" s="540" t="inlineStr">
        <is>
          <t>/</t>
        </is>
      </c>
      <c r="J104" s="540" t="n">
        <v>98750</v>
      </c>
      <c r="K104" s="540" t="n"/>
      <c r="L104" s="540" t="inlineStr">
        <is>
          <t>位军浩</t>
        </is>
      </c>
      <c r="M104" s="540" t="n"/>
    </row>
    <row r="105">
      <c r="A105" s="540" t="n">
        <v>109</v>
      </c>
      <c r="B105" s="540" t="inlineStr">
        <is>
          <t>KQCY0109</t>
        </is>
      </c>
      <c r="C105" s="540" t="inlineStr">
        <is>
          <t>餐饮二分部</t>
        </is>
      </c>
      <c r="D105" s="540" t="inlineStr">
        <is>
          <t>CF175</t>
        </is>
      </c>
      <c r="E105" s="540" t="inlineStr">
        <is>
          <t>高新区实验初中食堂(金山路校区)</t>
        </is>
      </c>
      <c r="F105" s="540" t="inlineStr">
        <is>
          <t>人员服务外包</t>
        </is>
      </c>
      <c r="G105" s="540" t="inlineStr">
        <is>
          <t>/</t>
        </is>
      </c>
      <c r="H105" s="540" t="inlineStr">
        <is>
          <t>/</t>
        </is>
      </c>
      <c r="I105" s="540" t="inlineStr">
        <is>
          <t>/</t>
        </is>
      </c>
      <c r="J105" s="540" t="n">
        <v>0</v>
      </c>
      <c r="K105" s="540" t="n"/>
      <c r="L105" s="540" t="inlineStr">
        <is>
          <t>位军浩</t>
        </is>
      </c>
      <c r="M105" s="540" t="n"/>
    </row>
    <row r="106">
      <c r="A106" s="540" t="n">
        <v>110</v>
      </c>
      <c r="B106" s="540" t="inlineStr">
        <is>
          <t>KQCY0110</t>
        </is>
      </c>
      <c r="C106" s="540" t="inlineStr">
        <is>
          <t>餐饮二分部</t>
        </is>
      </c>
      <c r="D106" s="540" t="inlineStr">
        <is>
          <t>CF177</t>
        </is>
      </c>
      <c r="E106" s="540" t="inlineStr">
        <is>
          <t>高新区实验初中食堂(锦峰路校区)</t>
        </is>
      </c>
      <c r="F106" s="540" t="inlineStr">
        <is>
          <t>人员服务外包</t>
        </is>
      </c>
      <c r="G106" s="540" t="inlineStr">
        <is>
          <t>/</t>
        </is>
      </c>
      <c r="H106" s="540" t="inlineStr">
        <is>
          <t>/</t>
        </is>
      </c>
      <c r="I106" s="540" t="inlineStr">
        <is>
          <t>/</t>
        </is>
      </c>
      <c r="J106" s="540" t="n">
        <v>8498.08</v>
      </c>
      <c r="K106" s="540" t="n"/>
      <c r="L106" s="540" t="inlineStr">
        <is>
          <t>位军浩</t>
        </is>
      </c>
      <c r="M106" s="540" t="n"/>
    </row>
    <row r="107">
      <c r="A107" s="540" t="n">
        <v>111</v>
      </c>
      <c r="B107" s="540" t="inlineStr">
        <is>
          <t>KQCY0111</t>
        </is>
      </c>
      <c r="C107" s="540" t="inlineStr">
        <is>
          <t>餐饮二分部</t>
        </is>
      </c>
      <c r="D107" s="540" t="inlineStr">
        <is>
          <t>CF173</t>
        </is>
      </c>
      <c r="E107" s="540" t="inlineStr">
        <is>
          <t>高新区一中食堂（汾湖路校区）</t>
        </is>
      </c>
      <c r="F107" s="540" t="inlineStr">
        <is>
          <t>人员服务外包</t>
        </is>
      </c>
      <c r="G107" s="540" t="inlineStr">
        <is>
          <t>/</t>
        </is>
      </c>
      <c r="H107" s="540" t="inlineStr">
        <is>
          <t>/</t>
        </is>
      </c>
      <c r="I107" s="540" t="inlineStr">
        <is>
          <t>/</t>
        </is>
      </c>
      <c r="J107" s="540" t="n">
        <v>149297.62</v>
      </c>
      <c r="K107" s="540" t="n"/>
      <c r="L107" s="540" t="inlineStr">
        <is>
          <t>位军浩</t>
        </is>
      </c>
      <c r="M107" s="540" t="n"/>
    </row>
    <row r="108">
      <c r="A108" s="540" t="n">
        <v>112</v>
      </c>
      <c r="B108" s="540" t="inlineStr">
        <is>
          <t>KQCY0112</t>
        </is>
      </c>
      <c r="C108" s="540" t="inlineStr">
        <is>
          <t>餐饮二分部</t>
        </is>
      </c>
      <c r="D108" s="540" t="inlineStr">
        <is>
          <t>CF179</t>
        </is>
      </c>
      <c r="E108" s="540" t="inlineStr">
        <is>
          <t>高新区一中食堂（科技城校区）</t>
        </is>
      </c>
      <c r="F108" s="540" t="inlineStr">
        <is>
          <t>人员服务外包</t>
        </is>
      </c>
      <c r="G108" s="540" t="inlineStr">
        <is>
          <t>/</t>
        </is>
      </c>
      <c r="H108" s="540" t="inlineStr">
        <is>
          <t>/</t>
        </is>
      </c>
      <c r="I108" s="540" t="inlineStr">
        <is>
          <t>/</t>
        </is>
      </c>
      <c r="J108" s="540" t="n">
        <v>115940.99</v>
      </c>
      <c r="K108" s="540" t="n"/>
      <c r="L108" s="540" t="inlineStr">
        <is>
          <t>位军浩</t>
        </is>
      </c>
      <c r="M108" s="540" t="n"/>
    </row>
    <row r="109">
      <c r="A109" s="540" t="n">
        <v>113</v>
      </c>
      <c r="B109" s="540" t="inlineStr">
        <is>
          <t>KQCY0113</t>
        </is>
      </c>
      <c r="C109" s="540" t="inlineStr">
        <is>
          <t>餐饮二分部</t>
        </is>
      </c>
      <c r="D109" s="540" t="inlineStr">
        <is>
          <t>CF180</t>
        </is>
      </c>
      <c r="E109" s="540" t="inlineStr">
        <is>
          <t>高新区一初中食堂（珠江路校区）</t>
        </is>
      </c>
      <c r="F109" s="540" t="inlineStr">
        <is>
          <t>人员服务外包</t>
        </is>
      </c>
      <c r="G109" s="540" t="inlineStr">
        <is>
          <t>/</t>
        </is>
      </c>
      <c r="H109" s="540" t="inlineStr">
        <is>
          <t>/</t>
        </is>
      </c>
      <c r="I109" s="540" t="inlineStr">
        <is>
          <t>/</t>
        </is>
      </c>
      <c r="J109" s="540" t="n">
        <v>0</v>
      </c>
      <c r="K109" s="540" t="n"/>
      <c r="L109" s="540" t="inlineStr">
        <is>
          <t>位军浩</t>
        </is>
      </c>
      <c r="M109" s="540" t="n"/>
    </row>
    <row r="110">
      <c r="A110" s="540" t="n">
        <v>114</v>
      </c>
      <c r="B110" s="540" t="inlineStr">
        <is>
          <t>KQCY0114</t>
        </is>
      </c>
      <c r="C110" s="540" t="inlineStr">
        <is>
          <t>餐饮二分部</t>
        </is>
      </c>
      <c r="D110" s="540" t="inlineStr">
        <is>
          <t>CF183</t>
        </is>
      </c>
      <c r="E110" s="540" t="inlineStr">
        <is>
          <t>中医科苏州新校区食堂</t>
        </is>
      </c>
      <c r="F110" s="540" t="inlineStr">
        <is>
          <t>人员服务外包</t>
        </is>
      </c>
      <c r="G110" s="540" t="inlineStr">
        <is>
          <t>/</t>
        </is>
      </c>
      <c r="H110" s="540" t="inlineStr">
        <is>
          <t>/</t>
        </is>
      </c>
      <c r="I110" s="540" t="inlineStr">
        <is>
          <t>/</t>
        </is>
      </c>
      <c r="J110" s="540" t="n">
        <v>383229.96</v>
      </c>
      <c r="K110" s="540" t="n"/>
      <c r="L110" s="540" t="inlineStr">
        <is>
          <t>位军浩</t>
        </is>
      </c>
      <c r="M110" s="540" t="n"/>
    </row>
    <row r="111">
      <c r="A111" s="540" t="n">
        <v>115</v>
      </c>
      <c r="B111" s="540" t="inlineStr">
        <is>
          <t>KQCY0115</t>
        </is>
      </c>
      <c r="C111" s="540" t="inlineStr">
        <is>
          <t>餐饮二分部</t>
        </is>
      </c>
      <c r="D111" s="540" t="inlineStr">
        <is>
          <t>CF183</t>
        </is>
      </c>
      <c r="E111" s="540" t="inlineStr">
        <is>
          <t>中医科苏州新校区食堂</t>
        </is>
      </c>
      <c r="F111" s="540" t="inlineStr">
        <is>
          <t>自营</t>
        </is>
      </c>
      <c r="G111" s="540" t="inlineStr">
        <is>
          <t>自营</t>
        </is>
      </c>
      <c r="H111" s="540" t="inlineStr">
        <is>
          <t>/</t>
        </is>
      </c>
      <c r="I111" s="540" t="inlineStr">
        <is>
          <t>/</t>
        </is>
      </c>
      <c r="J111" s="540" t="n">
        <v>0</v>
      </c>
      <c r="K111" s="540" t="n"/>
      <c r="L111" s="540" t="inlineStr">
        <is>
          <t>位军浩</t>
        </is>
      </c>
      <c r="M111" s="540" t="n"/>
    </row>
    <row r="112">
      <c r="A112" s="540" t="n">
        <v>116</v>
      </c>
      <c r="B112" s="540" t="inlineStr">
        <is>
          <t>KQCY0116</t>
        </is>
      </c>
      <c r="C112" s="540" t="inlineStr">
        <is>
          <t>餐饮二分部</t>
        </is>
      </c>
      <c r="D112" s="540" t="inlineStr">
        <is>
          <t>CF450</t>
        </is>
      </c>
      <c r="E112" s="540" t="inlineStr">
        <is>
          <t>天津大学学二食堂</t>
        </is>
      </c>
      <c r="F112" s="540" t="inlineStr">
        <is>
          <t>强责</t>
        </is>
      </c>
      <c r="G112" s="540" t="inlineStr">
        <is>
          <t>/</t>
        </is>
      </c>
      <c r="H112" s="540" t="inlineStr">
        <is>
          <t>/</t>
        </is>
      </c>
      <c r="I112" s="540" t="inlineStr">
        <is>
          <t>张宪</t>
        </is>
      </c>
      <c r="J112" s="540" t="n">
        <v>10284.9</v>
      </c>
      <c r="K112" s="540" t="n"/>
      <c r="L112" s="540" t="inlineStr">
        <is>
          <t>位军浩</t>
        </is>
      </c>
      <c r="M112" s="540" t="n"/>
    </row>
    <row r="113">
      <c r="A113" s="540" t="n">
        <v>117</v>
      </c>
      <c r="B113" s="540" t="inlineStr">
        <is>
          <t>KQCY0117</t>
        </is>
      </c>
      <c r="C113" s="540" t="inlineStr">
        <is>
          <t>餐饮二分部</t>
        </is>
      </c>
      <c r="D113" s="540" t="inlineStr">
        <is>
          <t>CF450</t>
        </is>
      </c>
      <c r="E113" s="540" t="inlineStr">
        <is>
          <t>天津大学学二食堂</t>
        </is>
      </c>
      <c r="F113" s="540" t="inlineStr">
        <is>
          <t>强责</t>
        </is>
      </c>
      <c r="G113" s="540" t="inlineStr">
        <is>
          <t>/</t>
        </is>
      </c>
      <c r="H113" s="540" t="inlineStr">
        <is>
          <t>馄饨（轻食）</t>
        </is>
      </c>
      <c r="I113" s="540" t="inlineStr">
        <is>
          <t>李佳玉</t>
        </is>
      </c>
      <c r="J113" s="540" t="n">
        <v>49922.16</v>
      </c>
      <c r="K113" s="540" t="n"/>
      <c r="L113" s="540" t="inlineStr">
        <is>
          <t>位军浩</t>
        </is>
      </c>
      <c r="M113" s="540" t="n"/>
    </row>
    <row r="114">
      <c r="A114" s="540" t="n">
        <v>118</v>
      </c>
      <c r="B114" s="540" t="inlineStr">
        <is>
          <t>KQCY0118</t>
        </is>
      </c>
      <c r="C114" s="540" t="inlineStr">
        <is>
          <t>餐饮二分部</t>
        </is>
      </c>
      <c r="D114" s="540" t="inlineStr">
        <is>
          <t>CF450</t>
        </is>
      </c>
      <c r="E114" s="540" t="inlineStr">
        <is>
          <t>天津大学学二食堂</t>
        </is>
      </c>
      <c r="F114" s="540" t="inlineStr">
        <is>
          <t>强责</t>
        </is>
      </c>
      <c r="G114" s="540" t="inlineStr">
        <is>
          <t>/</t>
        </is>
      </c>
      <c r="H114" s="540" t="inlineStr">
        <is>
          <t>面夫子</t>
        </is>
      </c>
      <c r="I114" s="540" t="inlineStr">
        <is>
          <t>刘魁</t>
        </is>
      </c>
      <c r="J114" s="540" t="n">
        <v>17581.5</v>
      </c>
      <c r="K114" s="540" t="n"/>
      <c r="L114" s="540" t="inlineStr">
        <is>
          <t>位军浩</t>
        </is>
      </c>
      <c r="M114" s="540" t="n"/>
    </row>
    <row r="115">
      <c r="A115" s="540" t="n">
        <v>119</v>
      </c>
      <c r="B115" s="540" t="inlineStr">
        <is>
          <t>KQCY0119</t>
        </is>
      </c>
      <c r="C115" s="540" t="inlineStr">
        <is>
          <t>餐饮二分部</t>
        </is>
      </c>
      <c r="D115" s="540" t="inlineStr">
        <is>
          <t>CF450</t>
        </is>
      </c>
      <c r="E115" s="540" t="inlineStr">
        <is>
          <t>天津大学学二食堂</t>
        </is>
      </c>
      <c r="F115" s="540" t="inlineStr">
        <is>
          <t>强责</t>
        </is>
      </c>
      <c r="G115" s="540" t="inlineStr">
        <is>
          <t>/</t>
        </is>
      </c>
      <c r="H115" s="540" t="inlineStr">
        <is>
          <t>滑蛋饭</t>
        </is>
      </c>
      <c r="I115" s="540" t="inlineStr">
        <is>
          <t>李保</t>
        </is>
      </c>
      <c r="J115" s="540" t="n">
        <v>18221.6</v>
      </c>
      <c r="K115" s="540" t="n"/>
      <c r="L115" s="540" t="inlineStr">
        <is>
          <t>位军浩</t>
        </is>
      </c>
      <c r="M115" s="540" t="n"/>
    </row>
    <row r="116">
      <c r="A116" s="540" t="n">
        <v>120</v>
      </c>
      <c r="B116" s="540" t="inlineStr">
        <is>
          <t>KQCY0120</t>
        </is>
      </c>
      <c r="C116" s="540" t="inlineStr">
        <is>
          <t>餐饮二分部</t>
        </is>
      </c>
      <c r="D116" s="540" t="inlineStr">
        <is>
          <t>CF450</t>
        </is>
      </c>
      <c r="E116" s="540" t="inlineStr">
        <is>
          <t>天津大学学二食堂</t>
        </is>
      </c>
      <c r="F116" s="540" t="inlineStr">
        <is>
          <t>强责</t>
        </is>
      </c>
      <c r="G116" s="540" t="inlineStr">
        <is>
          <t>/</t>
        </is>
      </c>
      <c r="H116" s="540" t="inlineStr">
        <is>
          <t>基本伙窗口</t>
        </is>
      </c>
      <c r="I116" s="540" t="inlineStr">
        <is>
          <t>孟祥东</t>
        </is>
      </c>
      <c r="J116" s="540" t="n">
        <v>44658.8</v>
      </c>
      <c r="K116" s="540" t="n"/>
      <c r="L116" s="540" t="inlineStr">
        <is>
          <t>位军浩</t>
        </is>
      </c>
      <c r="M116" s="540" t="n"/>
    </row>
    <row r="117">
      <c r="A117" s="540" t="n">
        <v>121</v>
      </c>
      <c r="B117" s="540" t="inlineStr">
        <is>
          <t>KQCY0121</t>
        </is>
      </c>
      <c r="C117" s="540" t="inlineStr">
        <is>
          <t>餐饮二分部</t>
        </is>
      </c>
      <c r="D117" s="540" t="inlineStr">
        <is>
          <t>CF450</t>
        </is>
      </c>
      <c r="E117" s="540" t="inlineStr">
        <is>
          <t>天津大学学二食堂</t>
        </is>
      </c>
      <c r="F117" s="540" t="inlineStr">
        <is>
          <t>强责</t>
        </is>
      </c>
      <c r="G117" s="540" t="inlineStr">
        <is>
          <t>/</t>
        </is>
      </c>
      <c r="H117" s="540" t="inlineStr">
        <is>
          <t>小卖部</t>
        </is>
      </c>
      <c r="I117" s="540" t="inlineStr">
        <is>
          <t>张玉珠</t>
        </is>
      </c>
      <c r="J117" s="540" t="n">
        <v>16139.6</v>
      </c>
      <c r="K117" s="540" t="n"/>
      <c r="L117" s="540" t="inlineStr">
        <is>
          <t>位军浩</t>
        </is>
      </c>
      <c r="M117" s="540" t="n"/>
    </row>
    <row r="118">
      <c r="A118" s="540" t="n">
        <v>122</v>
      </c>
      <c r="B118" s="540" t="inlineStr">
        <is>
          <t>KQCY0122</t>
        </is>
      </c>
      <c r="C118" s="540" t="inlineStr">
        <is>
          <t>餐饮二分部</t>
        </is>
      </c>
      <c r="D118" s="540" t="inlineStr">
        <is>
          <t>CF450</t>
        </is>
      </c>
      <c r="E118" s="540" t="inlineStr">
        <is>
          <t>天津大学学二食堂</t>
        </is>
      </c>
      <c r="F118" s="540" t="inlineStr">
        <is>
          <t>强责</t>
        </is>
      </c>
      <c r="G118" s="540" t="inlineStr">
        <is>
          <t>/</t>
        </is>
      </c>
      <c r="H118" s="540" t="inlineStr">
        <is>
          <t>黄焖鸡</t>
        </is>
      </c>
      <c r="I118" s="540" t="inlineStr">
        <is>
          <t>蒋彩云</t>
        </is>
      </c>
      <c r="J118" s="540" t="n">
        <v>37792.2</v>
      </c>
      <c r="K118" s="540" t="n"/>
      <c r="L118" s="540" t="inlineStr">
        <is>
          <t>位军浩</t>
        </is>
      </c>
      <c r="M118" s="540" t="n"/>
    </row>
    <row r="119">
      <c r="A119" s="540" t="n">
        <v>123</v>
      </c>
      <c r="B119" s="540" t="inlineStr">
        <is>
          <t>KQCY0123</t>
        </is>
      </c>
      <c r="C119" s="540" t="inlineStr">
        <is>
          <t>餐饮二分部</t>
        </is>
      </c>
      <c r="D119" s="540" t="inlineStr">
        <is>
          <t>CF450</t>
        </is>
      </c>
      <c r="E119" s="540" t="inlineStr">
        <is>
          <t>天津大学学二食堂</t>
        </is>
      </c>
      <c r="F119" s="540" t="inlineStr">
        <is>
          <t>强责</t>
        </is>
      </c>
      <c r="G119" s="540" t="inlineStr">
        <is>
          <t>/</t>
        </is>
      </c>
      <c r="H119" s="540" t="inlineStr">
        <is>
          <t>南方面条</t>
        </is>
      </c>
      <c r="I119" s="540" t="inlineStr">
        <is>
          <t>孟祥东</t>
        </is>
      </c>
      <c r="J119" s="540" t="n"/>
      <c r="K119" s="540" t="inlineStr">
        <is>
          <t>已撤场</t>
        </is>
      </c>
      <c r="L119" s="540" t="inlineStr">
        <is>
          <t>位军浩</t>
        </is>
      </c>
      <c r="M119" s="540" t="n"/>
    </row>
    <row r="120">
      <c r="A120" s="540" t="n">
        <v>124</v>
      </c>
      <c r="B120" s="540" t="inlineStr">
        <is>
          <t>KQCY0124</t>
        </is>
      </c>
      <c r="C120" s="540" t="inlineStr">
        <is>
          <t>餐饮二分部</t>
        </is>
      </c>
      <c r="D120" s="540" t="inlineStr">
        <is>
          <t>CF450</t>
        </is>
      </c>
      <c r="E120" s="540" t="inlineStr">
        <is>
          <t>天津大学学二食堂</t>
        </is>
      </c>
      <c r="F120" s="540" t="inlineStr">
        <is>
          <t>强责</t>
        </is>
      </c>
      <c r="G120" s="540" t="inlineStr">
        <is>
          <t>/</t>
        </is>
      </c>
      <c r="H120" s="540" t="inlineStr">
        <is>
          <t>饸饹面</t>
        </is>
      </c>
      <c r="I120" s="540" t="inlineStr">
        <is>
          <t>要志远</t>
        </is>
      </c>
      <c r="J120" s="540" t="n">
        <v>4595.4</v>
      </c>
      <c r="K120" s="540" t="n"/>
      <c r="L120" s="540" t="inlineStr">
        <is>
          <t>位军浩</t>
        </is>
      </c>
      <c r="M120" s="540" t="n"/>
    </row>
    <row r="121">
      <c r="A121" s="540" t="n">
        <v>125</v>
      </c>
      <c r="B121" s="540" t="inlineStr">
        <is>
          <t>KQCY0125</t>
        </is>
      </c>
      <c r="C121" s="540" t="inlineStr">
        <is>
          <t>餐饮二分部</t>
        </is>
      </c>
      <c r="D121" s="540" t="inlineStr">
        <is>
          <t>CF450</t>
        </is>
      </c>
      <c r="E121" s="540" t="inlineStr">
        <is>
          <t>天津大学学二食堂</t>
        </is>
      </c>
      <c r="F121" s="540" t="inlineStr">
        <is>
          <t>强责</t>
        </is>
      </c>
      <c r="G121" s="540" t="inlineStr">
        <is>
          <t>/</t>
        </is>
      </c>
      <c r="H121" s="540" t="inlineStr">
        <is>
          <t>麻辣烫</t>
        </is>
      </c>
      <c r="I121" s="540" t="inlineStr">
        <is>
          <t>孟迪</t>
        </is>
      </c>
      <c r="J121" s="540" t="n">
        <v>11708.46</v>
      </c>
      <c r="K121" s="540" t="n"/>
      <c r="L121" s="540" t="inlineStr">
        <is>
          <t>位军浩</t>
        </is>
      </c>
      <c r="M121" s="540" t="n"/>
    </row>
    <row r="122">
      <c r="A122" s="540" t="n">
        <v>126</v>
      </c>
      <c r="B122" s="540" t="inlineStr">
        <is>
          <t>KQCY0126</t>
        </is>
      </c>
      <c r="C122" s="540" t="inlineStr">
        <is>
          <t>餐饮二分部</t>
        </is>
      </c>
      <c r="D122" s="540" t="inlineStr">
        <is>
          <t>CF450</t>
        </is>
      </c>
      <c r="E122" s="540" t="inlineStr">
        <is>
          <t>天津大学学二食堂</t>
        </is>
      </c>
      <c r="F122" s="540" t="inlineStr">
        <is>
          <t>强责</t>
        </is>
      </c>
      <c r="G122" s="540" t="inlineStr">
        <is>
          <t>/</t>
        </is>
      </c>
      <c r="H122" s="540" t="inlineStr">
        <is>
          <t>烤鸭饭</t>
        </is>
      </c>
      <c r="I122" s="540" t="inlineStr">
        <is>
          <t>董子帅</t>
        </is>
      </c>
      <c r="J122" s="540" t="n">
        <v>33726.8</v>
      </c>
      <c r="K122" s="540" t="n"/>
      <c r="L122" s="540" t="inlineStr">
        <is>
          <t>位军浩</t>
        </is>
      </c>
      <c r="M122" s="540" t="n"/>
    </row>
    <row r="123">
      <c r="A123" s="540" t="n">
        <v>127</v>
      </c>
      <c r="B123" s="540" t="inlineStr">
        <is>
          <t>KQCY0127</t>
        </is>
      </c>
      <c r="C123" s="540" t="inlineStr">
        <is>
          <t>餐饮二分部</t>
        </is>
      </c>
      <c r="D123" s="540" t="inlineStr">
        <is>
          <t>CF450</t>
        </is>
      </c>
      <c r="E123" s="540" t="inlineStr">
        <is>
          <t>天津大学学二食堂</t>
        </is>
      </c>
      <c r="F123" s="540" t="inlineStr">
        <is>
          <t>强责</t>
        </is>
      </c>
      <c r="G123" s="540" t="inlineStr">
        <is>
          <t>/</t>
        </is>
      </c>
      <c r="H123" s="540" t="inlineStr">
        <is>
          <t>真有面</t>
        </is>
      </c>
      <c r="I123" s="540" t="inlineStr">
        <is>
          <t>尹细老</t>
        </is>
      </c>
      <c r="J123" s="540" t="n">
        <v>23106.2</v>
      </c>
      <c r="K123" s="540" t="n"/>
      <c r="L123" s="540" t="inlineStr">
        <is>
          <t>位军浩</t>
        </is>
      </c>
      <c r="M123" s="540" t="n"/>
    </row>
    <row r="124">
      <c r="A124" s="540" t="n">
        <v>128</v>
      </c>
      <c r="B124" s="540" t="inlineStr">
        <is>
          <t>KQCY0128</t>
        </is>
      </c>
      <c r="C124" s="540" t="inlineStr">
        <is>
          <t>餐饮二分部</t>
        </is>
      </c>
      <c r="D124" s="540" t="inlineStr">
        <is>
          <t>CF450</t>
        </is>
      </c>
      <c r="E124" s="540" t="inlineStr">
        <is>
          <t>天津大学学二食堂</t>
        </is>
      </c>
      <c r="F124" s="540" t="inlineStr">
        <is>
          <t>强责</t>
        </is>
      </c>
      <c r="G124" s="540" t="inlineStr">
        <is>
          <t>/</t>
        </is>
      </c>
      <c r="H124" s="540" t="inlineStr">
        <is>
          <t>云南生烫米线</t>
        </is>
      </c>
      <c r="I124" s="540" t="inlineStr">
        <is>
          <t>由俊楠</t>
        </is>
      </c>
      <c r="J124" s="540" t="n"/>
      <c r="K124" s="540" t="inlineStr">
        <is>
          <t>已撤场</t>
        </is>
      </c>
      <c r="L124" s="540" t="inlineStr">
        <is>
          <t>位军浩</t>
        </is>
      </c>
      <c r="M124" s="540" t="n"/>
    </row>
    <row r="125">
      <c r="A125" s="540" t="n">
        <v>129</v>
      </c>
      <c r="B125" s="540" t="inlineStr">
        <is>
          <t>KQCY0129</t>
        </is>
      </c>
      <c r="C125" s="540" t="inlineStr">
        <is>
          <t>餐饮二分部</t>
        </is>
      </c>
      <c r="D125" s="540" t="inlineStr">
        <is>
          <t>CF513</t>
        </is>
      </c>
      <c r="E125" s="540" t="inlineStr">
        <is>
          <t>天津大学学三食堂</t>
        </is>
      </c>
      <c r="F125" s="540" t="inlineStr">
        <is>
          <t>人员服务外包</t>
        </is>
      </c>
      <c r="G125" s="540" t="inlineStr">
        <is>
          <t>/</t>
        </is>
      </c>
      <c r="H125" s="540" t="inlineStr">
        <is>
          <t>/</t>
        </is>
      </c>
      <c r="I125" s="540" t="inlineStr">
        <is>
          <t>/</t>
        </is>
      </c>
      <c r="J125" s="540" t="n">
        <v>45261.49</v>
      </c>
      <c r="K125" s="540" t="n"/>
      <c r="L125" s="540" t="inlineStr">
        <is>
          <t>位军浩</t>
        </is>
      </c>
      <c r="M125" s="540" t="n"/>
    </row>
    <row r="126">
      <c r="A126" s="540" t="n">
        <v>130</v>
      </c>
      <c r="B126" s="540" t="inlineStr">
        <is>
          <t>KQCY0130</t>
        </is>
      </c>
      <c r="C126" s="540" t="inlineStr">
        <is>
          <t>餐饮二分部</t>
        </is>
      </c>
      <c r="D126" s="540" t="inlineStr">
        <is>
          <t>CF453</t>
        </is>
      </c>
      <c r="E126" s="540" t="inlineStr">
        <is>
          <t>天津大学学四食堂</t>
        </is>
      </c>
      <c r="F126" s="540" t="inlineStr">
        <is>
          <t>人员服务外包</t>
        </is>
      </c>
      <c r="G126" s="540" t="inlineStr">
        <is>
          <t>/</t>
        </is>
      </c>
      <c r="H126" s="540" t="inlineStr">
        <is>
          <t>/</t>
        </is>
      </c>
      <c r="I126" s="540" t="inlineStr">
        <is>
          <t>/</t>
        </is>
      </c>
      <c r="J126" s="540" t="n">
        <v>56992.07</v>
      </c>
      <c r="K126" s="540" t="n"/>
      <c r="L126" s="540" t="inlineStr">
        <is>
          <t>位军浩</t>
        </is>
      </c>
      <c r="M126" s="540" t="n"/>
    </row>
    <row r="127">
      <c r="A127" s="540" t="n">
        <v>131</v>
      </c>
      <c r="B127" s="540" t="inlineStr">
        <is>
          <t>KQCY0131</t>
        </is>
      </c>
      <c r="C127" s="540" t="inlineStr">
        <is>
          <t>餐饮三分部</t>
        </is>
      </c>
      <c r="D127" s="540" t="inlineStr">
        <is>
          <t>CF190</t>
        </is>
      </c>
      <c r="E127" s="540" t="inlineStr">
        <is>
          <t>苏旅财食堂</t>
        </is>
      </c>
      <c r="F127" s="540" t="inlineStr">
        <is>
          <t>人员服务外包</t>
        </is>
      </c>
      <c r="G127" s="540" t="inlineStr">
        <is>
          <t>/</t>
        </is>
      </c>
      <c r="H127" s="540" t="inlineStr">
        <is>
          <t>/</t>
        </is>
      </c>
      <c r="I127" s="540" t="inlineStr">
        <is>
          <t>/</t>
        </is>
      </c>
      <c r="J127" s="540" t="n">
        <v>0</v>
      </c>
      <c r="K127" s="540" t="n"/>
      <c r="L127" s="540" t="inlineStr">
        <is>
          <t>位军浩</t>
        </is>
      </c>
      <c r="M127" s="540" t="n"/>
    </row>
    <row r="128">
      <c r="A128" s="540" t="n">
        <v>132</v>
      </c>
      <c r="B128" s="540" t="inlineStr">
        <is>
          <t>KQCY0132</t>
        </is>
      </c>
      <c r="C128" s="540" t="inlineStr">
        <is>
          <t>餐饮三分部</t>
        </is>
      </c>
      <c r="D128" s="540" t="inlineStr">
        <is>
          <t>CF190</t>
        </is>
      </c>
      <c r="E128" s="540" t="inlineStr">
        <is>
          <t>苏旅财食堂</t>
        </is>
      </c>
      <c r="F128" s="540" t="inlineStr">
        <is>
          <t>人员服务外包</t>
        </is>
      </c>
      <c r="G128" s="540" t="inlineStr">
        <is>
          <t>第一班组</t>
        </is>
      </c>
      <c r="H128" s="540" t="inlineStr">
        <is>
          <t>苏式汤面</t>
        </is>
      </c>
      <c r="I128" s="540" t="inlineStr">
        <is>
          <t>闵晓均</t>
        </is>
      </c>
      <c r="J128" s="540" t="n">
        <v>0</v>
      </c>
      <c r="K128" s="540" t="n"/>
      <c r="L128" s="540" t="inlineStr">
        <is>
          <t>位军浩</t>
        </is>
      </c>
      <c r="M128" s="540" t="n"/>
    </row>
    <row r="129">
      <c r="A129" s="540" t="n">
        <v>133</v>
      </c>
      <c r="B129" s="540" t="inlineStr">
        <is>
          <t>KQCY0133</t>
        </is>
      </c>
      <c r="C129" s="540" t="inlineStr">
        <is>
          <t>餐饮三分部</t>
        </is>
      </c>
      <c r="D129" s="540" t="inlineStr">
        <is>
          <t>CF190</t>
        </is>
      </c>
      <c r="E129" s="540" t="inlineStr">
        <is>
          <t>苏旅财食堂</t>
        </is>
      </c>
      <c r="F129" s="540" t="inlineStr">
        <is>
          <t>人员服务外包</t>
        </is>
      </c>
      <c r="G129" s="540" t="inlineStr">
        <is>
          <t>第二班组</t>
        </is>
      </c>
      <c r="H129" s="540" t="inlineStr">
        <is>
          <t>铁板砂锅</t>
        </is>
      </c>
      <c r="I129" s="540" t="inlineStr">
        <is>
          <t>付鹏亮</t>
        </is>
      </c>
      <c r="J129" s="540" t="n">
        <v>0</v>
      </c>
      <c r="K129" s="540" t="n"/>
      <c r="L129" s="540" t="inlineStr">
        <is>
          <t>位军浩</t>
        </is>
      </c>
      <c r="M129" s="540" t="n"/>
    </row>
    <row r="130">
      <c r="A130" s="540" t="n">
        <v>134</v>
      </c>
      <c r="B130" s="540" t="inlineStr">
        <is>
          <t>KQCY0134</t>
        </is>
      </c>
      <c r="C130" s="540" t="inlineStr">
        <is>
          <t>餐饮三分部</t>
        </is>
      </c>
      <c r="D130" s="540" t="inlineStr">
        <is>
          <t>CF190</t>
        </is>
      </c>
      <c r="E130" s="540" t="inlineStr">
        <is>
          <t>苏旅财食堂</t>
        </is>
      </c>
      <c r="F130" s="540" t="inlineStr">
        <is>
          <t>人员服务外包</t>
        </is>
      </c>
      <c r="G130" s="540" t="inlineStr">
        <is>
          <t>第三班组</t>
        </is>
      </c>
      <c r="H130" s="540" t="inlineStr">
        <is>
          <t>石锅拌饭</t>
        </is>
      </c>
      <c r="I130" s="540" t="inlineStr">
        <is>
          <t>于红艳</t>
        </is>
      </c>
      <c r="J130" s="540" t="n">
        <v>0</v>
      </c>
      <c r="K130" s="540" t="n"/>
      <c r="L130" s="540" t="inlineStr">
        <is>
          <t>位军浩</t>
        </is>
      </c>
      <c r="M130" s="540" t="n"/>
    </row>
    <row r="131">
      <c r="A131" s="540" t="n">
        <v>135</v>
      </c>
      <c r="B131" s="540" t="inlineStr">
        <is>
          <t>KQCY0135</t>
        </is>
      </c>
      <c r="C131" s="540" t="inlineStr">
        <is>
          <t>餐饮三分部</t>
        </is>
      </c>
      <c r="D131" s="540" t="inlineStr">
        <is>
          <t>CF190</t>
        </is>
      </c>
      <c r="E131" s="540" t="inlineStr">
        <is>
          <t>苏旅财食堂</t>
        </is>
      </c>
      <c r="F131" s="540" t="inlineStr">
        <is>
          <t>人员服务外包</t>
        </is>
      </c>
      <c r="G131" s="540" t="inlineStr">
        <is>
          <t>第四班组</t>
        </is>
      </c>
      <c r="H131" s="540" t="inlineStr">
        <is>
          <t>杂粮煎饼</t>
        </is>
      </c>
      <c r="I131" s="540" t="inlineStr">
        <is>
          <t>李右华</t>
        </is>
      </c>
      <c r="J131" s="540" t="n">
        <v>0</v>
      </c>
      <c r="K131" s="540" t="n"/>
      <c r="L131" s="540" t="inlineStr">
        <is>
          <t>位军浩</t>
        </is>
      </c>
      <c r="M131" s="540" t="n"/>
    </row>
    <row r="132">
      <c r="A132" s="540" t="n">
        <v>136</v>
      </c>
      <c r="B132" s="540" t="inlineStr">
        <is>
          <t>KQCY0136</t>
        </is>
      </c>
      <c r="C132" s="540" t="inlineStr">
        <is>
          <t>餐饮三分部</t>
        </is>
      </c>
      <c r="D132" s="540" t="inlineStr">
        <is>
          <t>CF190</t>
        </is>
      </c>
      <c r="E132" s="540" t="inlineStr">
        <is>
          <t>苏旅财食堂</t>
        </is>
      </c>
      <c r="F132" s="540" t="inlineStr">
        <is>
          <t>人员服务外包</t>
        </is>
      </c>
      <c r="G132" s="540" t="inlineStr">
        <is>
          <t>第五班组</t>
        </is>
      </c>
      <c r="H132" s="540" t="inlineStr">
        <is>
          <t>水饺</t>
        </is>
      </c>
      <c r="I132" s="540" t="inlineStr">
        <is>
          <t>汪于超</t>
        </is>
      </c>
      <c r="J132" s="540" t="n">
        <v>0</v>
      </c>
      <c r="K132" s="540" t="n"/>
      <c r="L132" s="540" t="inlineStr">
        <is>
          <t>位军浩</t>
        </is>
      </c>
      <c r="M132" s="540" t="n"/>
    </row>
    <row r="133">
      <c r="A133" s="540" t="n">
        <v>137</v>
      </c>
      <c r="B133" s="540" t="inlineStr">
        <is>
          <t>KQCY0137</t>
        </is>
      </c>
      <c r="C133" s="540" t="inlineStr">
        <is>
          <t>餐饮三分部</t>
        </is>
      </c>
      <c r="D133" s="540" t="inlineStr">
        <is>
          <t>CF190</t>
        </is>
      </c>
      <c r="E133" s="540" t="inlineStr">
        <is>
          <t>苏旅财食堂</t>
        </is>
      </c>
      <c r="F133" s="540" t="inlineStr">
        <is>
          <t>人员服务外包</t>
        </is>
      </c>
      <c r="G133" s="540" t="inlineStr">
        <is>
          <t>第六班组</t>
        </is>
      </c>
      <c r="H133" s="540" t="inlineStr">
        <is>
          <t>奶茶汉堡</t>
        </is>
      </c>
      <c r="I133" s="540" t="inlineStr">
        <is>
          <t>吕鹏飞</t>
        </is>
      </c>
      <c r="J133" s="540" t="n">
        <v>0</v>
      </c>
      <c r="K133" s="540" t="n"/>
      <c r="L133" s="540" t="inlineStr">
        <is>
          <t>位军浩</t>
        </is>
      </c>
      <c r="M133" s="540" t="n"/>
    </row>
    <row r="134">
      <c r="A134" s="540" t="n">
        <v>138</v>
      </c>
      <c r="B134" s="540" t="inlineStr">
        <is>
          <t>KQCY0138</t>
        </is>
      </c>
      <c r="C134" s="540" t="inlineStr">
        <is>
          <t>餐饮三分部</t>
        </is>
      </c>
      <c r="D134" s="540" t="inlineStr">
        <is>
          <t>CF190</t>
        </is>
      </c>
      <c r="E134" s="540" t="inlineStr">
        <is>
          <t>苏旅财食堂</t>
        </is>
      </c>
      <c r="F134" s="540" t="inlineStr">
        <is>
          <t>人员服务外包</t>
        </is>
      </c>
      <c r="G134" s="540" t="inlineStr">
        <is>
          <t>第七班组</t>
        </is>
      </c>
      <c r="H134" s="540" t="inlineStr">
        <is>
          <t>麻辣烫</t>
        </is>
      </c>
      <c r="I134" s="540" t="inlineStr">
        <is>
          <t>袁吉</t>
        </is>
      </c>
      <c r="J134" s="540" t="n">
        <v>0</v>
      </c>
      <c r="K134" s="540" t="n"/>
      <c r="L134" s="540" t="inlineStr">
        <is>
          <t>位军浩</t>
        </is>
      </c>
      <c r="M134" s="540" t="n"/>
    </row>
    <row r="135">
      <c r="A135" s="540" t="n">
        <v>139</v>
      </c>
      <c r="B135" s="540" t="inlineStr">
        <is>
          <t>KQCY0139</t>
        </is>
      </c>
      <c r="C135" s="540" t="inlineStr">
        <is>
          <t>餐饮三分部</t>
        </is>
      </c>
      <c r="D135" s="540" t="inlineStr">
        <is>
          <t>CF276</t>
        </is>
      </c>
      <c r="E135" s="540" t="inlineStr">
        <is>
          <t>苏州经贸二食堂</t>
        </is>
      </c>
      <c r="F135" s="540" t="inlineStr">
        <is>
          <t>自营</t>
        </is>
      </c>
      <c r="G135" s="540" t="inlineStr">
        <is>
          <t>自营</t>
        </is>
      </c>
      <c r="H135" s="540" t="inlineStr">
        <is>
          <t>/</t>
        </is>
      </c>
      <c r="I135" s="540" t="inlineStr">
        <is>
          <t>/</t>
        </is>
      </c>
      <c r="J135" s="540" t="n">
        <v>0</v>
      </c>
      <c r="K135" s="540" t="n"/>
      <c r="L135" s="540" t="inlineStr">
        <is>
          <t>谢苗苗</t>
        </is>
      </c>
      <c r="M135" s="540" t="inlineStr">
        <is>
          <t>已核对</t>
        </is>
      </c>
    </row>
    <row r="136">
      <c r="A136" s="540" t="n">
        <v>140</v>
      </c>
      <c r="B136" s="540" t="inlineStr">
        <is>
          <t>KQCY0140</t>
        </is>
      </c>
      <c r="C136" s="540" t="inlineStr">
        <is>
          <t>餐饮三分部</t>
        </is>
      </c>
      <c r="D136" s="540" t="inlineStr">
        <is>
          <t>CF276</t>
        </is>
      </c>
      <c r="E136" s="540" t="inlineStr">
        <is>
          <t>苏州经贸二食堂</t>
        </is>
      </c>
      <c r="F136" s="540" t="inlineStr">
        <is>
          <t>分组作业</t>
        </is>
      </c>
      <c r="G136" s="540" t="inlineStr">
        <is>
          <t>第一班组</t>
        </is>
      </c>
      <c r="H136" s="540" t="inlineStr">
        <is>
          <t>卤烤套餐饭</t>
        </is>
      </c>
      <c r="I136" s="540" t="inlineStr">
        <is>
          <t>康小伟</t>
        </is>
      </c>
      <c r="J136" s="540" t="n">
        <v>0</v>
      </c>
      <c r="K136" s="540" t="n"/>
      <c r="L136" s="540" t="inlineStr">
        <is>
          <t>谢苗苗</t>
        </is>
      </c>
      <c r="M136" s="540" t="inlineStr">
        <is>
          <t>已核对</t>
        </is>
      </c>
    </row>
    <row r="137">
      <c r="A137" s="540" t="n">
        <v>141</v>
      </c>
      <c r="B137" s="540" t="inlineStr">
        <is>
          <t>KQCY0141</t>
        </is>
      </c>
      <c r="C137" s="540" t="inlineStr">
        <is>
          <t>餐饮三分部</t>
        </is>
      </c>
      <c r="D137" s="540" t="inlineStr">
        <is>
          <t>CF276</t>
        </is>
      </c>
      <c r="E137" s="540" t="inlineStr">
        <is>
          <t>苏州经贸二食堂</t>
        </is>
      </c>
      <c r="F137" s="540" t="inlineStr">
        <is>
          <t>分组作业</t>
        </is>
      </c>
      <c r="G137" s="540" t="inlineStr">
        <is>
          <t>第二班组</t>
        </is>
      </c>
      <c r="H137" s="540" t="inlineStr">
        <is>
          <t>阿满烤鸭</t>
        </is>
      </c>
      <c r="I137" s="540" t="inlineStr">
        <is>
          <t>李嘉康</t>
        </is>
      </c>
      <c r="J137" s="540" t="n">
        <v>0</v>
      </c>
      <c r="K137" s="540" t="n"/>
      <c r="L137" s="540" t="inlineStr">
        <is>
          <t>谢苗苗</t>
        </is>
      </c>
      <c r="M137" s="540" t="inlineStr">
        <is>
          <t>已核对</t>
        </is>
      </c>
    </row>
    <row r="138">
      <c r="A138" s="540" t="n">
        <v>142</v>
      </c>
      <c r="B138" s="540" t="inlineStr">
        <is>
          <t>KQCY0142</t>
        </is>
      </c>
      <c r="C138" s="540" t="inlineStr">
        <is>
          <t>餐饮三分部</t>
        </is>
      </c>
      <c r="D138" s="540" t="inlineStr">
        <is>
          <t>CF276</t>
        </is>
      </c>
      <c r="E138" s="540" t="inlineStr">
        <is>
          <t>苏州经贸二食堂</t>
        </is>
      </c>
      <c r="F138" s="540" t="inlineStr">
        <is>
          <t>分组作业</t>
        </is>
      </c>
      <c r="G138" s="540" t="inlineStr">
        <is>
          <t>第三班组</t>
        </is>
      </c>
      <c r="H138" s="540" t="inlineStr">
        <is>
          <t>鸡公煲</t>
        </is>
      </c>
      <c r="I138" s="540" t="inlineStr">
        <is>
          <t>陈洋</t>
        </is>
      </c>
      <c r="J138" s="540" t="n">
        <v>0</v>
      </c>
      <c r="K138" s="540" t="n"/>
      <c r="L138" s="540" t="inlineStr">
        <is>
          <t>谢苗苗</t>
        </is>
      </c>
      <c r="M138" s="540" t="inlineStr">
        <is>
          <t>已核对</t>
        </is>
      </c>
    </row>
    <row r="139">
      <c r="A139" s="540" t="n">
        <v>143</v>
      </c>
      <c r="B139" s="540" t="inlineStr">
        <is>
          <t>KQCY0143</t>
        </is>
      </c>
      <c r="C139" s="540" t="inlineStr">
        <is>
          <t>餐饮三分部</t>
        </is>
      </c>
      <c r="D139" s="540" t="inlineStr">
        <is>
          <t>CF276</t>
        </is>
      </c>
      <c r="E139" s="540" t="inlineStr">
        <is>
          <t>苏州经贸二食堂</t>
        </is>
      </c>
      <c r="F139" s="540" t="inlineStr">
        <is>
          <t>分组作业</t>
        </is>
      </c>
      <c r="G139" s="540" t="inlineStr">
        <is>
          <t>第四班组</t>
        </is>
      </c>
      <c r="H139" s="540" t="inlineStr">
        <is>
          <t>羊杂面</t>
        </is>
      </c>
      <c r="I139" s="540" t="inlineStr">
        <is>
          <t>赵连财</t>
        </is>
      </c>
      <c r="J139" s="540" t="n">
        <v>0</v>
      </c>
      <c r="K139" s="540" t="n"/>
      <c r="L139" s="540" t="inlineStr">
        <is>
          <t>谢苗苗</t>
        </is>
      </c>
      <c r="M139" s="540" t="inlineStr">
        <is>
          <t>已核对</t>
        </is>
      </c>
    </row>
    <row r="140">
      <c r="A140" s="540" t="n">
        <v>144</v>
      </c>
      <c r="B140" s="540" t="inlineStr">
        <is>
          <t>KQCY0144</t>
        </is>
      </c>
      <c r="C140" s="540" t="inlineStr">
        <is>
          <t>餐饮三分部</t>
        </is>
      </c>
      <c r="D140" s="540" t="inlineStr">
        <is>
          <t>CF276</t>
        </is>
      </c>
      <c r="E140" s="540" t="inlineStr">
        <is>
          <t>苏州经贸二食堂</t>
        </is>
      </c>
      <c r="F140" s="540" t="inlineStr">
        <is>
          <t>分组作业</t>
        </is>
      </c>
      <c r="G140" s="540" t="inlineStr">
        <is>
          <t>第五班组</t>
        </is>
      </c>
      <c r="H140" s="540" t="inlineStr">
        <is>
          <t>汉堡</t>
        </is>
      </c>
      <c r="I140" s="540" t="inlineStr">
        <is>
          <t>邵宁</t>
        </is>
      </c>
      <c r="J140" s="540" t="n">
        <v>0</v>
      </c>
      <c r="K140" s="540" t="n"/>
      <c r="L140" s="540" t="inlineStr">
        <is>
          <t>谢苗苗</t>
        </is>
      </c>
      <c r="M140" s="540" t="inlineStr">
        <is>
          <t>已核对</t>
        </is>
      </c>
    </row>
    <row r="141">
      <c r="A141" s="540" t="n">
        <v>145</v>
      </c>
      <c r="B141" s="540" t="inlineStr">
        <is>
          <t>KQCY0145</t>
        </is>
      </c>
      <c r="C141" s="540" t="inlineStr">
        <is>
          <t>餐饮三分部</t>
        </is>
      </c>
      <c r="D141" s="540" t="inlineStr">
        <is>
          <t>CF276</t>
        </is>
      </c>
      <c r="E141" s="540" t="inlineStr">
        <is>
          <t>苏州经贸二食堂</t>
        </is>
      </c>
      <c r="F141" s="540" t="inlineStr">
        <is>
          <t>分组作业</t>
        </is>
      </c>
      <c r="G141" s="540" t="inlineStr">
        <is>
          <t>第六班组</t>
        </is>
      </c>
      <c r="H141" s="540" t="inlineStr">
        <is>
          <t>精品菜</t>
        </is>
      </c>
      <c r="I141" s="540" t="inlineStr">
        <is>
          <t>查祈恩</t>
        </is>
      </c>
      <c r="J141" s="540" t="n">
        <v>0</v>
      </c>
      <c r="K141" s="540" t="n"/>
      <c r="L141" s="540" t="inlineStr">
        <is>
          <t>谢苗苗</t>
        </is>
      </c>
      <c r="M141" s="540" t="inlineStr">
        <is>
          <t>已核对</t>
        </is>
      </c>
    </row>
    <row r="142">
      <c r="A142" s="540" t="n">
        <v>146</v>
      </c>
      <c r="B142" s="540" t="inlineStr">
        <is>
          <t>KQCY0146</t>
        </is>
      </c>
      <c r="C142" s="540" t="inlineStr">
        <is>
          <t>餐饮三分部</t>
        </is>
      </c>
      <c r="D142" s="540" t="inlineStr">
        <is>
          <t>CF276</t>
        </is>
      </c>
      <c r="E142" s="540" t="inlineStr">
        <is>
          <t>苏州经贸二食堂</t>
        </is>
      </c>
      <c r="F142" s="540" t="inlineStr">
        <is>
          <t>分组作业</t>
        </is>
      </c>
      <c r="G142" s="540" t="inlineStr">
        <is>
          <t>第七班组</t>
        </is>
      </c>
      <c r="H142" s="540" t="inlineStr">
        <is>
          <t>快餐</t>
        </is>
      </c>
      <c r="I142" s="540" t="inlineStr">
        <is>
          <t>黄化里</t>
        </is>
      </c>
      <c r="J142" s="540" t="n">
        <v>0</v>
      </c>
      <c r="K142" s="540" t="inlineStr">
        <is>
          <t>已撤场</t>
        </is>
      </c>
      <c r="L142" s="540" t="inlineStr">
        <is>
          <t>谢苗苗</t>
        </is>
      </c>
      <c r="M142" s="540" t="inlineStr">
        <is>
          <t>已核对</t>
        </is>
      </c>
    </row>
    <row r="143">
      <c r="A143" s="540" t="n">
        <v>147</v>
      </c>
      <c r="B143" s="540" t="inlineStr">
        <is>
          <t>KQCY0147</t>
        </is>
      </c>
      <c r="C143" s="540" t="inlineStr">
        <is>
          <t>餐饮三分部</t>
        </is>
      </c>
      <c r="D143" s="540" t="inlineStr">
        <is>
          <t>CF276</t>
        </is>
      </c>
      <c r="E143" s="540" t="inlineStr">
        <is>
          <t>苏州经贸二食堂</t>
        </is>
      </c>
      <c r="F143" s="540" t="inlineStr">
        <is>
          <t>分组作业</t>
        </is>
      </c>
      <c r="G143" s="540" t="inlineStr">
        <is>
          <t>第八班组</t>
        </is>
      </c>
      <c r="H143" s="540" t="inlineStr">
        <is>
          <t>教工餐厅</t>
        </is>
      </c>
      <c r="I143" s="540" t="inlineStr">
        <is>
          <t>黄化里</t>
        </is>
      </c>
      <c r="J143" s="540" t="n">
        <v>0</v>
      </c>
      <c r="K143" s="540" t="inlineStr">
        <is>
          <t>已撤场</t>
        </is>
      </c>
      <c r="L143" s="540" t="inlineStr">
        <is>
          <t>谢苗苗</t>
        </is>
      </c>
      <c r="M143" s="540" t="inlineStr">
        <is>
          <t>已核对</t>
        </is>
      </c>
    </row>
    <row r="144">
      <c r="A144" s="540" t="n">
        <v>148</v>
      </c>
      <c r="B144" s="540" t="inlineStr">
        <is>
          <t>KQCY0148</t>
        </is>
      </c>
      <c r="C144" s="540" t="inlineStr">
        <is>
          <t>餐饮三分部</t>
        </is>
      </c>
      <c r="D144" s="540" t="inlineStr">
        <is>
          <t>CF126</t>
        </is>
      </c>
      <c r="E144" s="540" t="inlineStr">
        <is>
          <t>西浦附校食堂</t>
        </is>
      </c>
      <c r="F144" s="540" t="inlineStr">
        <is>
          <t>自营</t>
        </is>
      </c>
      <c r="G144" s="540" t="inlineStr">
        <is>
          <t>自营</t>
        </is>
      </c>
      <c r="H144" s="540" t="inlineStr">
        <is>
          <t>/</t>
        </is>
      </c>
      <c r="I144" s="540" t="inlineStr">
        <is>
          <t>/</t>
        </is>
      </c>
      <c r="J144" s="540" t="n">
        <v>661375.2</v>
      </c>
      <c r="K144" s="540" t="n"/>
      <c r="L144" s="540" t="inlineStr">
        <is>
          <t>谢苗苗</t>
        </is>
      </c>
      <c r="M144" s="540" t="inlineStr">
        <is>
          <t>已核对</t>
        </is>
      </c>
    </row>
    <row r="145">
      <c r="A145" s="540" t="n">
        <v>149</v>
      </c>
      <c r="B145" s="540" t="inlineStr">
        <is>
          <t>KQCY0149</t>
        </is>
      </c>
      <c r="C145" s="540" t="inlineStr">
        <is>
          <t>餐饮三分部</t>
        </is>
      </c>
      <c r="D145" s="540" t="inlineStr">
        <is>
          <t>CF782</t>
        </is>
      </c>
      <c r="E145" s="540" t="inlineStr">
        <is>
          <t>宿迁安园中央厨房</t>
        </is>
      </c>
      <c r="F145" s="540" t="inlineStr">
        <is>
          <t>人员服务外包</t>
        </is>
      </c>
      <c r="G145" s="540" t="inlineStr">
        <is>
          <t>/</t>
        </is>
      </c>
      <c r="H145" s="540" t="inlineStr">
        <is>
          <t>/</t>
        </is>
      </c>
      <c r="I145" s="540" t="inlineStr">
        <is>
          <t>/</t>
        </is>
      </c>
      <c r="J145" s="540" t="n"/>
      <c r="K145" s="540" t="inlineStr">
        <is>
          <t>不存在收入</t>
        </is>
      </c>
      <c r="L145" s="540" t="inlineStr">
        <is>
          <t>位军浩</t>
        </is>
      </c>
      <c r="M145" s="540" t="n"/>
    </row>
    <row r="146">
      <c r="A146" s="540" t="n">
        <v>150</v>
      </c>
      <c r="B146" s="540" t="inlineStr">
        <is>
          <t>KQCY0150</t>
        </is>
      </c>
      <c r="C146" s="540" t="inlineStr">
        <is>
          <t>餐饮三分部</t>
        </is>
      </c>
      <c r="D146" s="540" t="inlineStr">
        <is>
          <t>CF699</t>
        </is>
      </c>
      <c r="E146" s="540" t="inlineStr">
        <is>
          <t>徐医大第一食堂</t>
        </is>
      </c>
      <c r="F146" s="540" t="inlineStr">
        <is>
          <t>自营</t>
        </is>
      </c>
      <c r="G146" s="540" t="inlineStr">
        <is>
          <t>自营</t>
        </is>
      </c>
      <c r="H146" s="540" t="inlineStr">
        <is>
          <t>/</t>
        </is>
      </c>
      <c r="I146" s="540" t="inlineStr">
        <is>
          <t>/</t>
        </is>
      </c>
      <c r="J146" s="540" t="n">
        <v>0</v>
      </c>
      <c r="K146" s="540" t="n"/>
      <c r="L146" s="540" t="inlineStr">
        <is>
          <t>位军浩</t>
        </is>
      </c>
      <c r="M146" s="540" t="n"/>
    </row>
    <row r="147">
      <c r="A147" s="540" t="n">
        <v>151</v>
      </c>
      <c r="B147" s="540" t="inlineStr">
        <is>
          <t>KQCY0151</t>
        </is>
      </c>
      <c r="C147" s="540" t="inlineStr">
        <is>
          <t>餐饮三分部</t>
        </is>
      </c>
      <c r="D147" s="540" t="inlineStr">
        <is>
          <t>CF699</t>
        </is>
      </c>
      <c r="E147" s="540" t="inlineStr">
        <is>
          <t>徐医大第一食堂</t>
        </is>
      </c>
      <c r="F147" s="540" t="inlineStr">
        <is>
          <t>分组作业</t>
        </is>
      </c>
      <c r="G147" s="540" t="inlineStr">
        <is>
          <t>/</t>
        </is>
      </c>
      <c r="H147" s="540" t="inlineStr">
        <is>
          <t>麻辣烫</t>
        </is>
      </c>
      <c r="I147" s="540" t="inlineStr">
        <is>
          <t>董浩</t>
        </is>
      </c>
      <c r="J147" s="540" t="n">
        <v>3358.13</v>
      </c>
      <c r="K147" s="540" t="n"/>
      <c r="L147" s="540" t="inlineStr">
        <is>
          <t>位军浩</t>
        </is>
      </c>
      <c r="M147" s="540" t="n"/>
    </row>
    <row r="148">
      <c r="A148" s="540" t="n">
        <v>152</v>
      </c>
      <c r="B148" s="540" t="inlineStr">
        <is>
          <t>KQCY0152</t>
        </is>
      </c>
      <c r="C148" s="540" t="inlineStr">
        <is>
          <t>餐饮三分部</t>
        </is>
      </c>
      <c r="D148" s="540" t="inlineStr">
        <is>
          <t>CF699</t>
        </is>
      </c>
      <c r="E148" s="540" t="inlineStr">
        <is>
          <t>徐医大第一食堂</t>
        </is>
      </c>
      <c r="F148" s="540" t="inlineStr">
        <is>
          <t>分组作业</t>
        </is>
      </c>
      <c r="G148" s="540" t="inlineStr">
        <is>
          <t>/</t>
        </is>
      </c>
      <c r="H148" s="540" t="inlineStr">
        <is>
          <t>脆香鸡</t>
        </is>
      </c>
      <c r="I148" s="540" t="inlineStr">
        <is>
          <t>闫玉净</t>
        </is>
      </c>
      <c r="J148" s="540" t="n">
        <v>6538.5</v>
      </c>
      <c r="K148" s="540" t="n"/>
      <c r="L148" s="540" t="inlineStr">
        <is>
          <t>位军浩</t>
        </is>
      </c>
      <c r="M148" s="540" t="n"/>
    </row>
    <row r="149">
      <c r="A149" s="540" t="n">
        <v>153</v>
      </c>
      <c r="B149" s="540" t="inlineStr">
        <is>
          <t>KQCY0153</t>
        </is>
      </c>
      <c r="C149" s="540" t="inlineStr">
        <is>
          <t>餐饮三分部</t>
        </is>
      </c>
      <c r="D149" s="540" t="inlineStr">
        <is>
          <t>CF699</t>
        </is>
      </c>
      <c r="E149" s="540" t="inlineStr">
        <is>
          <t>徐医大第一食堂</t>
        </is>
      </c>
      <c r="F149" s="540" t="inlineStr">
        <is>
          <t>分组作业</t>
        </is>
      </c>
      <c r="G149" s="540" t="inlineStr">
        <is>
          <t>/</t>
        </is>
      </c>
      <c r="H149" s="540" t="inlineStr">
        <is>
          <t>鸡柳窜巷</t>
        </is>
      </c>
      <c r="I149" s="540" t="inlineStr">
        <is>
          <t>王晨</t>
        </is>
      </c>
      <c r="J149" s="540" t="n">
        <v>676.5700000000001</v>
      </c>
      <c r="K149" s="540" t="inlineStr">
        <is>
          <t>改为炸串卷饼拌饭（王倩）</t>
        </is>
      </c>
      <c r="L149" s="540" t="inlineStr">
        <is>
          <t>位军浩</t>
        </is>
      </c>
      <c r="M149" s="540" t="n"/>
    </row>
    <row r="150">
      <c r="A150" s="540" t="n">
        <v>154</v>
      </c>
      <c r="B150" s="540" t="inlineStr">
        <is>
          <t>KQCY0154</t>
        </is>
      </c>
      <c r="C150" s="540" t="inlineStr">
        <is>
          <t>餐饮三分部</t>
        </is>
      </c>
      <c r="D150" s="540" t="inlineStr">
        <is>
          <t>CF699</t>
        </is>
      </c>
      <c r="E150" s="540" t="inlineStr">
        <is>
          <t>徐医大第一食堂</t>
        </is>
      </c>
      <c r="F150" s="540" t="inlineStr">
        <is>
          <t>分组作业</t>
        </is>
      </c>
      <c r="G150" s="540" t="inlineStr">
        <is>
          <t>/</t>
        </is>
      </c>
      <c r="H150" s="540" t="inlineStr">
        <is>
          <t>螺蛳粉</t>
        </is>
      </c>
      <c r="I150" s="540" t="inlineStr">
        <is>
          <t>王梅</t>
        </is>
      </c>
      <c r="J150" s="540" t="n">
        <v>6169.68</v>
      </c>
      <c r="K150" s="540" t="n"/>
      <c r="L150" s="540" t="inlineStr">
        <is>
          <t>位军浩</t>
        </is>
      </c>
      <c r="M150" s="540" t="n"/>
    </row>
    <row r="151">
      <c r="A151" s="540" t="n">
        <v>155</v>
      </c>
      <c r="B151" s="540" t="inlineStr">
        <is>
          <t>KQCY0155</t>
        </is>
      </c>
      <c r="C151" s="540" t="inlineStr">
        <is>
          <t>餐饮三分部</t>
        </is>
      </c>
      <c r="D151" s="540" t="inlineStr">
        <is>
          <t>CF699</t>
        </is>
      </c>
      <c r="E151" s="540" t="inlineStr">
        <is>
          <t>徐医大第一食堂</t>
        </is>
      </c>
      <c r="F151" s="540" t="inlineStr">
        <is>
          <t>分组作业</t>
        </is>
      </c>
      <c r="G151" s="540" t="inlineStr">
        <is>
          <t>/</t>
        </is>
      </c>
      <c r="H151" s="540" t="inlineStr">
        <is>
          <t>苏式汤面</t>
        </is>
      </c>
      <c r="I151" s="540" t="inlineStr">
        <is>
          <t>刘行行</t>
        </is>
      </c>
      <c r="J151" s="540" t="n">
        <v>5915.21</v>
      </c>
      <c r="K151" s="540" t="n"/>
      <c r="L151" s="540" t="inlineStr">
        <is>
          <t>位军浩</t>
        </is>
      </c>
      <c r="M151" s="540" t="n"/>
    </row>
    <row r="152">
      <c r="A152" s="540" t="n">
        <v>156</v>
      </c>
      <c r="B152" s="540" t="inlineStr">
        <is>
          <t>KQCY0156</t>
        </is>
      </c>
      <c r="C152" s="540" t="inlineStr">
        <is>
          <t>餐饮三分部</t>
        </is>
      </c>
      <c r="D152" s="540" t="inlineStr">
        <is>
          <t>CF699</t>
        </is>
      </c>
      <c r="E152" s="540" t="inlineStr">
        <is>
          <t>徐医大第一食堂</t>
        </is>
      </c>
      <c r="F152" s="540" t="inlineStr">
        <is>
          <t>分组作业</t>
        </is>
      </c>
      <c r="G152" s="540" t="inlineStr">
        <is>
          <t>/</t>
        </is>
      </c>
      <c r="H152" s="540" t="inlineStr">
        <is>
          <t>营养粥</t>
        </is>
      </c>
      <c r="I152" s="540" t="inlineStr">
        <is>
          <t>周冰</t>
        </is>
      </c>
      <c r="J152" s="540" t="n">
        <v>3626.3</v>
      </c>
      <c r="K152" s="540" t="n"/>
      <c r="L152" s="540" t="inlineStr">
        <is>
          <t>位军浩</t>
        </is>
      </c>
      <c r="M152" s="540" t="n"/>
    </row>
    <row r="153">
      <c r="A153" s="540" t="n">
        <v>157</v>
      </c>
      <c r="B153" s="540" t="inlineStr">
        <is>
          <t>KQCY0157</t>
        </is>
      </c>
      <c r="C153" s="540" t="inlineStr">
        <is>
          <t>餐饮三分部</t>
        </is>
      </c>
      <c r="D153" s="540" t="inlineStr">
        <is>
          <t>CF699</t>
        </is>
      </c>
      <c r="E153" s="540" t="inlineStr">
        <is>
          <t>徐医大第一食堂</t>
        </is>
      </c>
      <c r="F153" s="540" t="inlineStr">
        <is>
          <t>分组作业</t>
        </is>
      </c>
      <c r="G153" s="540" t="inlineStr">
        <is>
          <t>/</t>
        </is>
      </c>
      <c r="H153" s="540" t="inlineStr">
        <is>
          <t>辣椒炒肉</t>
        </is>
      </c>
      <c r="I153" s="540" t="inlineStr">
        <is>
          <t>王桐</t>
        </is>
      </c>
      <c r="J153" s="540" t="n">
        <v>4097.2</v>
      </c>
      <c r="K153" s="540" t="n"/>
      <c r="L153" s="540" t="inlineStr">
        <is>
          <t>位军浩</t>
        </is>
      </c>
      <c r="M153" s="540" t="n"/>
    </row>
    <row r="154">
      <c r="A154" s="540" t="n">
        <v>158</v>
      </c>
      <c r="B154" s="540" t="inlineStr">
        <is>
          <t>KQCY0158</t>
        </is>
      </c>
      <c r="C154" s="540" t="inlineStr">
        <is>
          <t>餐饮三分部</t>
        </is>
      </c>
      <c r="D154" s="540" t="inlineStr">
        <is>
          <t>CF699</t>
        </is>
      </c>
      <c r="E154" s="540" t="inlineStr">
        <is>
          <t>徐医大第一食堂</t>
        </is>
      </c>
      <c r="F154" s="540" t="inlineStr">
        <is>
          <t>分组作业</t>
        </is>
      </c>
      <c r="G154" s="540" t="inlineStr">
        <is>
          <t>/</t>
        </is>
      </c>
      <c r="H154" s="540" t="inlineStr">
        <is>
          <t>板煮演义</t>
        </is>
      </c>
      <c r="I154" s="540" t="inlineStr">
        <is>
          <t>郑亚兰</t>
        </is>
      </c>
      <c r="J154" s="540" t="n">
        <v>2538</v>
      </c>
      <c r="K154" s="540" t="n"/>
      <c r="L154" s="540" t="inlineStr">
        <is>
          <t>位军浩</t>
        </is>
      </c>
      <c r="M154" s="540" t="n"/>
    </row>
    <row r="155">
      <c r="A155" s="540" t="n">
        <v>159</v>
      </c>
      <c r="B155" s="540" t="inlineStr">
        <is>
          <t>KQCY0159</t>
        </is>
      </c>
      <c r="C155" s="540" t="inlineStr">
        <is>
          <t>餐饮三分部</t>
        </is>
      </c>
      <c r="D155" s="540" t="inlineStr">
        <is>
          <t>CF699</t>
        </is>
      </c>
      <c r="E155" s="540" t="inlineStr">
        <is>
          <t>徐医大第一食堂</t>
        </is>
      </c>
      <c r="F155" s="540" t="inlineStr">
        <is>
          <t>分组作业</t>
        </is>
      </c>
      <c r="G155" s="540" t="inlineStr">
        <is>
          <t>/</t>
        </is>
      </c>
      <c r="H155" s="540" t="inlineStr">
        <is>
          <t>老翟板面</t>
        </is>
      </c>
      <c r="I155" s="540" t="inlineStr">
        <is>
          <t>经蕊蕊</t>
        </is>
      </c>
      <c r="J155" s="540" t="n">
        <v>2745.4</v>
      </c>
      <c r="K155" s="540" t="n"/>
      <c r="L155" s="540" t="inlineStr">
        <is>
          <t>位军浩</t>
        </is>
      </c>
      <c r="M155" s="540" t="n"/>
    </row>
    <row r="156">
      <c r="A156" s="540" t="n">
        <v>160</v>
      </c>
      <c r="B156" s="540" t="inlineStr">
        <is>
          <t>KQCY0160</t>
        </is>
      </c>
      <c r="C156" s="540" t="inlineStr">
        <is>
          <t>餐饮三分部</t>
        </is>
      </c>
      <c r="D156" s="540" t="inlineStr">
        <is>
          <t>CF699</t>
        </is>
      </c>
      <c r="E156" s="540" t="inlineStr">
        <is>
          <t>徐医大第一食堂</t>
        </is>
      </c>
      <c r="F156" s="540" t="inlineStr">
        <is>
          <t>分组作业</t>
        </is>
      </c>
      <c r="G156" s="540" t="inlineStr">
        <is>
          <t>/</t>
        </is>
      </c>
      <c r="H156" s="540" t="inlineStr">
        <is>
          <t>杂粮煎饼</t>
        </is>
      </c>
      <c r="I156" s="540" t="inlineStr">
        <is>
          <t>陈希广</t>
        </is>
      </c>
      <c r="J156" s="540" t="n">
        <v>4510.1</v>
      </c>
      <c r="K156" s="540" t="n"/>
      <c r="L156" s="540" t="inlineStr">
        <is>
          <t>位军浩</t>
        </is>
      </c>
      <c r="M156" s="540" t="n"/>
    </row>
    <row r="157">
      <c r="A157" s="540" t="n">
        <v>161</v>
      </c>
      <c r="B157" s="540" t="inlineStr">
        <is>
          <t>KQCY0161</t>
        </is>
      </c>
      <c r="C157" s="540" t="inlineStr">
        <is>
          <t>餐饮三分部</t>
        </is>
      </c>
      <c r="D157" s="540" t="inlineStr">
        <is>
          <t>CF699</t>
        </is>
      </c>
      <c r="E157" s="540" t="inlineStr">
        <is>
          <t>徐医大第一食堂</t>
        </is>
      </c>
      <c r="F157" s="540" t="inlineStr">
        <is>
          <t>分组作业</t>
        </is>
      </c>
      <c r="G157" s="540" t="inlineStr">
        <is>
          <t>/</t>
        </is>
      </c>
      <c r="H157" s="540" t="inlineStr">
        <is>
          <t>早餐</t>
        </is>
      </c>
      <c r="I157" s="540" t="inlineStr">
        <is>
          <t>张召兵</t>
        </is>
      </c>
      <c r="J157" s="540" t="n">
        <v>5714.25</v>
      </c>
      <c r="K157" s="540" t="n"/>
      <c r="L157" s="540" t="inlineStr">
        <is>
          <t>位军浩</t>
        </is>
      </c>
      <c r="M157" s="540" t="n"/>
    </row>
    <row r="158">
      <c r="A158" s="540" t="n">
        <v>162</v>
      </c>
      <c r="B158" s="540" t="inlineStr">
        <is>
          <t>KQCY0162</t>
        </is>
      </c>
      <c r="C158" s="540" t="inlineStr">
        <is>
          <t>餐饮三分部</t>
        </is>
      </c>
      <c r="D158" s="540" t="inlineStr">
        <is>
          <t>CF699</t>
        </is>
      </c>
      <c r="E158" s="540" t="inlineStr">
        <is>
          <t>徐医大第一食堂</t>
        </is>
      </c>
      <c r="F158" s="540" t="inlineStr">
        <is>
          <t>分组作业</t>
        </is>
      </c>
      <c r="G158" s="540" t="inlineStr">
        <is>
          <t>/</t>
        </is>
      </c>
      <c r="H158" s="540" t="inlineStr">
        <is>
          <t>快餐</t>
        </is>
      </c>
      <c r="I158" s="540" t="inlineStr">
        <is>
          <t>任现军</t>
        </is>
      </c>
      <c r="J158" s="642" t="n">
        <v>0</v>
      </c>
      <c r="K158" s="540" t="inlineStr">
        <is>
          <t>签订人更换为张振</t>
        </is>
      </c>
      <c r="L158" s="540" t="inlineStr">
        <is>
          <t>位军浩</t>
        </is>
      </c>
      <c r="M158" s="540" t="n"/>
    </row>
    <row r="159">
      <c r="A159" s="540" t="n">
        <v>163</v>
      </c>
      <c r="B159" s="540" t="inlineStr">
        <is>
          <t>KQCY0163</t>
        </is>
      </c>
      <c r="C159" s="540" t="inlineStr">
        <is>
          <t>餐饮三分部</t>
        </is>
      </c>
      <c r="D159" s="540" t="inlineStr">
        <is>
          <t>CF699</t>
        </is>
      </c>
      <c r="E159" s="540" t="inlineStr">
        <is>
          <t>徐医大第一食堂</t>
        </is>
      </c>
      <c r="F159" s="540" t="inlineStr">
        <is>
          <t>分组作业</t>
        </is>
      </c>
      <c r="G159" s="540" t="inlineStr">
        <is>
          <t>/</t>
        </is>
      </c>
      <c r="H159" s="540" t="inlineStr">
        <is>
          <t>精品套餐</t>
        </is>
      </c>
      <c r="I159" s="540" t="inlineStr">
        <is>
          <t>任现军</t>
        </is>
      </c>
      <c r="J159" s="642" t="n">
        <v>0</v>
      </c>
      <c r="K159" s="540" t="inlineStr">
        <is>
          <t>悦轻荷（王于于）</t>
        </is>
      </c>
      <c r="L159" s="540" t="inlineStr">
        <is>
          <t>位军浩</t>
        </is>
      </c>
      <c r="M159" s="540" t="n"/>
    </row>
    <row r="160">
      <c r="A160" s="540" t="n">
        <v>164</v>
      </c>
      <c r="B160" s="540" t="inlineStr">
        <is>
          <t>KQCY0164</t>
        </is>
      </c>
      <c r="C160" s="540" t="inlineStr">
        <is>
          <t>餐饮三分部</t>
        </is>
      </c>
      <c r="D160" s="540" t="inlineStr">
        <is>
          <t>CF699</t>
        </is>
      </c>
      <c r="E160" s="540" t="inlineStr">
        <is>
          <t>徐医大第一食堂</t>
        </is>
      </c>
      <c r="F160" s="540" t="inlineStr">
        <is>
          <t>分组作业</t>
        </is>
      </c>
      <c r="G160" s="540" t="inlineStr">
        <is>
          <t>/</t>
        </is>
      </c>
      <c r="H160" s="540" t="inlineStr">
        <is>
          <t>家家乐烘焙</t>
        </is>
      </c>
      <c r="I160" s="540" t="inlineStr">
        <is>
          <t>朱江平</t>
        </is>
      </c>
      <c r="J160" s="540" t="n">
        <v>5061.1</v>
      </c>
      <c r="K160" s="540" t="n"/>
      <c r="L160" s="540" t="inlineStr">
        <is>
          <t>位军浩</t>
        </is>
      </c>
      <c r="M160" s="540" t="n"/>
    </row>
    <row r="161">
      <c r="A161" s="540" t="n">
        <v>165</v>
      </c>
      <c r="B161" s="540" t="inlineStr">
        <is>
          <t>KQCY0165</t>
        </is>
      </c>
      <c r="C161" s="540" t="inlineStr">
        <is>
          <t>餐饮三分部</t>
        </is>
      </c>
      <c r="D161" s="540" t="inlineStr">
        <is>
          <t>CF699</t>
        </is>
      </c>
      <c r="E161" s="540" t="inlineStr">
        <is>
          <t>徐医大第一食堂</t>
        </is>
      </c>
      <c r="F161" s="540" t="inlineStr">
        <is>
          <t>分组作业</t>
        </is>
      </c>
      <c r="G161" s="540" t="inlineStr">
        <is>
          <t>/</t>
        </is>
      </c>
      <c r="H161" s="540" t="inlineStr">
        <is>
          <t>马老头江南小吃（炒饭）</t>
        </is>
      </c>
      <c r="I161" s="540" t="inlineStr">
        <is>
          <t>曾莉</t>
        </is>
      </c>
      <c r="J161" s="540" t="n">
        <v>4009.4</v>
      </c>
      <c r="K161" s="540" t="n"/>
      <c r="L161" s="540" t="inlineStr">
        <is>
          <t>位军浩</t>
        </is>
      </c>
      <c r="M161" s="540" t="n"/>
    </row>
    <row r="162">
      <c r="A162" s="540" t="n">
        <v>166</v>
      </c>
      <c r="B162" s="540" t="inlineStr">
        <is>
          <t>KQCY0166</t>
        </is>
      </c>
      <c r="C162" s="540" t="inlineStr">
        <is>
          <t>餐饮三分部</t>
        </is>
      </c>
      <c r="D162" s="540" t="inlineStr">
        <is>
          <t>CF699</t>
        </is>
      </c>
      <c r="E162" s="540" t="inlineStr">
        <is>
          <t>徐医大第一食堂</t>
        </is>
      </c>
      <c r="F162" s="540" t="inlineStr">
        <is>
          <t>分组作业</t>
        </is>
      </c>
      <c r="G162" s="540" t="inlineStr">
        <is>
          <t>/</t>
        </is>
      </c>
      <c r="H162" s="540" t="inlineStr">
        <is>
          <t>鸡架拌面</t>
        </is>
      </c>
      <c r="I162" s="540" t="inlineStr">
        <is>
          <t>冀振杰</t>
        </is>
      </c>
      <c r="J162" s="540" t="n">
        <v>2954.9</v>
      </c>
      <c r="K162" s="540" t="inlineStr">
        <is>
          <t>签订人修改为姜艳芳</t>
        </is>
      </c>
      <c r="L162" s="540" t="inlineStr">
        <is>
          <t>位军浩</t>
        </is>
      </c>
      <c r="M162" s="540" t="n"/>
    </row>
    <row r="163">
      <c r="A163" s="540" t="n">
        <v>167</v>
      </c>
      <c r="B163" s="540" t="inlineStr">
        <is>
          <t>KQCY0167</t>
        </is>
      </c>
      <c r="C163" s="540" t="inlineStr">
        <is>
          <t>餐饮三分部</t>
        </is>
      </c>
      <c r="D163" s="540" t="inlineStr">
        <is>
          <t>CF699</t>
        </is>
      </c>
      <c r="E163" s="540" t="inlineStr">
        <is>
          <t>徐医大第一食堂</t>
        </is>
      </c>
      <c r="F163" s="540" t="inlineStr">
        <is>
          <t>分组作业</t>
        </is>
      </c>
      <c r="G163" s="540" t="inlineStr">
        <is>
          <t>/</t>
        </is>
      </c>
      <c r="H163" s="540" t="inlineStr">
        <is>
          <t>自选称菜</t>
        </is>
      </c>
      <c r="I163" s="540" t="inlineStr">
        <is>
          <t>韦志得</t>
        </is>
      </c>
      <c r="J163" s="540" t="n">
        <v>7929.73</v>
      </c>
      <c r="K163" s="540" t="n"/>
      <c r="L163" s="540" t="inlineStr">
        <is>
          <t>位军浩</t>
        </is>
      </c>
      <c r="M163" s="540" t="n"/>
    </row>
    <row r="164">
      <c r="A164" s="540" t="n">
        <v>168</v>
      </c>
      <c r="B164" s="540" t="inlineStr">
        <is>
          <t>KQCY0168</t>
        </is>
      </c>
      <c r="C164" s="540" t="inlineStr">
        <is>
          <t>餐饮三分部</t>
        </is>
      </c>
      <c r="D164" s="540" t="inlineStr">
        <is>
          <t>CF699</t>
        </is>
      </c>
      <c r="E164" s="540" t="inlineStr">
        <is>
          <t>徐医大第一食堂</t>
        </is>
      </c>
      <c r="F164" s="540" t="inlineStr">
        <is>
          <t>分组作业</t>
        </is>
      </c>
      <c r="G164" s="540" t="inlineStr">
        <is>
          <t>/</t>
        </is>
      </c>
      <c r="H164" s="540" t="inlineStr">
        <is>
          <t>肥牛火锅粉</t>
        </is>
      </c>
      <c r="I164" s="540" t="inlineStr">
        <is>
          <t>李跃跃</t>
        </is>
      </c>
      <c r="J164" s="540" t="n">
        <v>0</v>
      </c>
      <c r="K164" s="540" t="n"/>
      <c r="L164" s="540" t="inlineStr">
        <is>
          <t>位军浩</t>
        </is>
      </c>
      <c r="M164" s="540" t="n"/>
    </row>
    <row r="165">
      <c r="A165" s="540" t="n">
        <v>169</v>
      </c>
      <c r="B165" s="540" t="inlineStr">
        <is>
          <t>KQCY0169</t>
        </is>
      </c>
      <c r="C165" s="540" t="inlineStr">
        <is>
          <t>餐饮三分部</t>
        </is>
      </c>
      <c r="D165" s="540" t="inlineStr">
        <is>
          <t>CF699</t>
        </is>
      </c>
      <c r="E165" s="540" t="inlineStr">
        <is>
          <t>徐医大第一食堂</t>
        </is>
      </c>
      <c r="F165" s="540" t="inlineStr">
        <is>
          <t>分组作业</t>
        </is>
      </c>
      <c r="G165" s="540" t="inlineStr">
        <is>
          <t>/</t>
        </is>
      </c>
      <c r="H165" s="540" t="inlineStr">
        <is>
          <t>千里香馄饨</t>
        </is>
      </c>
      <c r="I165" s="540" t="inlineStr">
        <is>
          <t>王才早</t>
        </is>
      </c>
      <c r="J165" s="540" t="n">
        <v>5267.1</v>
      </c>
      <c r="K165" s="540" t="n"/>
      <c r="L165" s="540" t="inlineStr">
        <is>
          <t>位军浩</t>
        </is>
      </c>
      <c r="M165" s="540" t="n"/>
    </row>
    <row r="166">
      <c r="A166" s="540" t="n">
        <v>170</v>
      </c>
      <c r="B166" s="540" t="inlineStr">
        <is>
          <t>KQCY0170</t>
        </is>
      </c>
      <c r="C166" s="540" t="inlineStr">
        <is>
          <t>餐饮三分部</t>
        </is>
      </c>
      <c r="D166" s="540" t="inlineStr">
        <is>
          <t>CF699</t>
        </is>
      </c>
      <c r="E166" s="540" t="inlineStr">
        <is>
          <t>徐医大第一食堂</t>
        </is>
      </c>
      <c r="F166" s="540" t="inlineStr">
        <is>
          <t>分组作业</t>
        </is>
      </c>
      <c r="G166" s="540" t="inlineStr">
        <is>
          <t>/</t>
        </is>
      </c>
      <c r="H166" s="540" t="inlineStr">
        <is>
          <t>农家小炒盖浇饭</t>
        </is>
      </c>
      <c r="I166" s="540" t="inlineStr">
        <is>
          <t>崔小平</t>
        </is>
      </c>
      <c r="J166" s="540">
        <f>5204.8</f>
        <v/>
      </c>
      <c r="K166" s="540" t="n"/>
      <c r="L166" s="540" t="inlineStr">
        <is>
          <t>位军浩</t>
        </is>
      </c>
      <c r="M166" s="540" t="n"/>
    </row>
    <row r="167">
      <c r="A167" s="540" t="n">
        <v>171</v>
      </c>
      <c r="B167" s="540" t="inlineStr">
        <is>
          <t>KQCY0171</t>
        </is>
      </c>
      <c r="C167" s="540" t="inlineStr">
        <is>
          <t>餐饮三分部</t>
        </is>
      </c>
      <c r="D167" s="540" t="inlineStr">
        <is>
          <t>CF699</t>
        </is>
      </c>
      <c r="E167" s="540" t="inlineStr">
        <is>
          <t>徐医大第一食堂</t>
        </is>
      </c>
      <c r="F167" s="540" t="inlineStr">
        <is>
          <t>分组作业</t>
        </is>
      </c>
      <c r="G167" s="540" t="inlineStr">
        <is>
          <t>/</t>
        </is>
      </c>
      <c r="H167" s="540" t="inlineStr">
        <is>
          <t>蜜雪冰城</t>
        </is>
      </c>
      <c r="I167" s="540" t="inlineStr">
        <is>
          <t>周雨</t>
        </is>
      </c>
      <c r="J167" s="540" t="n">
        <v>12185.1</v>
      </c>
      <c r="K167" s="540" t="n"/>
      <c r="L167" s="540" t="inlineStr">
        <is>
          <t>位军浩</t>
        </is>
      </c>
      <c r="M167" s="540" t="n"/>
    </row>
    <row r="168">
      <c r="A168" s="540" t="n">
        <v>172</v>
      </c>
      <c r="B168" s="540" t="inlineStr">
        <is>
          <t>KQCY0172</t>
        </is>
      </c>
      <c r="C168" s="540" t="inlineStr">
        <is>
          <t>餐饮三分部</t>
        </is>
      </c>
      <c r="D168" s="540" t="inlineStr">
        <is>
          <t>CF251</t>
        </is>
      </c>
      <c r="E168" s="540" t="inlineStr">
        <is>
          <t>苏州职大二食堂</t>
        </is>
      </c>
      <c r="F168" s="540" t="inlineStr">
        <is>
          <t>自营</t>
        </is>
      </c>
      <c r="G168" s="540" t="inlineStr">
        <is>
          <t>自营</t>
        </is>
      </c>
      <c r="H168" s="540" t="inlineStr">
        <is>
          <t>/</t>
        </is>
      </c>
      <c r="I168" s="540" t="inlineStr">
        <is>
          <t>/</t>
        </is>
      </c>
      <c r="J168" s="540" t="n">
        <v>0</v>
      </c>
      <c r="K168" s="540" t="n"/>
      <c r="L168" s="540" t="inlineStr">
        <is>
          <t>谢苗苗</t>
        </is>
      </c>
      <c r="M168" s="540" t="inlineStr">
        <is>
          <t>已核对</t>
        </is>
      </c>
    </row>
    <row r="169">
      <c r="A169" s="540" t="n">
        <v>173</v>
      </c>
      <c r="B169" s="540" t="inlineStr">
        <is>
          <t>KQCY0173</t>
        </is>
      </c>
      <c r="C169" s="540" t="inlineStr">
        <is>
          <t>餐饮三分部</t>
        </is>
      </c>
      <c r="D169" s="540" t="inlineStr">
        <is>
          <t>CF251</t>
        </is>
      </c>
      <c r="E169" s="540" t="inlineStr">
        <is>
          <t>苏州职大二食堂</t>
        </is>
      </c>
      <c r="F169" s="540" t="inlineStr">
        <is>
          <t>分组作业</t>
        </is>
      </c>
      <c r="G169" s="540" t="inlineStr">
        <is>
          <t>第一班组</t>
        </is>
      </c>
      <c r="H169" s="540" t="inlineStr">
        <is>
          <t>烘焙</t>
        </is>
      </c>
      <c r="I169" s="540" t="inlineStr">
        <is>
          <t>邵晓丽</t>
        </is>
      </c>
      <c r="J169" s="540" t="n">
        <v>0</v>
      </c>
      <c r="K169" s="540" t="n"/>
      <c r="L169" s="540" t="inlineStr">
        <is>
          <t>谢苗苗</t>
        </is>
      </c>
      <c r="M169" s="540" t="inlineStr">
        <is>
          <t>已核对</t>
        </is>
      </c>
    </row>
    <row r="170">
      <c r="A170" s="540" t="n">
        <v>174</v>
      </c>
      <c r="B170" s="540" t="inlineStr">
        <is>
          <t>KQCY0174</t>
        </is>
      </c>
      <c r="C170" s="540" t="inlineStr">
        <is>
          <t>餐饮三分部</t>
        </is>
      </c>
      <c r="D170" s="540" t="inlineStr">
        <is>
          <t>CF251</t>
        </is>
      </c>
      <c r="E170" s="540" t="inlineStr">
        <is>
          <t>苏州职大二食堂</t>
        </is>
      </c>
      <c r="F170" s="540" t="inlineStr">
        <is>
          <t>分组作业</t>
        </is>
      </c>
      <c r="G170" s="540" t="inlineStr">
        <is>
          <t>第二班组</t>
        </is>
      </c>
      <c r="H170" s="540" t="inlineStr">
        <is>
          <t>奶茶饮品</t>
        </is>
      </c>
      <c r="I170" s="540" t="inlineStr">
        <is>
          <t>严振宇</t>
        </is>
      </c>
      <c r="J170" s="540" t="n">
        <v>0</v>
      </c>
      <c r="K170" s="540" t="inlineStr">
        <is>
          <t>已撤场</t>
        </is>
      </c>
      <c r="L170" s="540" t="inlineStr">
        <is>
          <t>谢苗苗</t>
        </is>
      </c>
      <c r="M170" s="540" t="inlineStr">
        <is>
          <t>已核对</t>
        </is>
      </c>
    </row>
    <row r="171">
      <c r="A171" s="540" t="n">
        <v>175</v>
      </c>
      <c r="B171" s="540" t="inlineStr">
        <is>
          <t>KQCY0175</t>
        </is>
      </c>
      <c r="C171" s="540" t="inlineStr">
        <is>
          <t>餐饮三分部</t>
        </is>
      </c>
      <c r="D171" s="540" t="inlineStr">
        <is>
          <t>CF251</t>
        </is>
      </c>
      <c r="E171" s="540" t="inlineStr">
        <is>
          <t>苏州职大二食堂</t>
        </is>
      </c>
      <c r="F171" s="540" t="inlineStr">
        <is>
          <t>分组作业</t>
        </is>
      </c>
      <c r="G171" s="540" t="inlineStr">
        <is>
          <t>第三班组</t>
        </is>
      </c>
      <c r="H171" s="540" t="inlineStr">
        <is>
          <t>早点</t>
        </is>
      </c>
      <c r="I171" s="540" t="inlineStr">
        <is>
          <t>缪文</t>
        </is>
      </c>
      <c r="J171" s="540" t="n">
        <v>0</v>
      </c>
      <c r="K171" s="540" t="n"/>
      <c r="L171" s="540" t="inlineStr">
        <is>
          <t>谢苗苗</t>
        </is>
      </c>
      <c r="M171" s="540" t="inlineStr">
        <is>
          <t>已核对</t>
        </is>
      </c>
    </row>
    <row r="172">
      <c r="A172" s="540" t="n">
        <v>176</v>
      </c>
      <c r="B172" s="540" t="inlineStr">
        <is>
          <t>KQCY0176</t>
        </is>
      </c>
      <c r="C172" s="540" t="inlineStr">
        <is>
          <t>餐饮三分部</t>
        </is>
      </c>
      <c r="D172" s="540" t="inlineStr">
        <is>
          <t>CF251</t>
        </is>
      </c>
      <c r="E172" s="540" t="inlineStr">
        <is>
          <t>苏州职大二食堂</t>
        </is>
      </c>
      <c r="F172" s="540" t="inlineStr">
        <is>
          <t>分组作业</t>
        </is>
      </c>
      <c r="G172" s="540" t="inlineStr">
        <is>
          <t>第四班组</t>
        </is>
      </c>
      <c r="H172" s="540" t="inlineStr">
        <is>
          <t>快餐</t>
        </is>
      </c>
      <c r="I172" s="540" t="inlineStr">
        <is>
          <t>耿传垒</t>
        </is>
      </c>
      <c r="J172" s="540" t="n">
        <v>0</v>
      </c>
      <c r="K172" s="540" t="n"/>
      <c r="L172" s="540" t="inlineStr">
        <is>
          <t>谢苗苗</t>
        </is>
      </c>
      <c r="M172" s="540" t="inlineStr">
        <is>
          <t>已核对</t>
        </is>
      </c>
    </row>
    <row r="173">
      <c r="A173" s="540" t="n">
        <v>177</v>
      </c>
      <c r="B173" s="540" t="inlineStr">
        <is>
          <t>KQCY0177</t>
        </is>
      </c>
      <c r="C173" s="540" t="inlineStr">
        <is>
          <t>餐饮三分部</t>
        </is>
      </c>
      <c r="D173" s="540" t="inlineStr">
        <is>
          <t>CF251</t>
        </is>
      </c>
      <c r="E173" s="540" t="inlineStr">
        <is>
          <t>苏州职大二食堂</t>
        </is>
      </c>
      <c r="F173" s="540" t="inlineStr">
        <is>
          <t>分组作业</t>
        </is>
      </c>
      <c r="G173" s="540" t="inlineStr">
        <is>
          <t>第五班组</t>
        </is>
      </c>
      <c r="H173" s="540" t="inlineStr">
        <is>
          <t>盖浇饭</t>
        </is>
      </c>
      <c r="I173" s="540" t="inlineStr">
        <is>
          <t>龙明涛</t>
        </is>
      </c>
      <c r="J173" s="540" t="n">
        <v>0</v>
      </c>
      <c r="K173" s="540" t="n"/>
      <c r="L173" s="540" t="inlineStr">
        <is>
          <t>谢苗苗</t>
        </is>
      </c>
      <c r="M173" s="540" t="inlineStr">
        <is>
          <t>已核对</t>
        </is>
      </c>
    </row>
    <row r="174">
      <c r="A174" s="540" t="n">
        <v>178</v>
      </c>
      <c r="B174" s="540" t="inlineStr">
        <is>
          <t>KQCY0178</t>
        </is>
      </c>
      <c r="C174" s="540" t="inlineStr">
        <is>
          <t>餐饮三分部</t>
        </is>
      </c>
      <c r="D174" s="540" t="inlineStr">
        <is>
          <t>CF251</t>
        </is>
      </c>
      <c r="E174" s="540" t="inlineStr">
        <is>
          <t>苏州职大二食堂</t>
        </is>
      </c>
      <c r="F174" s="540" t="inlineStr">
        <is>
          <t>分组作业</t>
        </is>
      </c>
      <c r="G174" s="540" t="inlineStr">
        <is>
          <t>第六班组</t>
        </is>
      </c>
      <c r="H174" s="540" t="inlineStr">
        <is>
          <t>黄焖鸡</t>
        </is>
      </c>
      <c r="I174" s="540" t="inlineStr">
        <is>
          <t>余国凤</t>
        </is>
      </c>
      <c r="J174" s="540" t="n">
        <v>0</v>
      </c>
      <c r="K174" s="540" t="n"/>
      <c r="L174" s="540" t="inlineStr">
        <is>
          <t>谢苗苗</t>
        </is>
      </c>
      <c r="M174" s="540" t="inlineStr">
        <is>
          <t>已核对</t>
        </is>
      </c>
    </row>
    <row r="175">
      <c r="A175" s="540" t="n">
        <v>179</v>
      </c>
      <c r="B175" s="540" t="inlineStr">
        <is>
          <t>KQCY0179</t>
        </is>
      </c>
      <c r="C175" s="540" t="inlineStr">
        <is>
          <t>餐饮三分部</t>
        </is>
      </c>
      <c r="D175" s="540" t="inlineStr">
        <is>
          <t>CF251</t>
        </is>
      </c>
      <c r="E175" s="540" t="inlineStr">
        <is>
          <t>苏州职大二食堂</t>
        </is>
      </c>
      <c r="F175" s="540" t="inlineStr">
        <is>
          <t>分组作业</t>
        </is>
      </c>
      <c r="G175" s="540" t="inlineStr">
        <is>
          <t>第七班组</t>
        </is>
      </c>
      <c r="H175" s="540" t="inlineStr">
        <is>
          <t>杂粮煎饼</t>
        </is>
      </c>
      <c r="I175" s="540" t="inlineStr">
        <is>
          <t>王朝风</t>
        </is>
      </c>
      <c r="J175" s="540" t="n">
        <v>0</v>
      </c>
      <c r="K175" s="540" t="n"/>
      <c r="L175" s="540" t="inlineStr">
        <is>
          <t>谢苗苗</t>
        </is>
      </c>
      <c r="M175" s="540" t="inlineStr">
        <is>
          <t>已核对</t>
        </is>
      </c>
    </row>
    <row r="176">
      <c r="A176" s="540" t="n">
        <v>180</v>
      </c>
      <c r="B176" s="540" t="inlineStr">
        <is>
          <t>KQCY0180</t>
        </is>
      </c>
      <c r="C176" s="540" t="inlineStr">
        <is>
          <t>餐饮三分部</t>
        </is>
      </c>
      <c r="D176" s="540" t="inlineStr">
        <is>
          <t>CF251</t>
        </is>
      </c>
      <c r="E176" s="540" t="inlineStr">
        <is>
          <t>苏州职大二食堂</t>
        </is>
      </c>
      <c r="F176" s="540" t="inlineStr">
        <is>
          <t>分组作业</t>
        </is>
      </c>
      <c r="G176" s="540" t="inlineStr">
        <is>
          <t>第八班组</t>
        </is>
      </c>
      <c r="H176" s="540" t="inlineStr">
        <is>
          <t>苏式热干面</t>
        </is>
      </c>
      <c r="I176" s="540" t="inlineStr">
        <is>
          <t>田振</t>
        </is>
      </c>
      <c r="J176" s="540" t="n">
        <v>0</v>
      </c>
      <c r="K176" s="540" t="inlineStr">
        <is>
          <t>已撤场</t>
        </is>
      </c>
      <c r="L176" s="540" t="inlineStr">
        <is>
          <t>谢苗苗</t>
        </is>
      </c>
      <c r="M176" s="540" t="inlineStr">
        <is>
          <t>已核对</t>
        </is>
      </c>
    </row>
    <row r="177">
      <c r="A177" s="540" t="n">
        <v>181</v>
      </c>
      <c r="B177" s="540" t="inlineStr">
        <is>
          <t>KQCY0181</t>
        </is>
      </c>
      <c r="C177" s="540" t="inlineStr">
        <is>
          <t>餐饮三分部</t>
        </is>
      </c>
      <c r="D177" s="540" t="inlineStr">
        <is>
          <t>CF251</t>
        </is>
      </c>
      <c r="E177" s="540" t="inlineStr">
        <is>
          <t>苏州职大二食堂</t>
        </is>
      </c>
      <c r="F177" s="540" t="inlineStr">
        <is>
          <t>分组作业</t>
        </is>
      </c>
      <c r="G177" s="540" t="inlineStr">
        <is>
          <t>第九班组</t>
        </is>
      </c>
      <c r="H177" s="540" t="inlineStr">
        <is>
          <t>馄饨炒饭</t>
        </is>
      </c>
      <c r="I177" s="540" t="inlineStr">
        <is>
          <t>戴国强</t>
        </is>
      </c>
      <c r="J177" s="540" t="n">
        <v>0</v>
      </c>
      <c r="K177" s="540" t="n"/>
      <c r="L177" s="540" t="inlineStr">
        <is>
          <t>谢苗苗</t>
        </is>
      </c>
      <c r="M177" s="540" t="inlineStr">
        <is>
          <t>已核对</t>
        </is>
      </c>
    </row>
    <row r="178">
      <c r="A178" s="540" t="n">
        <v>182</v>
      </c>
      <c r="B178" s="540" t="inlineStr">
        <is>
          <t>KQCY0182</t>
        </is>
      </c>
      <c r="C178" s="540" t="inlineStr">
        <is>
          <t>餐饮三分部</t>
        </is>
      </c>
      <c r="D178" s="540" t="inlineStr">
        <is>
          <t>CF251</t>
        </is>
      </c>
      <c r="E178" s="540" t="inlineStr">
        <is>
          <t>苏州职大二食堂</t>
        </is>
      </c>
      <c r="F178" s="540" t="inlineStr">
        <is>
          <t>分组作业</t>
        </is>
      </c>
      <c r="G178" s="540" t="inlineStr">
        <is>
          <t>第十班组</t>
        </is>
      </c>
      <c r="H178" s="540" t="inlineStr">
        <is>
          <t>汉堡</t>
        </is>
      </c>
      <c r="I178" s="540" t="inlineStr">
        <is>
          <t>朱燕</t>
        </is>
      </c>
      <c r="J178" s="540" t="n">
        <v>0</v>
      </c>
      <c r="K178" s="540" t="n"/>
      <c r="L178" s="540" t="inlineStr">
        <is>
          <t>谢苗苗</t>
        </is>
      </c>
      <c r="M178" s="540" t="inlineStr">
        <is>
          <t>已核对</t>
        </is>
      </c>
    </row>
    <row r="179">
      <c r="A179" s="540" t="n">
        <v>183</v>
      </c>
      <c r="B179" s="540" t="inlineStr">
        <is>
          <t>KQCY0183</t>
        </is>
      </c>
      <c r="C179" s="540" t="inlineStr">
        <is>
          <t>餐饮三分部</t>
        </is>
      </c>
      <c r="D179" s="540" t="inlineStr">
        <is>
          <t>CF251</t>
        </is>
      </c>
      <c r="E179" s="540" t="inlineStr">
        <is>
          <t>苏州职大二食堂</t>
        </is>
      </c>
      <c r="F179" s="540" t="inlineStr">
        <is>
          <t>分组作业</t>
        </is>
      </c>
      <c r="G179" s="540" t="inlineStr">
        <is>
          <t>第十一班组</t>
        </is>
      </c>
      <c r="H179" s="540" t="inlineStr">
        <is>
          <t>麻辣烫</t>
        </is>
      </c>
      <c r="I179" s="540" t="inlineStr">
        <is>
          <t>孙华玲</t>
        </is>
      </c>
      <c r="J179" s="540" t="n">
        <v>0</v>
      </c>
      <c r="K179" s="540" t="n"/>
      <c r="L179" s="540" t="inlineStr">
        <is>
          <t>谢苗苗</t>
        </is>
      </c>
      <c r="M179" s="540" t="inlineStr">
        <is>
          <t>已核对</t>
        </is>
      </c>
    </row>
    <row r="180">
      <c r="A180" s="540" t="n">
        <v>184</v>
      </c>
      <c r="B180" s="540" t="inlineStr">
        <is>
          <t>KQCY0184</t>
        </is>
      </c>
      <c r="C180" s="540" t="inlineStr">
        <is>
          <t>餐饮三分部</t>
        </is>
      </c>
      <c r="D180" s="540" t="inlineStr">
        <is>
          <t>CF251</t>
        </is>
      </c>
      <c r="E180" s="540" t="inlineStr">
        <is>
          <t>苏州职大二食堂</t>
        </is>
      </c>
      <c r="F180" s="540" t="inlineStr">
        <is>
          <t>分组作业</t>
        </is>
      </c>
      <c r="G180" s="540" t="inlineStr">
        <is>
          <t>第十二班组</t>
        </is>
      </c>
      <c r="H180" s="540" t="inlineStr">
        <is>
          <t>香扒饭</t>
        </is>
      </c>
      <c r="I180" s="540" t="inlineStr">
        <is>
          <t>魏加健</t>
        </is>
      </c>
      <c r="J180" s="540" t="n">
        <v>0</v>
      </c>
      <c r="K180" s="540" t="n"/>
      <c r="L180" s="540" t="inlineStr">
        <is>
          <t>谢苗苗</t>
        </is>
      </c>
      <c r="M180" s="540" t="inlineStr">
        <is>
          <t>已核对</t>
        </is>
      </c>
    </row>
    <row r="181">
      <c r="A181" s="540" t="n">
        <v>185</v>
      </c>
      <c r="B181" s="540" t="inlineStr">
        <is>
          <t>KQCY0185</t>
        </is>
      </c>
      <c r="C181" s="540" t="inlineStr">
        <is>
          <t>餐饮三分部</t>
        </is>
      </c>
      <c r="D181" s="540" t="inlineStr">
        <is>
          <t>CF251</t>
        </is>
      </c>
      <c r="E181" s="540" t="inlineStr">
        <is>
          <t>苏州职大二食堂</t>
        </is>
      </c>
      <c r="F181" s="540" t="inlineStr">
        <is>
          <t>分组作业</t>
        </is>
      </c>
      <c r="G181" s="540" t="inlineStr">
        <is>
          <t>第十三班组</t>
        </is>
      </c>
      <c r="H181" s="540" t="inlineStr">
        <is>
          <t>瓦香鸡</t>
        </is>
      </c>
      <c r="I181" s="540" t="inlineStr">
        <is>
          <t>张明明</t>
        </is>
      </c>
      <c r="J181" s="540" t="n">
        <v>0</v>
      </c>
      <c r="K181" s="540" t="n"/>
      <c r="L181" s="540" t="inlineStr">
        <is>
          <t>谢苗苗</t>
        </is>
      </c>
      <c r="M181" s="540" t="inlineStr">
        <is>
          <t>已核对</t>
        </is>
      </c>
    </row>
    <row r="182">
      <c r="A182" s="540" t="n">
        <v>186</v>
      </c>
      <c r="B182" s="540" t="inlineStr">
        <is>
          <t>KQCY0186</t>
        </is>
      </c>
      <c r="C182" s="540" t="inlineStr">
        <is>
          <t>餐饮三分部</t>
        </is>
      </c>
      <c r="D182" s="540" t="inlineStr">
        <is>
          <t>CF251</t>
        </is>
      </c>
      <c r="E182" s="540" t="inlineStr">
        <is>
          <t>苏州职大二食堂</t>
        </is>
      </c>
      <c r="F182" s="540" t="inlineStr">
        <is>
          <t>分组作业</t>
        </is>
      </c>
      <c r="G182" s="540" t="inlineStr">
        <is>
          <t>第十四班组</t>
        </is>
      </c>
      <c r="H182" s="540" t="inlineStr">
        <is>
          <t>羊杂面</t>
        </is>
      </c>
      <c r="I182" s="540" t="inlineStr">
        <is>
          <t>王俊鹏</t>
        </is>
      </c>
      <c r="J182" s="540" t="n">
        <v>0</v>
      </c>
      <c r="K182" s="540" t="n"/>
      <c r="L182" s="540" t="inlineStr">
        <is>
          <t>谢苗苗</t>
        </is>
      </c>
      <c r="M182" s="540" t="inlineStr">
        <is>
          <t>已核对</t>
        </is>
      </c>
    </row>
    <row r="183">
      <c r="A183" s="540" t="n">
        <v>187</v>
      </c>
      <c r="B183" s="540" t="inlineStr">
        <is>
          <t>KQCY0187</t>
        </is>
      </c>
      <c r="C183" s="540" t="inlineStr">
        <is>
          <t>餐饮三分部</t>
        </is>
      </c>
      <c r="D183" s="540" t="inlineStr">
        <is>
          <t>CF251</t>
        </is>
      </c>
      <c r="E183" s="540" t="inlineStr">
        <is>
          <t>苏州职大二食堂</t>
        </is>
      </c>
      <c r="F183" s="540" t="inlineStr">
        <is>
          <t>分组作业</t>
        </is>
      </c>
      <c r="G183" s="540" t="inlineStr">
        <is>
          <t>第十五班组</t>
        </is>
      </c>
      <c r="H183" s="540" t="inlineStr">
        <is>
          <t>苏式红汤面</t>
        </is>
      </c>
      <c r="I183" s="540" t="inlineStr">
        <is>
          <t>程周如</t>
        </is>
      </c>
      <c r="J183" s="540" t="n">
        <v>0</v>
      </c>
      <c r="K183" s="540" t="inlineStr">
        <is>
          <t>已撤场</t>
        </is>
      </c>
      <c r="L183" s="540" t="inlineStr">
        <is>
          <t>谢苗苗</t>
        </is>
      </c>
      <c r="M183" s="540" t="inlineStr">
        <is>
          <t>已核对</t>
        </is>
      </c>
    </row>
    <row r="184">
      <c r="A184" s="540" t="n">
        <v>188</v>
      </c>
      <c r="B184" s="540" t="inlineStr">
        <is>
          <t>KQCY0188</t>
        </is>
      </c>
      <c r="C184" s="540" t="inlineStr">
        <is>
          <t>餐饮三分部</t>
        </is>
      </c>
      <c r="D184" s="540" t="inlineStr">
        <is>
          <t>CF251</t>
        </is>
      </c>
      <c r="E184" s="540" t="inlineStr">
        <is>
          <t>苏州职大二食堂</t>
        </is>
      </c>
      <c r="F184" s="540" t="inlineStr">
        <is>
          <t>分组作业</t>
        </is>
      </c>
      <c r="G184" s="540" t="inlineStr">
        <is>
          <t>第十六班组</t>
        </is>
      </c>
      <c r="H184" s="540" t="inlineStr">
        <is>
          <t>烤鸭</t>
        </is>
      </c>
      <c r="I184" s="540" t="inlineStr">
        <is>
          <t>李嘉康</t>
        </is>
      </c>
      <c r="J184" s="540" t="n">
        <v>0</v>
      </c>
      <c r="K184" s="540" t="inlineStr">
        <is>
          <t>已撤场</t>
        </is>
      </c>
      <c r="L184" s="540" t="inlineStr">
        <is>
          <t>谢苗苗</t>
        </is>
      </c>
      <c r="M184" s="540" t="inlineStr">
        <is>
          <t>已核对</t>
        </is>
      </c>
    </row>
    <row r="185">
      <c r="A185" s="540" t="n">
        <v>189</v>
      </c>
      <c r="B185" s="540" t="inlineStr">
        <is>
          <t>KQCY0189</t>
        </is>
      </c>
      <c r="C185" s="540" t="inlineStr">
        <is>
          <t>餐饮三分部</t>
        </is>
      </c>
      <c r="D185" s="540" t="inlineStr">
        <is>
          <t>CF251</t>
        </is>
      </c>
      <c r="E185" s="540" t="inlineStr">
        <is>
          <t>苏州职大二食堂</t>
        </is>
      </c>
      <c r="F185" s="540" t="inlineStr">
        <is>
          <t>分组作业</t>
        </is>
      </c>
      <c r="G185" s="540" t="inlineStr">
        <is>
          <t>第十七班组</t>
        </is>
      </c>
      <c r="H185" s="540" t="inlineStr">
        <is>
          <t>手工水饺</t>
        </is>
      </c>
      <c r="I185" s="540" t="inlineStr">
        <is>
          <t>汪玉凤</t>
        </is>
      </c>
      <c r="J185" s="540" t="n">
        <v>0</v>
      </c>
      <c r="K185" s="540" t="inlineStr">
        <is>
          <t>已撤场</t>
        </is>
      </c>
      <c r="L185" s="540" t="inlineStr">
        <is>
          <t>谢苗苗</t>
        </is>
      </c>
      <c r="M185" s="540" t="inlineStr">
        <is>
          <t>已核对</t>
        </is>
      </c>
    </row>
    <row r="186">
      <c r="A186" s="540" t="n">
        <v>190</v>
      </c>
      <c r="B186" s="540" t="inlineStr">
        <is>
          <t>KQCY0190</t>
        </is>
      </c>
      <c r="C186" s="540" t="inlineStr">
        <is>
          <t>餐饮三分部</t>
        </is>
      </c>
      <c r="D186" s="540" t="inlineStr">
        <is>
          <t>CF251</t>
        </is>
      </c>
      <c r="E186" s="540" t="inlineStr">
        <is>
          <t>苏州职大二食堂</t>
        </is>
      </c>
      <c r="F186" s="540" t="inlineStr">
        <is>
          <t>分组作业</t>
        </is>
      </c>
      <c r="G186" s="540" t="inlineStr">
        <is>
          <t>第十八班组</t>
        </is>
      </c>
      <c r="H186" s="540" t="inlineStr">
        <is>
          <t>把子肉</t>
        </is>
      </c>
      <c r="I186" s="540" t="inlineStr">
        <is>
          <t>杜故乡</t>
        </is>
      </c>
      <c r="J186" s="540" t="n">
        <v>0</v>
      </c>
      <c r="K186" s="540" t="inlineStr">
        <is>
          <t>已撤场</t>
        </is>
      </c>
      <c r="L186" s="540" t="inlineStr">
        <is>
          <t>谢苗苗</t>
        </is>
      </c>
      <c r="M186" s="540" t="inlineStr">
        <is>
          <t>已核对</t>
        </is>
      </c>
    </row>
    <row r="187">
      <c r="A187" s="540" t="n">
        <v>191</v>
      </c>
      <c r="B187" s="540" t="inlineStr">
        <is>
          <t>KQCY0191</t>
        </is>
      </c>
      <c r="C187" s="540" t="inlineStr">
        <is>
          <t>餐饮三分部</t>
        </is>
      </c>
      <c r="D187" s="540" t="inlineStr">
        <is>
          <t>CF780</t>
        </is>
      </c>
      <c r="E187" s="540" t="inlineStr">
        <is>
          <t>吉建大二食堂</t>
        </is>
      </c>
      <c r="F187" s="540" t="inlineStr">
        <is>
          <t>自营</t>
        </is>
      </c>
      <c r="G187" s="540" t="inlineStr">
        <is>
          <t>自营</t>
        </is>
      </c>
      <c r="H187" s="540" t="inlineStr">
        <is>
          <t>/</t>
        </is>
      </c>
      <c r="I187" s="540" t="inlineStr">
        <is>
          <t>/</t>
        </is>
      </c>
      <c r="J187" s="540" t="n">
        <v>25978.42</v>
      </c>
      <c r="K187" s="540" t="n"/>
      <c r="L187" s="540" t="inlineStr">
        <is>
          <t>位军浩</t>
        </is>
      </c>
      <c r="M187" s="540" t="n"/>
    </row>
    <row r="188">
      <c r="A188" s="540" t="n">
        <v>192</v>
      </c>
      <c r="B188" s="540" t="inlineStr">
        <is>
          <t>KQCY0192</t>
        </is>
      </c>
      <c r="C188" s="540" t="inlineStr">
        <is>
          <t>餐饮三分部</t>
        </is>
      </c>
      <c r="D188" s="540" t="inlineStr">
        <is>
          <t>CF780</t>
        </is>
      </c>
      <c r="E188" s="540" t="inlineStr">
        <is>
          <t>吉建大二食堂</t>
        </is>
      </c>
      <c r="F188" s="540" t="inlineStr">
        <is>
          <t>分组作业</t>
        </is>
      </c>
      <c r="G188" s="540" t="inlineStr">
        <is>
          <t>/</t>
        </is>
      </c>
      <c r="H188" s="540" t="inlineStr">
        <is>
          <t>早点</t>
        </is>
      </c>
      <c r="I188" s="540" t="inlineStr">
        <is>
          <t>李帮</t>
        </is>
      </c>
      <c r="J188" s="540" t="n">
        <v>10205.25</v>
      </c>
      <c r="K188" s="540" t="n"/>
      <c r="L188" s="540" t="inlineStr">
        <is>
          <t>位军浩</t>
        </is>
      </c>
      <c r="M188" s="540" t="n"/>
    </row>
    <row r="189">
      <c r="A189" s="540" t="n">
        <v>193</v>
      </c>
      <c r="B189" s="540" t="inlineStr">
        <is>
          <t>KQCY0193</t>
        </is>
      </c>
      <c r="C189" s="540" t="inlineStr">
        <is>
          <t>餐饮三分部</t>
        </is>
      </c>
      <c r="D189" s="540" t="inlineStr">
        <is>
          <t>CF780</t>
        </is>
      </c>
      <c r="E189" s="540" t="inlineStr">
        <is>
          <t>吉建大二食堂</t>
        </is>
      </c>
      <c r="F189" s="540" t="inlineStr">
        <is>
          <t>分组作业</t>
        </is>
      </c>
      <c r="G189" s="540" t="inlineStr">
        <is>
          <t>/</t>
        </is>
      </c>
      <c r="H189" s="540" t="inlineStr">
        <is>
          <t>0090汉堡</t>
        </is>
      </c>
      <c r="I189" s="540" t="inlineStr">
        <is>
          <t>戴杰</t>
        </is>
      </c>
      <c r="J189" s="540" t="n">
        <v>25265.21</v>
      </c>
      <c r="K189" s="540" t="n"/>
      <c r="L189" s="540" t="inlineStr">
        <is>
          <t>位军浩</t>
        </is>
      </c>
      <c r="M189" s="540" t="n"/>
    </row>
    <row r="190">
      <c r="A190" s="540" t="n">
        <v>194</v>
      </c>
      <c r="B190" s="540" t="inlineStr">
        <is>
          <t>KQCY0194</t>
        </is>
      </c>
      <c r="C190" s="540" t="inlineStr">
        <is>
          <t>餐饮三分部</t>
        </is>
      </c>
      <c r="D190" s="540" t="inlineStr">
        <is>
          <t>CF780</t>
        </is>
      </c>
      <c r="E190" s="540" t="inlineStr">
        <is>
          <t>吉建大二食堂</t>
        </is>
      </c>
      <c r="F190" s="540" t="inlineStr">
        <is>
          <t>分组作业</t>
        </is>
      </c>
      <c r="G190" s="540" t="inlineStr">
        <is>
          <t>/</t>
        </is>
      </c>
      <c r="H190" s="540" t="inlineStr">
        <is>
          <t>果檬鲜果</t>
        </is>
      </c>
      <c r="I190" s="540" t="inlineStr">
        <is>
          <t>曹雪</t>
        </is>
      </c>
      <c r="J190" s="540" t="n">
        <v>3904</v>
      </c>
      <c r="K190" s="540" t="n"/>
      <c r="L190" s="540" t="inlineStr">
        <is>
          <t>位军浩</t>
        </is>
      </c>
      <c r="M190" s="540" t="n"/>
    </row>
    <row r="191">
      <c r="A191" s="540" t="n">
        <v>195</v>
      </c>
      <c r="B191" s="540" t="inlineStr">
        <is>
          <t>KQCY0195</t>
        </is>
      </c>
      <c r="C191" s="540" t="inlineStr">
        <is>
          <t>餐饮三分部</t>
        </is>
      </c>
      <c r="D191" s="540" t="inlineStr">
        <is>
          <t>CF780</t>
        </is>
      </c>
      <c r="E191" s="540" t="inlineStr">
        <is>
          <t>吉建大二食堂</t>
        </is>
      </c>
      <c r="F191" s="540" t="inlineStr">
        <is>
          <t>分组作业</t>
        </is>
      </c>
      <c r="G191" s="540" t="inlineStr">
        <is>
          <t>/</t>
        </is>
      </c>
      <c r="H191" s="540" t="inlineStr">
        <is>
          <t>自选水饺</t>
        </is>
      </c>
      <c r="I191" s="540" t="inlineStr">
        <is>
          <t>李英</t>
        </is>
      </c>
      <c r="J191" s="540" t="n"/>
      <c r="K191" s="540" t="inlineStr">
        <is>
          <t>已撤场</t>
        </is>
      </c>
      <c r="L191" s="540" t="inlineStr">
        <is>
          <t>位军浩</t>
        </is>
      </c>
      <c r="M191" s="540" t="n"/>
    </row>
    <row r="192">
      <c r="A192" s="540" t="n">
        <v>196</v>
      </c>
      <c r="B192" s="540" t="inlineStr">
        <is>
          <t>KQCY0196</t>
        </is>
      </c>
      <c r="C192" s="540" t="inlineStr">
        <is>
          <t>餐饮三分部</t>
        </is>
      </c>
      <c r="D192" s="540" t="inlineStr">
        <is>
          <t>CF780</t>
        </is>
      </c>
      <c r="E192" s="540" t="inlineStr">
        <is>
          <t>吉建大二食堂</t>
        </is>
      </c>
      <c r="F192" s="540" t="inlineStr">
        <is>
          <t>分组作业</t>
        </is>
      </c>
      <c r="G192" s="540" t="inlineStr">
        <is>
          <t>/</t>
        </is>
      </c>
      <c r="H192" s="540" t="inlineStr">
        <is>
          <t>渔之谷渔粉</t>
        </is>
      </c>
      <c r="I192" s="540" t="inlineStr">
        <is>
          <t>李荣</t>
        </is>
      </c>
      <c r="J192" s="540" t="n">
        <v>3258.8</v>
      </c>
      <c r="K192" s="540" t="n"/>
      <c r="L192" s="540" t="inlineStr">
        <is>
          <t>位军浩</t>
        </is>
      </c>
      <c r="M192" s="540" t="n"/>
    </row>
    <row r="193">
      <c r="A193" s="540" t="n">
        <v>197</v>
      </c>
      <c r="B193" s="540" t="inlineStr">
        <is>
          <t>KQCY0197</t>
        </is>
      </c>
      <c r="C193" s="540" t="inlineStr">
        <is>
          <t>餐饮三分部</t>
        </is>
      </c>
      <c r="D193" s="540" t="inlineStr">
        <is>
          <t>CF780</t>
        </is>
      </c>
      <c r="E193" s="540" t="inlineStr">
        <is>
          <t>吉建大二食堂</t>
        </is>
      </c>
      <c r="F193" s="540" t="inlineStr">
        <is>
          <t>分组作业</t>
        </is>
      </c>
      <c r="G193" s="540" t="inlineStr">
        <is>
          <t>/</t>
        </is>
      </c>
      <c r="H193" s="540" t="inlineStr">
        <is>
          <t>昆吉双拼饭</t>
        </is>
      </c>
      <c r="I193" s="540" t="inlineStr">
        <is>
          <t>郑金娟</t>
        </is>
      </c>
      <c r="J193" s="540" t="n">
        <v>4560.5</v>
      </c>
      <c r="K193" s="540" t="n"/>
      <c r="L193" s="540" t="inlineStr">
        <is>
          <t>位军浩</t>
        </is>
      </c>
      <c r="M193" s="540" t="n"/>
    </row>
    <row r="194">
      <c r="A194" s="540" t="n">
        <v>198</v>
      </c>
      <c r="B194" s="540" t="inlineStr">
        <is>
          <t>KQCY0198</t>
        </is>
      </c>
      <c r="C194" s="540" t="inlineStr">
        <is>
          <t>餐饮三分部</t>
        </is>
      </c>
      <c r="D194" s="540" t="inlineStr">
        <is>
          <t>CF780</t>
        </is>
      </c>
      <c r="E194" s="540" t="inlineStr">
        <is>
          <t>吉建大二食堂</t>
        </is>
      </c>
      <c r="F194" s="540" t="inlineStr">
        <is>
          <t>分组作业</t>
        </is>
      </c>
      <c r="G194" s="540" t="inlineStr">
        <is>
          <t>/</t>
        </is>
      </c>
      <c r="H194" s="540" t="inlineStr">
        <is>
          <t>杭州小笼包</t>
        </is>
      </c>
      <c r="I194" s="540" t="inlineStr">
        <is>
          <t>李红岷</t>
        </is>
      </c>
      <c r="J194" s="540" t="n">
        <v>3492.1</v>
      </c>
      <c r="K194" s="540" t="n"/>
      <c r="L194" s="540" t="inlineStr">
        <is>
          <t>位军浩</t>
        </is>
      </c>
      <c r="M194" s="540" t="n"/>
    </row>
    <row r="195">
      <c r="A195" s="540" t="n">
        <v>199</v>
      </c>
      <c r="B195" s="540" t="inlineStr">
        <is>
          <t>KQCY0199</t>
        </is>
      </c>
      <c r="C195" s="540" t="inlineStr">
        <is>
          <t>餐饮三分部</t>
        </is>
      </c>
      <c r="D195" s="540" t="inlineStr">
        <is>
          <t>CF780</t>
        </is>
      </c>
      <c r="E195" s="540" t="inlineStr">
        <is>
          <t>吉建大二食堂</t>
        </is>
      </c>
      <c r="F195" s="540" t="inlineStr">
        <is>
          <t>分组作业</t>
        </is>
      </c>
      <c r="G195" s="540" t="inlineStr">
        <is>
          <t>/</t>
        </is>
      </c>
      <c r="H195" s="540" t="inlineStr">
        <is>
          <t>辣椒炒肉</t>
        </is>
      </c>
      <c r="I195" s="540" t="inlineStr">
        <is>
          <t>马永波</t>
        </is>
      </c>
      <c r="J195" s="540" t="n">
        <v>5192.4</v>
      </c>
      <c r="K195" s="540" t="n"/>
      <c r="L195" s="540" t="inlineStr">
        <is>
          <t>位军浩</t>
        </is>
      </c>
      <c r="M195" s="540" t="n"/>
    </row>
    <row r="196">
      <c r="A196" s="540" t="n">
        <v>200</v>
      </c>
      <c r="B196" s="540" t="inlineStr">
        <is>
          <t>KQCY0200</t>
        </is>
      </c>
      <c r="C196" s="540" t="inlineStr">
        <is>
          <t>餐饮三分部</t>
        </is>
      </c>
      <c r="D196" s="540" t="inlineStr">
        <is>
          <t>CF780</t>
        </is>
      </c>
      <c r="E196" s="540" t="inlineStr">
        <is>
          <t>吉建大二食堂</t>
        </is>
      </c>
      <c r="F196" s="540" t="inlineStr">
        <is>
          <t>分组作业</t>
        </is>
      </c>
      <c r="G196" s="540" t="inlineStr">
        <is>
          <t>/</t>
        </is>
      </c>
      <c r="H196" s="540" t="inlineStr">
        <is>
          <t>土豆粉</t>
        </is>
      </c>
      <c r="I196" s="540" t="inlineStr">
        <is>
          <t>郑丹丹</t>
        </is>
      </c>
      <c r="J196" s="540" t="n">
        <v>5328.51</v>
      </c>
      <c r="K196" s="540" t="n"/>
      <c r="L196" s="540" t="inlineStr">
        <is>
          <t>位军浩</t>
        </is>
      </c>
      <c r="M196" s="540" t="n"/>
    </row>
    <row r="197">
      <c r="A197" s="540" t="n">
        <v>201</v>
      </c>
      <c r="B197" s="540" t="inlineStr">
        <is>
          <t>KQCY0201</t>
        </is>
      </c>
      <c r="C197" s="540" t="inlineStr">
        <is>
          <t>餐饮三分部</t>
        </is>
      </c>
      <c r="D197" s="540" t="inlineStr">
        <is>
          <t>CF780</t>
        </is>
      </c>
      <c r="E197" s="540" t="inlineStr">
        <is>
          <t>吉建大二食堂</t>
        </is>
      </c>
      <c r="F197" s="540" t="inlineStr">
        <is>
          <t>分组作业</t>
        </is>
      </c>
      <c r="G197" s="540" t="inlineStr">
        <is>
          <t>/</t>
        </is>
      </c>
      <c r="H197" s="540" t="inlineStr">
        <is>
          <t>一纸鸡</t>
        </is>
      </c>
      <c r="I197" s="540" t="inlineStr">
        <is>
          <t>徐玉珍</t>
        </is>
      </c>
      <c r="J197" s="540" t="n"/>
      <c r="K197" s="540" t="inlineStr">
        <is>
          <t>已撤场</t>
        </is>
      </c>
      <c r="L197" s="540" t="inlineStr">
        <is>
          <t>位军浩</t>
        </is>
      </c>
      <c r="M197" s="540" t="n"/>
    </row>
    <row r="198">
      <c r="A198" s="540" t="n">
        <v>202</v>
      </c>
      <c r="B198" s="540" t="inlineStr">
        <is>
          <t>KQCY0202</t>
        </is>
      </c>
      <c r="C198" s="540" t="inlineStr">
        <is>
          <t>餐饮三分部</t>
        </is>
      </c>
      <c r="D198" s="540" t="inlineStr">
        <is>
          <t>CF780</t>
        </is>
      </c>
      <c r="E198" s="540" t="inlineStr">
        <is>
          <t>吉建大二食堂</t>
        </is>
      </c>
      <c r="F198" s="540" t="inlineStr">
        <is>
          <t>分组作业</t>
        </is>
      </c>
      <c r="G198" s="540" t="inlineStr">
        <is>
          <t>/</t>
        </is>
      </c>
      <c r="H198" s="540" t="inlineStr">
        <is>
          <t>现炒浇头面</t>
        </is>
      </c>
      <c r="I198" s="540" t="inlineStr">
        <is>
          <t>尹士元</t>
        </is>
      </c>
      <c r="J198" s="540" t="n">
        <v>5714.2</v>
      </c>
      <c r="K198" s="540" t="n"/>
      <c r="L198" s="540" t="inlineStr">
        <is>
          <t>位军浩</t>
        </is>
      </c>
      <c r="M198" s="540" t="n"/>
    </row>
    <row r="199">
      <c r="A199" s="540" t="n">
        <v>203</v>
      </c>
      <c r="B199" s="540" t="inlineStr">
        <is>
          <t>KQCY0203</t>
        </is>
      </c>
      <c r="C199" s="540" t="inlineStr">
        <is>
          <t>餐饮三分部</t>
        </is>
      </c>
      <c r="D199" s="540" t="inlineStr">
        <is>
          <t>CF780</t>
        </is>
      </c>
      <c r="E199" s="540" t="inlineStr">
        <is>
          <t>吉建大二食堂</t>
        </is>
      </c>
      <c r="F199" s="540" t="inlineStr">
        <is>
          <t>分组作业</t>
        </is>
      </c>
      <c r="G199" s="540" t="inlineStr">
        <is>
          <t>/</t>
        </is>
      </c>
      <c r="H199" s="540" t="inlineStr">
        <is>
          <t>炒饭专家</t>
        </is>
      </c>
      <c r="I199" s="540" t="inlineStr">
        <is>
          <t>贡海涛</t>
        </is>
      </c>
      <c r="J199" s="540" t="n">
        <v>3369.58</v>
      </c>
      <c r="K199" s="540" t="n"/>
      <c r="L199" s="540" t="inlineStr">
        <is>
          <t>位军浩</t>
        </is>
      </c>
      <c r="M199" s="540" t="n"/>
    </row>
    <row r="200">
      <c r="A200" s="540" t="n">
        <v>204</v>
      </c>
      <c r="B200" s="540" t="inlineStr">
        <is>
          <t>KQCY0204</t>
        </is>
      </c>
      <c r="C200" s="540" t="inlineStr">
        <is>
          <t>餐饮三分部</t>
        </is>
      </c>
      <c r="D200" s="540" t="inlineStr">
        <is>
          <t>CF780</t>
        </is>
      </c>
      <c r="E200" s="540" t="inlineStr">
        <is>
          <t>吉建大二食堂</t>
        </is>
      </c>
      <c r="F200" s="540" t="inlineStr">
        <is>
          <t>分组作业</t>
        </is>
      </c>
      <c r="G200" s="540" t="inlineStr">
        <is>
          <t>/</t>
        </is>
      </c>
      <c r="H200" s="540" t="inlineStr">
        <is>
          <t>瓦香鸡</t>
        </is>
      </c>
      <c r="I200" s="540" t="inlineStr">
        <is>
          <t>马永波</t>
        </is>
      </c>
      <c r="J200" s="540" t="n">
        <v>6394.4</v>
      </c>
      <c r="K200" s="540" t="n"/>
      <c r="L200" s="540" t="inlineStr">
        <is>
          <t>位军浩</t>
        </is>
      </c>
      <c r="M200" s="540" t="n"/>
    </row>
    <row r="201">
      <c r="A201" s="540" t="n">
        <v>205</v>
      </c>
      <c r="B201" s="540" t="inlineStr">
        <is>
          <t>KQCY0205</t>
        </is>
      </c>
      <c r="C201" s="540" t="inlineStr">
        <is>
          <t>餐饮三分部</t>
        </is>
      </c>
      <c r="D201" s="540" t="inlineStr">
        <is>
          <t>CF780</t>
        </is>
      </c>
      <c r="E201" s="540" t="inlineStr">
        <is>
          <t>吉建大二食堂</t>
        </is>
      </c>
      <c r="F201" s="540" t="inlineStr">
        <is>
          <t>分组作业</t>
        </is>
      </c>
      <c r="G201" s="540" t="inlineStr">
        <is>
          <t>/</t>
        </is>
      </c>
      <c r="H201" s="540" t="inlineStr">
        <is>
          <t>热干面</t>
        </is>
      </c>
      <c r="I201" s="540" t="inlineStr">
        <is>
          <t>徐成龙</t>
        </is>
      </c>
      <c r="J201" s="540" t="n">
        <v>5952</v>
      </c>
      <c r="K201" s="540" t="n"/>
      <c r="L201" s="540" t="inlineStr">
        <is>
          <t>位军浩</t>
        </is>
      </c>
      <c r="M201" s="540" t="n"/>
    </row>
    <row r="202">
      <c r="A202" s="540" t="n">
        <v>206</v>
      </c>
      <c r="B202" s="540" t="inlineStr">
        <is>
          <t>KQCY0206</t>
        </is>
      </c>
      <c r="C202" s="540" t="inlineStr">
        <is>
          <t>餐饮三分部</t>
        </is>
      </c>
      <c r="D202" s="540" t="inlineStr">
        <is>
          <t>CF780</t>
        </is>
      </c>
      <c r="E202" s="540" t="inlineStr">
        <is>
          <t>吉建大二食堂</t>
        </is>
      </c>
      <c r="F202" s="540" t="inlineStr">
        <is>
          <t>分组作业</t>
        </is>
      </c>
      <c r="G202" s="540" t="inlineStr">
        <is>
          <t>/</t>
        </is>
      </c>
      <c r="H202" s="540" t="inlineStr">
        <is>
          <t>喜翻拌麻辣拌</t>
        </is>
      </c>
      <c r="I202" s="540" t="inlineStr">
        <is>
          <t>兰国强</t>
        </is>
      </c>
      <c r="J202" s="540" t="n">
        <v>9199.940000000001</v>
      </c>
      <c r="K202" s="540" t="n"/>
      <c r="L202" s="540" t="inlineStr">
        <is>
          <t>位军浩</t>
        </is>
      </c>
      <c r="M202" s="540" t="n"/>
    </row>
    <row r="203">
      <c r="A203" s="540" t="n">
        <v>207</v>
      </c>
      <c r="B203" s="540" t="inlineStr">
        <is>
          <t>KQCY0207</t>
        </is>
      </c>
      <c r="C203" s="540" t="inlineStr">
        <is>
          <t>餐饮三分部</t>
        </is>
      </c>
      <c r="D203" s="540" t="inlineStr">
        <is>
          <t>CF780</t>
        </is>
      </c>
      <c r="E203" s="540" t="inlineStr">
        <is>
          <t>吉建大二食堂</t>
        </is>
      </c>
      <c r="F203" s="540" t="inlineStr">
        <is>
          <t>分组作业</t>
        </is>
      </c>
      <c r="G203" s="540" t="inlineStr">
        <is>
          <t>/</t>
        </is>
      </c>
      <c r="H203" s="540" t="inlineStr">
        <is>
          <t>檬大咖</t>
        </is>
      </c>
      <c r="I203" s="540" t="inlineStr">
        <is>
          <t>于广东</t>
        </is>
      </c>
      <c r="J203" s="540" t="n">
        <v>3055.11</v>
      </c>
      <c r="K203" s="540" t="n"/>
      <c r="L203" s="540" t="inlineStr">
        <is>
          <t>位军浩</t>
        </is>
      </c>
      <c r="M203" s="540" t="n"/>
    </row>
    <row r="204">
      <c r="A204" s="540" t="n">
        <v>208</v>
      </c>
      <c r="B204" s="540" t="inlineStr">
        <is>
          <t>KQCY0208</t>
        </is>
      </c>
      <c r="C204" s="540" t="inlineStr">
        <is>
          <t>餐饮三分部</t>
        </is>
      </c>
      <c r="D204" s="540" t="inlineStr">
        <is>
          <t>CF780</t>
        </is>
      </c>
      <c r="E204" s="540" t="inlineStr">
        <is>
          <t>吉建大二食堂</t>
        </is>
      </c>
      <c r="F204" s="540" t="inlineStr">
        <is>
          <t>分组作业</t>
        </is>
      </c>
      <c r="G204" s="540" t="inlineStr">
        <is>
          <t>/</t>
        </is>
      </c>
      <c r="H204" s="540" t="inlineStr">
        <is>
          <t>烤盘饭</t>
        </is>
      </c>
      <c r="I204" s="540" t="inlineStr">
        <is>
          <t>曹晓东</t>
        </is>
      </c>
      <c r="J204" s="540" t="n">
        <v>1938.7</v>
      </c>
      <c r="K204" s="540" t="n"/>
      <c r="L204" s="540" t="inlineStr">
        <is>
          <t>位军浩</t>
        </is>
      </c>
      <c r="M204" s="540" t="n"/>
    </row>
    <row r="205">
      <c r="A205" s="540" t="n">
        <v>209</v>
      </c>
      <c r="B205" s="540" t="inlineStr">
        <is>
          <t>KQCY0209</t>
        </is>
      </c>
      <c r="C205" s="540" t="inlineStr">
        <is>
          <t>餐饮三分部</t>
        </is>
      </c>
      <c r="D205" s="540" t="inlineStr">
        <is>
          <t>CF780</t>
        </is>
      </c>
      <c r="E205" s="540" t="inlineStr">
        <is>
          <t>吉建大二食堂</t>
        </is>
      </c>
      <c r="F205" s="540" t="inlineStr">
        <is>
          <t>分组作业</t>
        </is>
      </c>
      <c r="G205" s="540" t="inlineStr">
        <is>
          <t>/</t>
        </is>
      </c>
      <c r="H205" s="540" t="inlineStr">
        <is>
          <t>蜀道吉水煮肉</t>
        </is>
      </c>
      <c r="I205" s="540" t="inlineStr">
        <is>
          <t>刘旭东</t>
        </is>
      </c>
      <c r="J205" s="540" t="n"/>
      <c r="K205" s="540" t="inlineStr">
        <is>
          <t>已撤场</t>
        </is>
      </c>
      <c r="L205" s="540" t="inlineStr">
        <is>
          <t>位军浩</t>
        </is>
      </c>
      <c r="M205" s="540" t="n"/>
    </row>
    <row r="206">
      <c r="A206" s="540" t="n">
        <v>210</v>
      </c>
      <c r="B206" s="540" t="inlineStr">
        <is>
          <t>KQCY0210</t>
        </is>
      </c>
      <c r="C206" s="540" t="inlineStr">
        <is>
          <t>餐饮三分部</t>
        </is>
      </c>
      <c r="D206" s="540" t="inlineStr">
        <is>
          <t>CF780</t>
        </is>
      </c>
      <c r="E206" s="540" t="inlineStr">
        <is>
          <t>吉建大二食堂</t>
        </is>
      </c>
      <c r="F206" s="540" t="inlineStr">
        <is>
          <t>分组作业</t>
        </is>
      </c>
      <c r="G206" s="540" t="inlineStr">
        <is>
          <t>/</t>
        </is>
      </c>
      <c r="H206" s="540" t="inlineStr">
        <is>
          <t>拼好饭</t>
        </is>
      </c>
      <c r="I206" s="540" t="inlineStr">
        <is>
          <t>陈国利</t>
        </is>
      </c>
      <c r="J206" s="540" t="n"/>
      <c r="K206" s="540" t="inlineStr">
        <is>
          <t>已撤场</t>
        </is>
      </c>
      <c r="L206" s="540" t="inlineStr">
        <is>
          <t>位军浩</t>
        </is>
      </c>
      <c r="M206" s="540" t="n"/>
    </row>
    <row r="207">
      <c r="A207" s="540" t="n">
        <v>211</v>
      </c>
      <c r="B207" s="540" t="inlineStr">
        <is>
          <t>KQCY0211</t>
        </is>
      </c>
      <c r="C207" s="540" t="inlineStr">
        <is>
          <t>餐饮三分部</t>
        </is>
      </c>
      <c r="D207" s="540" t="inlineStr">
        <is>
          <t>CF780</t>
        </is>
      </c>
      <c r="E207" s="540" t="inlineStr">
        <is>
          <t>吉建大二食堂</t>
        </is>
      </c>
      <c r="F207" s="540" t="inlineStr">
        <is>
          <t>分组作业</t>
        </is>
      </c>
      <c r="G207" s="540" t="inlineStr">
        <is>
          <t>/</t>
        </is>
      </c>
      <c r="H207" s="540" t="inlineStr">
        <is>
          <t>烤鸭饭</t>
        </is>
      </c>
      <c r="I207" s="540" t="inlineStr">
        <is>
          <t>付冬玲</t>
        </is>
      </c>
      <c r="J207" s="540" t="n">
        <v>6771</v>
      </c>
      <c r="K207" s="540" t="n"/>
      <c r="L207" s="540" t="inlineStr">
        <is>
          <t>位军浩</t>
        </is>
      </c>
      <c r="M207" s="540" t="n"/>
    </row>
    <row r="208">
      <c r="A208" s="540" t="n">
        <v>212</v>
      </c>
      <c r="B208" s="540" t="inlineStr">
        <is>
          <t>KQCY0212</t>
        </is>
      </c>
      <c r="C208" s="540" t="inlineStr">
        <is>
          <t>餐饮三分部</t>
        </is>
      </c>
      <c r="D208" s="540" t="inlineStr">
        <is>
          <t>CF780</t>
        </is>
      </c>
      <c r="E208" s="540" t="inlineStr">
        <is>
          <t>吉建大二食堂</t>
        </is>
      </c>
      <c r="F208" s="540" t="inlineStr">
        <is>
          <t>分组作业</t>
        </is>
      </c>
      <c r="G208" s="540" t="inlineStr">
        <is>
          <t>/</t>
        </is>
      </c>
      <c r="H208" s="540" t="inlineStr">
        <is>
          <t>海南鸡饭</t>
        </is>
      </c>
      <c r="I208" s="540" t="inlineStr">
        <is>
          <t>曲丽平</t>
        </is>
      </c>
      <c r="J208" s="540" t="n">
        <v>18864.5</v>
      </c>
      <c r="K208" s="540" t="n"/>
      <c r="L208" s="540" t="inlineStr">
        <is>
          <t>位军浩</t>
        </is>
      </c>
      <c r="M208" s="540" t="n"/>
    </row>
    <row r="209">
      <c r="A209" s="540" t="n">
        <v>213</v>
      </c>
      <c r="B209" s="540" t="inlineStr">
        <is>
          <t>KQCY0213</t>
        </is>
      </c>
      <c r="C209" s="540" t="inlineStr">
        <is>
          <t>餐饮三分部</t>
        </is>
      </c>
      <c r="D209" s="540" t="inlineStr">
        <is>
          <t>CF780</t>
        </is>
      </c>
      <c r="E209" s="540" t="inlineStr">
        <is>
          <t>吉建大二食堂</t>
        </is>
      </c>
      <c r="F209" s="540" t="inlineStr">
        <is>
          <t>分组作业</t>
        </is>
      </c>
      <c r="G209" s="540" t="inlineStr">
        <is>
          <t>/</t>
        </is>
      </c>
      <c r="H209" s="540" t="inlineStr">
        <is>
          <t>小街牛杂面</t>
        </is>
      </c>
      <c r="I209" s="540" t="inlineStr">
        <is>
          <t>郭铁军</t>
        </is>
      </c>
      <c r="J209" s="540" t="n">
        <v>4043.4</v>
      </c>
      <c r="K209" s="540" t="n"/>
      <c r="L209" s="540" t="inlineStr">
        <is>
          <t>位军浩</t>
        </is>
      </c>
      <c r="M209" s="540" t="n"/>
    </row>
    <row r="210">
      <c r="A210" s="540" t="n">
        <v>214</v>
      </c>
      <c r="B210" s="540" t="inlineStr">
        <is>
          <t>KQCY0214</t>
        </is>
      </c>
      <c r="C210" s="540" t="inlineStr">
        <is>
          <t>餐饮三分部</t>
        </is>
      </c>
      <c r="D210" s="540" t="inlineStr">
        <is>
          <t>CF780</t>
        </is>
      </c>
      <c r="E210" s="540" t="inlineStr">
        <is>
          <t>吉建大二食堂</t>
        </is>
      </c>
      <c r="F210" s="540" t="inlineStr">
        <is>
          <t>分组作业</t>
        </is>
      </c>
      <c r="G210" s="540" t="inlineStr">
        <is>
          <t>/</t>
        </is>
      </c>
      <c r="H210" s="540" t="inlineStr">
        <is>
          <t>炙烤五花肉</t>
        </is>
      </c>
      <c r="I210" s="540" t="inlineStr">
        <is>
          <t>付炜</t>
        </is>
      </c>
      <c r="J210" s="540" t="n"/>
      <c r="K210" s="540" t="inlineStr">
        <is>
          <t>已撤场</t>
        </is>
      </c>
      <c r="L210" s="540" t="inlineStr">
        <is>
          <t>位军浩</t>
        </is>
      </c>
      <c r="M210" s="540" t="n"/>
    </row>
    <row r="211">
      <c r="A211" s="540" t="n">
        <v>215</v>
      </c>
      <c r="B211" s="540" t="inlineStr">
        <is>
          <t>KQCY0215</t>
        </is>
      </c>
      <c r="C211" s="540" t="inlineStr">
        <is>
          <t>餐饮三分部</t>
        </is>
      </c>
      <c r="D211" s="540" t="inlineStr">
        <is>
          <t>CF780</t>
        </is>
      </c>
      <c r="E211" s="540" t="inlineStr">
        <is>
          <t>吉建大二食堂</t>
        </is>
      </c>
      <c r="F211" s="540" t="inlineStr">
        <is>
          <t>分组作业</t>
        </is>
      </c>
      <c r="G211" s="540" t="inlineStr">
        <is>
          <t>/</t>
        </is>
      </c>
      <c r="H211" s="540" t="inlineStr">
        <is>
          <t>朴大叔拌饭</t>
        </is>
      </c>
      <c r="I211" s="540" t="inlineStr">
        <is>
          <t>沈延斌</t>
        </is>
      </c>
      <c r="J211" s="540" t="n"/>
      <c r="K211" s="540" t="inlineStr">
        <is>
          <t>已撤场</t>
        </is>
      </c>
      <c r="L211" s="540" t="inlineStr">
        <is>
          <t>位军浩</t>
        </is>
      </c>
      <c r="M211" s="540" t="n"/>
    </row>
    <row r="212">
      <c r="A212" s="540" t="n">
        <v>216</v>
      </c>
      <c r="B212" s="540" t="inlineStr">
        <is>
          <t>KQCY0216</t>
        </is>
      </c>
      <c r="C212" s="540" t="inlineStr">
        <is>
          <t>餐饮三分部</t>
        </is>
      </c>
      <c r="D212" s="540" t="inlineStr">
        <is>
          <t>CF780</t>
        </is>
      </c>
      <c r="E212" s="540" t="inlineStr">
        <is>
          <t>吉建大二食堂</t>
        </is>
      </c>
      <c r="F212" s="540" t="inlineStr">
        <is>
          <t>分组作业</t>
        </is>
      </c>
      <c r="G212" s="540" t="inlineStr">
        <is>
          <t>/</t>
        </is>
      </c>
      <c r="H212" s="540" t="inlineStr">
        <is>
          <t>猪脚饭</t>
        </is>
      </c>
      <c r="I212" s="540" t="inlineStr">
        <is>
          <t>陈超</t>
        </is>
      </c>
      <c r="J212" s="540" t="n">
        <v>8232.799999999999</v>
      </c>
      <c r="K212" s="540" t="n"/>
      <c r="L212" s="540" t="inlineStr">
        <is>
          <t>位军浩</t>
        </is>
      </c>
      <c r="M212" s="540" t="n"/>
    </row>
    <row r="213">
      <c r="A213" s="540" t="n">
        <v>217</v>
      </c>
      <c r="B213" s="540" t="inlineStr">
        <is>
          <t>KQCY0217</t>
        </is>
      </c>
      <c r="C213" s="540" t="inlineStr">
        <is>
          <t>餐饮三分部</t>
        </is>
      </c>
      <c r="D213" s="540" t="inlineStr">
        <is>
          <t>CF780</t>
        </is>
      </c>
      <c r="E213" s="540" t="inlineStr">
        <is>
          <t>吉建大二食堂</t>
        </is>
      </c>
      <c r="F213" s="540" t="inlineStr">
        <is>
          <t>分组作业</t>
        </is>
      </c>
      <c r="G213" s="540" t="inlineStr">
        <is>
          <t>/</t>
        </is>
      </c>
      <c r="H213" s="540" t="inlineStr">
        <is>
          <t>羊杂面</t>
        </is>
      </c>
      <c r="I213" s="540" t="inlineStr">
        <is>
          <t>扬中理</t>
        </is>
      </c>
      <c r="J213" s="540" t="n">
        <v>12957</v>
      </c>
      <c r="K213" s="540" t="n"/>
      <c r="L213" s="540" t="inlineStr">
        <is>
          <t>位军浩</t>
        </is>
      </c>
      <c r="M213" s="540" t="n"/>
    </row>
    <row r="214">
      <c r="A214" s="540" t="n">
        <v>218</v>
      </c>
      <c r="B214" s="540" t="inlineStr">
        <is>
          <t>KQCY0218</t>
        </is>
      </c>
      <c r="C214" s="540" t="inlineStr">
        <is>
          <t>餐饮三分部</t>
        </is>
      </c>
      <c r="D214" s="540" t="inlineStr">
        <is>
          <t>CF780</t>
        </is>
      </c>
      <c r="E214" s="540" t="inlineStr">
        <is>
          <t>吉建大二食堂</t>
        </is>
      </c>
      <c r="F214" s="540" t="inlineStr">
        <is>
          <t>分组作业</t>
        </is>
      </c>
      <c r="G214" s="540" t="inlineStr">
        <is>
          <t>/</t>
        </is>
      </c>
      <c r="H214" s="540" t="inlineStr">
        <is>
          <t>原粉公煮</t>
        </is>
      </c>
      <c r="I214" s="540" t="inlineStr">
        <is>
          <t>田卓</t>
        </is>
      </c>
      <c r="J214" s="540" t="n">
        <v>4964</v>
      </c>
      <c r="K214" s="540" t="n"/>
      <c r="L214" s="540" t="inlineStr">
        <is>
          <t>位军浩</t>
        </is>
      </c>
      <c r="M214" s="540" t="n"/>
    </row>
    <row r="215">
      <c r="A215" s="540" t="n">
        <v>219</v>
      </c>
      <c r="B215" s="540" t="inlineStr">
        <is>
          <t>KQCY0219</t>
        </is>
      </c>
      <c r="C215" s="540" t="inlineStr">
        <is>
          <t>餐饮三分部</t>
        </is>
      </c>
      <c r="D215" s="540" t="inlineStr">
        <is>
          <t>CF780</t>
        </is>
      </c>
      <c r="E215" s="540" t="inlineStr">
        <is>
          <t>吉建大二食堂</t>
        </is>
      </c>
      <c r="F215" s="540" t="inlineStr">
        <is>
          <t>分组作业</t>
        </is>
      </c>
      <c r="G215" s="540" t="inlineStr">
        <is>
          <t>/</t>
        </is>
      </c>
      <c r="H215" s="540" t="inlineStr">
        <is>
          <t>大块牛肉饭</t>
        </is>
      </c>
      <c r="I215" s="540" t="inlineStr">
        <is>
          <t>王亮</t>
        </is>
      </c>
      <c r="J215" s="540" t="n">
        <v>6714</v>
      </c>
      <c r="K215" s="540" t="n"/>
      <c r="L215" s="540" t="inlineStr">
        <is>
          <t>位军浩</t>
        </is>
      </c>
      <c r="M215" s="540" t="n"/>
    </row>
    <row r="216">
      <c r="A216" s="540" t="n">
        <v>220</v>
      </c>
      <c r="B216" s="540" t="inlineStr">
        <is>
          <t>KQCY0220</t>
        </is>
      </c>
      <c r="C216" s="540" t="inlineStr">
        <is>
          <t>餐饮三分部</t>
        </is>
      </c>
      <c r="D216" s="540" t="inlineStr">
        <is>
          <t>CF780</t>
        </is>
      </c>
      <c r="E216" s="540" t="inlineStr">
        <is>
          <t>吉建大二食堂</t>
        </is>
      </c>
      <c r="F216" s="540" t="inlineStr">
        <is>
          <t>分组作业</t>
        </is>
      </c>
      <c r="G216" s="540" t="inlineStr">
        <is>
          <t>/</t>
        </is>
      </c>
      <c r="H216" s="540" t="inlineStr">
        <is>
          <t>嘻哈密语</t>
        </is>
      </c>
      <c r="I216" s="540" t="inlineStr">
        <is>
          <t>陶志鹏</t>
        </is>
      </c>
      <c r="J216" s="540" t="n">
        <v>3402.31</v>
      </c>
      <c r="K216" s="540" t="n"/>
      <c r="L216" s="540" t="inlineStr">
        <is>
          <t>位军浩</t>
        </is>
      </c>
      <c r="M216" s="540" t="n"/>
    </row>
    <row r="217">
      <c r="A217" s="540" t="n">
        <v>221</v>
      </c>
      <c r="B217" s="540" t="inlineStr">
        <is>
          <t>KQCY0221</t>
        </is>
      </c>
      <c r="C217" s="540" t="inlineStr">
        <is>
          <t>餐饮三分部</t>
        </is>
      </c>
      <c r="D217" s="540" t="inlineStr">
        <is>
          <t>CF780</t>
        </is>
      </c>
      <c r="E217" s="540" t="inlineStr">
        <is>
          <t>吉建大二食堂</t>
        </is>
      </c>
      <c r="F217" s="540" t="inlineStr">
        <is>
          <t>分组作业</t>
        </is>
      </c>
      <c r="G217" s="540" t="inlineStr">
        <is>
          <t>/</t>
        </is>
      </c>
      <c r="H217" s="540" t="inlineStr">
        <is>
          <t>炸鸡汉堡</t>
        </is>
      </c>
      <c r="I217" s="540" t="inlineStr">
        <is>
          <t>隗伟</t>
        </is>
      </c>
      <c r="J217" s="540" t="n">
        <v>2697.2</v>
      </c>
      <c r="K217" s="540" t="n"/>
      <c r="L217" s="540" t="inlineStr">
        <is>
          <t>位军浩</t>
        </is>
      </c>
      <c r="M217" s="540" t="n"/>
    </row>
    <row r="218">
      <c r="A218" s="540" t="n">
        <v>222</v>
      </c>
      <c r="B218" s="540" t="inlineStr">
        <is>
          <t>KQCY0222</t>
        </is>
      </c>
      <c r="C218" s="540" t="inlineStr">
        <is>
          <t>餐饮三分部</t>
        </is>
      </c>
      <c r="D218" s="540" t="inlineStr">
        <is>
          <t>CF780</t>
        </is>
      </c>
      <c r="E218" s="540" t="inlineStr">
        <is>
          <t>吉建大二食堂</t>
        </is>
      </c>
      <c r="F218" s="540" t="inlineStr">
        <is>
          <t>分组作业</t>
        </is>
      </c>
      <c r="G218" s="540" t="inlineStr">
        <is>
          <t>/</t>
        </is>
      </c>
      <c r="H218" s="540" t="inlineStr">
        <is>
          <t>九阳豆浆</t>
        </is>
      </c>
      <c r="I218" s="540" t="inlineStr">
        <is>
          <t>李宝友</t>
        </is>
      </c>
      <c r="J218" s="540" t="n">
        <v>1772</v>
      </c>
      <c r="K218" s="540" t="n"/>
      <c r="L218" s="540" t="inlineStr">
        <is>
          <t>位军浩</t>
        </is>
      </c>
      <c r="M218" s="540" t="n"/>
    </row>
    <row r="219">
      <c r="A219" s="540" t="n">
        <v>223</v>
      </c>
      <c r="B219" s="540" t="inlineStr">
        <is>
          <t>KQCY0223</t>
        </is>
      </c>
      <c r="C219" s="540" t="inlineStr">
        <is>
          <t>餐饮三分部</t>
        </is>
      </c>
      <c r="D219" s="540" t="inlineStr">
        <is>
          <t>CF780</t>
        </is>
      </c>
      <c r="E219" s="540" t="inlineStr">
        <is>
          <t>吉建大二食堂</t>
        </is>
      </c>
      <c r="F219" s="540" t="inlineStr">
        <is>
          <t>分组作业</t>
        </is>
      </c>
      <c r="G219" s="540" t="inlineStr">
        <is>
          <t>/</t>
        </is>
      </c>
      <c r="H219" s="540" t="inlineStr">
        <is>
          <t>杂粮煎饼</t>
        </is>
      </c>
      <c r="I219" s="540" t="inlineStr">
        <is>
          <t>仲伟兴</t>
        </is>
      </c>
      <c r="J219" s="540" t="n">
        <v>1353</v>
      </c>
      <c r="K219" s="540" t="n"/>
      <c r="L219" s="540" t="inlineStr">
        <is>
          <t>位军浩</t>
        </is>
      </c>
      <c r="M219" s="540" t="n"/>
    </row>
    <row r="220">
      <c r="A220" s="540" t="n">
        <v>224</v>
      </c>
      <c r="B220" s="540" t="inlineStr">
        <is>
          <t>KQCY0224</t>
        </is>
      </c>
      <c r="C220" s="540" t="inlineStr">
        <is>
          <t>餐饮三分部</t>
        </is>
      </c>
      <c r="D220" s="540" t="inlineStr">
        <is>
          <t>CF780</t>
        </is>
      </c>
      <c r="E220" s="540" t="inlineStr">
        <is>
          <t>吉建大二食堂</t>
        </is>
      </c>
      <c r="F220" s="540" t="inlineStr">
        <is>
          <t>分组作业</t>
        </is>
      </c>
      <c r="G220" s="540" t="inlineStr">
        <is>
          <t>/</t>
        </is>
      </c>
      <c r="H220" s="540" t="inlineStr">
        <is>
          <t>特色餐厅</t>
        </is>
      </c>
      <c r="I220" s="540" t="inlineStr">
        <is>
          <t>王友峰</t>
        </is>
      </c>
      <c r="J220" s="540" t="n">
        <v>3517.2</v>
      </c>
      <c r="K220" s="540" t="n"/>
      <c r="L220" s="540" t="inlineStr">
        <is>
          <t>位军浩</t>
        </is>
      </c>
      <c r="M220" s="540" t="n"/>
    </row>
    <row r="221">
      <c r="A221" s="540" t="n">
        <v>225</v>
      </c>
      <c r="B221" s="540" t="inlineStr">
        <is>
          <t>KQCY0225</t>
        </is>
      </c>
      <c r="C221" s="540" t="inlineStr">
        <is>
          <t>餐饮三分部</t>
        </is>
      </c>
      <c r="D221" s="540" t="inlineStr">
        <is>
          <t>CF641</t>
        </is>
      </c>
      <c r="E221" s="540" t="inlineStr">
        <is>
          <t>中山大学北学二食堂</t>
        </is>
      </c>
      <c r="F221" s="540" t="inlineStr">
        <is>
          <t>自营</t>
        </is>
      </c>
      <c r="G221" s="540" t="inlineStr">
        <is>
          <t>自营</t>
        </is>
      </c>
      <c r="H221" s="540" t="inlineStr">
        <is>
          <t>/</t>
        </is>
      </c>
      <c r="I221" s="540" t="inlineStr">
        <is>
          <t>/</t>
        </is>
      </c>
      <c r="J221" s="540" t="n">
        <v>0</v>
      </c>
      <c r="K221" s="540" t="n"/>
      <c r="L221" s="540" t="inlineStr">
        <is>
          <t>位军浩</t>
        </is>
      </c>
      <c r="M221" s="540" t="n"/>
    </row>
    <row r="222">
      <c r="A222" s="540" t="n">
        <v>226</v>
      </c>
      <c r="B222" s="540" t="inlineStr">
        <is>
          <t>KQCY0226</t>
        </is>
      </c>
      <c r="C222" s="540" t="inlineStr">
        <is>
          <t>餐饮三分部</t>
        </is>
      </c>
      <c r="D222" s="540" t="inlineStr">
        <is>
          <t>CF641</t>
        </is>
      </c>
      <c r="E222" s="540" t="inlineStr">
        <is>
          <t>中山大学北学二食堂</t>
        </is>
      </c>
      <c r="F222" s="540" t="inlineStr">
        <is>
          <t>分组作业</t>
        </is>
      </c>
      <c r="G222" s="540" t="inlineStr">
        <is>
          <t>第一班组</t>
        </is>
      </c>
      <c r="H222" s="540" t="inlineStr">
        <is>
          <t>早点（大众餐、粉面）</t>
        </is>
      </c>
      <c r="I222" s="540" t="inlineStr">
        <is>
          <t>蒲久龙</t>
        </is>
      </c>
      <c r="J222" s="540" t="n">
        <v>0</v>
      </c>
      <c r="K222" s="540" t="n"/>
      <c r="L222" s="540" t="inlineStr">
        <is>
          <t>位军浩</t>
        </is>
      </c>
      <c r="M222" s="540" t="n"/>
    </row>
    <row r="223">
      <c r="A223" s="540" t="n">
        <v>227</v>
      </c>
      <c r="B223" s="540" t="inlineStr">
        <is>
          <t>KQCY0227</t>
        </is>
      </c>
      <c r="C223" s="540" t="inlineStr">
        <is>
          <t>餐饮三分部</t>
        </is>
      </c>
      <c r="D223" s="540" t="inlineStr">
        <is>
          <t>CF641</t>
        </is>
      </c>
      <c r="E223" s="540" t="inlineStr">
        <is>
          <t>中山大学北学二食堂</t>
        </is>
      </c>
      <c r="F223" s="540" t="inlineStr">
        <is>
          <t>分组作业</t>
        </is>
      </c>
      <c r="G223" s="540" t="inlineStr">
        <is>
          <t>第二班组</t>
        </is>
      </c>
      <c r="H223" s="540" t="inlineStr">
        <is>
          <t>喜多多扒饭</t>
        </is>
      </c>
      <c r="I223" s="540" t="inlineStr">
        <is>
          <t>郝晓敏</t>
        </is>
      </c>
      <c r="J223" s="540" t="n">
        <v>0</v>
      </c>
      <c r="K223" s="540" t="n"/>
      <c r="L223" s="540" t="inlineStr">
        <is>
          <t>位军浩</t>
        </is>
      </c>
      <c r="M223" s="540" t="n"/>
    </row>
    <row r="224">
      <c r="A224" s="540" t="n">
        <v>228</v>
      </c>
      <c r="B224" s="540" t="inlineStr">
        <is>
          <t>KQCY0228</t>
        </is>
      </c>
      <c r="C224" s="540" t="inlineStr">
        <is>
          <t>餐饮三分部</t>
        </is>
      </c>
      <c r="D224" s="540" t="inlineStr">
        <is>
          <t>CF641</t>
        </is>
      </c>
      <c r="E224" s="540" t="inlineStr">
        <is>
          <t>中山大学北学二食堂</t>
        </is>
      </c>
      <c r="F224" s="540" t="inlineStr">
        <is>
          <t>分组作业</t>
        </is>
      </c>
      <c r="G224" s="540" t="inlineStr">
        <is>
          <t>第三班组</t>
        </is>
      </c>
      <c r="H224" s="540" t="inlineStr">
        <is>
          <t>香锅（麻辣烫）</t>
        </is>
      </c>
      <c r="I224" s="540" t="inlineStr">
        <is>
          <t>魏国义</t>
        </is>
      </c>
      <c r="J224" s="540" t="n">
        <v>0</v>
      </c>
      <c r="K224" s="540" t="n"/>
      <c r="L224" s="540" t="inlineStr">
        <is>
          <t>位军浩</t>
        </is>
      </c>
      <c r="M224" s="540" t="n"/>
    </row>
    <row r="225">
      <c r="A225" s="540" t="n">
        <v>229</v>
      </c>
      <c r="B225" s="540" t="inlineStr">
        <is>
          <t>KQCY0229</t>
        </is>
      </c>
      <c r="C225" s="540" t="inlineStr">
        <is>
          <t>餐饮三分部</t>
        </is>
      </c>
      <c r="D225" s="540" t="inlineStr">
        <is>
          <t>CF641</t>
        </is>
      </c>
      <c r="E225" s="540" t="inlineStr">
        <is>
          <t>中山大学北学二食堂</t>
        </is>
      </c>
      <c r="F225" s="540" t="inlineStr">
        <is>
          <t>分组作业</t>
        </is>
      </c>
      <c r="G225" s="540" t="inlineStr">
        <is>
          <t>第四班组</t>
        </is>
      </c>
      <c r="H225" s="540" t="inlineStr">
        <is>
          <t>面条（螺蛳粉）</t>
        </is>
      </c>
      <c r="I225" s="540" t="inlineStr">
        <is>
          <t>张玉雷</t>
        </is>
      </c>
      <c r="J225" s="540" t="n">
        <v>0</v>
      </c>
      <c r="K225" s="540" t="n"/>
      <c r="L225" s="540" t="inlineStr">
        <is>
          <t>位军浩</t>
        </is>
      </c>
      <c r="M225" s="540" t="n"/>
    </row>
    <row r="226">
      <c r="A226" s="540" t="n">
        <v>230</v>
      </c>
      <c r="B226" s="540" t="inlineStr">
        <is>
          <t>KQCY0230</t>
        </is>
      </c>
      <c r="C226" s="540" t="inlineStr">
        <is>
          <t>餐饮三分部</t>
        </is>
      </c>
      <c r="D226" s="540" t="inlineStr">
        <is>
          <t>CF641</t>
        </is>
      </c>
      <c r="E226" s="540" t="inlineStr">
        <is>
          <t>中山大学北学二食堂</t>
        </is>
      </c>
      <c r="F226" s="540" t="inlineStr">
        <is>
          <t>分组作业</t>
        </is>
      </c>
      <c r="G226" s="540" t="inlineStr">
        <is>
          <t>第五班组</t>
        </is>
      </c>
      <c r="H226" s="540" t="inlineStr">
        <is>
          <t>牛肉饭（烤肉拌饭）</t>
        </is>
      </c>
      <c r="I226" s="540" t="inlineStr">
        <is>
          <t>张磊</t>
        </is>
      </c>
      <c r="J226" s="540" t="n">
        <v>0</v>
      </c>
      <c r="K226" s="540" t="n"/>
      <c r="L226" s="540" t="inlineStr">
        <is>
          <t>位军浩</t>
        </is>
      </c>
      <c r="M226" s="540" t="n"/>
    </row>
    <row r="227">
      <c r="A227" s="540" t="n">
        <v>231</v>
      </c>
      <c r="B227" s="540" t="inlineStr">
        <is>
          <t>KQCY0231</t>
        </is>
      </c>
      <c r="C227" s="540" t="inlineStr">
        <is>
          <t>餐饮三分部</t>
        </is>
      </c>
      <c r="D227" s="540" t="inlineStr">
        <is>
          <t>CF640</t>
        </is>
      </c>
      <c r="E227" s="540" t="inlineStr">
        <is>
          <t>广东财大雅食园食堂</t>
        </is>
      </c>
      <c r="F227" s="540" t="inlineStr">
        <is>
          <t>自营</t>
        </is>
      </c>
      <c r="G227" s="540" t="inlineStr">
        <is>
          <t>自营</t>
        </is>
      </c>
      <c r="H227" s="540" t="inlineStr">
        <is>
          <t>/</t>
        </is>
      </c>
      <c r="I227" s="540" t="inlineStr">
        <is>
          <t>/</t>
        </is>
      </c>
      <c r="J227" s="540" t="n"/>
      <c r="K227" s="540" t="inlineStr">
        <is>
          <t>已撤场</t>
        </is>
      </c>
      <c r="L227" s="540" t="inlineStr">
        <is>
          <t>位军浩</t>
        </is>
      </c>
      <c r="M227" s="540" t="n"/>
    </row>
    <row r="228">
      <c r="A228" s="540" t="n">
        <v>232</v>
      </c>
      <c r="B228" s="540" t="inlineStr">
        <is>
          <t>KQCY0232</t>
        </is>
      </c>
      <c r="C228" s="540" t="inlineStr">
        <is>
          <t>餐饮三分部</t>
        </is>
      </c>
      <c r="D228" s="540" t="inlineStr">
        <is>
          <t>CF640</t>
        </is>
      </c>
      <c r="E228" s="540" t="inlineStr">
        <is>
          <t>广东财大雅食园食堂</t>
        </is>
      </c>
      <c r="F228" s="540" t="inlineStr">
        <is>
          <t>分组作业</t>
        </is>
      </c>
      <c r="G228" s="540" t="inlineStr">
        <is>
          <t>第一班组</t>
        </is>
      </c>
      <c r="H228" s="540" t="inlineStr">
        <is>
          <t>早点(大众餐)</t>
        </is>
      </c>
      <c r="I228" s="540" t="inlineStr">
        <is>
          <t>黄国青</t>
        </is>
      </c>
      <c r="J228" s="540" t="n"/>
      <c r="K228" s="540" t="inlineStr">
        <is>
          <t>已撤场</t>
        </is>
      </c>
      <c r="L228" s="540" t="inlineStr">
        <is>
          <t>位军浩</t>
        </is>
      </c>
      <c r="M228" s="540" t="n"/>
    </row>
    <row r="229">
      <c r="A229" s="540" t="n">
        <v>233</v>
      </c>
      <c r="B229" s="540" t="inlineStr">
        <is>
          <t>KQCY0233</t>
        </is>
      </c>
      <c r="C229" s="540" t="inlineStr">
        <is>
          <t>餐饮三分部</t>
        </is>
      </c>
      <c r="D229" s="540" t="inlineStr">
        <is>
          <t>CF781</t>
        </is>
      </c>
      <c r="E229" s="540" t="inlineStr">
        <is>
          <t>苏食院第一学生食堂</t>
        </is>
      </c>
      <c r="F229" s="540" t="inlineStr">
        <is>
          <t>自营</t>
        </is>
      </c>
      <c r="G229" s="540" t="inlineStr">
        <is>
          <t>自营</t>
        </is>
      </c>
      <c r="H229" s="540" t="inlineStr">
        <is>
          <t>/</t>
        </is>
      </c>
      <c r="I229" s="540" t="inlineStr">
        <is>
          <t>/</t>
        </is>
      </c>
      <c r="J229" s="540" t="n">
        <v>0</v>
      </c>
      <c r="K229" s="540" t="n"/>
      <c r="L229" s="540" t="inlineStr">
        <is>
          <t>位军浩</t>
        </is>
      </c>
      <c r="M229" s="540" t="n"/>
    </row>
    <row r="230">
      <c r="A230" s="540" t="n">
        <v>234</v>
      </c>
      <c r="B230" s="540" t="inlineStr">
        <is>
          <t>KQCY0234</t>
        </is>
      </c>
      <c r="C230" s="540" t="inlineStr">
        <is>
          <t>餐饮三分部</t>
        </is>
      </c>
      <c r="D230" s="540" t="inlineStr">
        <is>
          <t>CF781</t>
        </is>
      </c>
      <c r="E230" s="540" t="inlineStr">
        <is>
          <t>苏食院第一学生食堂</t>
        </is>
      </c>
      <c r="F230" s="540" t="inlineStr">
        <is>
          <t>分组作业</t>
        </is>
      </c>
      <c r="G230" s="540" t="inlineStr">
        <is>
          <t>/</t>
        </is>
      </c>
      <c r="H230" s="540" t="inlineStr">
        <is>
          <t>兰州拉面</t>
        </is>
      </c>
      <c r="I230" s="540" t="inlineStr">
        <is>
          <t>马金明</t>
        </is>
      </c>
      <c r="J230" s="540" t="n">
        <v>0</v>
      </c>
      <c r="K230" s="540" t="inlineStr">
        <is>
          <t>已撤场</t>
        </is>
      </c>
      <c r="L230" s="540" t="inlineStr">
        <is>
          <t>位军浩</t>
        </is>
      </c>
      <c r="M230" s="540" t="n"/>
    </row>
    <row r="231">
      <c r="A231" s="540" t="n">
        <v>235</v>
      </c>
      <c r="B231" s="540" t="inlineStr">
        <is>
          <t>KQCY0235</t>
        </is>
      </c>
      <c r="C231" s="540" t="inlineStr">
        <is>
          <t>餐饮三分部</t>
        </is>
      </c>
      <c r="D231" s="540" t="inlineStr">
        <is>
          <t>CF781</t>
        </is>
      </c>
      <c r="E231" s="540" t="inlineStr">
        <is>
          <t>苏食院第一学生食堂</t>
        </is>
      </c>
      <c r="F231" s="540" t="inlineStr">
        <is>
          <t>分组作业</t>
        </is>
      </c>
      <c r="G231" s="540" t="inlineStr">
        <is>
          <t>/</t>
        </is>
      </c>
      <c r="H231" s="540" t="inlineStr">
        <is>
          <t>米线</t>
        </is>
      </c>
      <c r="I231" s="540" t="inlineStr">
        <is>
          <t>许慧强</t>
        </is>
      </c>
      <c r="J231" s="540" t="n">
        <v>0</v>
      </c>
      <c r="K231" s="540" t="inlineStr">
        <is>
          <t>已撤场</t>
        </is>
      </c>
      <c r="L231" s="540" t="inlineStr">
        <is>
          <t>位军浩</t>
        </is>
      </c>
      <c r="M231" s="540" t="n"/>
    </row>
    <row r="232">
      <c r="A232" s="540" t="n">
        <v>236</v>
      </c>
      <c r="B232" s="540" t="inlineStr">
        <is>
          <t>KQCY0236</t>
        </is>
      </c>
      <c r="C232" s="540" t="inlineStr">
        <is>
          <t>餐饮三分部</t>
        </is>
      </c>
      <c r="D232" s="540" t="inlineStr">
        <is>
          <t>CF781</t>
        </is>
      </c>
      <c r="E232" s="540" t="inlineStr">
        <is>
          <t>苏食院第一学生食堂</t>
        </is>
      </c>
      <c r="F232" s="540" t="inlineStr">
        <is>
          <t>分组作业</t>
        </is>
      </c>
      <c r="G232" s="540" t="inlineStr">
        <is>
          <t>/</t>
        </is>
      </c>
      <c r="H232" s="540" t="inlineStr">
        <is>
          <t>早点</t>
        </is>
      </c>
      <c r="I232" s="540" t="inlineStr">
        <is>
          <t>李帮</t>
        </is>
      </c>
      <c r="J232" s="540" t="n">
        <v>9520.709999999999</v>
      </c>
      <c r="K232" s="540" t="n"/>
      <c r="L232" s="540" t="inlineStr">
        <is>
          <t>位军浩</t>
        </is>
      </c>
      <c r="M232" s="540" t="n"/>
    </row>
    <row r="233">
      <c r="A233" s="540" t="n">
        <v>237</v>
      </c>
      <c r="B233" s="540" t="inlineStr">
        <is>
          <t>KQCY0237</t>
        </is>
      </c>
      <c r="C233" s="540" t="inlineStr">
        <is>
          <t>餐饮三分部</t>
        </is>
      </c>
      <c r="D233" s="540" t="inlineStr">
        <is>
          <t>CF781</t>
        </is>
      </c>
      <c r="E233" s="540" t="inlineStr">
        <is>
          <t>苏食院第一学生食堂</t>
        </is>
      </c>
      <c r="F233" s="540" t="inlineStr">
        <is>
          <t>分组作业</t>
        </is>
      </c>
      <c r="G233" s="540" t="inlineStr">
        <is>
          <t>/</t>
        </is>
      </c>
      <c r="H233" s="540" t="inlineStr">
        <is>
          <t>快餐</t>
        </is>
      </c>
      <c r="I233" s="540" t="inlineStr">
        <is>
          <t>吴荣花</t>
        </is>
      </c>
      <c r="J233" s="540" t="n">
        <v>49898.76</v>
      </c>
      <c r="K233" s="540" t="n"/>
      <c r="L233" s="540" t="inlineStr">
        <is>
          <t>位军浩</t>
        </is>
      </c>
      <c r="M233" s="540" t="n"/>
    </row>
    <row r="234">
      <c r="A234" s="540" t="n">
        <v>238</v>
      </c>
      <c r="B234" s="540" t="inlineStr">
        <is>
          <t>KQCY0238</t>
        </is>
      </c>
      <c r="C234" s="540" t="inlineStr">
        <is>
          <t>餐饮三分部</t>
        </is>
      </c>
      <c r="D234" s="540" t="inlineStr">
        <is>
          <t>CF781</t>
        </is>
      </c>
      <c r="E234" s="540" t="inlineStr">
        <is>
          <t>苏食院第一学生食堂</t>
        </is>
      </c>
      <c r="F234" s="540" t="inlineStr">
        <is>
          <t>分组作业</t>
        </is>
      </c>
      <c r="G234" s="540" t="inlineStr">
        <is>
          <t>/</t>
        </is>
      </c>
      <c r="H234" s="540" t="inlineStr">
        <is>
          <t>羊杂面</t>
        </is>
      </c>
      <c r="I234" s="540" t="inlineStr">
        <is>
          <t>许慧强</t>
        </is>
      </c>
      <c r="J234" s="540" t="n">
        <v>17825.7</v>
      </c>
      <c r="K234" s="540" t="n"/>
      <c r="L234" s="540" t="inlineStr">
        <is>
          <t>位军浩</t>
        </is>
      </c>
      <c r="M234" s="540" t="n"/>
    </row>
    <row r="235">
      <c r="A235" s="540" t="n">
        <v>239</v>
      </c>
      <c r="B235" s="540" t="inlineStr">
        <is>
          <t>KQCY0239</t>
        </is>
      </c>
      <c r="C235" s="540" t="inlineStr">
        <is>
          <t>餐饮三分部</t>
        </is>
      </c>
      <c r="D235" s="540" t="inlineStr">
        <is>
          <t>CF781</t>
        </is>
      </c>
      <c r="E235" s="540" t="inlineStr">
        <is>
          <t>苏食院第一学生食堂</t>
        </is>
      </c>
      <c r="F235" s="540" t="inlineStr">
        <is>
          <t>分组作业</t>
        </is>
      </c>
      <c r="G235" s="540" t="inlineStr">
        <is>
          <t>/</t>
        </is>
      </c>
      <c r="H235" s="540" t="inlineStr">
        <is>
          <t>牛肉粉丝汤</t>
        </is>
      </c>
      <c r="I235" s="540" t="inlineStr">
        <is>
          <t>张宗芳</t>
        </is>
      </c>
      <c r="J235" s="540" t="n">
        <v>0</v>
      </c>
      <c r="K235" s="540" t="inlineStr">
        <is>
          <t>已撤场</t>
        </is>
      </c>
      <c r="L235" s="540" t="inlineStr">
        <is>
          <t>位军浩</t>
        </is>
      </c>
      <c r="M235" s="540" t="n"/>
    </row>
    <row r="236">
      <c r="A236" s="540" t="n">
        <v>240</v>
      </c>
      <c r="B236" s="540" t="inlineStr">
        <is>
          <t>KQCY0240</t>
        </is>
      </c>
      <c r="C236" s="540" t="inlineStr">
        <is>
          <t>餐饮三分部</t>
        </is>
      </c>
      <c r="D236" s="540" t="inlineStr">
        <is>
          <t>CF781</t>
        </is>
      </c>
      <c r="E236" s="540" t="inlineStr">
        <is>
          <t>苏食院第一学生食堂</t>
        </is>
      </c>
      <c r="F236" s="540" t="inlineStr">
        <is>
          <t>分组作业</t>
        </is>
      </c>
      <c r="G236" s="540" t="inlineStr">
        <is>
          <t>/</t>
        </is>
      </c>
      <c r="H236" s="540" t="inlineStr">
        <is>
          <t>汤包蒸饺</t>
        </is>
      </c>
      <c r="I236" s="540" t="inlineStr">
        <is>
          <t>嵇炜</t>
        </is>
      </c>
      <c r="J236" s="540" t="n">
        <v>2729.87</v>
      </c>
      <c r="K236" s="540" t="n"/>
      <c r="L236" s="540" t="inlineStr">
        <is>
          <t>位军浩</t>
        </is>
      </c>
      <c r="M236" s="540" t="n"/>
    </row>
    <row r="237">
      <c r="A237" s="540" t="n">
        <v>241</v>
      </c>
      <c r="B237" s="540" t="inlineStr">
        <is>
          <t>KQCY0241</t>
        </is>
      </c>
      <c r="C237" s="540" t="inlineStr">
        <is>
          <t>餐饮三分部</t>
        </is>
      </c>
      <c r="D237" s="540" t="inlineStr">
        <is>
          <t>CF781</t>
        </is>
      </c>
      <c r="E237" s="540" t="inlineStr">
        <is>
          <t>苏食院第一学生食堂</t>
        </is>
      </c>
      <c r="F237" s="540" t="inlineStr">
        <is>
          <t>分组作业</t>
        </is>
      </c>
      <c r="G237" s="540" t="inlineStr">
        <is>
          <t>/</t>
        </is>
      </c>
      <c r="H237" s="540" t="inlineStr">
        <is>
          <t>套餐饭</t>
        </is>
      </c>
      <c r="I237" s="540" t="inlineStr">
        <is>
          <t>白亚雪</t>
        </is>
      </c>
      <c r="J237" s="540" t="n">
        <v>773.6900000000001</v>
      </c>
      <c r="K237" s="540" t="n"/>
      <c r="L237" s="540" t="inlineStr">
        <is>
          <t>位军浩</t>
        </is>
      </c>
      <c r="M237" s="540" t="n"/>
    </row>
    <row r="238">
      <c r="A238" s="540" t="n">
        <v>242</v>
      </c>
      <c r="B238" s="540" t="inlineStr">
        <is>
          <t>KQCY0242</t>
        </is>
      </c>
      <c r="C238" s="540" t="inlineStr">
        <is>
          <t>餐饮三分部</t>
        </is>
      </c>
      <c r="D238" s="540" t="inlineStr">
        <is>
          <t>CF781</t>
        </is>
      </c>
      <c r="E238" s="540" t="inlineStr">
        <is>
          <t>苏食院第一学生食堂</t>
        </is>
      </c>
      <c r="F238" s="540" t="inlineStr">
        <is>
          <t>分组作业</t>
        </is>
      </c>
      <c r="G238" s="540" t="inlineStr">
        <is>
          <t>/</t>
        </is>
      </c>
      <c r="H238" s="540" t="inlineStr">
        <is>
          <t>拉面</t>
        </is>
      </c>
      <c r="I238" s="540" t="inlineStr">
        <is>
          <t>李小东</t>
        </is>
      </c>
      <c r="J238" s="540" t="n">
        <v>0</v>
      </c>
      <c r="K238" s="540" t="inlineStr">
        <is>
          <t>八月未经营</t>
        </is>
      </c>
      <c r="L238" s="540" t="inlineStr">
        <is>
          <t>位军浩</t>
        </is>
      </c>
      <c r="M238" s="540" t="n"/>
    </row>
    <row r="239">
      <c r="A239" s="540" t="n">
        <v>243</v>
      </c>
      <c r="B239" s="540" t="inlineStr">
        <is>
          <t>KQCY0243</t>
        </is>
      </c>
      <c r="C239" s="540" t="inlineStr">
        <is>
          <t>餐饮三分部</t>
        </is>
      </c>
      <c r="D239" s="540" t="inlineStr">
        <is>
          <t>CF781</t>
        </is>
      </c>
      <c r="E239" s="540" t="inlineStr">
        <is>
          <t>苏食院第一学生食堂</t>
        </is>
      </c>
      <c r="F239" s="540" t="inlineStr">
        <is>
          <t>分组作业</t>
        </is>
      </c>
      <c r="G239" s="540" t="inlineStr">
        <is>
          <t>/</t>
        </is>
      </c>
      <c r="H239" s="540" t="inlineStr">
        <is>
          <t>水吧</t>
        </is>
      </c>
      <c r="I239" s="540" t="inlineStr">
        <is>
          <t>王树松</t>
        </is>
      </c>
      <c r="J239" s="540" t="n">
        <v>0</v>
      </c>
      <c r="K239" s="540" t="inlineStr">
        <is>
          <t>已撤场</t>
        </is>
      </c>
      <c r="L239" s="540" t="inlineStr">
        <is>
          <t>位军浩</t>
        </is>
      </c>
      <c r="M239" s="540" t="n"/>
    </row>
    <row r="240">
      <c r="A240" s="540" t="n">
        <v>244</v>
      </c>
      <c r="B240" s="540" t="inlineStr">
        <is>
          <t>KQCY0244</t>
        </is>
      </c>
      <c r="C240" s="540" t="inlineStr">
        <is>
          <t>餐饮三分部</t>
        </is>
      </c>
      <c r="D240" s="540" t="inlineStr">
        <is>
          <t>CF781</t>
        </is>
      </c>
      <c r="E240" s="540" t="inlineStr">
        <is>
          <t>苏食院第一学生食堂</t>
        </is>
      </c>
      <c r="F240" s="540" t="inlineStr">
        <is>
          <t>分组作业</t>
        </is>
      </c>
      <c r="G240" s="540" t="inlineStr">
        <is>
          <t>/</t>
        </is>
      </c>
      <c r="H240" s="540" t="inlineStr">
        <is>
          <t>面包</t>
        </is>
      </c>
      <c r="I240" s="540" t="inlineStr">
        <is>
          <t>汪雨凤</t>
        </is>
      </c>
      <c r="J240" s="540" t="n">
        <v>0</v>
      </c>
      <c r="K240" s="540" t="inlineStr">
        <is>
          <t>已撤场</t>
        </is>
      </c>
      <c r="L240" s="540" t="inlineStr">
        <is>
          <t>位军浩</t>
        </is>
      </c>
      <c r="M240" s="540" t="n"/>
    </row>
    <row r="241">
      <c r="A241" s="540" t="n">
        <v>245</v>
      </c>
      <c r="B241" s="540" t="inlineStr">
        <is>
          <t>KQCY0245</t>
        </is>
      </c>
      <c r="C241" s="540" t="inlineStr">
        <is>
          <t>餐饮三分部</t>
        </is>
      </c>
      <c r="D241" s="540" t="inlineStr">
        <is>
          <t>CF781</t>
        </is>
      </c>
      <c r="E241" s="540" t="inlineStr">
        <is>
          <t>苏食院第一学生食堂</t>
        </is>
      </c>
      <c r="F241" s="540" t="inlineStr">
        <is>
          <t>分组作业</t>
        </is>
      </c>
      <c r="G241" s="540" t="inlineStr">
        <is>
          <t>/</t>
        </is>
      </c>
      <c r="H241" s="540" t="inlineStr">
        <is>
          <t>蹦蹦鸡</t>
        </is>
      </c>
      <c r="I241" s="540" t="inlineStr">
        <is>
          <t>朱海涛</t>
        </is>
      </c>
      <c r="J241" s="540" t="n">
        <v>0</v>
      </c>
      <c r="K241" s="540" t="inlineStr">
        <is>
          <t>已撤场</t>
        </is>
      </c>
      <c r="L241" s="540" t="inlineStr">
        <is>
          <t>位军浩</t>
        </is>
      </c>
      <c r="M241" s="540" t="n"/>
    </row>
    <row r="242">
      <c r="A242" s="540" t="n">
        <v>246</v>
      </c>
      <c r="B242" s="540" t="inlineStr">
        <is>
          <t>KQCY0246</t>
        </is>
      </c>
      <c r="C242" s="540" t="inlineStr">
        <is>
          <t>餐饮三分部</t>
        </is>
      </c>
      <c r="D242" s="540" t="inlineStr">
        <is>
          <t>CF781</t>
        </is>
      </c>
      <c r="E242" s="540" t="inlineStr">
        <is>
          <t>苏食院第一学生食堂</t>
        </is>
      </c>
      <c r="F242" s="540" t="inlineStr">
        <is>
          <t>分组作业</t>
        </is>
      </c>
      <c r="G242" s="540" t="inlineStr">
        <is>
          <t>/</t>
        </is>
      </c>
      <c r="H242" s="540" t="inlineStr">
        <is>
          <t>水饺</t>
        </is>
      </c>
      <c r="I242" s="540" t="inlineStr">
        <is>
          <t>刘淑平</t>
        </is>
      </c>
      <c r="J242" s="540" t="n">
        <v>1151.62</v>
      </c>
      <c r="K242" s="540" t="n"/>
      <c r="L242" s="540" t="inlineStr">
        <is>
          <t>位军浩</t>
        </is>
      </c>
      <c r="M242" s="540" t="n"/>
    </row>
    <row r="243">
      <c r="A243" s="540" t="n">
        <v>247</v>
      </c>
      <c r="B243" s="540" t="inlineStr">
        <is>
          <t>KQCY0247</t>
        </is>
      </c>
      <c r="C243" s="540" t="inlineStr">
        <is>
          <t>餐饮三分部</t>
        </is>
      </c>
      <c r="D243" s="540" t="inlineStr">
        <is>
          <t>CF781</t>
        </is>
      </c>
      <c r="E243" s="540" t="inlineStr">
        <is>
          <t>苏食院第一学生食堂</t>
        </is>
      </c>
      <c r="F243" s="540" t="inlineStr">
        <is>
          <t>分组作业</t>
        </is>
      </c>
      <c r="G243" s="540" t="inlineStr">
        <is>
          <t>/</t>
        </is>
      </c>
      <c r="H243" s="540" t="inlineStr">
        <is>
          <t>0900汉堡</t>
        </is>
      </c>
      <c r="I243" s="540" t="inlineStr">
        <is>
          <t>张文浩</t>
        </is>
      </c>
      <c r="J243" s="540" t="n">
        <v>3020.33</v>
      </c>
      <c r="K243" s="540" t="n"/>
      <c r="L243" s="540" t="inlineStr">
        <is>
          <t>位军浩</t>
        </is>
      </c>
      <c r="M243" s="540" t="n"/>
    </row>
    <row r="244">
      <c r="A244" s="540" t="n">
        <v>248</v>
      </c>
      <c r="B244" s="540" t="inlineStr">
        <is>
          <t>KQCY0248</t>
        </is>
      </c>
      <c r="C244" s="540" t="inlineStr">
        <is>
          <t>餐饮三分部</t>
        </is>
      </c>
      <c r="D244" s="540" t="inlineStr">
        <is>
          <t>CF781</t>
        </is>
      </c>
      <c r="E244" s="540" t="inlineStr">
        <is>
          <t>苏食院第一学生食堂</t>
        </is>
      </c>
      <c r="F244" s="540" t="inlineStr">
        <is>
          <t>分组作业</t>
        </is>
      </c>
      <c r="G244" s="540" t="inlineStr">
        <is>
          <t>/</t>
        </is>
      </c>
      <c r="H244" s="540" t="inlineStr">
        <is>
          <t>煎饼果子</t>
        </is>
      </c>
      <c r="I244" s="540" t="inlineStr">
        <is>
          <t>朱小林</t>
        </is>
      </c>
      <c r="J244" s="540" t="n">
        <v>2070.6</v>
      </c>
      <c r="K244" s="540" t="n"/>
      <c r="L244" s="540" t="inlineStr">
        <is>
          <t>位军浩</t>
        </is>
      </c>
      <c r="M244" s="540" t="n"/>
    </row>
    <row r="245">
      <c r="A245" s="540" t="n">
        <v>249</v>
      </c>
      <c r="B245" s="540" t="inlineStr">
        <is>
          <t>KQCY0249</t>
        </is>
      </c>
      <c r="C245" s="540" t="inlineStr">
        <is>
          <t>餐饮三分部</t>
        </is>
      </c>
      <c r="D245" s="540" t="inlineStr">
        <is>
          <t>CF320</t>
        </is>
      </c>
      <c r="E245" s="540" t="inlineStr">
        <is>
          <t>江苏财经梅园食堂</t>
        </is>
      </c>
      <c r="F245" s="540" t="inlineStr">
        <is>
          <t>自营</t>
        </is>
      </c>
      <c r="G245" s="540" t="inlineStr">
        <is>
          <t>自营</t>
        </is>
      </c>
      <c r="H245" s="540" t="inlineStr">
        <is>
          <t>/</t>
        </is>
      </c>
      <c r="I245" s="540" t="inlineStr">
        <is>
          <t>/</t>
        </is>
      </c>
      <c r="J245" s="540" t="n">
        <v>0</v>
      </c>
      <c r="K245" s="540" t="n"/>
      <c r="L245" s="540" t="inlineStr">
        <is>
          <t>位军浩</t>
        </is>
      </c>
      <c r="M245" s="540" t="n"/>
    </row>
    <row r="246">
      <c r="A246" s="540" t="n">
        <v>250</v>
      </c>
      <c r="B246" s="540" t="inlineStr">
        <is>
          <t>KQCY0250</t>
        </is>
      </c>
      <c r="C246" s="540" t="inlineStr">
        <is>
          <t>餐饮三分部</t>
        </is>
      </c>
      <c r="D246" s="540" t="inlineStr">
        <is>
          <t>CF320</t>
        </is>
      </c>
      <c r="E246" s="540" t="inlineStr">
        <is>
          <t>江苏财经梅园食堂</t>
        </is>
      </c>
      <c r="F246" s="540" t="inlineStr">
        <is>
          <t>分组作业</t>
        </is>
      </c>
      <c r="G246" s="540" t="inlineStr">
        <is>
          <t>/</t>
        </is>
      </c>
      <c r="H246" s="540" t="inlineStr">
        <is>
          <t>喜翻拌</t>
        </is>
      </c>
      <c r="I246" s="540" t="inlineStr">
        <is>
          <t>赵建芳</t>
        </is>
      </c>
      <c r="J246" s="540" t="n">
        <v>11398.61</v>
      </c>
      <c r="K246" s="540" t="n"/>
      <c r="L246" s="540" t="inlineStr">
        <is>
          <t>位军浩</t>
        </is>
      </c>
      <c r="M246" s="540" t="n"/>
    </row>
    <row r="247">
      <c r="A247" s="540" t="n">
        <v>251</v>
      </c>
      <c r="B247" s="540" t="inlineStr">
        <is>
          <t>KQCY0251</t>
        </is>
      </c>
      <c r="C247" s="540" t="inlineStr">
        <is>
          <t>餐饮三分部</t>
        </is>
      </c>
      <c r="D247" s="540" t="inlineStr">
        <is>
          <t>CF320</t>
        </is>
      </c>
      <c r="E247" s="540" t="inlineStr">
        <is>
          <t>江苏财经梅园食堂</t>
        </is>
      </c>
      <c r="F247" s="540" t="inlineStr">
        <is>
          <t>分组作业</t>
        </is>
      </c>
      <c r="G247" s="540" t="inlineStr">
        <is>
          <t>/</t>
        </is>
      </c>
      <c r="H247" s="540" t="inlineStr">
        <is>
          <t>石锅菜</t>
        </is>
      </c>
      <c r="I247" s="540" t="inlineStr">
        <is>
          <t>马成霞</t>
        </is>
      </c>
      <c r="J247" s="540" t="n">
        <v>4825.61</v>
      </c>
      <c r="K247" s="540" t="n"/>
      <c r="L247" s="540" t="inlineStr">
        <is>
          <t>位军浩</t>
        </is>
      </c>
      <c r="M247" s="540" t="n"/>
    </row>
    <row r="248">
      <c r="A248" s="540" t="n">
        <v>252</v>
      </c>
      <c r="B248" s="540" t="inlineStr">
        <is>
          <t>KQCY0252</t>
        </is>
      </c>
      <c r="C248" s="540" t="inlineStr">
        <is>
          <t>餐饮三分部</t>
        </is>
      </c>
      <c r="D248" s="540" t="inlineStr">
        <is>
          <t>CF320</t>
        </is>
      </c>
      <c r="E248" s="540" t="inlineStr">
        <is>
          <t>江苏财经梅园食堂</t>
        </is>
      </c>
      <c r="F248" s="540" t="inlineStr">
        <is>
          <t>分组作业</t>
        </is>
      </c>
      <c r="G248" s="540" t="inlineStr">
        <is>
          <t>/</t>
        </is>
      </c>
      <c r="H248" s="540" t="inlineStr">
        <is>
          <t>盖码面/饭</t>
        </is>
      </c>
      <c r="I248" s="540" t="inlineStr">
        <is>
          <t>辛保帆</t>
        </is>
      </c>
      <c r="J248" s="540" t="n"/>
      <c r="K248" s="540" t="inlineStr">
        <is>
          <t>撤场</t>
        </is>
      </c>
      <c r="L248" s="540" t="inlineStr">
        <is>
          <t>位军浩</t>
        </is>
      </c>
      <c r="M248" s="540" t="n"/>
    </row>
    <row r="249">
      <c r="A249" s="540" t="n">
        <v>253</v>
      </c>
      <c r="B249" s="540" t="inlineStr">
        <is>
          <t>KQCY0253</t>
        </is>
      </c>
      <c r="C249" s="540" t="inlineStr">
        <is>
          <t>餐饮三分部</t>
        </is>
      </c>
      <c r="D249" s="540" t="inlineStr">
        <is>
          <t>CF320</t>
        </is>
      </c>
      <c r="E249" s="540" t="inlineStr">
        <is>
          <t>江苏财经梅园食堂</t>
        </is>
      </c>
      <c r="F249" s="540" t="inlineStr">
        <is>
          <t>分组作业</t>
        </is>
      </c>
      <c r="G249" s="540" t="inlineStr">
        <is>
          <t>/</t>
        </is>
      </c>
      <c r="H249" s="540" t="inlineStr">
        <is>
          <t>铁板烧</t>
        </is>
      </c>
      <c r="I249" s="540" t="inlineStr">
        <is>
          <t>姜红霞</t>
        </is>
      </c>
      <c r="J249" s="540" t="n"/>
      <c r="K249" s="540" t="inlineStr">
        <is>
          <t>撤场</t>
        </is>
      </c>
      <c r="L249" s="540" t="inlineStr">
        <is>
          <t>位军浩</t>
        </is>
      </c>
      <c r="M249" s="540" t="n"/>
    </row>
    <row r="250">
      <c r="A250" s="540" t="n">
        <v>254</v>
      </c>
      <c r="B250" s="540" t="inlineStr">
        <is>
          <t>KQCY0254</t>
        </is>
      </c>
      <c r="C250" s="540" t="inlineStr">
        <is>
          <t>餐饮三分部</t>
        </is>
      </c>
      <c r="D250" s="540" t="inlineStr">
        <is>
          <t>CF320</t>
        </is>
      </c>
      <c r="E250" s="540" t="inlineStr">
        <is>
          <t>江苏财经梅园食堂</t>
        </is>
      </c>
      <c r="F250" s="540" t="inlineStr">
        <is>
          <t>分组作业</t>
        </is>
      </c>
      <c r="G250" s="540" t="inlineStr">
        <is>
          <t>/</t>
        </is>
      </c>
      <c r="H250" s="540" t="inlineStr">
        <is>
          <t>快餐</t>
        </is>
      </c>
      <c r="I250" s="540" t="inlineStr">
        <is>
          <t>黄信生</t>
        </is>
      </c>
      <c r="J250" s="540" t="n">
        <v>36058.54</v>
      </c>
      <c r="K250" s="540" t="n"/>
      <c r="L250" s="540" t="inlineStr">
        <is>
          <t>位军浩</t>
        </is>
      </c>
      <c r="M250" s="540" t="n"/>
    </row>
    <row r="251">
      <c r="A251" s="540" t="n">
        <v>255</v>
      </c>
      <c r="B251" s="540" t="inlineStr">
        <is>
          <t>KQCY0255</t>
        </is>
      </c>
      <c r="C251" s="540" t="inlineStr">
        <is>
          <t>餐饮三分部</t>
        </is>
      </c>
      <c r="D251" s="540" t="inlineStr">
        <is>
          <t>CF320</t>
        </is>
      </c>
      <c r="E251" s="540" t="inlineStr">
        <is>
          <t>江苏财经梅园食堂</t>
        </is>
      </c>
      <c r="F251" s="540" t="inlineStr">
        <is>
          <t>分组作业</t>
        </is>
      </c>
      <c r="G251" s="540" t="inlineStr">
        <is>
          <t>/</t>
        </is>
      </c>
      <c r="H251" s="540" t="inlineStr">
        <is>
          <t>早点</t>
        </is>
      </c>
      <c r="I251" s="540" t="inlineStr">
        <is>
          <t>狄国军</t>
        </is>
      </c>
      <c r="J251" s="540" t="n">
        <v>11529.24</v>
      </c>
      <c r="K251" s="540" t="n"/>
      <c r="L251" s="540" t="inlineStr">
        <is>
          <t>位军浩</t>
        </is>
      </c>
      <c r="M251" s="540" t="n"/>
    </row>
    <row r="252">
      <c r="A252" s="540" t="n">
        <v>256</v>
      </c>
      <c r="B252" s="540" t="inlineStr">
        <is>
          <t>KQCY0256</t>
        </is>
      </c>
      <c r="C252" s="540" t="inlineStr">
        <is>
          <t>餐饮三分部</t>
        </is>
      </c>
      <c r="D252" s="540" t="inlineStr">
        <is>
          <t>CF320</t>
        </is>
      </c>
      <c r="E252" s="540" t="inlineStr">
        <is>
          <t>江苏财经梅园食堂</t>
        </is>
      </c>
      <c r="F252" s="540" t="inlineStr">
        <is>
          <t>分组作业</t>
        </is>
      </c>
      <c r="G252" s="540" t="inlineStr">
        <is>
          <t>/</t>
        </is>
      </c>
      <c r="H252" s="540" t="inlineStr">
        <is>
          <t>双拼饭</t>
        </is>
      </c>
      <c r="I252" s="540" t="inlineStr">
        <is>
          <t>相加生</t>
        </is>
      </c>
      <c r="J252" s="540" t="n"/>
      <c r="K252" s="540" t="inlineStr">
        <is>
          <t>撤场</t>
        </is>
      </c>
      <c r="L252" s="540" t="inlineStr">
        <is>
          <t>位军浩</t>
        </is>
      </c>
      <c r="M252" s="540" t="n"/>
    </row>
    <row r="253">
      <c r="A253" s="540" t="n">
        <v>257</v>
      </c>
      <c r="B253" s="540" t="inlineStr">
        <is>
          <t>KQCY0257</t>
        </is>
      </c>
      <c r="C253" s="540" t="inlineStr">
        <is>
          <t>餐饮三分部</t>
        </is>
      </c>
      <c r="D253" s="540" t="inlineStr">
        <is>
          <t>CF320</t>
        </is>
      </c>
      <c r="E253" s="540" t="inlineStr">
        <is>
          <t>江苏财经梅园食堂</t>
        </is>
      </c>
      <c r="F253" s="540" t="inlineStr">
        <is>
          <t>分组作业</t>
        </is>
      </c>
      <c r="G253" s="540" t="inlineStr">
        <is>
          <t>/</t>
        </is>
      </c>
      <c r="H253" s="540" t="inlineStr">
        <is>
          <t>一纸鸡</t>
        </is>
      </c>
      <c r="I253" s="540" t="inlineStr">
        <is>
          <t>王森</t>
        </is>
      </c>
      <c r="J253" s="540" t="n"/>
      <c r="K253" s="540" t="inlineStr">
        <is>
          <t>撤场</t>
        </is>
      </c>
      <c r="L253" s="540" t="inlineStr">
        <is>
          <t>位军浩</t>
        </is>
      </c>
      <c r="M253" s="540" t="n"/>
    </row>
    <row r="254">
      <c r="A254" s="540" t="n">
        <v>258</v>
      </c>
      <c r="B254" s="540" t="inlineStr">
        <is>
          <t>KQCY0258</t>
        </is>
      </c>
      <c r="C254" s="540" t="inlineStr">
        <is>
          <t>餐饮三分部</t>
        </is>
      </c>
      <c r="D254" s="540" t="inlineStr">
        <is>
          <t>CF320</t>
        </is>
      </c>
      <c r="E254" s="540" t="inlineStr">
        <is>
          <t>江苏财经梅园食堂</t>
        </is>
      </c>
      <c r="F254" s="540" t="inlineStr">
        <is>
          <t>分组作业</t>
        </is>
      </c>
      <c r="G254" s="540" t="inlineStr">
        <is>
          <t>/</t>
        </is>
      </c>
      <c r="H254" s="540" t="inlineStr">
        <is>
          <t>糖水粥铺</t>
        </is>
      </c>
      <c r="I254" s="540" t="inlineStr">
        <is>
          <t>胡跃跃</t>
        </is>
      </c>
      <c r="J254" s="540" t="n"/>
      <c r="K254" s="540" t="inlineStr">
        <is>
          <t>撤场</t>
        </is>
      </c>
      <c r="L254" s="540" t="inlineStr">
        <is>
          <t>位军浩</t>
        </is>
      </c>
      <c r="M254" s="540" t="n"/>
    </row>
    <row r="255">
      <c r="A255" s="540" t="n">
        <v>259</v>
      </c>
      <c r="B255" s="540" t="inlineStr">
        <is>
          <t>KQCY0259</t>
        </is>
      </c>
      <c r="C255" s="540" t="inlineStr">
        <is>
          <t>餐饮三分部</t>
        </is>
      </c>
      <c r="D255" s="540" t="inlineStr">
        <is>
          <t>CF320</t>
        </is>
      </c>
      <c r="E255" s="540" t="inlineStr">
        <is>
          <t>江苏财经梅园食堂</t>
        </is>
      </c>
      <c r="F255" s="540" t="inlineStr">
        <is>
          <t>分组作业</t>
        </is>
      </c>
      <c r="G255" s="540" t="inlineStr">
        <is>
          <t>/</t>
        </is>
      </c>
      <c r="H255" s="540" t="inlineStr">
        <is>
          <t>五谷渔粉</t>
        </is>
      </c>
      <c r="I255" s="540" t="inlineStr">
        <is>
          <t>赵青青</t>
        </is>
      </c>
      <c r="J255" s="540" t="n">
        <v>19071.02</v>
      </c>
      <c r="K255" s="540" t="n"/>
      <c r="L255" s="540" t="inlineStr">
        <is>
          <t>位军浩</t>
        </is>
      </c>
      <c r="M255" s="540" t="n"/>
    </row>
    <row r="256">
      <c r="A256" s="540" t="n">
        <v>260</v>
      </c>
      <c r="B256" s="540" t="inlineStr">
        <is>
          <t>KQCY0260</t>
        </is>
      </c>
      <c r="C256" s="540" t="inlineStr">
        <is>
          <t>餐饮三分部</t>
        </is>
      </c>
      <c r="D256" s="540" t="inlineStr">
        <is>
          <t>CF320</t>
        </is>
      </c>
      <c r="E256" s="540" t="inlineStr">
        <is>
          <t>江苏财经梅园食堂</t>
        </is>
      </c>
      <c r="F256" s="540" t="inlineStr">
        <is>
          <t>分组作业</t>
        </is>
      </c>
      <c r="G256" s="540" t="inlineStr">
        <is>
          <t>/</t>
        </is>
      </c>
      <c r="H256" s="540" t="inlineStr">
        <is>
          <t>吉祥馄饨</t>
        </is>
      </c>
      <c r="I256" s="540" t="inlineStr">
        <is>
          <t>刘淑平</t>
        </is>
      </c>
      <c r="J256" s="540" t="n">
        <v>4080.84</v>
      </c>
      <c r="K256" s="540" t="n"/>
      <c r="L256" s="540" t="inlineStr">
        <is>
          <t>位军浩</t>
        </is>
      </c>
      <c r="M256" s="540" t="n"/>
    </row>
    <row r="257">
      <c r="A257" s="540" t="n">
        <v>261</v>
      </c>
      <c r="B257" s="540" t="inlineStr">
        <is>
          <t>KQCY0261</t>
        </is>
      </c>
      <c r="C257" s="540" t="inlineStr">
        <is>
          <t>餐饮三分部</t>
        </is>
      </c>
      <c r="D257" s="540" t="inlineStr">
        <is>
          <t>CF320</t>
        </is>
      </c>
      <c r="E257" s="540" t="inlineStr">
        <is>
          <t>江苏财经梅园食堂</t>
        </is>
      </c>
      <c r="F257" s="540" t="inlineStr">
        <is>
          <t>分组作业</t>
        </is>
      </c>
      <c r="G257" s="540" t="inlineStr">
        <is>
          <t>/</t>
        </is>
      </c>
      <c r="H257" s="540" t="inlineStr">
        <is>
          <t>煎饼</t>
        </is>
      </c>
      <c r="I257" s="540" t="inlineStr">
        <is>
          <t>相丽</t>
        </is>
      </c>
      <c r="J257" s="540" t="n"/>
      <c r="K257" s="540" t="inlineStr">
        <is>
          <t>撤场</t>
        </is>
      </c>
      <c r="L257" s="540" t="inlineStr">
        <is>
          <t>位军浩</t>
        </is>
      </c>
      <c r="M257" s="540" t="n"/>
    </row>
    <row r="258">
      <c r="A258" s="540" t="n">
        <v>262</v>
      </c>
      <c r="B258" s="540" t="inlineStr">
        <is>
          <t>KQCY0262</t>
        </is>
      </c>
      <c r="C258" s="540" t="inlineStr">
        <is>
          <t>餐饮三分部</t>
        </is>
      </c>
      <c r="D258" s="540" t="inlineStr">
        <is>
          <t>CF320</t>
        </is>
      </c>
      <c r="E258" s="540" t="inlineStr">
        <is>
          <t>江苏财经梅园食堂</t>
        </is>
      </c>
      <c r="F258" s="540" t="inlineStr">
        <is>
          <t>分组作业</t>
        </is>
      </c>
      <c r="G258" s="540" t="inlineStr">
        <is>
          <t>/</t>
        </is>
      </c>
      <c r="H258" s="540" t="inlineStr">
        <is>
          <t>香锅</t>
        </is>
      </c>
      <c r="I258" s="540" t="inlineStr">
        <is>
          <t>王凯</t>
        </is>
      </c>
      <c r="J258" s="540" t="n">
        <v>9238.290000000001</v>
      </c>
      <c r="K258" s="540" t="n"/>
      <c r="L258" s="540" t="inlineStr">
        <is>
          <t>位军浩</t>
        </is>
      </c>
      <c r="M258" s="540" t="n"/>
    </row>
    <row r="259">
      <c r="A259" s="540" t="n">
        <v>263</v>
      </c>
      <c r="B259" s="540" t="inlineStr">
        <is>
          <t>KQCY0263</t>
        </is>
      </c>
      <c r="C259" s="540" t="inlineStr">
        <is>
          <t>餐饮三分部</t>
        </is>
      </c>
      <c r="D259" s="540" t="inlineStr">
        <is>
          <t>CF320</t>
        </is>
      </c>
      <c r="E259" s="540" t="inlineStr">
        <is>
          <t>江苏财经梅园食堂</t>
        </is>
      </c>
      <c r="F259" s="540" t="inlineStr">
        <is>
          <t>分组作业</t>
        </is>
      </c>
      <c r="G259" s="540" t="inlineStr">
        <is>
          <t>第十五班组</t>
        </is>
      </c>
      <c r="H259" s="540" t="inlineStr">
        <is>
          <t>柚见鲜茶</t>
        </is>
      </c>
      <c r="I259" s="540" t="inlineStr">
        <is>
          <t>王春梅</t>
        </is>
      </c>
      <c r="J259" s="540" t="n">
        <v>11239.55</v>
      </c>
      <c r="K259" s="540" t="n"/>
      <c r="L259" s="540" t="inlineStr">
        <is>
          <t>位军浩</t>
        </is>
      </c>
      <c r="M259" s="540" t="n"/>
    </row>
    <row r="260">
      <c r="A260" s="540" t="n">
        <v>264</v>
      </c>
      <c r="B260" s="540" t="inlineStr">
        <is>
          <t>KQCY0264</t>
        </is>
      </c>
      <c r="C260" s="540" t="inlineStr">
        <is>
          <t>餐饮三分部</t>
        </is>
      </c>
      <c r="D260" s="540" t="inlineStr">
        <is>
          <t>CF320</t>
        </is>
      </c>
      <c r="E260" s="540" t="inlineStr">
        <is>
          <t>江苏财经梅园食堂</t>
        </is>
      </c>
      <c r="F260" s="540" t="inlineStr">
        <is>
          <t>分组作业</t>
        </is>
      </c>
      <c r="G260" s="540" t="inlineStr">
        <is>
          <t>第十六班组</t>
        </is>
      </c>
      <c r="H260" s="540" t="inlineStr">
        <is>
          <t>酷堡王</t>
        </is>
      </c>
      <c r="I260" s="540" t="inlineStr">
        <is>
          <t>籍明明</t>
        </is>
      </c>
      <c r="J260" s="540" t="n">
        <v>10745.22</v>
      </c>
      <c r="K260" s="540" t="inlineStr">
        <is>
          <t>酷宝王更换人员为：王得志</t>
        </is>
      </c>
      <c r="L260" s="540" t="inlineStr">
        <is>
          <t>位军浩</t>
        </is>
      </c>
      <c r="M260" s="540" t="n"/>
    </row>
    <row r="261">
      <c r="A261" s="540" t="n">
        <v>265</v>
      </c>
      <c r="B261" s="540" t="inlineStr">
        <is>
          <t>KQCY0265</t>
        </is>
      </c>
      <c r="C261" s="540" t="inlineStr">
        <is>
          <t>餐饮三分部</t>
        </is>
      </c>
      <c r="D261" s="540" t="inlineStr">
        <is>
          <t>CF320</t>
        </is>
      </c>
      <c r="E261" s="540" t="inlineStr">
        <is>
          <t>江苏财经梅园食堂</t>
        </is>
      </c>
      <c r="F261" s="540" t="inlineStr">
        <is>
          <t>分组作业</t>
        </is>
      </c>
      <c r="G261" s="540" t="inlineStr">
        <is>
          <t>/</t>
        </is>
      </c>
      <c r="H261" s="540" t="inlineStr">
        <is>
          <t>水果</t>
        </is>
      </c>
      <c r="I261" s="540" t="inlineStr">
        <is>
          <t>陈龙</t>
        </is>
      </c>
      <c r="J261" s="540" t="n">
        <v>19562.71</v>
      </c>
      <c r="K261" s="540" t="n"/>
      <c r="L261" s="540" t="inlineStr">
        <is>
          <t>位军浩</t>
        </is>
      </c>
      <c r="M261" s="540" t="n"/>
    </row>
    <row r="262">
      <c r="A262" s="540" t="n">
        <v>266</v>
      </c>
      <c r="B262" s="540" t="inlineStr">
        <is>
          <t>KQCY0266</t>
        </is>
      </c>
      <c r="C262" s="540" t="inlineStr">
        <is>
          <t>餐饮三分部</t>
        </is>
      </c>
      <c r="D262" s="540" t="inlineStr">
        <is>
          <t>CF320</t>
        </is>
      </c>
      <c r="E262" s="540" t="inlineStr">
        <is>
          <t>江苏财经梅园食堂</t>
        </is>
      </c>
      <c r="F262" s="540" t="inlineStr">
        <is>
          <t>分组作业</t>
        </is>
      </c>
      <c r="G262" s="540" t="inlineStr">
        <is>
          <t>/</t>
        </is>
      </c>
      <c r="H262" s="540" t="inlineStr">
        <is>
          <t>一鸣鲜奶</t>
        </is>
      </c>
      <c r="I262" s="540" t="inlineStr">
        <is>
          <t>吴斯忠</t>
        </is>
      </c>
      <c r="J262" s="540" t="n"/>
      <c r="K262" s="540" t="inlineStr">
        <is>
          <t>撤场</t>
        </is>
      </c>
      <c r="L262" s="540" t="inlineStr">
        <is>
          <t>位军浩</t>
        </is>
      </c>
      <c r="M262" s="540" t="n"/>
    </row>
    <row r="263">
      <c r="A263" s="540" t="n">
        <v>267</v>
      </c>
      <c r="B263" s="540" t="inlineStr">
        <is>
          <t>KQCY0267</t>
        </is>
      </c>
      <c r="C263" s="540" t="inlineStr">
        <is>
          <t>餐饮三分部</t>
        </is>
      </c>
      <c r="D263" s="540" t="inlineStr">
        <is>
          <t>CF320</t>
        </is>
      </c>
      <c r="E263" s="540" t="inlineStr">
        <is>
          <t>江苏财经梅园食堂</t>
        </is>
      </c>
      <c r="F263" s="540" t="inlineStr">
        <is>
          <t>分组作业</t>
        </is>
      </c>
      <c r="G263" s="540" t="inlineStr">
        <is>
          <t>/</t>
        </is>
      </c>
      <c r="H263" s="540" t="inlineStr">
        <is>
          <t>库迪咖啡</t>
        </is>
      </c>
      <c r="I263" s="540" t="inlineStr">
        <is>
          <t>张凌子</t>
        </is>
      </c>
      <c r="J263" s="540" t="n">
        <v>348.11</v>
      </c>
      <c r="K263" s="540" t="n"/>
      <c r="L263" s="540" t="inlineStr">
        <is>
          <t>位军浩</t>
        </is>
      </c>
      <c r="M263" s="540" t="n"/>
    </row>
    <row r="264">
      <c r="A264" s="540" t="n">
        <v>268</v>
      </c>
      <c r="B264" s="540" t="inlineStr">
        <is>
          <t>KQCY0268</t>
        </is>
      </c>
      <c r="C264" s="540" t="inlineStr">
        <is>
          <t>餐饮三分部</t>
        </is>
      </c>
      <c r="D264" s="540" t="inlineStr">
        <is>
          <t>CF320</t>
        </is>
      </c>
      <c r="E264" s="540" t="inlineStr">
        <is>
          <t>江苏财经梅园食堂</t>
        </is>
      </c>
      <c r="F264" s="540" t="inlineStr">
        <is>
          <t>分组作业</t>
        </is>
      </c>
      <c r="G264" s="540" t="inlineStr">
        <is>
          <t>/</t>
        </is>
      </c>
      <c r="H264" s="540" t="inlineStr">
        <is>
          <t>猪脚饭</t>
        </is>
      </c>
      <c r="I264" s="540" t="inlineStr">
        <is>
          <t>李袁园</t>
        </is>
      </c>
      <c r="J264" s="540" t="n">
        <v>9852.57</v>
      </c>
      <c r="K264" s="540" t="n"/>
      <c r="L264" s="540" t="inlineStr">
        <is>
          <t>位军浩</t>
        </is>
      </c>
      <c r="M264" s="540" t="n"/>
    </row>
    <row r="265">
      <c r="A265" s="540" t="n">
        <v>269</v>
      </c>
      <c r="B265" s="540" t="inlineStr">
        <is>
          <t>KQCY0269</t>
        </is>
      </c>
      <c r="C265" s="540" t="inlineStr">
        <is>
          <t>餐饮五分部</t>
        </is>
      </c>
      <c r="D265" s="540" t="inlineStr">
        <is>
          <t>CF694</t>
        </is>
      </c>
      <c r="E265" s="540" t="inlineStr">
        <is>
          <t>兰理工彭家坪北村食堂</t>
        </is>
      </c>
      <c r="F265" s="540" t="inlineStr">
        <is>
          <t>自营</t>
        </is>
      </c>
      <c r="G265" s="540" t="inlineStr">
        <is>
          <t>自营</t>
        </is>
      </c>
      <c r="H265" s="540" t="inlineStr">
        <is>
          <t>/</t>
        </is>
      </c>
      <c r="I265" s="540" t="inlineStr">
        <is>
          <t>/</t>
        </is>
      </c>
      <c r="J265" s="540" t="n">
        <v>0</v>
      </c>
      <c r="K265" s="540" t="n"/>
      <c r="L265" s="540" t="inlineStr">
        <is>
          <t>位军浩</t>
        </is>
      </c>
      <c r="M265" s="540" t="n"/>
    </row>
    <row r="266">
      <c r="A266" s="540" t="n">
        <v>270</v>
      </c>
      <c r="B266" s="540" t="inlineStr">
        <is>
          <t>KQCY0270</t>
        </is>
      </c>
      <c r="C266" s="540" t="inlineStr">
        <is>
          <t>餐饮五分部</t>
        </is>
      </c>
      <c r="D266" s="540" t="inlineStr">
        <is>
          <t>CF694</t>
        </is>
      </c>
      <c r="E266" s="540" t="inlineStr">
        <is>
          <t>兰理工彭家坪北村食堂</t>
        </is>
      </c>
      <c r="F266" s="540" t="inlineStr">
        <is>
          <t>分组作业</t>
        </is>
      </c>
      <c r="G266" s="540" t="inlineStr">
        <is>
          <t>/</t>
        </is>
      </c>
      <c r="H266" s="540" t="inlineStr">
        <is>
          <t>水饺</t>
        </is>
      </c>
      <c r="I266" s="540" t="inlineStr">
        <is>
          <t>穆小芳</t>
        </is>
      </c>
      <c r="J266" s="540" t="n">
        <v>0</v>
      </c>
      <c r="K266" s="540" t="n"/>
      <c r="L266" s="540" t="inlineStr">
        <is>
          <t>位军浩</t>
        </is>
      </c>
      <c r="M266" s="540" t="n"/>
    </row>
    <row r="267">
      <c r="A267" s="540" t="n">
        <v>271</v>
      </c>
      <c r="B267" s="540" t="inlineStr">
        <is>
          <t>KQCY0271</t>
        </is>
      </c>
      <c r="C267" s="540" t="inlineStr">
        <is>
          <t>餐饮五分部</t>
        </is>
      </c>
      <c r="D267" s="540" t="inlineStr">
        <is>
          <t>CF694</t>
        </is>
      </c>
      <c r="E267" s="540" t="inlineStr">
        <is>
          <t>兰理工彭家坪北村食堂</t>
        </is>
      </c>
      <c r="F267" s="540" t="inlineStr">
        <is>
          <t>分组作业</t>
        </is>
      </c>
      <c r="G267" s="540" t="inlineStr">
        <is>
          <t>/</t>
        </is>
      </c>
      <c r="H267" s="540" t="inlineStr">
        <is>
          <t>牛肉面</t>
        </is>
      </c>
      <c r="I267" s="540" t="inlineStr">
        <is>
          <t>李俊兵</t>
        </is>
      </c>
      <c r="J267" s="540" t="n">
        <v>0</v>
      </c>
      <c r="K267" s="540" t="n"/>
      <c r="L267" s="540" t="inlineStr">
        <is>
          <t>位军浩</t>
        </is>
      </c>
      <c r="M267" s="540" t="n"/>
    </row>
    <row r="268">
      <c r="A268" s="540" t="n">
        <v>272</v>
      </c>
      <c r="B268" s="540" t="inlineStr">
        <is>
          <t>KQCY0272</t>
        </is>
      </c>
      <c r="C268" s="540" t="inlineStr">
        <is>
          <t>餐饮五分部</t>
        </is>
      </c>
      <c r="D268" s="540" t="inlineStr">
        <is>
          <t>CF694</t>
        </is>
      </c>
      <c r="E268" s="540" t="inlineStr">
        <is>
          <t>兰理工彭家坪北村食堂</t>
        </is>
      </c>
      <c r="F268" s="540" t="inlineStr">
        <is>
          <t>分组作业</t>
        </is>
      </c>
      <c r="G268" s="540" t="inlineStr">
        <is>
          <t>/</t>
        </is>
      </c>
      <c r="H268" s="540" t="inlineStr">
        <is>
          <t>韩式煎饼</t>
        </is>
      </c>
      <c r="I268" s="540" t="inlineStr">
        <is>
          <t>赵平花</t>
        </is>
      </c>
      <c r="J268" s="540" t="n">
        <v>0</v>
      </c>
      <c r="K268" s="540" t="n"/>
      <c r="L268" s="540" t="inlineStr">
        <is>
          <t>位军浩</t>
        </is>
      </c>
      <c r="M268" s="540" t="n"/>
    </row>
    <row r="269">
      <c r="A269" s="540" t="n">
        <v>273</v>
      </c>
      <c r="B269" s="540" t="inlineStr">
        <is>
          <t>KQCY0273</t>
        </is>
      </c>
      <c r="C269" s="540" t="inlineStr">
        <is>
          <t>餐饮五分部</t>
        </is>
      </c>
      <c r="D269" s="540" t="inlineStr">
        <is>
          <t>CF694</t>
        </is>
      </c>
      <c r="E269" s="540" t="inlineStr">
        <is>
          <t>兰理工彭家坪北村食堂</t>
        </is>
      </c>
      <c r="F269" s="540" t="inlineStr">
        <is>
          <t>分组作业</t>
        </is>
      </c>
      <c r="G269" s="540" t="inlineStr">
        <is>
          <t>/</t>
        </is>
      </c>
      <c r="H269" s="540" t="inlineStr">
        <is>
          <t>米粉</t>
        </is>
      </c>
      <c r="I269" s="540" t="inlineStr">
        <is>
          <t>尚伟云</t>
        </is>
      </c>
      <c r="J269" s="540" t="n">
        <v>0</v>
      </c>
      <c r="K269" s="540" t="n"/>
      <c r="L269" s="540" t="inlineStr">
        <is>
          <t>位军浩</t>
        </is>
      </c>
      <c r="M269" s="540" t="n"/>
    </row>
    <row r="270">
      <c r="A270" s="540" t="n">
        <v>274</v>
      </c>
      <c r="B270" s="540" t="inlineStr">
        <is>
          <t>KQCY0274</t>
        </is>
      </c>
      <c r="C270" s="540" t="inlineStr">
        <is>
          <t>餐饮五分部</t>
        </is>
      </c>
      <c r="D270" s="540" t="inlineStr">
        <is>
          <t>CF694</t>
        </is>
      </c>
      <c r="E270" s="540" t="inlineStr">
        <is>
          <t>兰理工彭家坪北村食堂</t>
        </is>
      </c>
      <c r="F270" s="540" t="inlineStr">
        <is>
          <t>分组作业</t>
        </is>
      </c>
      <c r="G270" s="540" t="inlineStr">
        <is>
          <t>/</t>
        </is>
      </c>
      <c r="H270" s="540" t="inlineStr">
        <is>
          <t>肉肉堡</t>
        </is>
      </c>
      <c r="I270" s="540" t="inlineStr">
        <is>
          <t>任洪彦</t>
        </is>
      </c>
      <c r="J270" s="540" t="n">
        <v>0</v>
      </c>
      <c r="K270" s="540" t="inlineStr">
        <is>
          <t>已撤场</t>
        </is>
      </c>
      <c r="L270" s="540" t="inlineStr">
        <is>
          <t>位军浩</t>
        </is>
      </c>
      <c r="M270" s="540" t="n"/>
    </row>
    <row r="271">
      <c r="A271" s="540" t="n">
        <v>275</v>
      </c>
      <c r="B271" s="540" t="inlineStr">
        <is>
          <t>KQCY0275</t>
        </is>
      </c>
      <c r="C271" s="540" t="inlineStr">
        <is>
          <t>餐饮五分部</t>
        </is>
      </c>
      <c r="D271" s="540" t="inlineStr">
        <is>
          <t>CF694</t>
        </is>
      </c>
      <c r="E271" s="540" t="inlineStr">
        <is>
          <t>兰理工彭家坪北村食堂</t>
        </is>
      </c>
      <c r="F271" s="540" t="inlineStr">
        <is>
          <t>分组作业</t>
        </is>
      </c>
      <c r="G271" s="540" t="inlineStr">
        <is>
          <t>/</t>
        </is>
      </c>
      <c r="H271" s="540" t="inlineStr">
        <is>
          <t>肉酱面</t>
        </is>
      </c>
      <c r="I271" s="540" t="inlineStr">
        <is>
          <t>杨小含</t>
        </is>
      </c>
      <c r="J271" s="540" t="n">
        <v>0</v>
      </c>
      <c r="K271" s="540" t="n"/>
      <c r="L271" s="540" t="inlineStr">
        <is>
          <t>位军浩</t>
        </is>
      </c>
      <c r="M271" s="540" t="n"/>
    </row>
    <row r="272">
      <c r="A272" s="540" t="n">
        <v>276</v>
      </c>
      <c r="B272" s="540" t="inlineStr">
        <is>
          <t>KQCY0276</t>
        </is>
      </c>
      <c r="C272" s="540" t="inlineStr">
        <is>
          <t>餐饮五分部</t>
        </is>
      </c>
      <c r="D272" s="540" t="inlineStr">
        <is>
          <t>CF694</t>
        </is>
      </c>
      <c r="E272" s="540" t="inlineStr">
        <is>
          <t>兰理工彭家坪北村食堂</t>
        </is>
      </c>
      <c r="F272" s="540" t="inlineStr">
        <is>
          <t>分组作业</t>
        </is>
      </c>
      <c r="G272" s="540" t="inlineStr">
        <is>
          <t>/</t>
        </is>
      </c>
      <c r="H272" s="540" t="inlineStr">
        <is>
          <t>脆皮鸡</t>
        </is>
      </c>
      <c r="I272" s="540" t="inlineStr">
        <is>
          <t>汤瑞珍</t>
        </is>
      </c>
      <c r="J272" s="540" t="n">
        <v>0</v>
      </c>
      <c r="K272" s="540" t="n"/>
      <c r="L272" s="540" t="inlineStr">
        <is>
          <t>位军浩</t>
        </is>
      </c>
      <c r="M272" s="540" t="n"/>
    </row>
    <row r="273">
      <c r="A273" s="540" t="n">
        <v>277</v>
      </c>
      <c r="B273" s="540" t="inlineStr">
        <is>
          <t>KQCY0277</t>
        </is>
      </c>
      <c r="C273" s="540" t="inlineStr">
        <is>
          <t>餐饮五分部</t>
        </is>
      </c>
      <c r="D273" s="540" t="inlineStr">
        <is>
          <t>CF694</t>
        </is>
      </c>
      <c r="E273" s="540" t="inlineStr">
        <is>
          <t>兰理工彭家坪北村食堂</t>
        </is>
      </c>
      <c r="F273" s="540" t="inlineStr">
        <is>
          <t>分组作业</t>
        </is>
      </c>
      <c r="G273" s="540" t="inlineStr">
        <is>
          <t>/</t>
        </is>
      </c>
      <c r="H273" s="540" t="inlineStr">
        <is>
          <t>小笼包（渔粉）</t>
        </is>
      </c>
      <c r="I273" s="540" t="inlineStr">
        <is>
          <t>庞大江</t>
        </is>
      </c>
      <c r="J273" s="540" t="n">
        <v>0</v>
      </c>
      <c r="K273" s="540" t="n"/>
      <c r="L273" s="540" t="inlineStr">
        <is>
          <t>位军浩</t>
        </is>
      </c>
      <c r="M273" s="540" t="n"/>
    </row>
    <row r="274">
      <c r="A274" s="540" t="n">
        <v>278</v>
      </c>
      <c r="B274" s="540" t="inlineStr">
        <is>
          <t>KQCY0278</t>
        </is>
      </c>
      <c r="C274" s="540" t="inlineStr">
        <is>
          <t>餐饮五分部</t>
        </is>
      </c>
      <c r="D274" s="540" t="inlineStr">
        <is>
          <t>CF694</t>
        </is>
      </c>
      <c r="E274" s="540" t="inlineStr">
        <is>
          <t>兰理工彭家坪北村食堂</t>
        </is>
      </c>
      <c r="F274" s="540" t="inlineStr">
        <is>
          <t>分组作业</t>
        </is>
      </c>
      <c r="G274" s="540" t="inlineStr">
        <is>
          <t>/</t>
        </is>
      </c>
      <c r="H274" s="540" t="inlineStr">
        <is>
          <t>早点</t>
        </is>
      </c>
      <c r="I274" s="540" t="inlineStr">
        <is>
          <t>陶红喜</t>
        </is>
      </c>
      <c r="J274" s="540" t="n">
        <v>0</v>
      </c>
      <c r="K274" s="540" t="n"/>
      <c r="L274" s="540" t="inlineStr">
        <is>
          <t>位军浩</t>
        </is>
      </c>
      <c r="M274" s="540" t="n"/>
    </row>
    <row r="275">
      <c r="A275" s="540" t="n">
        <v>279</v>
      </c>
      <c r="B275" s="540" t="inlineStr">
        <is>
          <t>KQCY0279</t>
        </is>
      </c>
      <c r="C275" s="540" t="inlineStr">
        <is>
          <t>餐饮五分部</t>
        </is>
      </c>
      <c r="D275" s="540" t="inlineStr">
        <is>
          <t>CF694</t>
        </is>
      </c>
      <c r="E275" s="540" t="inlineStr">
        <is>
          <t>兰理工彭家坪北村食堂</t>
        </is>
      </c>
      <c r="F275" s="540" t="inlineStr">
        <is>
          <t>分组作业</t>
        </is>
      </c>
      <c r="G275" s="540" t="inlineStr">
        <is>
          <t>/</t>
        </is>
      </c>
      <c r="H275" s="540" t="inlineStr">
        <is>
          <t>湘式小炒</t>
        </is>
      </c>
      <c r="I275" s="540" t="inlineStr">
        <is>
          <t>李雪婷</t>
        </is>
      </c>
      <c r="J275" s="540" t="n">
        <v>0</v>
      </c>
      <c r="K275" s="540" t="n"/>
      <c r="L275" s="540" t="inlineStr">
        <is>
          <t>位军浩</t>
        </is>
      </c>
      <c r="M275" s="540" t="n"/>
    </row>
    <row r="276">
      <c r="A276" s="540" t="n">
        <v>280</v>
      </c>
      <c r="B276" s="540" t="inlineStr">
        <is>
          <t>KQCY0280</t>
        </is>
      </c>
      <c r="C276" s="540" t="inlineStr">
        <is>
          <t>餐饮五分部</t>
        </is>
      </c>
      <c r="D276" s="540" t="inlineStr">
        <is>
          <t>CF694</t>
        </is>
      </c>
      <c r="E276" s="540" t="inlineStr">
        <is>
          <t>兰理工彭家坪北村食堂</t>
        </is>
      </c>
      <c r="F276" s="540" t="inlineStr">
        <is>
          <t>分组作业</t>
        </is>
      </c>
      <c r="G276" s="540" t="inlineStr">
        <is>
          <t>/</t>
        </is>
      </c>
      <c r="H276" s="540" t="inlineStr">
        <is>
          <t>饸饹面</t>
        </is>
      </c>
      <c r="I276" s="540" t="inlineStr">
        <is>
          <t>高维秦</t>
        </is>
      </c>
      <c r="J276" s="540" t="n">
        <v>0</v>
      </c>
      <c r="K276" s="540" t="n"/>
      <c r="L276" s="540" t="inlineStr">
        <is>
          <t>位军浩</t>
        </is>
      </c>
      <c r="M276" s="540" t="n"/>
    </row>
    <row r="277">
      <c r="A277" s="540" t="n">
        <v>281</v>
      </c>
      <c r="B277" s="540" t="inlineStr">
        <is>
          <t>KQCY0281</t>
        </is>
      </c>
      <c r="C277" s="540" t="inlineStr">
        <is>
          <t>餐饮五分部</t>
        </is>
      </c>
      <c r="D277" s="540" t="inlineStr">
        <is>
          <t>CF694</t>
        </is>
      </c>
      <c r="E277" s="540" t="inlineStr">
        <is>
          <t>兰理工彭家坪北村食堂</t>
        </is>
      </c>
      <c r="F277" s="540" t="inlineStr">
        <is>
          <t>分组作业</t>
        </is>
      </c>
      <c r="G277" s="540" t="inlineStr">
        <is>
          <t>/</t>
        </is>
      </c>
      <c r="H277" s="540" t="inlineStr">
        <is>
          <t>石锅饭</t>
        </is>
      </c>
      <c r="I277" s="540" t="inlineStr">
        <is>
          <t>杨方红</t>
        </is>
      </c>
      <c r="J277" s="540" t="n">
        <v>0</v>
      </c>
      <c r="K277" s="540" t="n"/>
      <c r="L277" s="540" t="inlineStr">
        <is>
          <t>位军浩</t>
        </is>
      </c>
      <c r="M277" s="540" t="n"/>
    </row>
    <row r="278">
      <c r="A278" s="540" t="n">
        <v>282</v>
      </c>
      <c r="B278" s="540" t="inlineStr">
        <is>
          <t>KQCY0282</t>
        </is>
      </c>
      <c r="C278" s="540" t="inlineStr">
        <is>
          <t>餐饮五分部</t>
        </is>
      </c>
      <c r="D278" s="540" t="inlineStr">
        <is>
          <t>CF694</t>
        </is>
      </c>
      <c r="E278" s="540" t="inlineStr">
        <is>
          <t>兰理工彭家坪北村食堂</t>
        </is>
      </c>
      <c r="F278" s="540" t="inlineStr">
        <is>
          <t>分组作业</t>
        </is>
      </c>
      <c r="G278" s="540" t="inlineStr">
        <is>
          <t>/</t>
        </is>
      </c>
      <c r="H278" s="540" t="inlineStr">
        <is>
          <t>猪脚饭</t>
        </is>
      </c>
      <c r="I278" s="540" t="inlineStr">
        <is>
          <t>陈发全</t>
        </is>
      </c>
      <c r="J278" s="540" t="n">
        <v>0</v>
      </c>
      <c r="K278" s="540" t="inlineStr">
        <is>
          <t>已撤场</t>
        </is>
      </c>
      <c r="L278" s="540" t="inlineStr">
        <is>
          <t>位军浩</t>
        </is>
      </c>
      <c r="M278" s="540" t="n"/>
    </row>
    <row r="279">
      <c r="A279" s="540" t="n">
        <v>283</v>
      </c>
      <c r="B279" s="540" t="inlineStr">
        <is>
          <t>KQCY0283</t>
        </is>
      </c>
      <c r="C279" s="540" t="inlineStr">
        <is>
          <t>餐饮五分部</t>
        </is>
      </c>
      <c r="D279" s="540" t="inlineStr">
        <is>
          <t>CF694</t>
        </is>
      </c>
      <c r="E279" s="540" t="inlineStr">
        <is>
          <t>兰理工彭家坪北村食堂</t>
        </is>
      </c>
      <c r="F279" s="540" t="inlineStr">
        <is>
          <t>分组作业</t>
        </is>
      </c>
      <c r="G279" s="540" t="inlineStr">
        <is>
          <t>/</t>
        </is>
      </c>
      <c r="H279" s="540" t="inlineStr">
        <is>
          <t>水吧</t>
        </is>
      </c>
      <c r="I279" s="540" t="inlineStr">
        <is>
          <t>陈发全</t>
        </is>
      </c>
      <c r="J279" s="643" t="n">
        <v>0</v>
      </c>
      <c r="K279" s="540" t="n"/>
      <c r="L279" s="540" t="inlineStr">
        <is>
          <t>位军浩</t>
        </is>
      </c>
      <c r="M279" s="540" t="n"/>
    </row>
    <row r="280">
      <c r="A280" s="540" t="n">
        <v>284</v>
      </c>
      <c r="B280" s="540" t="inlineStr">
        <is>
          <t>KQCY0284</t>
        </is>
      </c>
      <c r="C280" s="540" t="inlineStr">
        <is>
          <t>餐饮五分部</t>
        </is>
      </c>
      <c r="D280" s="540" t="inlineStr">
        <is>
          <t>CF694</t>
        </is>
      </c>
      <c r="E280" s="540" t="inlineStr">
        <is>
          <t>兰理工彭家坪北村食堂</t>
        </is>
      </c>
      <c r="F280" s="540" t="inlineStr">
        <is>
          <t>分组作业</t>
        </is>
      </c>
      <c r="G280" s="540" t="inlineStr">
        <is>
          <t>/</t>
        </is>
      </c>
      <c r="H280" s="540" t="inlineStr">
        <is>
          <t>小火锅</t>
        </is>
      </c>
      <c r="I280" s="540" t="inlineStr">
        <is>
          <t>韩玉红</t>
        </is>
      </c>
      <c r="J280" s="643" t="n">
        <v>0</v>
      </c>
      <c r="K280" s="540" t="n"/>
      <c r="L280" s="540" t="inlineStr">
        <is>
          <t>位军浩</t>
        </is>
      </c>
      <c r="M280" s="540" t="n"/>
    </row>
    <row r="281">
      <c r="A281" s="540" t="n">
        <v>285</v>
      </c>
      <c r="B281" s="540" t="inlineStr">
        <is>
          <t>KQCY0285</t>
        </is>
      </c>
      <c r="C281" s="540" t="inlineStr">
        <is>
          <t>餐饮五分部</t>
        </is>
      </c>
      <c r="D281" s="540" t="inlineStr">
        <is>
          <t>CF694</t>
        </is>
      </c>
      <c r="E281" s="540" t="inlineStr">
        <is>
          <t>兰理工彭家坪北村食堂</t>
        </is>
      </c>
      <c r="F281" s="540" t="inlineStr">
        <is>
          <t>分组作业</t>
        </is>
      </c>
      <c r="G281" s="540" t="inlineStr">
        <is>
          <t>/</t>
        </is>
      </c>
      <c r="H281" s="540" t="inlineStr">
        <is>
          <t>牛肉面</t>
        </is>
      </c>
      <c r="I281" s="540" t="inlineStr">
        <is>
          <t>石磊</t>
        </is>
      </c>
      <c r="J281" s="540" t="n">
        <v>0</v>
      </c>
      <c r="K281" s="540" t="inlineStr">
        <is>
          <t>已撤场</t>
        </is>
      </c>
      <c r="L281" s="540" t="inlineStr">
        <is>
          <t>位军浩</t>
        </is>
      </c>
      <c r="M281" s="540" t="n"/>
    </row>
    <row r="282">
      <c r="A282" s="540" t="n">
        <v>286</v>
      </c>
      <c r="B282" s="540" t="inlineStr">
        <is>
          <t>KQCY0286</t>
        </is>
      </c>
      <c r="C282" s="540" t="inlineStr">
        <is>
          <t>餐饮五分部</t>
        </is>
      </c>
      <c r="D282" s="540" t="inlineStr">
        <is>
          <t>CF696</t>
        </is>
      </c>
      <c r="E282" s="540" t="inlineStr">
        <is>
          <t>甘肃省气象局</t>
        </is>
      </c>
      <c r="F282" s="540" t="inlineStr">
        <is>
          <t>人员服务外包</t>
        </is>
      </c>
      <c r="G282" s="540" t="inlineStr">
        <is>
          <t>/</t>
        </is>
      </c>
      <c r="H282" s="540" t="inlineStr">
        <is>
          <t>/</t>
        </is>
      </c>
      <c r="I282" s="540" t="inlineStr">
        <is>
          <t>/</t>
        </is>
      </c>
      <c r="J282" s="540" t="n">
        <v>86022</v>
      </c>
      <c r="K282" s="540" t="n"/>
      <c r="L282" s="540" t="inlineStr">
        <is>
          <t>位军浩</t>
        </is>
      </c>
      <c r="M282" s="540" t="n"/>
    </row>
    <row r="283">
      <c r="A283" s="540" t="n">
        <v>287</v>
      </c>
      <c r="B283" s="540" t="inlineStr">
        <is>
          <t>KQCY0287</t>
        </is>
      </c>
      <c r="C283" s="540" t="inlineStr">
        <is>
          <t>餐饮五分部</t>
        </is>
      </c>
      <c r="D283" s="540" t="inlineStr">
        <is>
          <t>CF620</t>
        </is>
      </c>
      <c r="E283" s="540" t="inlineStr">
        <is>
          <t>山西大学B6食堂三层</t>
        </is>
      </c>
      <c r="F283" s="540" t="inlineStr">
        <is>
          <t>强责</t>
        </is>
      </c>
      <c r="G283" s="540" t="inlineStr">
        <is>
          <t>/</t>
        </is>
      </c>
      <c r="H283" s="540" t="inlineStr">
        <is>
          <t>冒菜</t>
        </is>
      </c>
      <c r="I283" s="540" t="inlineStr">
        <is>
          <t>陈祥</t>
        </is>
      </c>
      <c r="J283" s="540" t="n">
        <v>0</v>
      </c>
      <c r="K283" s="540" t="n"/>
      <c r="L283" s="540" t="inlineStr">
        <is>
          <t>位军浩</t>
        </is>
      </c>
      <c r="M283" s="540" t="n"/>
    </row>
    <row r="284">
      <c r="A284" s="540" t="n">
        <v>288</v>
      </c>
      <c r="B284" s="540" t="inlineStr">
        <is>
          <t>KQCY0288</t>
        </is>
      </c>
      <c r="C284" s="540" t="inlineStr">
        <is>
          <t>餐饮五分部</t>
        </is>
      </c>
      <c r="D284" s="540" t="inlineStr">
        <is>
          <t>CF620</t>
        </is>
      </c>
      <c r="E284" s="540" t="inlineStr">
        <is>
          <t>山西大学B6食堂三层</t>
        </is>
      </c>
      <c r="F284" s="540" t="inlineStr">
        <is>
          <t>强责</t>
        </is>
      </c>
      <c r="G284" s="540" t="inlineStr">
        <is>
          <t>/</t>
        </is>
      </c>
      <c r="H284" s="540" t="inlineStr">
        <is>
          <t>烤盘菜</t>
        </is>
      </c>
      <c r="I284" s="540" t="inlineStr">
        <is>
          <t>陈祥</t>
        </is>
      </c>
      <c r="J284" s="540" t="n">
        <v>0</v>
      </c>
      <c r="K284" s="540" t="n"/>
      <c r="L284" s="540" t="inlineStr">
        <is>
          <t>位军浩</t>
        </is>
      </c>
      <c r="M284" s="540" t="n"/>
    </row>
    <row r="285">
      <c r="A285" s="540" t="n">
        <v>289</v>
      </c>
      <c r="B285" s="540" t="inlineStr">
        <is>
          <t>KQCY0289</t>
        </is>
      </c>
      <c r="C285" s="540" t="inlineStr">
        <is>
          <t>餐饮五分部</t>
        </is>
      </c>
      <c r="D285" s="540" t="inlineStr">
        <is>
          <t>CF620</t>
        </is>
      </c>
      <c r="E285" s="540" t="inlineStr">
        <is>
          <t>山西大学B6食堂三层</t>
        </is>
      </c>
      <c r="F285" s="540" t="inlineStr">
        <is>
          <t>强责</t>
        </is>
      </c>
      <c r="G285" s="540" t="inlineStr">
        <is>
          <t>/</t>
        </is>
      </c>
      <c r="H285" s="540" t="inlineStr">
        <is>
          <t>大盘鸡</t>
        </is>
      </c>
      <c r="I285" s="540" t="inlineStr">
        <is>
          <t>陈祥</t>
        </is>
      </c>
      <c r="J285" s="540" t="n">
        <v>0</v>
      </c>
      <c r="K285" s="540" t="n"/>
      <c r="L285" s="540" t="inlineStr">
        <is>
          <t>位军浩</t>
        </is>
      </c>
      <c r="M285" s="540" t="n"/>
    </row>
    <row r="286">
      <c r="A286" s="540" t="n">
        <v>290</v>
      </c>
      <c r="B286" s="540" t="inlineStr">
        <is>
          <t>KQCY0290</t>
        </is>
      </c>
      <c r="C286" s="540" t="inlineStr">
        <is>
          <t>餐饮五分部</t>
        </is>
      </c>
      <c r="D286" s="540" t="inlineStr">
        <is>
          <t>CF620</t>
        </is>
      </c>
      <c r="E286" s="540" t="inlineStr">
        <is>
          <t>山西大学B6食堂三层</t>
        </is>
      </c>
      <c r="F286" s="540" t="inlineStr">
        <is>
          <t>强责</t>
        </is>
      </c>
      <c r="G286" s="540" t="inlineStr">
        <is>
          <t>/</t>
        </is>
      </c>
      <c r="H286" s="540" t="inlineStr">
        <is>
          <t>小碗菜</t>
        </is>
      </c>
      <c r="I286" s="540" t="inlineStr">
        <is>
          <t>陈祥</t>
        </is>
      </c>
      <c r="J286" s="540" t="n">
        <v>0</v>
      </c>
      <c r="K286" s="540" t="n"/>
      <c r="L286" s="540" t="inlineStr">
        <is>
          <t>位军浩</t>
        </is>
      </c>
      <c r="M286" s="540" t="n"/>
    </row>
    <row r="287">
      <c r="A287" s="540" t="n">
        <v>291</v>
      </c>
      <c r="B287" s="540" t="inlineStr">
        <is>
          <t>KQCY0291</t>
        </is>
      </c>
      <c r="C287" s="540" t="inlineStr">
        <is>
          <t>餐饮五分部</t>
        </is>
      </c>
      <c r="D287" s="540" t="inlineStr">
        <is>
          <t>CF620</t>
        </is>
      </c>
      <c r="E287" s="540" t="inlineStr">
        <is>
          <t>山西大学B6食堂三层</t>
        </is>
      </c>
      <c r="F287" s="540" t="inlineStr">
        <is>
          <t>强责</t>
        </is>
      </c>
      <c r="G287" s="540" t="inlineStr">
        <is>
          <t>第一班组</t>
        </is>
      </c>
      <c r="H287" s="540" t="inlineStr">
        <is>
          <t>辣椒炒肉汉堡</t>
        </is>
      </c>
      <c r="I287" s="540" t="inlineStr">
        <is>
          <t>胡星丽</t>
        </is>
      </c>
      <c r="J287" s="540" t="n">
        <v>0</v>
      </c>
      <c r="K287" s="540" t="n"/>
      <c r="L287" s="540" t="inlineStr">
        <is>
          <t>位军浩</t>
        </is>
      </c>
      <c r="M287" s="540" t="n"/>
    </row>
    <row r="288">
      <c r="A288" s="540" t="n">
        <v>292</v>
      </c>
      <c r="B288" s="540" t="inlineStr">
        <is>
          <t>KQCY0292</t>
        </is>
      </c>
      <c r="C288" s="540" t="inlineStr">
        <is>
          <t>餐饮五分部</t>
        </is>
      </c>
      <c r="D288" s="540" t="inlineStr">
        <is>
          <t>CF620</t>
        </is>
      </c>
      <c r="E288" s="540" t="inlineStr">
        <is>
          <t>山西大学B6食堂三层</t>
        </is>
      </c>
      <c r="F288" s="540" t="inlineStr">
        <is>
          <t>强责</t>
        </is>
      </c>
      <c r="G288" s="540" t="inlineStr">
        <is>
          <t>第二班组</t>
        </is>
      </c>
      <c r="H288" s="540" t="inlineStr">
        <is>
          <t>石锅菜</t>
        </is>
      </c>
      <c r="I288" s="540" t="inlineStr">
        <is>
          <t>穆瑞霞</t>
        </is>
      </c>
      <c r="J288" s="540" t="n">
        <v>0</v>
      </c>
      <c r="K288" s="540" t="n"/>
      <c r="L288" s="540" t="inlineStr">
        <is>
          <t>位军浩</t>
        </is>
      </c>
      <c r="M288" s="540" t="n"/>
    </row>
    <row r="289">
      <c r="A289" s="540" t="n">
        <v>293</v>
      </c>
      <c r="B289" s="540" t="inlineStr">
        <is>
          <t>KQCY0293</t>
        </is>
      </c>
      <c r="C289" s="540" t="inlineStr">
        <is>
          <t>餐饮五分部</t>
        </is>
      </c>
      <c r="D289" s="540" t="inlineStr">
        <is>
          <t>CF620</t>
        </is>
      </c>
      <c r="E289" s="540" t="inlineStr">
        <is>
          <t>山西大学B6食堂三层</t>
        </is>
      </c>
      <c r="F289" s="540" t="inlineStr">
        <is>
          <t>强责</t>
        </is>
      </c>
      <c r="G289" s="540" t="inlineStr">
        <is>
          <t>第三班组</t>
        </is>
      </c>
      <c r="H289" s="540" t="inlineStr">
        <is>
          <t>方圆便利</t>
        </is>
      </c>
      <c r="I289" s="540" t="inlineStr">
        <is>
          <t>张志洁</t>
        </is>
      </c>
      <c r="J289" s="540" t="n">
        <v>0</v>
      </c>
      <c r="K289" s="540" t="n"/>
      <c r="L289" s="540" t="inlineStr">
        <is>
          <t>位军浩</t>
        </is>
      </c>
      <c r="M289" s="540" t="n"/>
    </row>
    <row r="290">
      <c r="A290" s="540" t="n">
        <v>294</v>
      </c>
      <c r="B290" s="540" t="inlineStr">
        <is>
          <t>KQCY0294</t>
        </is>
      </c>
      <c r="C290" s="540" t="inlineStr">
        <is>
          <t>餐饮五分部</t>
        </is>
      </c>
      <c r="D290" s="540" t="inlineStr">
        <is>
          <t>CF620</t>
        </is>
      </c>
      <c r="E290" s="540" t="inlineStr">
        <is>
          <t>山西大学B6食堂三层</t>
        </is>
      </c>
      <c r="F290" s="540" t="inlineStr">
        <is>
          <t>强责</t>
        </is>
      </c>
      <c r="G290" s="540" t="inlineStr">
        <is>
          <t>第四班组</t>
        </is>
      </c>
      <c r="H290" s="540" t="inlineStr">
        <is>
          <t>私抹制茶</t>
        </is>
      </c>
      <c r="I290" s="540" t="inlineStr">
        <is>
          <t>韩美珍</t>
        </is>
      </c>
      <c r="J290" s="540" t="n">
        <v>0</v>
      </c>
      <c r="K290" s="540" t="n"/>
      <c r="L290" s="540" t="inlineStr">
        <is>
          <t>位军浩</t>
        </is>
      </c>
      <c r="M290" s="540" t="n"/>
    </row>
    <row r="291">
      <c r="A291" s="540" t="n">
        <v>295</v>
      </c>
      <c r="B291" s="540" t="inlineStr">
        <is>
          <t>KQCY0295</t>
        </is>
      </c>
      <c r="C291" s="540" t="inlineStr">
        <is>
          <t>餐饮五分部</t>
        </is>
      </c>
      <c r="D291" s="540" t="inlineStr">
        <is>
          <t>CF697</t>
        </is>
      </c>
      <c r="E291" s="540" t="inlineStr">
        <is>
          <t>兰交大百苑二楼食堂</t>
        </is>
      </c>
      <c r="F291" s="540" t="inlineStr">
        <is>
          <t>自营</t>
        </is>
      </c>
      <c r="G291" s="540" t="inlineStr">
        <is>
          <t>自营</t>
        </is>
      </c>
      <c r="H291" s="540" t="inlineStr">
        <is>
          <t>/</t>
        </is>
      </c>
      <c r="I291" s="540" t="inlineStr">
        <is>
          <t>/</t>
        </is>
      </c>
      <c r="J291" s="540" t="n">
        <v>0</v>
      </c>
      <c r="K291" s="540" t="n"/>
      <c r="L291" s="540" t="inlineStr">
        <is>
          <t>位军浩</t>
        </is>
      </c>
      <c r="M291" s="540" t="n"/>
    </row>
    <row r="292">
      <c r="A292" s="540" t="n">
        <v>296</v>
      </c>
      <c r="B292" s="540" t="inlineStr">
        <is>
          <t>KQCY0296</t>
        </is>
      </c>
      <c r="C292" s="540" t="inlineStr">
        <is>
          <t>餐饮五分部</t>
        </is>
      </c>
      <c r="D292" s="540" t="inlineStr">
        <is>
          <t>CF697</t>
        </is>
      </c>
      <c r="E292" s="540" t="inlineStr">
        <is>
          <t>兰交大百苑二楼食堂</t>
        </is>
      </c>
      <c r="F292" s="540" t="inlineStr">
        <is>
          <t>分组作业</t>
        </is>
      </c>
      <c r="G292" s="540" t="inlineStr">
        <is>
          <t>/</t>
        </is>
      </c>
      <c r="H292" s="540" t="inlineStr">
        <is>
          <t>快餐</t>
        </is>
      </c>
      <c r="I292" s="540" t="inlineStr">
        <is>
          <t>胡小娟</t>
        </is>
      </c>
      <c r="J292" s="540" t="n">
        <v>0</v>
      </c>
      <c r="K292" s="540" t="n"/>
      <c r="L292" s="540" t="inlineStr">
        <is>
          <t>位军浩</t>
        </is>
      </c>
      <c r="M292" s="540" t="n"/>
    </row>
    <row r="293">
      <c r="A293" s="540" t="n">
        <v>297</v>
      </c>
      <c r="B293" s="540" t="inlineStr">
        <is>
          <t>KQCY0297</t>
        </is>
      </c>
      <c r="C293" s="540" t="inlineStr">
        <is>
          <t>餐饮五分部</t>
        </is>
      </c>
      <c r="D293" s="540" t="inlineStr">
        <is>
          <t>CF697</t>
        </is>
      </c>
      <c r="E293" s="540" t="inlineStr">
        <is>
          <t>兰交大百苑二楼食堂</t>
        </is>
      </c>
      <c r="F293" s="540" t="inlineStr">
        <is>
          <t>分组作业</t>
        </is>
      </c>
      <c r="G293" s="540" t="inlineStr">
        <is>
          <t>/</t>
        </is>
      </c>
      <c r="H293" s="540" t="inlineStr">
        <is>
          <t>热卤饭</t>
        </is>
      </c>
      <c r="I293" s="540" t="inlineStr">
        <is>
          <t>郭建琴</t>
        </is>
      </c>
      <c r="J293" s="540" t="n">
        <v>0</v>
      </c>
      <c r="K293" s="540" t="n"/>
      <c r="L293" s="540" t="inlineStr">
        <is>
          <t>位军浩</t>
        </is>
      </c>
      <c r="M293" s="540" t="n"/>
    </row>
    <row r="294">
      <c r="A294" s="540" t="n">
        <v>298</v>
      </c>
      <c r="B294" s="540" t="inlineStr">
        <is>
          <t>KQCY0298</t>
        </is>
      </c>
      <c r="C294" s="540" t="inlineStr">
        <is>
          <t>餐饮五分部</t>
        </is>
      </c>
      <c r="D294" s="540" t="inlineStr">
        <is>
          <t>CF697</t>
        </is>
      </c>
      <c r="E294" s="540" t="inlineStr">
        <is>
          <t>兰交大百苑二楼食堂</t>
        </is>
      </c>
      <c r="F294" s="540" t="inlineStr">
        <is>
          <t>分组作业</t>
        </is>
      </c>
      <c r="G294" s="540" t="inlineStr">
        <is>
          <t>/</t>
        </is>
      </c>
      <c r="H294" s="540" t="inlineStr">
        <is>
          <t>铁锅炖</t>
        </is>
      </c>
      <c r="I294" s="540" t="inlineStr">
        <is>
          <t>白小霞</t>
        </is>
      </c>
      <c r="J294" s="540" t="n">
        <v>0</v>
      </c>
      <c r="K294" s="540" t="n"/>
      <c r="L294" s="540" t="inlineStr">
        <is>
          <t>位军浩</t>
        </is>
      </c>
      <c r="M294" s="540" t="n"/>
    </row>
    <row r="295">
      <c r="A295" s="540" t="n">
        <v>299</v>
      </c>
      <c r="B295" s="540" t="inlineStr">
        <is>
          <t>KQCY0299</t>
        </is>
      </c>
      <c r="C295" s="540" t="inlineStr">
        <is>
          <t>餐饮五分部</t>
        </is>
      </c>
      <c r="D295" s="540" t="inlineStr">
        <is>
          <t>CF697</t>
        </is>
      </c>
      <c r="E295" s="540" t="inlineStr">
        <is>
          <t>兰交大百苑二楼食堂</t>
        </is>
      </c>
      <c r="F295" s="540" t="inlineStr">
        <is>
          <t>分组作业</t>
        </is>
      </c>
      <c r="G295" s="540" t="inlineStr">
        <is>
          <t>/</t>
        </is>
      </c>
      <c r="H295" s="540" t="inlineStr">
        <is>
          <t>绝世皇鸭</t>
        </is>
      </c>
      <c r="I295" s="540" t="inlineStr">
        <is>
          <t>魏路虎</t>
        </is>
      </c>
      <c r="J295" s="540" t="n">
        <v>0</v>
      </c>
      <c r="K295" s="540" t="n"/>
      <c r="L295" s="540" t="inlineStr">
        <is>
          <t>位军浩</t>
        </is>
      </c>
      <c r="M295" s="540" t="n"/>
    </row>
    <row r="296">
      <c r="A296" s="540" t="n">
        <v>300</v>
      </c>
      <c r="B296" s="540" t="inlineStr">
        <is>
          <t>KQCY0300</t>
        </is>
      </c>
      <c r="C296" s="540" t="inlineStr">
        <is>
          <t>餐饮五分部</t>
        </is>
      </c>
      <c r="D296" s="540" t="inlineStr">
        <is>
          <t>CF697</t>
        </is>
      </c>
      <c r="E296" s="540" t="inlineStr">
        <is>
          <t>兰交大百苑二楼食堂</t>
        </is>
      </c>
      <c r="F296" s="540" t="inlineStr">
        <is>
          <t>分组作业</t>
        </is>
      </c>
      <c r="G296" s="540" t="inlineStr">
        <is>
          <t>/</t>
        </is>
      </c>
      <c r="H296" s="540" t="inlineStr">
        <is>
          <t>螺蛳粉</t>
        </is>
      </c>
      <c r="I296" s="540" t="inlineStr">
        <is>
          <t>孟庆玲</t>
        </is>
      </c>
      <c r="J296" s="540" t="n">
        <v>0</v>
      </c>
      <c r="K296" s="540" t="n"/>
      <c r="L296" s="540" t="inlineStr">
        <is>
          <t>位军浩</t>
        </is>
      </c>
      <c r="M296" s="540" t="n"/>
    </row>
    <row r="297">
      <c r="A297" s="540" t="n">
        <v>301</v>
      </c>
      <c r="B297" s="540" t="inlineStr">
        <is>
          <t>KQCY0301</t>
        </is>
      </c>
      <c r="C297" s="540" t="inlineStr">
        <is>
          <t>餐饮五分部</t>
        </is>
      </c>
      <c r="D297" s="540" t="inlineStr">
        <is>
          <t>CF697</t>
        </is>
      </c>
      <c r="E297" s="540" t="inlineStr">
        <is>
          <t>兰交大百苑二楼食堂</t>
        </is>
      </c>
      <c r="F297" s="540" t="inlineStr">
        <is>
          <t>分组作业</t>
        </is>
      </c>
      <c r="G297" s="540" t="inlineStr">
        <is>
          <t>/</t>
        </is>
      </c>
      <c r="H297" s="540" t="inlineStr">
        <is>
          <t>麻辣烫</t>
        </is>
      </c>
      <c r="I297" s="540" t="inlineStr">
        <is>
          <t>姚春</t>
        </is>
      </c>
      <c r="J297" s="540" t="n">
        <v>0</v>
      </c>
      <c r="K297" s="540" t="n"/>
      <c r="L297" s="540" t="inlineStr">
        <is>
          <t>位军浩</t>
        </is>
      </c>
      <c r="M297" s="540" t="n"/>
    </row>
    <row r="298">
      <c r="A298" s="540" t="n">
        <v>302</v>
      </c>
      <c r="B298" s="540" t="inlineStr">
        <is>
          <t>KQCY0302</t>
        </is>
      </c>
      <c r="C298" s="540" t="inlineStr">
        <is>
          <t>餐饮五分部</t>
        </is>
      </c>
      <c r="D298" s="540" t="inlineStr">
        <is>
          <t>CF697</t>
        </is>
      </c>
      <c r="E298" s="540" t="inlineStr">
        <is>
          <t>兰交大百苑二楼食堂</t>
        </is>
      </c>
      <c r="F298" s="540" t="inlineStr">
        <is>
          <t>分组作业</t>
        </is>
      </c>
      <c r="G298" s="540" t="inlineStr">
        <is>
          <t>/</t>
        </is>
      </c>
      <c r="H298" s="540" t="inlineStr">
        <is>
          <t>脆皮鸡米饭</t>
        </is>
      </c>
      <c r="I298" s="540" t="inlineStr">
        <is>
          <t>王燕</t>
        </is>
      </c>
      <c r="J298" s="540" t="n">
        <v>0</v>
      </c>
      <c r="K298" s="540" t="n"/>
      <c r="L298" s="540" t="inlineStr">
        <is>
          <t>位军浩</t>
        </is>
      </c>
      <c r="M298" s="540" t="n"/>
    </row>
    <row r="299">
      <c r="A299" s="540" t="n">
        <v>303</v>
      </c>
      <c r="B299" s="540" t="inlineStr">
        <is>
          <t>KQCY0303</t>
        </is>
      </c>
      <c r="C299" s="540" t="inlineStr">
        <is>
          <t>餐饮五分部</t>
        </is>
      </c>
      <c r="D299" s="540" t="inlineStr">
        <is>
          <t>CF697</t>
        </is>
      </c>
      <c r="E299" s="540" t="inlineStr">
        <is>
          <t>兰交大百苑二楼食堂</t>
        </is>
      </c>
      <c r="F299" s="540" t="inlineStr">
        <is>
          <t>分组作业</t>
        </is>
      </c>
      <c r="G299" s="540" t="inlineStr">
        <is>
          <t>/</t>
        </is>
      </c>
      <c r="H299" s="540" t="inlineStr">
        <is>
          <t>羊杂面</t>
        </is>
      </c>
      <c r="I299" s="540" t="inlineStr">
        <is>
          <t>裴晓文</t>
        </is>
      </c>
      <c r="J299" s="540" t="n">
        <v>0</v>
      </c>
      <c r="K299" s="540" t="n"/>
      <c r="L299" s="540" t="inlineStr">
        <is>
          <t>位军浩</t>
        </is>
      </c>
      <c r="M299" s="540" t="n"/>
    </row>
    <row r="300">
      <c r="A300" s="540" t="n">
        <v>304</v>
      </c>
      <c r="B300" s="540" t="inlineStr">
        <is>
          <t>KQCY0304</t>
        </is>
      </c>
      <c r="C300" s="540" t="inlineStr">
        <is>
          <t>餐饮五分部</t>
        </is>
      </c>
      <c r="D300" s="540" t="inlineStr">
        <is>
          <t>CF697</t>
        </is>
      </c>
      <c r="E300" s="540" t="inlineStr">
        <is>
          <t>兰交大百苑二楼食堂</t>
        </is>
      </c>
      <c r="F300" s="540" t="inlineStr">
        <is>
          <t>分组作业</t>
        </is>
      </c>
      <c r="G300" s="540" t="inlineStr">
        <is>
          <t>/</t>
        </is>
      </c>
      <c r="H300" s="540" t="inlineStr">
        <is>
          <t>快餐</t>
        </is>
      </c>
      <c r="I300" s="540" t="inlineStr">
        <is>
          <t>闫焕平</t>
        </is>
      </c>
      <c r="J300" s="540" t="n">
        <v>0</v>
      </c>
      <c r="K300" s="540" t="n"/>
      <c r="L300" s="540" t="inlineStr">
        <is>
          <t>位军浩</t>
        </is>
      </c>
      <c r="M300" s="540" t="n"/>
    </row>
    <row r="301">
      <c r="A301" s="540" t="n">
        <v>305</v>
      </c>
      <c r="B301" s="540" t="inlineStr">
        <is>
          <t>KQCY0305</t>
        </is>
      </c>
      <c r="C301" s="540" t="inlineStr">
        <is>
          <t>餐饮五分部</t>
        </is>
      </c>
      <c r="D301" s="540" t="inlineStr">
        <is>
          <t>CF697</t>
        </is>
      </c>
      <c r="E301" s="540" t="inlineStr">
        <is>
          <t>兰交大百苑二楼食堂</t>
        </is>
      </c>
      <c r="F301" s="540" t="inlineStr">
        <is>
          <t>分组作业</t>
        </is>
      </c>
      <c r="G301" s="540" t="inlineStr">
        <is>
          <t>/</t>
        </is>
      </c>
      <c r="H301" s="540" t="inlineStr">
        <is>
          <t>石锅菜</t>
        </is>
      </c>
      <c r="I301" s="540" t="inlineStr">
        <is>
          <t>李雄飞</t>
        </is>
      </c>
      <c r="J301" s="540" t="n">
        <v>0</v>
      </c>
      <c r="K301" s="540" t="inlineStr">
        <is>
          <t>已撤场</t>
        </is>
      </c>
      <c r="L301" s="540" t="inlineStr">
        <is>
          <t>位军浩</t>
        </is>
      </c>
      <c r="M301" s="540" t="n"/>
    </row>
    <row r="302">
      <c r="A302" s="540" t="n">
        <v>306</v>
      </c>
      <c r="B302" s="540" t="inlineStr">
        <is>
          <t>KQCY0306</t>
        </is>
      </c>
      <c r="C302" s="540" t="inlineStr">
        <is>
          <t>餐饮五分部</t>
        </is>
      </c>
      <c r="D302" s="540" t="inlineStr">
        <is>
          <t>CF697</t>
        </is>
      </c>
      <c r="E302" s="540" t="inlineStr">
        <is>
          <t>兰交大百苑二楼食堂</t>
        </is>
      </c>
      <c r="F302" s="540" t="inlineStr">
        <is>
          <t>分组作业</t>
        </is>
      </c>
      <c r="G302" s="540" t="inlineStr">
        <is>
          <t>/</t>
        </is>
      </c>
      <c r="H302" s="540" t="inlineStr">
        <is>
          <t>米粉</t>
        </is>
      </c>
      <c r="I302" s="540" t="inlineStr">
        <is>
          <t>安平</t>
        </is>
      </c>
      <c r="J302" s="540" t="n">
        <v>0</v>
      </c>
      <c r="K302" s="540" t="n"/>
      <c r="L302" s="540" t="inlineStr">
        <is>
          <t>位军浩</t>
        </is>
      </c>
      <c r="M302" s="540" t="n"/>
    </row>
    <row r="303">
      <c r="A303" s="540" t="n">
        <v>307</v>
      </c>
      <c r="B303" s="540" t="inlineStr">
        <is>
          <t>KQCY0307</t>
        </is>
      </c>
      <c r="C303" s="540" t="inlineStr">
        <is>
          <t>餐饮五分部</t>
        </is>
      </c>
      <c r="D303" s="540" t="inlineStr">
        <is>
          <t>CF697</t>
        </is>
      </c>
      <c r="E303" s="540" t="inlineStr">
        <is>
          <t>兰交大百苑二楼食堂</t>
        </is>
      </c>
      <c r="F303" s="540" t="inlineStr">
        <is>
          <t>分组作业</t>
        </is>
      </c>
      <c r="G303" s="540" t="inlineStr">
        <is>
          <t>/</t>
        </is>
      </c>
      <c r="H303" s="540" t="inlineStr">
        <is>
          <t>猪脚饭</t>
        </is>
      </c>
      <c r="I303" s="540" t="inlineStr">
        <is>
          <t>张文权</t>
        </is>
      </c>
      <c r="J303" s="540" t="n">
        <v>0</v>
      </c>
      <c r="K303" s="540" t="n"/>
      <c r="L303" s="540" t="inlineStr">
        <is>
          <t>位军浩</t>
        </is>
      </c>
      <c r="M303" s="540" t="n"/>
    </row>
    <row r="304">
      <c r="A304" s="540" t="n">
        <v>308</v>
      </c>
      <c r="B304" s="540" t="inlineStr">
        <is>
          <t>KQCY0308</t>
        </is>
      </c>
      <c r="C304" s="540" t="inlineStr">
        <is>
          <t>餐饮五分部</t>
        </is>
      </c>
      <c r="D304" s="540" t="inlineStr">
        <is>
          <t>CF697</t>
        </is>
      </c>
      <c r="E304" s="540" t="inlineStr">
        <is>
          <t>兰交大百苑二楼食堂</t>
        </is>
      </c>
      <c r="F304" s="540" t="inlineStr">
        <is>
          <t>分组作业</t>
        </is>
      </c>
      <c r="G304" s="540" t="inlineStr">
        <is>
          <t>/</t>
        </is>
      </c>
      <c r="H304" s="540" t="inlineStr">
        <is>
          <t>宋曼烤串</t>
        </is>
      </c>
      <c r="I304" s="540" t="inlineStr">
        <is>
          <t>于金梅</t>
        </is>
      </c>
      <c r="J304" s="540" t="n">
        <v>0</v>
      </c>
      <c r="K304" s="540" t="n"/>
      <c r="L304" s="540" t="inlineStr">
        <is>
          <t>位军浩</t>
        </is>
      </c>
      <c r="M304" s="540" t="n"/>
    </row>
    <row r="305">
      <c r="A305" s="540" t="n">
        <v>309</v>
      </c>
      <c r="B305" s="540" t="inlineStr">
        <is>
          <t>KQCY0309</t>
        </is>
      </c>
      <c r="C305" s="540" t="inlineStr">
        <is>
          <t>餐饮五分部</t>
        </is>
      </c>
      <c r="D305" s="540" t="inlineStr">
        <is>
          <t>CF697</t>
        </is>
      </c>
      <c r="E305" s="540" t="inlineStr">
        <is>
          <t>兰交大百苑二楼食堂</t>
        </is>
      </c>
      <c r="F305" s="540" t="inlineStr">
        <is>
          <t>分组作业</t>
        </is>
      </c>
      <c r="G305" s="540" t="inlineStr">
        <is>
          <t>/</t>
        </is>
      </c>
      <c r="H305" s="540" t="inlineStr">
        <is>
          <t>汉堡</t>
        </is>
      </c>
      <c r="I305" s="540" t="inlineStr">
        <is>
          <t>陈发权</t>
        </is>
      </c>
      <c r="J305" s="540" t="n">
        <v>0</v>
      </c>
      <c r="K305" s="540" t="n"/>
      <c r="L305" s="540" t="inlineStr">
        <is>
          <t>位军浩</t>
        </is>
      </c>
      <c r="M305" s="540" t="n"/>
    </row>
    <row r="306">
      <c r="A306" s="540" t="n">
        <v>310</v>
      </c>
      <c r="B306" s="540" t="inlineStr">
        <is>
          <t>KQCY0310</t>
        </is>
      </c>
      <c r="C306" s="540" t="inlineStr">
        <is>
          <t>餐饮五分部</t>
        </is>
      </c>
      <c r="D306" s="540" t="inlineStr">
        <is>
          <t>CF698</t>
        </is>
      </c>
      <c r="E306" s="540" t="inlineStr">
        <is>
          <t>兰理工兰工坪校区一食堂</t>
        </is>
      </c>
      <c r="F306" s="540" t="inlineStr">
        <is>
          <t>自营</t>
        </is>
      </c>
      <c r="G306" s="540" t="inlineStr">
        <is>
          <t>自营</t>
        </is>
      </c>
      <c r="H306" s="540" t="inlineStr">
        <is>
          <t>/</t>
        </is>
      </c>
      <c r="I306" s="540" t="inlineStr">
        <is>
          <t>/</t>
        </is>
      </c>
      <c r="J306" s="540" t="n">
        <v>8546.190000000001</v>
      </c>
      <c r="K306" s="540" t="n"/>
      <c r="L306" s="540" t="inlineStr">
        <is>
          <t>位军浩</t>
        </is>
      </c>
      <c r="M306" s="540" t="n"/>
    </row>
    <row r="307">
      <c r="A307" s="540" t="n">
        <v>311</v>
      </c>
      <c r="B307" s="540" t="inlineStr">
        <is>
          <t>KQCY0311</t>
        </is>
      </c>
      <c r="C307" s="540" t="inlineStr">
        <is>
          <t>餐饮五分部</t>
        </is>
      </c>
      <c r="D307" s="540" t="inlineStr">
        <is>
          <t>CF698</t>
        </is>
      </c>
      <c r="E307" s="540" t="inlineStr">
        <is>
          <t>兰理工兰工坪校区一食堂</t>
        </is>
      </c>
      <c r="F307" s="540" t="inlineStr">
        <is>
          <t>分组作业</t>
        </is>
      </c>
      <c r="G307" s="540" t="inlineStr">
        <is>
          <t>/</t>
        </is>
      </c>
      <c r="H307" s="540" t="inlineStr">
        <is>
          <t>早餐（包子、粥、馅饼、饺子）</t>
        </is>
      </c>
      <c r="I307" s="540" t="inlineStr">
        <is>
          <t>杨文宏</t>
        </is>
      </c>
      <c r="J307" s="540" t="n">
        <v>11981.43</v>
      </c>
      <c r="K307" s="540" t="inlineStr">
        <is>
          <t>撤场，班组长更换为杨凤祥</t>
        </is>
      </c>
      <c r="L307" s="540" t="inlineStr">
        <is>
          <t>位军浩</t>
        </is>
      </c>
      <c r="M307" s="540" t="n"/>
    </row>
    <row r="308">
      <c r="A308" s="540" t="n">
        <v>312</v>
      </c>
      <c r="B308" s="540" t="inlineStr">
        <is>
          <t>KQCY0312</t>
        </is>
      </c>
      <c r="C308" s="540" t="inlineStr">
        <is>
          <t>餐饮五分部</t>
        </is>
      </c>
      <c r="D308" s="540" t="inlineStr">
        <is>
          <t>CF698</t>
        </is>
      </c>
      <c r="E308" s="540" t="inlineStr">
        <is>
          <t>兰理工兰工坪校区一食堂</t>
        </is>
      </c>
      <c r="F308" s="540" t="inlineStr">
        <is>
          <t>分组作业</t>
        </is>
      </c>
      <c r="G308" s="540" t="inlineStr">
        <is>
          <t>/</t>
        </is>
      </c>
      <c r="H308" s="540" t="inlineStr">
        <is>
          <t>快餐（盖浇饭、锅仔）</t>
        </is>
      </c>
      <c r="I308" s="540" t="inlineStr">
        <is>
          <t>宋玉琴</t>
        </is>
      </c>
      <c r="J308" s="540" t="n">
        <v>86745.25</v>
      </c>
      <c r="K308" s="540" t="inlineStr">
        <is>
          <t>撤场，班组长更换为曾德彬</t>
        </is>
      </c>
      <c r="L308" s="540" t="inlineStr">
        <is>
          <t>位军浩</t>
        </is>
      </c>
      <c r="M308" s="540" t="n"/>
    </row>
    <row r="309">
      <c r="A309" s="540" t="n">
        <v>313</v>
      </c>
      <c r="B309" s="540" t="inlineStr">
        <is>
          <t>KQCY0313</t>
        </is>
      </c>
      <c r="C309" s="540" t="inlineStr">
        <is>
          <t>餐饮五分部</t>
        </is>
      </c>
      <c r="D309" s="540" t="inlineStr">
        <is>
          <t>CF698</t>
        </is>
      </c>
      <c r="E309" s="540" t="inlineStr">
        <is>
          <t>兰理工兰工坪校区一食堂</t>
        </is>
      </c>
      <c r="F309" s="540" t="inlineStr">
        <is>
          <t>分组作业</t>
        </is>
      </c>
      <c r="G309" s="540" t="inlineStr">
        <is>
          <t>/</t>
        </is>
      </c>
      <c r="H309" s="540" t="inlineStr">
        <is>
          <t>米粉</t>
        </is>
      </c>
      <c r="I309" s="540" t="inlineStr">
        <is>
          <t>尚伟伟</t>
        </is>
      </c>
      <c r="J309" s="540" t="n">
        <v>14052.8</v>
      </c>
      <c r="K309" s="540" t="n"/>
      <c r="L309" s="540" t="inlineStr">
        <is>
          <t>位军浩</t>
        </is>
      </c>
      <c r="M309" s="540" t="n"/>
    </row>
    <row r="310">
      <c r="A310" s="540" t="n">
        <v>314</v>
      </c>
      <c r="B310" s="540" t="inlineStr">
        <is>
          <t>KQCY0314</t>
        </is>
      </c>
      <c r="C310" s="540" t="inlineStr">
        <is>
          <t>餐饮五分部</t>
        </is>
      </c>
      <c r="D310" s="540" t="inlineStr">
        <is>
          <t>CF698</t>
        </is>
      </c>
      <c r="E310" s="540" t="inlineStr">
        <is>
          <t>兰理工兰工坪校区一食堂</t>
        </is>
      </c>
      <c r="F310" s="540" t="inlineStr">
        <is>
          <t>分组作业</t>
        </is>
      </c>
      <c r="G310" s="540" t="inlineStr">
        <is>
          <t>/</t>
        </is>
      </c>
      <c r="H310" s="540" t="inlineStr">
        <is>
          <t>烤鸭饭</t>
        </is>
      </c>
      <c r="I310" s="540" t="inlineStr">
        <is>
          <t>何启发</t>
        </is>
      </c>
      <c r="J310" s="540" t="n">
        <v>33430.81</v>
      </c>
      <c r="K310" s="540" t="n"/>
      <c r="L310" s="540" t="inlineStr">
        <is>
          <t>位军浩</t>
        </is>
      </c>
      <c r="M310" s="540" t="n"/>
    </row>
    <row r="311">
      <c r="A311" s="540" t="n">
        <v>315</v>
      </c>
      <c r="B311" s="540" t="inlineStr">
        <is>
          <t>KQCY0315</t>
        </is>
      </c>
      <c r="C311" s="540" t="inlineStr">
        <is>
          <t>餐饮五分部</t>
        </is>
      </c>
      <c r="D311" s="540" t="inlineStr">
        <is>
          <t>CF698</t>
        </is>
      </c>
      <c r="E311" s="540" t="inlineStr">
        <is>
          <t>兰理工兰工坪校区一食堂</t>
        </is>
      </c>
      <c r="F311" s="540" t="inlineStr">
        <is>
          <t>分组作业</t>
        </is>
      </c>
      <c r="G311" s="540" t="inlineStr">
        <is>
          <t>/</t>
        </is>
      </c>
      <c r="H311" s="540" t="inlineStr">
        <is>
          <t>香肉拌饭</t>
        </is>
      </c>
      <c r="I311" s="540" t="inlineStr">
        <is>
          <t>尚晓强</t>
        </is>
      </c>
      <c r="J311" s="540" t="n">
        <v>19166.47</v>
      </c>
      <c r="K311" s="540" t="inlineStr">
        <is>
          <t>撤场，班组长更换为尚晓刚</t>
        </is>
      </c>
      <c r="L311" s="540" t="inlineStr">
        <is>
          <t>位军浩</t>
        </is>
      </c>
      <c r="M311" s="540" t="n"/>
    </row>
    <row r="312">
      <c r="A312" s="540" t="n">
        <v>316</v>
      </c>
      <c r="B312" s="540" t="inlineStr">
        <is>
          <t>KQCY0316</t>
        </is>
      </c>
      <c r="C312" s="540" t="inlineStr">
        <is>
          <t>餐饮五分部</t>
        </is>
      </c>
      <c r="D312" s="540" t="inlineStr">
        <is>
          <t>CF698</t>
        </is>
      </c>
      <c r="E312" s="540" t="inlineStr">
        <is>
          <t>兰理工兰工坪校区一食堂</t>
        </is>
      </c>
      <c r="F312" s="540" t="inlineStr">
        <is>
          <t>分组作业</t>
        </is>
      </c>
      <c r="G312" s="540" t="inlineStr">
        <is>
          <t>/</t>
        </is>
      </c>
      <c r="H312" s="540" t="inlineStr">
        <is>
          <t>面夫子包子（煎饺）</t>
        </is>
      </c>
      <c r="I312" s="540" t="inlineStr">
        <is>
          <t>景波波</t>
        </is>
      </c>
      <c r="J312" s="540" t="n">
        <v>3649.32</v>
      </c>
      <c r="K312" s="540" t="n"/>
      <c r="L312" s="540" t="inlineStr">
        <is>
          <t>位军浩</t>
        </is>
      </c>
      <c r="M312" s="540" t="n"/>
    </row>
    <row r="313">
      <c r="A313" s="540" t="n">
        <v>317</v>
      </c>
      <c r="B313" s="540" t="inlineStr">
        <is>
          <t>KQCY0317</t>
        </is>
      </c>
      <c r="C313" s="540" t="inlineStr">
        <is>
          <t>餐饮五分部</t>
        </is>
      </c>
      <c r="D313" s="540" t="inlineStr">
        <is>
          <t>CF698</t>
        </is>
      </c>
      <c r="E313" s="540" t="inlineStr">
        <is>
          <t>兰理工兰工坪校区一食堂</t>
        </is>
      </c>
      <c r="F313" s="540" t="inlineStr">
        <is>
          <t>分组作业</t>
        </is>
      </c>
      <c r="G313" s="540" t="inlineStr">
        <is>
          <t>/</t>
        </is>
      </c>
      <c r="H313" s="540" t="inlineStr">
        <is>
          <t>面小福菜拌面</t>
        </is>
      </c>
      <c r="I313" s="540" t="inlineStr">
        <is>
          <t>蔡晓娟</t>
        </is>
      </c>
      <c r="J313" s="540" t="n">
        <v>22845.19</v>
      </c>
      <c r="K313" s="540" t="inlineStr">
        <is>
          <t>撤场，班组长更换为周颖</t>
        </is>
      </c>
      <c r="L313" s="540" t="inlineStr">
        <is>
          <t>位军浩</t>
        </is>
      </c>
      <c r="M313" s="540" t="n"/>
    </row>
    <row r="314">
      <c r="A314" s="540" t="n">
        <v>318</v>
      </c>
      <c r="B314" s="540" t="inlineStr">
        <is>
          <t>KQCY0318</t>
        </is>
      </c>
      <c r="C314" s="540" t="inlineStr">
        <is>
          <t>餐饮五分部</t>
        </is>
      </c>
      <c r="D314" s="540" t="inlineStr">
        <is>
          <t>CF698</t>
        </is>
      </c>
      <c r="E314" s="540" t="inlineStr">
        <is>
          <t>兰理工兰工坪校区一食堂</t>
        </is>
      </c>
      <c r="F314" s="540" t="inlineStr">
        <is>
          <t>分组作业</t>
        </is>
      </c>
      <c r="G314" s="540" t="inlineStr">
        <is>
          <t>/</t>
        </is>
      </c>
      <c r="H314" s="540" t="inlineStr">
        <is>
          <t>饶城湘辣椒炒肉</t>
        </is>
      </c>
      <c r="I314" s="540" t="inlineStr">
        <is>
          <t>蔡晓娟</t>
        </is>
      </c>
      <c r="J314" s="540" t="n">
        <v>50842.42</v>
      </c>
      <c r="K314" s="540" t="n"/>
      <c r="L314" s="540" t="inlineStr">
        <is>
          <t>位军浩</t>
        </is>
      </c>
      <c r="M314" s="540" t="n"/>
    </row>
    <row r="315">
      <c r="A315" s="540" t="n">
        <v>319</v>
      </c>
      <c r="B315" s="540" t="inlineStr">
        <is>
          <t>KQCY0319</t>
        </is>
      </c>
      <c r="C315" s="540" t="inlineStr">
        <is>
          <t>餐饮五分部</t>
        </is>
      </c>
      <c r="D315" s="540" t="inlineStr">
        <is>
          <t>CF698</t>
        </is>
      </c>
      <c r="E315" s="540" t="inlineStr">
        <is>
          <t>兰理工兰工坪校区一食堂</t>
        </is>
      </c>
      <c r="F315" s="540" t="inlineStr">
        <is>
          <t>分组作业</t>
        </is>
      </c>
      <c r="G315" s="540" t="inlineStr">
        <is>
          <t>/</t>
        </is>
      </c>
      <c r="H315" s="540" t="inlineStr">
        <is>
          <t>一纸鸡牛肉饭</t>
        </is>
      </c>
      <c r="I315" s="540" t="inlineStr">
        <is>
          <t>王燕</t>
        </is>
      </c>
      <c r="J315" s="540" t="n">
        <v>3748.92</v>
      </c>
      <c r="K315" s="540" t="inlineStr">
        <is>
          <t>撤场，班组长更换为蔡晓娟</t>
        </is>
      </c>
      <c r="L315" s="540" t="inlineStr">
        <is>
          <t>位军浩</t>
        </is>
      </c>
      <c r="M315" s="540" t="n"/>
    </row>
    <row r="316">
      <c r="A316" s="540" t="n">
        <v>320</v>
      </c>
      <c r="B316" s="540" t="inlineStr">
        <is>
          <t>KQCY0320</t>
        </is>
      </c>
      <c r="C316" s="540" t="inlineStr">
        <is>
          <t>餐饮五分部</t>
        </is>
      </c>
      <c r="D316" s="540" t="inlineStr">
        <is>
          <t>CF698</t>
        </is>
      </c>
      <c r="E316" s="540" t="inlineStr">
        <is>
          <t>兰理工兰工坪校区一食堂</t>
        </is>
      </c>
      <c r="F316" s="540" t="inlineStr">
        <is>
          <t>分组作业</t>
        </is>
      </c>
      <c r="G316" s="540" t="inlineStr">
        <is>
          <t>/</t>
        </is>
      </c>
      <c r="H316" s="540" t="inlineStr">
        <is>
          <t>波乐宝炸鸡汉堡</t>
        </is>
      </c>
      <c r="I316" s="540" t="inlineStr">
        <is>
          <t>周小鹏</t>
        </is>
      </c>
      <c r="J316" s="540" t="n">
        <v>2928.58</v>
      </c>
      <c r="K316" s="540" t="n"/>
      <c r="L316" s="540" t="inlineStr">
        <is>
          <t>位军浩</t>
        </is>
      </c>
      <c r="M316" s="540" t="n"/>
    </row>
    <row r="317">
      <c r="A317" s="540" t="n">
        <v>321</v>
      </c>
      <c r="B317" s="540" t="inlineStr">
        <is>
          <t>KQCY0321</t>
        </is>
      </c>
      <c r="C317" s="540" t="inlineStr">
        <is>
          <t>餐饮五分部</t>
        </is>
      </c>
      <c r="D317" s="540" t="inlineStr">
        <is>
          <t>CF698</t>
        </is>
      </c>
      <c r="E317" s="540" t="inlineStr">
        <is>
          <t>兰理工兰工坪校区一食堂</t>
        </is>
      </c>
      <c r="F317" s="540" t="inlineStr">
        <is>
          <t>分组作业</t>
        </is>
      </c>
      <c r="G317" s="540" t="inlineStr">
        <is>
          <t>/</t>
        </is>
      </c>
      <c r="H317" s="540" t="inlineStr">
        <is>
          <t>冒菜（小火锅）</t>
        </is>
      </c>
      <c r="I317" s="540" t="inlineStr">
        <is>
          <t>马娟娟</t>
        </is>
      </c>
      <c r="J317" s="540" t="n">
        <v>3140.47</v>
      </c>
      <c r="K317" s="540" t="n"/>
      <c r="L317" s="540" t="inlineStr">
        <is>
          <t>位军浩</t>
        </is>
      </c>
      <c r="M317" s="540" t="n"/>
    </row>
    <row r="318">
      <c r="A318" s="540" t="n">
        <v>322</v>
      </c>
      <c r="B318" s="540" t="inlineStr">
        <is>
          <t>KQCY0322</t>
        </is>
      </c>
      <c r="C318" s="540" t="inlineStr">
        <is>
          <t>餐饮五分部</t>
        </is>
      </c>
      <c r="D318" s="540" t="inlineStr">
        <is>
          <t>CF698</t>
        </is>
      </c>
      <c r="E318" s="540" t="inlineStr">
        <is>
          <t>兰理工兰工坪校区一食堂</t>
        </is>
      </c>
      <c r="F318" s="540" t="inlineStr">
        <is>
          <t>分组作业</t>
        </is>
      </c>
      <c r="G318" s="540" t="inlineStr">
        <is>
          <t>/</t>
        </is>
      </c>
      <c r="H318" s="540" t="inlineStr">
        <is>
          <t>牛肉面（炒面）</t>
        </is>
      </c>
      <c r="I318" s="540" t="inlineStr">
        <is>
          <t>马娟娟</t>
        </is>
      </c>
      <c r="J318" s="540" t="n">
        <v>22043.9</v>
      </c>
      <c r="K318" s="540" t="n"/>
      <c r="L318" s="540" t="inlineStr">
        <is>
          <t>位军浩</t>
        </is>
      </c>
      <c r="M318" s="540" t="n"/>
    </row>
    <row r="319">
      <c r="A319" s="540" t="n">
        <v>323</v>
      </c>
      <c r="B319" s="540" t="inlineStr">
        <is>
          <t>KQCY0323</t>
        </is>
      </c>
      <c r="C319" s="540" t="inlineStr">
        <is>
          <t>餐饮五分部</t>
        </is>
      </c>
      <c r="D319" s="540" t="inlineStr">
        <is>
          <t>CF698</t>
        </is>
      </c>
      <c r="E319" s="540" t="inlineStr">
        <is>
          <t>兰理工兰工坪校区一食堂</t>
        </is>
      </c>
      <c r="F319" s="540" t="inlineStr">
        <is>
          <t>分组作业</t>
        </is>
      </c>
      <c r="G319" s="540" t="inlineStr">
        <is>
          <t>/</t>
        </is>
      </c>
      <c r="H319" s="540" t="inlineStr">
        <is>
          <t>杂粮煎饼</t>
        </is>
      </c>
      <c r="I319" s="540" t="inlineStr">
        <is>
          <t>李超</t>
        </is>
      </c>
      <c r="J319" s="540" t="n">
        <v>1766.13</v>
      </c>
      <c r="K319" s="540" t="n"/>
      <c r="L319" s="540" t="inlineStr">
        <is>
          <t>位军浩</t>
        </is>
      </c>
      <c r="M319" s="540" t="n"/>
    </row>
    <row r="320">
      <c r="A320" s="540" t="n">
        <v>324</v>
      </c>
      <c r="B320" s="540" t="inlineStr">
        <is>
          <t>KQCY0324</t>
        </is>
      </c>
      <c r="C320" s="540" t="inlineStr">
        <is>
          <t>餐饮五分部</t>
        </is>
      </c>
      <c r="D320" s="540" t="inlineStr">
        <is>
          <t>CF698</t>
        </is>
      </c>
      <c r="E320" s="540" t="inlineStr">
        <is>
          <t>兰理工兰工坪校区一食堂</t>
        </is>
      </c>
      <c r="F320" s="540" t="inlineStr">
        <is>
          <t>分组作业</t>
        </is>
      </c>
      <c r="G320" s="540" t="inlineStr">
        <is>
          <t>/</t>
        </is>
      </c>
      <c r="H320" s="540" t="inlineStr">
        <is>
          <t>蜜雪冰城</t>
        </is>
      </c>
      <c r="I320" s="540" t="inlineStr">
        <is>
          <t>陈发全</t>
        </is>
      </c>
      <c r="J320" s="540" t="n">
        <v>4156.1</v>
      </c>
      <c r="K320" s="540" t="n"/>
      <c r="L320" s="540" t="inlineStr">
        <is>
          <t>位军浩</t>
        </is>
      </c>
      <c r="M320" s="540" t="n"/>
    </row>
    <row r="321">
      <c r="A321" s="540" t="n">
        <v>325</v>
      </c>
      <c r="B321" s="540" t="inlineStr">
        <is>
          <t>KQCY0325</t>
        </is>
      </c>
      <c r="C321" s="540" t="inlineStr">
        <is>
          <t>餐饮五分部</t>
        </is>
      </c>
      <c r="D321" s="540" t="inlineStr">
        <is>
          <t>CF102</t>
        </is>
      </c>
      <c r="E321" s="540" t="inlineStr">
        <is>
          <t>苏大东区四食堂</t>
        </is>
      </c>
      <c r="F321" s="540" t="inlineStr">
        <is>
          <t>自营</t>
        </is>
      </c>
      <c r="G321" s="540" t="inlineStr">
        <is>
          <t>自营</t>
        </is>
      </c>
      <c r="H321" s="540" t="inlineStr">
        <is>
          <t>/</t>
        </is>
      </c>
      <c r="I321" s="540" t="inlineStr">
        <is>
          <t>/</t>
        </is>
      </c>
      <c r="J321" s="642" t="n">
        <v>0</v>
      </c>
      <c r="K321" s="540" t="n"/>
      <c r="L321" s="540" t="inlineStr">
        <is>
          <t>位军浩</t>
        </is>
      </c>
      <c r="M321" s="540" t="n"/>
    </row>
    <row r="322">
      <c r="A322" s="540" t="n">
        <v>326</v>
      </c>
      <c r="B322" s="540" t="inlineStr">
        <is>
          <t>KQCY0326</t>
        </is>
      </c>
      <c r="C322" s="540" t="inlineStr">
        <is>
          <t>餐饮五分部</t>
        </is>
      </c>
      <c r="D322" s="540" t="inlineStr">
        <is>
          <t>CF102</t>
        </is>
      </c>
      <c r="E322" s="540" t="inlineStr">
        <is>
          <t>苏大东区四食堂</t>
        </is>
      </c>
      <c r="F322" s="540" t="inlineStr">
        <is>
          <t>分组作业</t>
        </is>
      </c>
      <c r="G322" s="540" t="inlineStr">
        <is>
          <t>/</t>
        </is>
      </c>
      <c r="H322" s="540" t="inlineStr">
        <is>
          <t>苏秦味馆</t>
        </is>
      </c>
      <c r="I322" s="540" t="inlineStr">
        <is>
          <t>胡朝阳</t>
        </is>
      </c>
      <c r="J322" s="642" t="n">
        <v>0</v>
      </c>
      <c r="K322" s="540" t="n"/>
      <c r="L322" s="540" t="inlineStr">
        <is>
          <t>位军浩</t>
        </is>
      </c>
      <c r="M322" s="540" t="n"/>
    </row>
    <row r="323">
      <c r="A323" s="540" t="n">
        <v>327</v>
      </c>
      <c r="B323" s="540" t="inlineStr">
        <is>
          <t>KQCY0327</t>
        </is>
      </c>
      <c r="C323" s="540" t="inlineStr">
        <is>
          <t>餐饮五分部</t>
        </is>
      </c>
      <c r="D323" s="540" t="inlineStr">
        <is>
          <t>CF102</t>
        </is>
      </c>
      <c r="E323" s="540" t="inlineStr">
        <is>
          <t>苏大东区四食堂</t>
        </is>
      </c>
      <c r="F323" s="540" t="inlineStr">
        <is>
          <t>分组作业</t>
        </is>
      </c>
      <c r="G323" s="540" t="inlineStr">
        <is>
          <t>/</t>
        </is>
      </c>
      <c r="H323" s="540" t="inlineStr">
        <is>
          <t>麻辣香锅</t>
        </is>
      </c>
      <c r="I323" s="540" t="inlineStr">
        <is>
          <t>祁从忙</t>
        </is>
      </c>
      <c r="J323" s="642" t="n">
        <v>0</v>
      </c>
      <c r="K323" s="540" t="n"/>
      <c r="L323" s="540" t="inlineStr">
        <is>
          <t>位军浩</t>
        </is>
      </c>
      <c r="M323" s="540" t="n"/>
    </row>
    <row r="324">
      <c r="A324" s="540" t="n">
        <v>328</v>
      </c>
      <c r="B324" s="540" t="inlineStr">
        <is>
          <t>KQCY0328</t>
        </is>
      </c>
      <c r="C324" s="540" t="inlineStr">
        <is>
          <t>餐饮五分部</t>
        </is>
      </c>
      <c r="D324" s="540" t="inlineStr">
        <is>
          <t>CF102</t>
        </is>
      </c>
      <c r="E324" s="540" t="inlineStr">
        <is>
          <t>苏大东区四食堂</t>
        </is>
      </c>
      <c r="F324" s="540" t="inlineStr">
        <is>
          <t>分组作业</t>
        </is>
      </c>
      <c r="G324" s="540" t="inlineStr">
        <is>
          <t>/</t>
        </is>
      </c>
      <c r="H324" s="540" t="inlineStr">
        <is>
          <t>奉天朱家小馆</t>
        </is>
      </c>
      <c r="I324" s="540" t="inlineStr">
        <is>
          <t>闫闪闪</t>
        </is>
      </c>
      <c r="J324" s="642" t="n">
        <v>0</v>
      </c>
      <c r="K324" s="540" t="n"/>
      <c r="L324" s="540" t="inlineStr">
        <is>
          <t>位军浩</t>
        </is>
      </c>
      <c r="M324" s="540" t="n"/>
    </row>
    <row r="325">
      <c r="A325" s="540" t="n">
        <v>329</v>
      </c>
      <c r="B325" s="540" t="inlineStr">
        <is>
          <t>KQCY0329</t>
        </is>
      </c>
      <c r="C325" s="540" t="inlineStr">
        <is>
          <t>餐饮五分部</t>
        </is>
      </c>
      <c r="D325" s="540" t="inlineStr">
        <is>
          <t>CF102</t>
        </is>
      </c>
      <c r="E325" s="540" t="inlineStr">
        <is>
          <t>苏大东区四食堂</t>
        </is>
      </c>
      <c r="F325" s="540" t="inlineStr">
        <is>
          <t>分组作业</t>
        </is>
      </c>
      <c r="G325" s="540" t="inlineStr">
        <is>
          <t>/</t>
        </is>
      </c>
      <c r="H325" s="540" t="inlineStr">
        <is>
          <t>李左奚香港肥汁米线</t>
        </is>
      </c>
      <c r="I325" s="540" t="inlineStr">
        <is>
          <t>杨伟明</t>
        </is>
      </c>
      <c r="J325" s="642" t="n">
        <v>0</v>
      </c>
      <c r="K325" s="540" t="n"/>
      <c r="L325" s="540" t="inlineStr">
        <is>
          <t>位军浩</t>
        </is>
      </c>
      <c r="M325" s="540" t="n"/>
    </row>
    <row r="326">
      <c r="A326" s="540" t="n">
        <v>330</v>
      </c>
      <c r="B326" s="540" t="inlineStr">
        <is>
          <t>KQCY0330</t>
        </is>
      </c>
      <c r="C326" s="540" t="inlineStr">
        <is>
          <t>餐饮五分部</t>
        </is>
      </c>
      <c r="D326" s="540" t="inlineStr">
        <is>
          <t>CF102</t>
        </is>
      </c>
      <c r="E326" s="540" t="inlineStr">
        <is>
          <t>苏大东区四食堂</t>
        </is>
      </c>
      <c r="F326" s="540" t="inlineStr">
        <is>
          <t>分组作业</t>
        </is>
      </c>
      <c r="G326" s="540" t="inlineStr">
        <is>
          <t>/</t>
        </is>
      </c>
      <c r="H326" s="540" t="inlineStr">
        <is>
          <t>好粥道(卤味套餐饭)</t>
        </is>
      </c>
      <c r="I326" s="540" t="inlineStr">
        <is>
          <t>朱德国</t>
        </is>
      </c>
      <c r="J326" s="642" t="n">
        <v>0</v>
      </c>
      <c r="K326" s="540" t="n"/>
      <c r="L326" s="540" t="inlineStr">
        <is>
          <t>位军浩</t>
        </is>
      </c>
      <c r="M326" s="540" t="n"/>
    </row>
    <row r="327">
      <c r="A327" s="540" t="n">
        <v>331</v>
      </c>
      <c r="B327" s="540" t="inlineStr">
        <is>
          <t>KQCY0331</t>
        </is>
      </c>
      <c r="C327" s="540" t="inlineStr">
        <is>
          <t>餐饮五分部</t>
        </is>
      </c>
      <c r="D327" s="540" t="inlineStr">
        <is>
          <t>CF102</t>
        </is>
      </c>
      <c r="E327" s="540" t="inlineStr">
        <is>
          <t>苏大东区四食堂</t>
        </is>
      </c>
      <c r="F327" s="540" t="inlineStr">
        <is>
          <t>分组作业</t>
        </is>
      </c>
      <c r="G327" s="540" t="inlineStr">
        <is>
          <t>/</t>
        </is>
      </c>
      <c r="H327" s="540" t="inlineStr">
        <is>
          <t>炒饭.炖罐</t>
        </is>
      </c>
      <c r="I327" s="540" t="inlineStr">
        <is>
          <t>朱少谦</t>
        </is>
      </c>
      <c r="J327" s="642" t="n">
        <v>0</v>
      </c>
      <c r="K327" s="540" t="n"/>
      <c r="L327" s="540" t="inlineStr">
        <is>
          <t>位军浩</t>
        </is>
      </c>
      <c r="M327" s="540" t="n"/>
    </row>
    <row r="328">
      <c r="A328" s="540" t="n">
        <v>332</v>
      </c>
      <c r="B328" s="540" t="inlineStr">
        <is>
          <t>KQCY0332</t>
        </is>
      </c>
      <c r="C328" s="540" t="inlineStr">
        <is>
          <t>餐饮五分部</t>
        </is>
      </c>
      <c r="D328" s="540" t="inlineStr">
        <is>
          <t>CF102</t>
        </is>
      </c>
      <c r="E328" s="540" t="inlineStr">
        <is>
          <t>苏大东区四食堂</t>
        </is>
      </c>
      <c r="F328" s="540" t="inlineStr">
        <is>
          <t>分组作业</t>
        </is>
      </c>
      <c r="G328" s="540" t="inlineStr">
        <is>
          <t>/</t>
        </is>
      </c>
      <c r="H328" s="540" t="inlineStr">
        <is>
          <t>七里糖</t>
        </is>
      </c>
      <c r="I328" s="540" t="inlineStr">
        <is>
          <t>任浩龙</t>
        </is>
      </c>
      <c r="J328" s="642" t="n">
        <v>0</v>
      </c>
      <c r="K328" s="540" t="n"/>
      <c r="L328" s="540" t="inlineStr">
        <is>
          <t>位军浩</t>
        </is>
      </c>
      <c r="M328" s="540" t="n"/>
    </row>
    <row r="329">
      <c r="A329" s="540" t="n">
        <v>333</v>
      </c>
      <c r="B329" s="540" t="inlineStr">
        <is>
          <t>KQCY0333</t>
        </is>
      </c>
      <c r="C329" s="540" t="inlineStr">
        <is>
          <t>餐饮五分部</t>
        </is>
      </c>
      <c r="D329" s="540" t="inlineStr">
        <is>
          <t>CF102</t>
        </is>
      </c>
      <c r="E329" s="540" t="inlineStr">
        <is>
          <t>苏大东区四食堂</t>
        </is>
      </c>
      <c r="F329" s="540" t="inlineStr">
        <is>
          <t>分组作业</t>
        </is>
      </c>
      <c r="G329" s="540" t="inlineStr">
        <is>
          <t>/</t>
        </is>
      </c>
      <c r="H329" s="540" t="inlineStr">
        <is>
          <t>港式云吞</t>
        </is>
      </c>
      <c r="I329" s="540" t="inlineStr">
        <is>
          <t>杨华建</t>
        </is>
      </c>
      <c r="J329" s="642" t="n">
        <v>0</v>
      </c>
      <c r="K329" s="540" t="n"/>
      <c r="L329" s="540" t="inlineStr">
        <is>
          <t>位军浩</t>
        </is>
      </c>
      <c r="M329" s="540" t="n"/>
    </row>
    <row r="330">
      <c r="A330" s="540" t="n">
        <v>334</v>
      </c>
      <c r="B330" s="540" t="inlineStr">
        <is>
          <t>KQCY0334</t>
        </is>
      </c>
      <c r="C330" s="540" t="inlineStr">
        <is>
          <t>餐饮五分部</t>
        </is>
      </c>
      <c r="D330" s="540" t="inlineStr">
        <is>
          <t>CF102</t>
        </is>
      </c>
      <c r="E330" s="540" t="inlineStr">
        <is>
          <t>苏大东区四食堂</t>
        </is>
      </c>
      <c r="F330" s="540" t="inlineStr">
        <is>
          <t>分组作业</t>
        </is>
      </c>
      <c r="G330" s="540" t="inlineStr">
        <is>
          <t>/</t>
        </is>
      </c>
      <c r="H330" s="540" t="inlineStr">
        <is>
          <t>烤肉拌饭</t>
        </is>
      </c>
      <c r="I330" s="540" t="inlineStr">
        <is>
          <t>李红利</t>
        </is>
      </c>
      <c r="J330" s="642" t="n">
        <v>0</v>
      </c>
      <c r="K330" s="540" t="n"/>
      <c r="L330" s="540" t="inlineStr">
        <is>
          <t>位军浩</t>
        </is>
      </c>
      <c r="M330" s="540" t="n"/>
    </row>
    <row r="331">
      <c r="A331" s="540" t="n">
        <v>335</v>
      </c>
      <c r="B331" s="540" t="inlineStr">
        <is>
          <t>KQCY0335</t>
        </is>
      </c>
      <c r="C331" s="540" t="inlineStr">
        <is>
          <t>餐饮五分部</t>
        </is>
      </c>
      <c r="D331" s="540" t="inlineStr">
        <is>
          <t>CF108</t>
        </is>
      </c>
      <c r="E331" s="540" t="inlineStr">
        <is>
          <t>苏大北区六食堂</t>
        </is>
      </c>
      <c r="F331" s="540" t="inlineStr">
        <is>
          <t>自营</t>
        </is>
      </c>
      <c r="G331" s="540" t="inlineStr">
        <is>
          <t>自营</t>
        </is>
      </c>
      <c r="H331" s="540" t="inlineStr">
        <is>
          <t>/</t>
        </is>
      </c>
      <c r="I331" s="540" t="inlineStr">
        <is>
          <t>/</t>
        </is>
      </c>
      <c r="J331" s="642" t="n">
        <v>132311.63</v>
      </c>
      <c r="K331" s="540" t="n"/>
      <c r="L331" s="540" t="inlineStr">
        <is>
          <t>位军浩</t>
        </is>
      </c>
      <c r="M331" s="540" t="n"/>
    </row>
    <row r="332">
      <c r="A332" s="540" t="n">
        <v>336</v>
      </c>
      <c r="B332" s="540" t="inlineStr">
        <is>
          <t>KQCY0336</t>
        </is>
      </c>
      <c r="C332" s="540" t="inlineStr">
        <is>
          <t>餐饮五分部</t>
        </is>
      </c>
      <c r="D332" s="540" t="inlineStr">
        <is>
          <t>CF108</t>
        </is>
      </c>
      <c r="E332" s="540" t="inlineStr">
        <is>
          <t>苏大北区六食堂</t>
        </is>
      </c>
      <c r="F332" s="540" t="inlineStr">
        <is>
          <t>分组作业</t>
        </is>
      </c>
      <c r="G332" s="540" t="inlineStr">
        <is>
          <t>/</t>
        </is>
      </c>
      <c r="H332" s="540" t="inlineStr">
        <is>
          <t>快餐</t>
        </is>
      </c>
      <c r="I332" s="540" t="inlineStr">
        <is>
          <t>刘立强</t>
        </is>
      </c>
      <c r="J332" s="540" t="n">
        <v>0</v>
      </c>
      <c r="K332" s="540" t="n"/>
      <c r="L332" s="540" t="inlineStr">
        <is>
          <t>位军浩</t>
        </is>
      </c>
      <c r="M332" s="540" t="n"/>
    </row>
    <row r="333">
      <c r="A333" s="540" t="n">
        <v>337</v>
      </c>
      <c r="B333" s="540" t="inlineStr">
        <is>
          <t>KQCY0337</t>
        </is>
      </c>
      <c r="C333" s="540" t="inlineStr">
        <is>
          <t>餐饮五分部</t>
        </is>
      </c>
      <c r="D333" s="540" t="inlineStr">
        <is>
          <t>CF108</t>
        </is>
      </c>
      <c r="E333" s="540" t="inlineStr">
        <is>
          <t>苏大北区六食堂</t>
        </is>
      </c>
      <c r="F333" s="540" t="inlineStr">
        <is>
          <t>分组作业</t>
        </is>
      </c>
      <c r="G333" s="540" t="inlineStr">
        <is>
          <t>/</t>
        </is>
      </c>
      <c r="H333" s="540" t="inlineStr">
        <is>
          <t>香锅</t>
        </is>
      </c>
      <c r="I333" s="540" t="inlineStr">
        <is>
          <t>吕金春</t>
        </is>
      </c>
      <c r="J333" s="540" t="n">
        <v>0</v>
      </c>
      <c r="K333" s="540" t="n"/>
      <c r="L333" s="540" t="inlineStr">
        <is>
          <t>位军浩</t>
        </is>
      </c>
      <c r="M333" s="540" t="n"/>
    </row>
    <row r="334">
      <c r="A334" s="540" t="n">
        <v>338</v>
      </c>
      <c r="B334" s="540" t="inlineStr">
        <is>
          <t>KQCY0338</t>
        </is>
      </c>
      <c r="C334" s="540" t="inlineStr">
        <is>
          <t>餐饮五分部</t>
        </is>
      </c>
      <c r="D334" s="540" t="inlineStr">
        <is>
          <t>CF108</t>
        </is>
      </c>
      <c r="E334" s="540" t="inlineStr">
        <is>
          <t>苏大北区六食堂</t>
        </is>
      </c>
      <c r="F334" s="540" t="inlineStr">
        <is>
          <t>分组作业</t>
        </is>
      </c>
      <c r="G334" s="540" t="inlineStr">
        <is>
          <t>/</t>
        </is>
      </c>
      <c r="H334" s="540" t="inlineStr">
        <is>
          <t>黄焖鸡</t>
        </is>
      </c>
      <c r="I334" s="540" t="inlineStr">
        <is>
          <t>许可</t>
        </is>
      </c>
      <c r="J334" s="540" t="n">
        <v>0</v>
      </c>
      <c r="K334" s="540" t="n"/>
      <c r="L334" s="540" t="inlineStr">
        <is>
          <t>位军浩</t>
        </is>
      </c>
      <c r="M334" s="540" t="n"/>
    </row>
    <row r="335">
      <c r="A335" s="540" t="n">
        <v>339</v>
      </c>
      <c r="B335" s="540" t="inlineStr">
        <is>
          <t>KQCY0339</t>
        </is>
      </c>
      <c r="C335" s="540" t="inlineStr">
        <is>
          <t>餐饮五分部</t>
        </is>
      </c>
      <c r="D335" s="540" t="inlineStr">
        <is>
          <t>CF108</t>
        </is>
      </c>
      <c r="E335" s="540" t="inlineStr">
        <is>
          <t>苏大北区六食堂</t>
        </is>
      </c>
      <c r="F335" s="540" t="inlineStr">
        <is>
          <t>分组作业</t>
        </is>
      </c>
      <c r="G335" s="540" t="inlineStr">
        <is>
          <t>/</t>
        </is>
      </c>
      <c r="H335" s="540" t="inlineStr">
        <is>
          <t>千里香</t>
        </is>
      </c>
      <c r="I335" s="540" t="inlineStr">
        <is>
          <t>刘立强</t>
        </is>
      </c>
      <c r="J335" s="540" t="n">
        <v>5285</v>
      </c>
      <c r="K335" s="540" t="n"/>
      <c r="L335" s="540" t="inlineStr">
        <is>
          <t>位军浩</t>
        </is>
      </c>
      <c r="M335" s="540" t="n"/>
    </row>
    <row r="336">
      <c r="A336" s="540" t="n">
        <v>340</v>
      </c>
      <c r="B336" s="540" t="inlineStr">
        <is>
          <t>KQCY0340</t>
        </is>
      </c>
      <c r="C336" s="540" t="inlineStr">
        <is>
          <t>餐饮五分部</t>
        </is>
      </c>
      <c r="D336" s="540" t="inlineStr">
        <is>
          <t>CF108</t>
        </is>
      </c>
      <c r="E336" s="540" t="inlineStr">
        <is>
          <t>苏大北区六食堂</t>
        </is>
      </c>
      <c r="F336" s="540" t="inlineStr">
        <is>
          <t>分组作业</t>
        </is>
      </c>
      <c r="G336" s="540" t="inlineStr">
        <is>
          <t>/</t>
        </is>
      </c>
      <c r="H336" s="540" t="inlineStr">
        <is>
          <t>拌面</t>
        </is>
      </c>
      <c r="I336" s="540" t="inlineStr">
        <is>
          <t>龚文涛</t>
        </is>
      </c>
      <c r="J336" s="540" t="n">
        <v>0</v>
      </c>
      <c r="K336" s="540" t="n"/>
      <c r="L336" s="540" t="inlineStr">
        <is>
          <t>位军浩</t>
        </is>
      </c>
      <c r="M336" s="540" t="n"/>
    </row>
    <row r="337">
      <c r="A337" s="540" t="n">
        <v>341</v>
      </c>
      <c r="B337" s="540" t="inlineStr">
        <is>
          <t>KQCY0341</t>
        </is>
      </c>
      <c r="C337" s="540" t="inlineStr">
        <is>
          <t>餐饮五分部</t>
        </is>
      </c>
      <c r="D337" s="540" t="inlineStr">
        <is>
          <t>CF108</t>
        </is>
      </c>
      <c r="E337" s="540" t="inlineStr">
        <is>
          <t>苏大北区六食堂</t>
        </is>
      </c>
      <c r="F337" s="540" t="inlineStr">
        <is>
          <t>分组作业</t>
        </is>
      </c>
      <c r="G337" s="540" t="inlineStr">
        <is>
          <t>/</t>
        </is>
      </c>
      <c r="H337" s="540" t="inlineStr">
        <is>
          <t>煎饼</t>
        </is>
      </c>
      <c r="I337" s="540" t="inlineStr">
        <is>
          <t>李秀德</t>
        </is>
      </c>
      <c r="J337" s="540" t="n">
        <v>0</v>
      </c>
      <c r="K337" s="540" t="n"/>
      <c r="L337" s="540" t="inlineStr">
        <is>
          <t>位军浩</t>
        </is>
      </c>
      <c r="M337" s="540" t="n"/>
    </row>
    <row r="338">
      <c r="A338" s="540" t="n">
        <v>342</v>
      </c>
      <c r="B338" s="540" t="inlineStr">
        <is>
          <t>KQCY0342</t>
        </is>
      </c>
      <c r="C338" s="540" t="inlineStr">
        <is>
          <t>餐饮五分部</t>
        </is>
      </c>
      <c r="D338" s="540" t="inlineStr">
        <is>
          <t>CF108</t>
        </is>
      </c>
      <c r="E338" s="540" t="inlineStr">
        <is>
          <t>苏大北区六食堂</t>
        </is>
      </c>
      <c r="F338" s="540" t="inlineStr">
        <is>
          <t>分组作业</t>
        </is>
      </c>
      <c r="G338" s="540" t="inlineStr">
        <is>
          <t>/</t>
        </is>
      </c>
      <c r="H338" s="540" t="inlineStr">
        <is>
          <t>汉堡</t>
        </is>
      </c>
      <c r="I338" s="540" t="inlineStr">
        <is>
          <t>吴梦醒</t>
        </is>
      </c>
      <c r="J338" s="540" t="n">
        <v>0</v>
      </c>
      <c r="K338" s="540" t="n"/>
      <c r="L338" s="540" t="inlineStr">
        <is>
          <t>位军浩</t>
        </is>
      </c>
      <c r="M338" s="540" t="n"/>
    </row>
    <row r="339">
      <c r="A339" s="540" t="n">
        <v>343</v>
      </c>
      <c r="B339" s="540" t="inlineStr">
        <is>
          <t>KQCY0343</t>
        </is>
      </c>
      <c r="C339" s="540" t="inlineStr">
        <is>
          <t>餐饮五分部</t>
        </is>
      </c>
      <c r="D339" s="540" t="inlineStr">
        <is>
          <t>CF101</t>
        </is>
      </c>
      <c r="E339" s="540" t="inlineStr">
        <is>
          <t>苏大本部方塔食堂</t>
        </is>
      </c>
      <c r="F339" s="540" t="inlineStr">
        <is>
          <t>强责</t>
        </is>
      </c>
      <c r="G339" s="540" t="inlineStr">
        <is>
          <t>/</t>
        </is>
      </c>
      <c r="H339" s="540" t="inlineStr">
        <is>
          <t>/</t>
        </is>
      </c>
      <c r="I339" s="540" t="inlineStr">
        <is>
          <t>蒋德生</t>
        </is>
      </c>
      <c r="J339" s="540" t="n">
        <v>433227.33</v>
      </c>
      <c r="K339" s="540" t="n"/>
      <c r="L339" s="540" t="inlineStr">
        <is>
          <t>位军浩</t>
        </is>
      </c>
      <c r="M339" s="540" t="n"/>
    </row>
    <row r="340">
      <c r="A340" s="540" t="n">
        <v>344</v>
      </c>
      <c r="B340" s="540" t="inlineStr">
        <is>
          <t>KQCY0344</t>
        </is>
      </c>
      <c r="C340" s="540" t="inlineStr">
        <is>
          <t>餐饮五分部</t>
        </is>
      </c>
      <c r="D340" s="540" t="inlineStr">
        <is>
          <t>CF107</t>
        </is>
      </c>
      <c r="E340" s="540" t="inlineStr">
        <is>
          <t>苏大东区教工食堂</t>
        </is>
      </c>
      <c r="F340" s="540" t="inlineStr">
        <is>
          <t>人员服务外包</t>
        </is>
      </c>
      <c r="G340" s="540" t="inlineStr">
        <is>
          <t>/</t>
        </is>
      </c>
      <c r="H340" s="540" t="inlineStr">
        <is>
          <t>/</t>
        </is>
      </c>
      <c r="I340" s="540" t="inlineStr">
        <is>
          <t>/</t>
        </is>
      </c>
      <c r="J340" s="540" t="n">
        <v>0</v>
      </c>
      <c r="K340" s="540" t="n"/>
      <c r="L340" s="540" t="inlineStr">
        <is>
          <t>位军浩</t>
        </is>
      </c>
      <c r="M340" s="540" t="n"/>
    </row>
    <row r="341">
      <c r="A341" s="540" t="n">
        <v>345</v>
      </c>
      <c r="B341" s="540" t="inlineStr">
        <is>
          <t>KQCY0345</t>
        </is>
      </c>
      <c r="C341" s="540" t="inlineStr">
        <is>
          <t>餐饮五分部</t>
        </is>
      </c>
      <c r="D341" s="540" t="inlineStr">
        <is>
          <t>CF120</t>
        </is>
      </c>
      <c r="E341" s="540" t="inlineStr">
        <is>
          <t>苏大独墅湖一食堂</t>
        </is>
      </c>
      <c r="F341" s="540" t="inlineStr">
        <is>
          <t>强责</t>
        </is>
      </c>
      <c r="G341" s="540" t="inlineStr">
        <is>
          <t>/</t>
        </is>
      </c>
      <c r="H341" s="540" t="inlineStr">
        <is>
          <t>/</t>
        </is>
      </c>
      <c r="I341" s="540" t="inlineStr">
        <is>
          <t>杨登钟</t>
        </is>
      </c>
      <c r="J341" s="540" t="n">
        <v>0</v>
      </c>
      <c r="K341" s="540" t="n"/>
      <c r="L341" s="540" t="inlineStr">
        <is>
          <t>位军浩</t>
        </is>
      </c>
      <c r="M341" s="540" t="n"/>
    </row>
    <row r="342">
      <c r="A342" s="540" t="n">
        <v>346</v>
      </c>
      <c r="B342" s="540" t="inlineStr">
        <is>
          <t>KQCY0346</t>
        </is>
      </c>
      <c r="C342" s="540" t="inlineStr">
        <is>
          <t>餐饮五分部</t>
        </is>
      </c>
      <c r="D342" s="540" t="inlineStr">
        <is>
          <t>CF120</t>
        </is>
      </c>
      <c r="E342" s="540" t="inlineStr">
        <is>
          <t>苏大独墅湖一食堂</t>
        </is>
      </c>
      <c r="F342" s="540" t="inlineStr">
        <is>
          <t>强责</t>
        </is>
      </c>
      <c r="G342" s="540" t="inlineStr">
        <is>
          <t>/</t>
        </is>
      </c>
      <c r="H342" s="540" t="inlineStr">
        <is>
          <t>麻辣香锅</t>
        </is>
      </c>
      <c r="I342" s="540" t="inlineStr">
        <is>
          <t>周文影</t>
        </is>
      </c>
      <c r="J342" s="540" t="n">
        <v>0</v>
      </c>
      <c r="K342" s="540" t="n"/>
      <c r="L342" s="540" t="inlineStr">
        <is>
          <t>位军浩</t>
        </is>
      </c>
      <c r="M342" s="540" t="n"/>
    </row>
    <row r="343">
      <c r="A343" s="540" t="n">
        <v>347</v>
      </c>
      <c r="B343" s="540" t="inlineStr">
        <is>
          <t>KQCY0347</t>
        </is>
      </c>
      <c r="C343" s="540" t="inlineStr">
        <is>
          <t>餐饮五分部</t>
        </is>
      </c>
      <c r="D343" s="540" t="inlineStr">
        <is>
          <t>CF120</t>
        </is>
      </c>
      <c r="E343" s="540" t="inlineStr">
        <is>
          <t>苏大独墅湖一食堂</t>
        </is>
      </c>
      <c r="F343" s="540" t="inlineStr">
        <is>
          <t>强责</t>
        </is>
      </c>
      <c r="G343" s="540" t="inlineStr">
        <is>
          <t>/</t>
        </is>
      </c>
      <c r="H343" s="540" t="inlineStr">
        <is>
          <t>板煮</t>
        </is>
      </c>
      <c r="I343" s="540" t="inlineStr">
        <is>
          <t>郁亚勇</t>
        </is>
      </c>
      <c r="J343" s="540" t="n">
        <v>0</v>
      </c>
      <c r="K343" s="540" t="n"/>
      <c r="L343" s="540" t="inlineStr">
        <is>
          <t>位军浩</t>
        </is>
      </c>
      <c r="M343" s="540" t="n"/>
    </row>
    <row r="344">
      <c r="A344" s="540" t="n">
        <v>348</v>
      </c>
      <c r="B344" s="540" t="inlineStr">
        <is>
          <t>KQCY0348</t>
        </is>
      </c>
      <c r="C344" s="540" t="inlineStr">
        <is>
          <t>餐饮五分部</t>
        </is>
      </c>
      <c r="D344" s="540" t="inlineStr">
        <is>
          <t>CF122</t>
        </is>
      </c>
      <c r="E344" s="540" t="inlineStr">
        <is>
          <t>苏大独墅湖六食堂</t>
        </is>
      </c>
      <c r="F344" s="540" t="inlineStr">
        <is>
          <t>强责</t>
        </is>
      </c>
      <c r="G344" s="540" t="inlineStr">
        <is>
          <t>/</t>
        </is>
      </c>
      <c r="H344" s="540" t="inlineStr">
        <is>
          <t>/</t>
        </is>
      </c>
      <c r="I344" s="540" t="inlineStr">
        <is>
          <t>杨登钟</t>
        </is>
      </c>
      <c r="J344" s="540" t="n">
        <v>0</v>
      </c>
      <c r="K344" s="540" t="n"/>
      <c r="L344" s="540" t="inlineStr">
        <is>
          <t>位军浩</t>
        </is>
      </c>
      <c r="M344" s="540" t="n"/>
    </row>
    <row r="345">
      <c r="A345" s="540" t="n">
        <v>349</v>
      </c>
      <c r="B345" s="540" t="inlineStr">
        <is>
          <t>KQCY0349</t>
        </is>
      </c>
      <c r="C345" s="540" t="inlineStr">
        <is>
          <t>餐饮五分部</t>
        </is>
      </c>
      <c r="D345" s="540" t="inlineStr">
        <is>
          <t>CF122</t>
        </is>
      </c>
      <c r="E345" s="540" t="inlineStr">
        <is>
          <t>苏大独墅湖六食堂</t>
        </is>
      </c>
      <c r="F345" s="540" t="inlineStr">
        <is>
          <t>强责</t>
        </is>
      </c>
      <c r="G345" s="540" t="inlineStr">
        <is>
          <t>/</t>
        </is>
      </c>
      <c r="H345" s="540" t="inlineStr">
        <is>
          <t>青海拉面</t>
        </is>
      </c>
      <c r="I345" s="540" t="inlineStr">
        <is>
          <t>韩应努四</t>
        </is>
      </c>
      <c r="J345" s="540" t="n">
        <v>0</v>
      </c>
      <c r="K345" s="540" t="n"/>
      <c r="L345" s="540" t="inlineStr">
        <is>
          <t>位军浩</t>
        </is>
      </c>
      <c r="M345" s="540" t="n"/>
    </row>
    <row r="346">
      <c r="A346" s="540" t="n">
        <v>350</v>
      </c>
      <c r="B346" s="540" t="inlineStr">
        <is>
          <t>KQCY0350</t>
        </is>
      </c>
      <c r="C346" s="540" t="inlineStr">
        <is>
          <t>餐饮五分部</t>
        </is>
      </c>
      <c r="D346" s="540" t="inlineStr">
        <is>
          <t>CF121</t>
        </is>
      </c>
      <c r="E346" s="540" t="inlineStr">
        <is>
          <t>苏大独墅湖二食堂</t>
        </is>
      </c>
      <c r="F346" s="540" t="inlineStr">
        <is>
          <t>强责</t>
        </is>
      </c>
      <c r="G346" s="540" t="inlineStr">
        <is>
          <t>/</t>
        </is>
      </c>
      <c r="H346" s="540" t="inlineStr">
        <is>
          <t>/</t>
        </is>
      </c>
      <c r="I346" s="540" t="inlineStr">
        <is>
          <t>徐小林</t>
        </is>
      </c>
      <c r="J346" s="540" t="n">
        <v>0</v>
      </c>
      <c r="K346" s="540" t="n"/>
      <c r="L346" s="540" t="inlineStr">
        <is>
          <t>位军浩</t>
        </is>
      </c>
      <c r="M346" s="540" t="n"/>
    </row>
    <row r="347">
      <c r="A347" s="540" t="n">
        <v>351</v>
      </c>
      <c r="B347" s="540" t="inlineStr">
        <is>
          <t>KQCY0351</t>
        </is>
      </c>
      <c r="C347" s="540" t="inlineStr">
        <is>
          <t>餐饮五分部</t>
        </is>
      </c>
      <c r="D347" s="540" t="inlineStr">
        <is>
          <t>CF121</t>
        </is>
      </c>
      <c r="E347" s="540" t="inlineStr">
        <is>
          <t>苏大独墅湖二食堂</t>
        </is>
      </c>
      <c r="F347" s="540" t="inlineStr">
        <is>
          <t>强责</t>
        </is>
      </c>
      <c r="G347" s="540" t="inlineStr">
        <is>
          <t>/</t>
        </is>
      </c>
      <c r="H347" s="540" t="inlineStr">
        <is>
          <t>手工水饺(山东煎饼)</t>
        </is>
      </c>
      <c r="I347" s="540" t="inlineStr">
        <is>
          <t>李俊</t>
        </is>
      </c>
      <c r="J347" s="540" t="n">
        <v>0</v>
      </c>
      <c r="K347" s="540" t="n"/>
      <c r="L347" s="540" t="inlineStr">
        <is>
          <t>位军浩</t>
        </is>
      </c>
      <c r="M347" s="540" t="n"/>
    </row>
    <row r="348">
      <c r="A348" s="540" t="n">
        <v>352</v>
      </c>
      <c r="B348" s="540" t="inlineStr">
        <is>
          <t>KQCY0352</t>
        </is>
      </c>
      <c r="C348" s="540" t="inlineStr">
        <is>
          <t>餐饮五分部</t>
        </is>
      </c>
      <c r="D348" s="540" t="inlineStr">
        <is>
          <t>CF121</t>
        </is>
      </c>
      <c r="E348" s="540" t="inlineStr">
        <is>
          <t>苏大独墅湖二食堂</t>
        </is>
      </c>
      <c r="F348" s="540" t="inlineStr">
        <is>
          <t>强责</t>
        </is>
      </c>
      <c r="G348" s="540" t="inlineStr">
        <is>
          <t>/</t>
        </is>
      </c>
      <c r="H348" s="540" t="inlineStr">
        <is>
          <t>苏式汤面</t>
        </is>
      </c>
      <c r="I348" s="540" t="inlineStr">
        <is>
          <t>孙建平</t>
        </is>
      </c>
      <c r="J348" s="540" t="n">
        <v>0</v>
      </c>
      <c r="K348" s="540" t="n"/>
      <c r="L348" s="540" t="inlineStr">
        <is>
          <t>位军浩</t>
        </is>
      </c>
      <c r="M348" s="540" t="n"/>
    </row>
    <row r="349">
      <c r="A349" s="540" t="n">
        <v>353</v>
      </c>
      <c r="B349" s="540" t="inlineStr">
        <is>
          <t>KQCY0353</t>
        </is>
      </c>
      <c r="C349" s="540" t="inlineStr">
        <is>
          <t>餐饮五分部</t>
        </is>
      </c>
      <c r="D349" s="540" t="inlineStr">
        <is>
          <t>CF121</t>
        </is>
      </c>
      <c r="E349" s="540" t="inlineStr">
        <is>
          <t>苏大独墅湖二食堂</t>
        </is>
      </c>
      <c r="F349" s="540" t="inlineStr">
        <is>
          <t>强责</t>
        </is>
      </c>
      <c r="G349" s="540" t="inlineStr">
        <is>
          <t>/</t>
        </is>
      </c>
      <c r="H349" s="540" t="inlineStr">
        <is>
          <t>烤盘饭</t>
        </is>
      </c>
      <c r="I349" s="540" t="inlineStr">
        <is>
          <t>梁宇</t>
        </is>
      </c>
      <c r="J349" s="540" t="n">
        <v>0</v>
      </c>
      <c r="K349" s="540" t="n"/>
      <c r="L349" s="540" t="inlineStr">
        <is>
          <t>位军浩</t>
        </is>
      </c>
      <c r="M349" s="540" t="n"/>
    </row>
    <row r="350">
      <c r="A350" s="540" t="n">
        <v>354</v>
      </c>
      <c r="B350" s="540" t="inlineStr">
        <is>
          <t>KQCY0354</t>
        </is>
      </c>
      <c r="C350" s="540" t="inlineStr">
        <is>
          <t>餐饮五分部</t>
        </is>
      </c>
      <c r="D350" s="540" t="inlineStr">
        <is>
          <t>CF134</t>
        </is>
      </c>
      <c r="E350" s="540" t="inlineStr">
        <is>
          <t>苏大独墅湖五食堂</t>
        </is>
      </c>
      <c r="F350" s="540" t="inlineStr">
        <is>
          <t>自营</t>
        </is>
      </c>
      <c r="G350" s="540" t="inlineStr">
        <is>
          <t>自营</t>
        </is>
      </c>
      <c r="H350" s="540" t="inlineStr">
        <is>
          <t>/</t>
        </is>
      </c>
      <c r="I350" s="540" t="inlineStr">
        <is>
          <t>/</t>
        </is>
      </c>
      <c r="J350" s="540" t="n">
        <v>0</v>
      </c>
      <c r="K350" s="540" t="n"/>
      <c r="L350" s="540" t="inlineStr">
        <is>
          <t>位军浩</t>
        </is>
      </c>
      <c r="M350" s="540" t="n"/>
    </row>
    <row r="351">
      <c r="A351" s="540" t="n">
        <v>355</v>
      </c>
      <c r="B351" s="540" t="inlineStr">
        <is>
          <t>KQCY0355</t>
        </is>
      </c>
      <c r="C351" s="540" t="inlineStr">
        <is>
          <t>餐饮五分部</t>
        </is>
      </c>
      <c r="D351" s="540" t="inlineStr">
        <is>
          <t>CF134</t>
        </is>
      </c>
      <c r="E351" s="540" t="inlineStr">
        <is>
          <t>苏大独墅湖五食堂</t>
        </is>
      </c>
      <c r="F351" s="540" t="inlineStr">
        <is>
          <t>分组作业</t>
        </is>
      </c>
      <c r="G351" s="540" t="inlineStr">
        <is>
          <t>/</t>
        </is>
      </c>
      <c r="H351" s="540" t="inlineStr">
        <is>
          <t>快餐</t>
        </is>
      </c>
      <c r="I351" s="540" t="inlineStr">
        <is>
          <t>赵广伟</t>
        </is>
      </c>
      <c r="J351" s="644" t="n">
        <v>0</v>
      </c>
      <c r="K351" s="540" t="n"/>
      <c r="L351" s="540" t="inlineStr">
        <is>
          <t>位军浩</t>
        </is>
      </c>
      <c r="M351" s="540" t="n"/>
    </row>
    <row r="352">
      <c r="A352" s="540" t="n">
        <v>356</v>
      </c>
      <c r="B352" s="540" t="inlineStr">
        <is>
          <t>KQCY0356</t>
        </is>
      </c>
      <c r="C352" s="540" t="inlineStr">
        <is>
          <t>餐饮五分部</t>
        </is>
      </c>
      <c r="D352" s="540" t="inlineStr">
        <is>
          <t>CF134</t>
        </is>
      </c>
      <c r="E352" s="540" t="inlineStr">
        <is>
          <t>苏大独墅湖五食堂</t>
        </is>
      </c>
      <c r="F352" s="540" t="inlineStr">
        <is>
          <t>分组作业</t>
        </is>
      </c>
      <c r="G352" s="540" t="inlineStr">
        <is>
          <t>/</t>
        </is>
      </c>
      <c r="H352" s="540" t="inlineStr">
        <is>
          <t>生烫牛肉米线</t>
        </is>
      </c>
      <c r="I352" s="540" t="inlineStr">
        <is>
          <t>胡振强</t>
        </is>
      </c>
      <c r="J352" s="644" t="n">
        <v>0</v>
      </c>
      <c r="K352" s="540" t="n"/>
      <c r="L352" s="540" t="inlineStr">
        <is>
          <t>位军浩</t>
        </is>
      </c>
      <c r="M352" s="540" t="n"/>
    </row>
    <row r="353">
      <c r="A353" s="540" t="n">
        <v>357</v>
      </c>
      <c r="B353" s="540" t="inlineStr">
        <is>
          <t>KQCY0357</t>
        </is>
      </c>
      <c r="C353" s="540" t="inlineStr">
        <is>
          <t>餐饮五分部</t>
        </is>
      </c>
      <c r="D353" s="540" t="inlineStr">
        <is>
          <t>CF134</t>
        </is>
      </c>
      <c r="E353" s="540" t="inlineStr">
        <is>
          <t>苏大独墅湖五食堂</t>
        </is>
      </c>
      <c r="F353" s="540" t="inlineStr">
        <is>
          <t>分组作业</t>
        </is>
      </c>
      <c r="G353" s="540" t="inlineStr">
        <is>
          <t>/</t>
        </is>
      </c>
      <c r="H353" s="540" t="inlineStr">
        <is>
          <t>旋转小火锅</t>
        </is>
      </c>
      <c r="I353" s="540" t="inlineStr">
        <is>
          <t>段姗姗</t>
        </is>
      </c>
      <c r="J353" s="644" t="n">
        <v>0</v>
      </c>
      <c r="K353" s="540" t="n"/>
      <c r="L353" s="540" t="inlineStr">
        <is>
          <t>位军浩</t>
        </is>
      </c>
      <c r="M353" s="540" t="n"/>
    </row>
    <row r="354">
      <c r="A354" s="540" t="n">
        <v>358</v>
      </c>
      <c r="B354" s="540" t="inlineStr">
        <is>
          <t>KQCY0358</t>
        </is>
      </c>
      <c r="C354" s="540" t="inlineStr">
        <is>
          <t>餐饮五分部</t>
        </is>
      </c>
      <c r="D354" s="540" t="inlineStr">
        <is>
          <t>CF134</t>
        </is>
      </c>
      <c r="E354" s="540" t="inlineStr">
        <is>
          <t>苏大独墅湖五食堂</t>
        </is>
      </c>
      <c r="F354" s="540" t="inlineStr">
        <is>
          <t>分组作业</t>
        </is>
      </c>
      <c r="G354" s="540" t="inlineStr">
        <is>
          <t>/</t>
        </is>
      </c>
      <c r="H354" s="540" t="inlineStr">
        <is>
          <t>巴比馒头</t>
        </is>
      </c>
      <c r="I354" s="540" t="inlineStr">
        <is>
          <t>赵玉磊</t>
        </is>
      </c>
      <c r="J354" s="644" t="n">
        <v>0</v>
      </c>
      <c r="K354" s="540" t="n"/>
      <c r="L354" s="540" t="inlineStr">
        <is>
          <t>位军浩</t>
        </is>
      </c>
      <c r="M354" s="540" t="n"/>
    </row>
    <row r="355">
      <c r="A355" s="540" t="n">
        <v>359</v>
      </c>
      <c r="B355" s="540" t="inlineStr">
        <is>
          <t>KQCY0359</t>
        </is>
      </c>
      <c r="C355" s="540" t="inlineStr">
        <is>
          <t>餐饮五分部</t>
        </is>
      </c>
      <c r="D355" s="540" t="inlineStr">
        <is>
          <t>CF134</t>
        </is>
      </c>
      <c r="E355" s="540" t="inlineStr">
        <is>
          <t>苏大独墅湖五食堂</t>
        </is>
      </c>
      <c r="F355" s="540" t="inlineStr">
        <is>
          <t>分组作业</t>
        </is>
      </c>
      <c r="G355" s="540" t="inlineStr">
        <is>
          <t>/</t>
        </is>
      </c>
      <c r="H355" s="540" t="inlineStr">
        <is>
          <t>北京烤鸭</t>
        </is>
      </c>
      <c r="I355" s="540" t="inlineStr">
        <is>
          <t>韩少卫</t>
        </is>
      </c>
      <c r="J355" s="644" t="n">
        <v>0</v>
      </c>
      <c r="K355" s="540" t="n"/>
      <c r="L355" s="540" t="inlineStr">
        <is>
          <t>位军浩</t>
        </is>
      </c>
      <c r="M355" s="540" t="n"/>
    </row>
    <row r="356">
      <c r="A356" s="540" t="n">
        <v>360</v>
      </c>
      <c r="B356" s="540" t="inlineStr">
        <is>
          <t>KQCY0360</t>
        </is>
      </c>
      <c r="C356" s="540" t="inlineStr">
        <is>
          <t>餐饮五分部</t>
        </is>
      </c>
      <c r="D356" s="540" t="inlineStr">
        <is>
          <t>CF134</t>
        </is>
      </c>
      <c r="E356" s="540" t="inlineStr">
        <is>
          <t>苏大独墅湖五食堂</t>
        </is>
      </c>
      <c r="F356" s="540" t="inlineStr">
        <is>
          <t>分组作业</t>
        </is>
      </c>
      <c r="G356" s="540" t="inlineStr">
        <is>
          <t>/</t>
        </is>
      </c>
      <c r="H356" s="540" t="inlineStr">
        <is>
          <t>山东炒鸡</t>
        </is>
      </c>
      <c r="I356" s="540" t="inlineStr">
        <is>
          <t>马明华</t>
        </is>
      </c>
      <c r="J356" s="644" t="n">
        <v>0</v>
      </c>
      <c r="K356" s="540" t="n"/>
      <c r="L356" s="540" t="inlineStr">
        <is>
          <t>位军浩</t>
        </is>
      </c>
      <c r="M356" s="540" t="n"/>
    </row>
    <row r="357">
      <c r="A357" s="540" t="n">
        <v>361</v>
      </c>
      <c r="B357" s="540" t="inlineStr">
        <is>
          <t>KQCY0361</t>
        </is>
      </c>
      <c r="C357" s="540" t="inlineStr">
        <is>
          <t>餐饮五分部</t>
        </is>
      </c>
      <c r="D357" s="540" t="inlineStr">
        <is>
          <t>CF134</t>
        </is>
      </c>
      <c r="E357" s="540" t="inlineStr">
        <is>
          <t>苏大独墅湖五食堂</t>
        </is>
      </c>
      <c r="F357" s="540" t="inlineStr">
        <is>
          <t>分组作业</t>
        </is>
      </c>
      <c r="G357" s="540" t="inlineStr">
        <is>
          <t>/</t>
        </is>
      </c>
      <c r="H357" s="540" t="inlineStr">
        <is>
          <t>拌饭(套餐饭)</t>
        </is>
      </c>
      <c r="I357" s="540" t="inlineStr">
        <is>
          <t>刘兆安</t>
        </is>
      </c>
      <c r="J357" s="644" t="n">
        <v>0</v>
      </c>
      <c r="K357" s="540" t="n"/>
      <c r="L357" s="540" t="inlineStr">
        <is>
          <t>位军浩</t>
        </is>
      </c>
      <c r="M357" s="540" t="n"/>
    </row>
    <row r="358">
      <c r="A358" s="540" t="n">
        <v>362</v>
      </c>
      <c r="B358" s="540" t="inlineStr">
        <is>
          <t>KQCY0362</t>
        </is>
      </c>
      <c r="C358" s="540" t="inlineStr">
        <is>
          <t>餐饮五分部</t>
        </is>
      </c>
      <c r="D358" s="540" t="inlineStr">
        <is>
          <t>CF134</t>
        </is>
      </c>
      <c r="E358" s="540" t="inlineStr">
        <is>
          <t>苏大独墅湖五食堂</t>
        </is>
      </c>
      <c r="F358" s="540" t="inlineStr">
        <is>
          <t>分组作业</t>
        </is>
      </c>
      <c r="G358" s="540" t="inlineStr">
        <is>
          <t>/</t>
        </is>
      </c>
      <c r="H358" s="540" t="inlineStr">
        <is>
          <t>辣椒炒肉</t>
        </is>
      </c>
      <c r="I358" s="540" t="inlineStr">
        <is>
          <t>李美蓉</t>
        </is>
      </c>
      <c r="J358" s="644" t="n">
        <v>0</v>
      </c>
      <c r="K358" s="540" t="n"/>
      <c r="L358" s="540" t="inlineStr">
        <is>
          <t>位军浩</t>
        </is>
      </c>
      <c r="M358" s="540" t="n"/>
    </row>
    <row r="359">
      <c r="A359" s="540" t="n">
        <v>363</v>
      </c>
      <c r="B359" s="540" t="inlineStr">
        <is>
          <t>KQCY0363</t>
        </is>
      </c>
      <c r="C359" s="540" t="inlineStr">
        <is>
          <t>餐饮五分部</t>
        </is>
      </c>
      <c r="D359" s="540" t="inlineStr">
        <is>
          <t>CF134</t>
        </is>
      </c>
      <c r="E359" s="540" t="inlineStr">
        <is>
          <t>苏大独墅湖五食堂</t>
        </is>
      </c>
      <c r="F359" s="540" t="inlineStr">
        <is>
          <t>分组作业</t>
        </is>
      </c>
      <c r="G359" s="540" t="inlineStr">
        <is>
          <t>/</t>
        </is>
      </c>
      <c r="H359" s="540" t="inlineStr">
        <is>
          <t>手工水饺</t>
        </is>
      </c>
      <c r="I359" s="540" t="inlineStr">
        <is>
          <t>王光芬</t>
        </is>
      </c>
      <c r="J359" s="644" t="n">
        <v>0</v>
      </c>
      <c r="K359" s="540" t="n"/>
      <c r="L359" s="540" t="inlineStr">
        <is>
          <t>位军浩</t>
        </is>
      </c>
      <c r="M359" s="540" t="n"/>
    </row>
    <row r="360">
      <c r="A360" s="540" t="n">
        <v>364</v>
      </c>
      <c r="B360" s="540" t="inlineStr">
        <is>
          <t>KQCY0364</t>
        </is>
      </c>
      <c r="C360" s="540" t="inlineStr">
        <is>
          <t>餐饮五分部</t>
        </is>
      </c>
      <c r="D360" s="540" t="inlineStr">
        <is>
          <t>CF134</t>
        </is>
      </c>
      <c r="E360" s="540" t="inlineStr">
        <is>
          <t>苏大独墅湖五食堂</t>
        </is>
      </c>
      <c r="F360" s="540" t="inlineStr">
        <is>
          <t>分组作业</t>
        </is>
      </c>
      <c r="G360" s="540" t="inlineStr">
        <is>
          <t>/</t>
        </is>
      </c>
      <c r="H360" s="540" t="inlineStr">
        <is>
          <t>刀削面</t>
        </is>
      </c>
      <c r="I360" s="540" t="inlineStr">
        <is>
          <t>刘红东</t>
        </is>
      </c>
      <c r="J360" s="644" t="n">
        <v>0</v>
      </c>
      <c r="K360" s="540" t="n"/>
      <c r="L360" s="540" t="inlineStr">
        <is>
          <t>位军浩</t>
        </is>
      </c>
      <c r="M360" s="540" t="n"/>
    </row>
    <row r="361">
      <c r="A361" s="540" t="n">
        <v>365</v>
      </c>
      <c r="B361" s="540" t="inlineStr">
        <is>
          <t>KQCY0365</t>
        </is>
      </c>
      <c r="C361" s="540" t="inlineStr">
        <is>
          <t>餐饮五分部</t>
        </is>
      </c>
      <c r="D361" s="540" t="inlineStr">
        <is>
          <t>CF134</t>
        </is>
      </c>
      <c r="E361" s="540" t="inlineStr">
        <is>
          <t>苏大独墅湖五食堂</t>
        </is>
      </c>
      <c r="F361" s="540" t="inlineStr">
        <is>
          <t>分组作业</t>
        </is>
      </c>
      <c r="G361" s="540" t="inlineStr">
        <is>
          <t>/</t>
        </is>
      </c>
      <c r="H361" s="540" t="inlineStr">
        <is>
          <t>奶茶、炸鸡</t>
        </is>
      </c>
      <c r="I361" s="540" t="inlineStr">
        <is>
          <t>张斌</t>
        </is>
      </c>
      <c r="J361" s="644" t="n">
        <v>0</v>
      </c>
      <c r="K361" s="540" t="n"/>
      <c r="L361" s="540" t="inlineStr">
        <is>
          <t>位军浩</t>
        </is>
      </c>
      <c r="M361" s="540" t="n"/>
    </row>
    <row r="362">
      <c r="A362" s="540" t="n">
        <v>366</v>
      </c>
      <c r="B362" s="540" t="inlineStr">
        <is>
          <t>KQCY0366</t>
        </is>
      </c>
      <c r="C362" s="540" t="inlineStr">
        <is>
          <t>餐饮六分部</t>
        </is>
      </c>
      <c r="D362" s="540" t="inlineStr">
        <is>
          <t>CF293</t>
        </is>
      </c>
      <c r="E362" s="540" t="inlineStr">
        <is>
          <t>江苏二师石湫校区食堂</t>
        </is>
      </c>
      <c r="F362" s="540" t="inlineStr">
        <is>
          <t>自营</t>
        </is>
      </c>
      <c r="G362" s="540" t="inlineStr">
        <is>
          <t>自营</t>
        </is>
      </c>
      <c r="H362" s="540" t="inlineStr">
        <is>
          <t>/</t>
        </is>
      </c>
      <c r="I362" s="540" t="inlineStr">
        <is>
          <t>/</t>
        </is>
      </c>
      <c r="J362" s="540" t="n">
        <v>0</v>
      </c>
      <c r="K362" s="540" t="n"/>
      <c r="L362" s="540" t="inlineStr">
        <is>
          <t>位军浩</t>
        </is>
      </c>
      <c r="M362" s="540" t="n"/>
    </row>
    <row r="363">
      <c r="A363" s="540" t="n">
        <v>367</v>
      </c>
      <c r="B363" s="540" t="inlineStr">
        <is>
          <t>KQCY0367</t>
        </is>
      </c>
      <c r="C363" s="540" t="inlineStr">
        <is>
          <t>餐饮六分部</t>
        </is>
      </c>
      <c r="D363" s="540" t="inlineStr">
        <is>
          <t>CF293</t>
        </is>
      </c>
      <c r="E363" s="540" t="inlineStr">
        <is>
          <t>江苏二师石湫校区食堂</t>
        </is>
      </c>
      <c r="F363" s="540" t="inlineStr">
        <is>
          <t>分组作业</t>
        </is>
      </c>
      <c r="G363" s="540" t="inlineStr">
        <is>
          <t>第二班组</t>
        </is>
      </c>
      <c r="H363" s="540" t="inlineStr">
        <is>
          <t>水饺面条</t>
        </is>
      </c>
      <c r="I363" s="540" t="inlineStr">
        <is>
          <t>申亮</t>
        </is>
      </c>
      <c r="J363" s="540" t="n"/>
      <c r="K363" s="540" t="inlineStr">
        <is>
          <t>已撤场</t>
        </is>
      </c>
      <c r="L363" s="540" t="inlineStr">
        <is>
          <t>位军浩</t>
        </is>
      </c>
      <c r="M363" s="540" t="n"/>
    </row>
    <row r="364">
      <c r="A364" s="540" t="n">
        <v>368</v>
      </c>
      <c r="B364" s="540" t="inlineStr">
        <is>
          <t>KQCY0368</t>
        </is>
      </c>
      <c r="C364" s="540" t="inlineStr">
        <is>
          <t>餐饮六分部</t>
        </is>
      </c>
      <c r="D364" s="540" t="inlineStr">
        <is>
          <t>CF293</t>
        </is>
      </c>
      <c r="E364" s="540" t="inlineStr">
        <is>
          <t>江苏二师石湫校区食堂</t>
        </is>
      </c>
      <c r="F364" s="540" t="inlineStr">
        <is>
          <t>分组作业</t>
        </is>
      </c>
      <c r="G364" s="540" t="inlineStr">
        <is>
          <t>第三班组</t>
        </is>
      </c>
      <c r="H364" s="540" t="inlineStr">
        <is>
          <t>湘西小炒</t>
        </is>
      </c>
      <c r="I364" s="540" t="inlineStr">
        <is>
          <t>李帮</t>
        </is>
      </c>
      <c r="J364" s="540" t="n">
        <v>0</v>
      </c>
      <c r="K364" s="540" t="n"/>
      <c r="L364" s="540" t="inlineStr">
        <is>
          <t>位军浩</t>
        </is>
      </c>
      <c r="M364" s="540" t="n"/>
    </row>
    <row r="365">
      <c r="A365" s="540" t="n">
        <v>369</v>
      </c>
      <c r="B365" s="540" t="inlineStr">
        <is>
          <t>KQCY0369</t>
        </is>
      </c>
      <c r="C365" s="540" t="inlineStr">
        <is>
          <t>餐饮六分部</t>
        </is>
      </c>
      <c r="D365" s="540" t="inlineStr">
        <is>
          <t>CF293</t>
        </is>
      </c>
      <c r="E365" s="540" t="inlineStr">
        <is>
          <t>江苏二师石湫校区食堂</t>
        </is>
      </c>
      <c r="F365" s="540" t="inlineStr">
        <is>
          <t>分组作业</t>
        </is>
      </c>
      <c r="G365" s="540" t="inlineStr">
        <is>
          <t>第七班组</t>
        </is>
      </c>
      <c r="H365" s="540" t="inlineStr">
        <is>
          <t>早餐</t>
        </is>
      </c>
      <c r="I365" s="540" t="inlineStr">
        <is>
          <t>李帮</t>
        </is>
      </c>
      <c r="J365" s="540" t="n">
        <v>0</v>
      </c>
      <c r="K365" s="540" t="n"/>
      <c r="L365" s="540" t="inlineStr">
        <is>
          <t>位军浩</t>
        </is>
      </c>
      <c r="M365" s="540" t="n"/>
    </row>
    <row r="366">
      <c r="A366" s="540" t="n">
        <v>370</v>
      </c>
      <c r="B366" s="540" t="inlineStr">
        <is>
          <t>KQCY0370</t>
        </is>
      </c>
      <c r="C366" s="540" t="inlineStr">
        <is>
          <t>餐饮六分部</t>
        </is>
      </c>
      <c r="D366" s="540" t="inlineStr">
        <is>
          <t>CF293</t>
        </is>
      </c>
      <c r="E366" s="540" t="inlineStr">
        <is>
          <t>江苏二师石湫校区食堂</t>
        </is>
      </c>
      <c r="F366" s="540" t="inlineStr">
        <is>
          <t>分组作业</t>
        </is>
      </c>
      <c r="G366" s="540" t="inlineStr">
        <is>
          <t>第一班组</t>
        </is>
      </c>
      <c r="H366" s="540" t="inlineStr">
        <is>
          <t>营养粥(肠粉)</t>
        </is>
      </c>
      <c r="I366" s="540" t="inlineStr">
        <is>
          <t>申亮</t>
        </is>
      </c>
      <c r="J366" s="540" t="n">
        <v>0</v>
      </c>
      <c r="K366" s="540" t="n"/>
      <c r="L366" s="540" t="inlineStr">
        <is>
          <t>位军浩</t>
        </is>
      </c>
      <c r="M366" s="540" t="n"/>
    </row>
    <row r="367">
      <c r="A367" s="540" t="n">
        <v>371</v>
      </c>
      <c r="B367" s="540" t="inlineStr">
        <is>
          <t>KQCY0371</t>
        </is>
      </c>
      <c r="C367" s="540" t="inlineStr">
        <is>
          <t>餐饮六分部</t>
        </is>
      </c>
      <c r="D367" s="540" t="inlineStr">
        <is>
          <t>CF293</t>
        </is>
      </c>
      <c r="E367" s="540" t="inlineStr">
        <is>
          <t>江苏二师石湫校区食堂</t>
        </is>
      </c>
      <c r="F367" s="540" t="inlineStr">
        <is>
          <t>分组作业</t>
        </is>
      </c>
      <c r="G367" s="540" t="inlineStr">
        <is>
          <t>第五班组</t>
        </is>
      </c>
      <c r="H367" s="540" t="inlineStr">
        <is>
          <t>米线</t>
        </is>
      </c>
      <c r="I367" s="540" t="inlineStr">
        <is>
          <t>汪芳</t>
        </is>
      </c>
      <c r="J367" s="540" t="n">
        <v>0</v>
      </c>
      <c r="K367" s="540" t="n"/>
      <c r="L367" s="540" t="inlineStr">
        <is>
          <t>位军浩</t>
        </is>
      </c>
      <c r="M367" s="540" t="n"/>
    </row>
    <row r="368">
      <c r="A368" s="540" t="n">
        <v>372</v>
      </c>
      <c r="B368" s="540" t="inlineStr">
        <is>
          <t>KQCY0372</t>
        </is>
      </c>
      <c r="C368" s="540" t="inlineStr">
        <is>
          <t>餐饮六分部</t>
        </is>
      </c>
      <c r="D368" s="540" t="inlineStr">
        <is>
          <t>CF293</t>
        </is>
      </c>
      <c r="E368" s="540" t="inlineStr">
        <is>
          <t>江苏二师石湫校区食堂</t>
        </is>
      </c>
      <c r="F368" s="540" t="inlineStr">
        <is>
          <t>分组作业</t>
        </is>
      </c>
      <c r="G368" s="540" t="inlineStr">
        <is>
          <t>第六班组</t>
        </is>
      </c>
      <c r="H368" s="540" t="inlineStr">
        <is>
          <t>麻辣烫(麻辣拌)</t>
        </is>
      </c>
      <c r="I368" s="540" t="inlineStr">
        <is>
          <t>汪芳</t>
        </is>
      </c>
      <c r="J368" s="540" t="n">
        <v>0</v>
      </c>
      <c r="K368" s="540" t="n"/>
      <c r="L368" s="540" t="inlineStr">
        <is>
          <t>位军浩</t>
        </is>
      </c>
      <c r="M368" s="540" t="n"/>
    </row>
    <row r="369">
      <c r="A369" s="540" t="n">
        <v>373</v>
      </c>
      <c r="B369" s="540" t="inlineStr">
        <is>
          <t>KQCY0373</t>
        </is>
      </c>
      <c r="C369" s="540" t="inlineStr">
        <is>
          <t>餐饮六分部</t>
        </is>
      </c>
      <c r="D369" s="540" t="inlineStr">
        <is>
          <t>CF293</t>
        </is>
      </c>
      <c r="E369" s="540" t="inlineStr">
        <is>
          <t>江苏二师石湫校区食堂</t>
        </is>
      </c>
      <c r="F369" s="540" t="inlineStr">
        <is>
          <t>分组作业</t>
        </is>
      </c>
      <c r="G369" s="540" t="inlineStr">
        <is>
          <t>第八班组</t>
        </is>
      </c>
      <c r="H369" s="540" t="inlineStr">
        <is>
          <t>炸鸡(汉堡)</t>
        </is>
      </c>
      <c r="I369" s="540" t="inlineStr">
        <is>
          <t>熊跳</t>
        </is>
      </c>
      <c r="J369" s="540" t="n">
        <v>0</v>
      </c>
      <c r="K369" s="540" t="n"/>
      <c r="L369" s="540" t="inlineStr">
        <is>
          <t>位军浩</t>
        </is>
      </c>
      <c r="M369" s="540" t="n"/>
    </row>
    <row r="370">
      <c r="A370" s="540" t="n">
        <v>374</v>
      </c>
      <c r="B370" s="540" t="inlineStr">
        <is>
          <t>KQCY0374</t>
        </is>
      </c>
      <c r="C370" s="540" t="inlineStr">
        <is>
          <t>餐饮六分部</t>
        </is>
      </c>
      <c r="D370" s="540" t="inlineStr">
        <is>
          <t>CF293</t>
        </is>
      </c>
      <c r="E370" s="540" t="inlineStr">
        <is>
          <t>江苏二师石湫校区食堂</t>
        </is>
      </c>
      <c r="F370" s="540" t="inlineStr">
        <is>
          <t>分组作业</t>
        </is>
      </c>
      <c r="G370" s="540" t="inlineStr">
        <is>
          <t>第九班组</t>
        </is>
      </c>
      <c r="H370" s="540" t="inlineStr">
        <is>
          <t>七分甜</t>
        </is>
      </c>
      <c r="I370" s="540" t="inlineStr">
        <is>
          <t>熊跳</t>
        </is>
      </c>
      <c r="J370" s="540" t="n">
        <v>0</v>
      </c>
      <c r="K370" s="540" t="n"/>
      <c r="L370" s="540" t="inlineStr">
        <is>
          <t>位军浩</t>
        </is>
      </c>
      <c r="M370" s="540" t="n"/>
    </row>
    <row r="371">
      <c r="A371" s="540" t="n">
        <v>375</v>
      </c>
      <c r="B371" s="540" t="inlineStr">
        <is>
          <t>KQCY0375</t>
        </is>
      </c>
      <c r="C371" s="540" t="inlineStr">
        <is>
          <t>餐饮六分部</t>
        </is>
      </c>
      <c r="D371" s="540" t="inlineStr">
        <is>
          <t>CF293</t>
        </is>
      </c>
      <c r="E371" s="540" t="inlineStr">
        <is>
          <t>江苏二师石湫校区食堂</t>
        </is>
      </c>
      <c r="F371" s="540" t="inlineStr">
        <is>
          <t>分组作业</t>
        </is>
      </c>
      <c r="G371" s="540" t="inlineStr">
        <is>
          <t>第四班组</t>
        </is>
      </c>
      <c r="H371" s="540" t="inlineStr">
        <is>
          <t>土豆泥拌饭</t>
        </is>
      </c>
      <c r="I371" s="540" t="inlineStr">
        <is>
          <t>端和伟</t>
        </is>
      </c>
      <c r="J371" s="540" t="n"/>
      <c r="K371" s="540" t="inlineStr">
        <is>
          <t>已撤场</t>
        </is>
      </c>
      <c r="L371" s="540" t="inlineStr">
        <is>
          <t>位军浩</t>
        </is>
      </c>
      <c r="M371" s="540" t="n"/>
    </row>
    <row r="372">
      <c r="A372" s="540" t="n">
        <v>376</v>
      </c>
      <c r="B372" s="540" t="inlineStr">
        <is>
          <t>KQCY0376</t>
        </is>
      </c>
      <c r="C372" s="540" t="inlineStr">
        <is>
          <t>餐饮六分部</t>
        </is>
      </c>
      <c r="D372" s="540" t="inlineStr">
        <is>
          <t>CF480</t>
        </is>
      </c>
      <c r="E372" s="540" t="inlineStr">
        <is>
          <t>江苏旅游学生食堂二楼</t>
        </is>
      </c>
      <c r="F372" s="540" t="inlineStr">
        <is>
          <t>自营</t>
        </is>
      </c>
      <c r="G372" s="540" t="inlineStr">
        <is>
          <t>自营</t>
        </is>
      </c>
      <c r="H372" s="540" t="inlineStr">
        <is>
          <t>/</t>
        </is>
      </c>
      <c r="I372" s="540" t="inlineStr">
        <is>
          <t>/</t>
        </is>
      </c>
      <c r="J372" s="540" t="n">
        <v>0</v>
      </c>
      <c r="K372" s="540" t="n"/>
      <c r="L372" s="540" t="inlineStr">
        <is>
          <t>位军浩</t>
        </is>
      </c>
      <c r="M372" s="540" t="n"/>
    </row>
    <row r="373">
      <c r="A373" s="540" t="n">
        <v>377</v>
      </c>
      <c r="B373" s="540" t="inlineStr">
        <is>
          <t>KQCY0377</t>
        </is>
      </c>
      <c r="C373" s="540" t="inlineStr">
        <is>
          <t>餐饮六分部</t>
        </is>
      </c>
      <c r="D373" s="540" t="inlineStr">
        <is>
          <t>CF480</t>
        </is>
      </c>
      <c r="E373" s="540" t="inlineStr">
        <is>
          <t>江苏旅游学生食堂二楼</t>
        </is>
      </c>
      <c r="F373" s="540" t="inlineStr">
        <is>
          <t>分组作业</t>
        </is>
      </c>
      <c r="G373" s="540" t="inlineStr">
        <is>
          <t>/</t>
        </is>
      </c>
      <c r="H373" s="540" t="inlineStr">
        <is>
          <t>全福记热卤拌饭(牛肉汤)</t>
        </is>
      </c>
      <c r="I373" s="540" t="inlineStr">
        <is>
          <t>张文泉</t>
        </is>
      </c>
      <c r="J373" s="540" t="n">
        <v>0</v>
      </c>
      <c r="K373" s="540" t="n"/>
      <c r="L373" s="540" t="inlineStr">
        <is>
          <t>位军浩</t>
        </is>
      </c>
      <c r="M373" s="540" t="n"/>
    </row>
    <row r="374">
      <c r="A374" s="540" t="n">
        <v>378</v>
      </c>
      <c r="B374" s="540" t="inlineStr">
        <is>
          <t>KQCY0378</t>
        </is>
      </c>
      <c r="C374" s="540" t="inlineStr">
        <is>
          <t>餐饮六分部</t>
        </is>
      </c>
      <c r="D374" s="540" t="inlineStr">
        <is>
          <t>CF480</t>
        </is>
      </c>
      <c r="E374" s="540" t="inlineStr">
        <is>
          <t>江苏旅游学生食堂二楼</t>
        </is>
      </c>
      <c r="F374" s="540" t="inlineStr">
        <is>
          <t>分组作业</t>
        </is>
      </c>
      <c r="G374" s="540" t="inlineStr">
        <is>
          <t>/</t>
        </is>
      </c>
      <c r="H374" s="540" t="inlineStr">
        <is>
          <t>盖浇饭(套餐饭)</t>
        </is>
      </c>
      <c r="I374" s="540" t="inlineStr">
        <is>
          <t>刘宝峰</t>
        </is>
      </c>
      <c r="J374" s="540" t="n">
        <v>0</v>
      </c>
      <c r="K374" s="540" t="n"/>
      <c r="L374" s="540" t="inlineStr">
        <is>
          <t>位军浩</t>
        </is>
      </c>
      <c r="M374" s="540" t="n"/>
    </row>
    <row r="375">
      <c r="A375" s="540" t="n">
        <v>379</v>
      </c>
      <c r="B375" s="540" t="inlineStr">
        <is>
          <t>KQCY0379</t>
        </is>
      </c>
      <c r="C375" s="540" t="inlineStr">
        <is>
          <t>餐饮六分部</t>
        </is>
      </c>
      <c r="D375" s="540" t="inlineStr">
        <is>
          <t>CF480</t>
        </is>
      </c>
      <c r="E375" s="540" t="inlineStr">
        <is>
          <t>江苏旅游学生食堂二楼</t>
        </is>
      </c>
      <c r="F375" s="540" t="inlineStr">
        <is>
          <t>分组作业</t>
        </is>
      </c>
      <c r="G375" s="540" t="inlineStr">
        <is>
          <t>/</t>
        </is>
      </c>
      <c r="H375" s="540" t="inlineStr">
        <is>
          <t>煎饼(鸡蛋灌饼)</t>
        </is>
      </c>
      <c r="I375" s="540" t="inlineStr">
        <is>
          <t>李中怀</t>
        </is>
      </c>
      <c r="J375" s="540" t="n">
        <v>0</v>
      </c>
      <c r="K375" s="540" t="n"/>
      <c r="L375" s="540" t="inlineStr">
        <is>
          <t>位军浩</t>
        </is>
      </c>
      <c r="M375" s="540" t="n"/>
    </row>
    <row r="376">
      <c r="A376" s="540" t="n">
        <v>380</v>
      </c>
      <c r="B376" s="540" t="inlineStr">
        <is>
          <t>KQCY0380</t>
        </is>
      </c>
      <c r="C376" s="540" t="inlineStr">
        <is>
          <t>餐饮六分部</t>
        </is>
      </c>
      <c r="D376" s="540" t="inlineStr">
        <is>
          <t>CF480</t>
        </is>
      </c>
      <c r="E376" s="540" t="inlineStr">
        <is>
          <t>江苏旅游学生食堂二楼</t>
        </is>
      </c>
      <c r="F376" s="540" t="inlineStr">
        <is>
          <t>分组作业</t>
        </is>
      </c>
      <c r="G376" s="540" t="inlineStr">
        <is>
          <t>/</t>
        </is>
      </c>
      <c r="H376" s="540" t="inlineStr">
        <is>
          <t>柒公主焖饭</t>
        </is>
      </c>
      <c r="I376" s="540" t="inlineStr">
        <is>
          <t>张月红</t>
        </is>
      </c>
      <c r="J376" s="540" t="n"/>
      <c r="K376" s="540" t="inlineStr">
        <is>
          <t>撤场</t>
        </is>
      </c>
      <c r="L376" s="540" t="inlineStr">
        <is>
          <t>位军浩</t>
        </is>
      </c>
      <c r="M376" s="540" t="n"/>
    </row>
    <row r="377">
      <c r="A377" s="540" t="n">
        <v>381</v>
      </c>
      <c r="B377" s="540" t="inlineStr">
        <is>
          <t>KQCY0381</t>
        </is>
      </c>
      <c r="C377" s="540" t="inlineStr">
        <is>
          <t>餐饮六分部</t>
        </is>
      </c>
      <c r="D377" s="540" t="inlineStr">
        <is>
          <t>CF480</t>
        </is>
      </c>
      <c r="E377" s="540" t="inlineStr">
        <is>
          <t>江苏旅游学生食堂二楼</t>
        </is>
      </c>
      <c r="F377" s="540" t="inlineStr">
        <is>
          <t>分组作业</t>
        </is>
      </c>
      <c r="G377" s="540" t="inlineStr">
        <is>
          <t>/</t>
        </is>
      </c>
      <c r="H377" s="540" t="inlineStr">
        <is>
          <t>掉渣饼</t>
        </is>
      </c>
      <c r="I377" s="540" t="inlineStr">
        <is>
          <t>郭保君</t>
        </is>
      </c>
      <c r="J377" s="540" t="n">
        <v>0</v>
      </c>
      <c r="K377" s="540" t="n"/>
      <c r="L377" s="540" t="inlineStr">
        <is>
          <t>位军浩</t>
        </is>
      </c>
      <c r="M377" s="540" t="n"/>
    </row>
    <row r="378">
      <c r="A378" s="540" t="n">
        <v>382</v>
      </c>
      <c r="B378" s="540" t="inlineStr">
        <is>
          <t>KQCY0382</t>
        </is>
      </c>
      <c r="C378" s="540" t="inlineStr">
        <is>
          <t>餐饮六分部</t>
        </is>
      </c>
      <c r="D378" s="540" t="inlineStr">
        <is>
          <t>CF480</t>
        </is>
      </c>
      <c r="E378" s="540" t="inlineStr">
        <is>
          <t>江苏旅游学生食堂二楼</t>
        </is>
      </c>
      <c r="F378" s="540" t="inlineStr">
        <is>
          <t>分组作业</t>
        </is>
      </c>
      <c r="G378" s="540" t="inlineStr">
        <is>
          <t>/</t>
        </is>
      </c>
      <c r="H378" s="540" t="inlineStr">
        <is>
          <t>擂椒拌饭(烤鸭饭)</t>
        </is>
      </c>
      <c r="I378" s="540" t="inlineStr">
        <is>
          <t>崔建美</t>
        </is>
      </c>
      <c r="J378" s="540" t="n">
        <v>0</v>
      </c>
      <c r="K378" s="540" t="n"/>
      <c r="L378" s="540" t="inlineStr">
        <is>
          <t>位军浩</t>
        </is>
      </c>
      <c r="M378" s="540" t="n"/>
    </row>
    <row r="379">
      <c r="A379" s="540" t="n">
        <v>383</v>
      </c>
      <c r="B379" s="540" t="inlineStr">
        <is>
          <t>KQCY0383</t>
        </is>
      </c>
      <c r="C379" s="540" t="inlineStr">
        <is>
          <t>餐饮六分部</t>
        </is>
      </c>
      <c r="D379" s="540" t="inlineStr">
        <is>
          <t>CF480</t>
        </is>
      </c>
      <c r="E379" s="540" t="inlineStr">
        <is>
          <t>江苏旅游学生食堂二楼</t>
        </is>
      </c>
      <c r="F379" s="540" t="inlineStr">
        <is>
          <t>分组作业</t>
        </is>
      </c>
      <c r="G379" s="540" t="inlineStr">
        <is>
          <t>/</t>
        </is>
      </c>
      <c r="H379" s="540" t="inlineStr">
        <is>
          <t>老成都面(猪脚饭)</t>
        </is>
      </c>
      <c r="I379" s="540" t="inlineStr">
        <is>
          <t>顾卫君</t>
        </is>
      </c>
      <c r="J379" s="540" t="n">
        <v>0</v>
      </c>
      <c r="K379" s="540" t="n"/>
      <c r="L379" s="540" t="inlineStr">
        <is>
          <t>位军浩</t>
        </is>
      </c>
      <c r="M379" s="540" t="n"/>
    </row>
    <row r="380">
      <c r="A380" s="540" t="n">
        <v>384</v>
      </c>
      <c r="B380" s="540" t="inlineStr">
        <is>
          <t>KQCY0384</t>
        </is>
      </c>
      <c r="C380" s="540" t="inlineStr">
        <is>
          <t>餐饮六分部</t>
        </is>
      </c>
      <c r="D380" s="540" t="inlineStr">
        <is>
          <t>CF480</t>
        </is>
      </c>
      <c r="E380" s="540" t="inlineStr">
        <is>
          <t>江苏旅游学生食堂二楼</t>
        </is>
      </c>
      <c r="F380" s="540" t="inlineStr">
        <is>
          <t>分组作业</t>
        </is>
      </c>
      <c r="G380" s="540" t="inlineStr">
        <is>
          <t>/</t>
        </is>
      </c>
      <c r="H380" s="540" t="inlineStr">
        <is>
          <t>一纸鸡</t>
        </is>
      </c>
      <c r="I380" s="540" t="inlineStr">
        <is>
          <t>熊朝秀</t>
        </is>
      </c>
      <c r="J380" s="540" t="n"/>
      <c r="K380" s="540" t="inlineStr">
        <is>
          <t>已撤场</t>
        </is>
      </c>
      <c r="L380" s="540" t="inlineStr">
        <is>
          <t>位军浩</t>
        </is>
      </c>
      <c r="M380" s="540" t="n"/>
    </row>
    <row r="381">
      <c r="A381" s="540" t="n">
        <v>385</v>
      </c>
      <c r="B381" s="540" t="inlineStr">
        <is>
          <t>KQCY0385</t>
        </is>
      </c>
      <c r="C381" s="540" t="inlineStr">
        <is>
          <t>餐饮六分部</t>
        </is>
      </c>
      <c r="D381" s="540" t="inlineStr">
        <is>
          <t>CF480</t>
        </is>
      </c>
      <c r="E381" s="540" t="inlineStr">
        <is>
          <t>江苏旅游学生食堂二楼</t>
        </is>
      </c>
      <c r="F381" s="540" t="inlineStr">
        <is>
          <t>分组作业</t>
        </is>
      </c>
      <c r="G381" s="540" t="inlineStr">
        <is>
          <t>/</t>
        </is>
      </c>
      <c r="H381" s="540" t="inlineStr">
        <is>
          <t>炸鸡</t>
        </is>
      </c>
      <c r="I381" s="540" t="inlineStr">
        <is>
          <t>单良</t>
        </is>
      </c>
      <c r="J381" s="540" t="n">
        <v>0</v>
      </c>
      <c r="K381" s="540" t="n"/>
      <c r="L381" s="540" t="inlineStr">
        <is>
          <t>位军浩</t>
        </is>
      </c>
      <c r="M381" s="540" t="n"/>
    </row>
    <row r="382">
      <c r="A382" s="540" t="n">
        <v>386</v>
      </c>
      <c r="B382" s="540" t="inlineStr">
        <is>
          <t>KQCY0386</t>
        </is>
      </c>
      <c r="C382" s="540" t="inlineStr">
        <is>
          <t>餐饮六分部</t>
        </is>
      </c>
      <c r="D382" s="540" t="inlineStr">
        <is>
          <t>CF480</t>
        </is>
      </c>
      <c r="E382" s="540" t="inlineStr">
        <is>
          <t>江苏旅游学生食堂二楼</t>
        </is>
      </c>
      <c r="F382" s="540" t="inlineStr">
        <is>
          <t>分组作业</t>
        </is>
      </c>
      <c r="G382" s="540" t="inlineStr">
        <is>
          <t>/</t>
        </is>
      </c>
      <c r="H382" s="540" t="inlineStr">
        <is>
          <t>快餐自选</t>
        </is>
      </c>
      <c r="I382" s="540" t="inlineStr">
        <is>
          <t>王明辉</t>
        </is>
      </c>
      <c r="J382" s="540" t="n">
        <v>0</v>
      </c>
      <c r="K382" s="540" t="n"/>
      <c r="L382" s="540" t="inlineStr">
        <is>
          <t>位军浩</t>
        </is>
      </c>
      <c r="M382" s="540" t="n"/>
    </row>
    <row r="383">
      <c r="A383" s="540" t="n">
        <v>387</v>
      </c>
      <c r="B383" s="540" t="inlineStr">
        <is>
          <t>KQCY0387</t>
        </is>
      </c>
      <c r="C383" s="540" t="inlineStr">
        <is>
          <t>餐饮六分部</t>
        </is>
      </c>
      <c r="D383" s="540" t="inlineStr">
        <is>
          <t>CF480</t>
        </is>
      </c>
      <c r="E383" s="540" t="inlineStr">
        <is>
          <t>江苏旅游学生食堂二楼</t>
        </is>
      </c>
      <c r="F383" s="540" t="inlineStr">
        <is>
          <t>分组作业</t>
        </is>
      </c>
      <c r="G383" s="540" t="inlineStr">
        <is>
          <t>/</t>
        </is>
      </c>
      <c r="H383" s="540" t="inlineStr">
        <is>
          <t>早餐</t>
        </is>
      </c>
      <c r="I383" s="540" t="inlineStr">
        <is>
          <t>王明辉</t>
        </is>
      </c>
      <c r="J383" s="540" t="n">
        <v>0</v>
      </c>
      <c r="K383" s="540" t="n"/>
      <c r="L383" s="540" t="inlineStr">
        <is>
          <t>位军浩</t>
        </is>
      </c>
      <c r="M383" s="540" t="n"/>
    </row>
    <row r="384">
      <c r="A384" s="540" t="n">
        <v>388</v>
      </c>
      <c r="B384" s="540" t="inlineStr">
        <is>
          <t>KQCY0388</t>
        </is>
      </c>
      <c r="C384" s="540" t="inlineStr">
        <is>
          <t>餐饮六分部</t>
        </is>
      </c>
      <c r="D384" s="540" t="inlineStr">
        <is>
          <t>CF341</t>
        </is>
      </c>
      <c r="E384" s="540" t="inlineStr">
        <is>
          <t>扬大荷花池校区二楼食堂</t>
        </is>
      </c>
      <c r="F384" s="540" t="inlineStr">
        <is>
          <t>人员服务外包</t>
        </is>
      </c>
      <c r="G384" s="540" t="inlineStr">
        <is>
          <t>/</t>
        </is>
      </c>
      <c r="H384" s="540" t="inlineStr">
        <is>
          <t>/</t>
        </is>
      </c>
      <c r="I384" s="540" t="inlineStr">
        <is>
          <t>/</t>
        </is>
      </c>
      <c r="J384" s="540" t="n">
        <v>0</v>
      </c>
      <c r="K384" s="540" t="n"/>
      <c r="L384" s="540" t="inlineStr">
        <is>
          <t>位军浩</t>
        </is>
      </c>
      <c r="M384" s="540" t="n"/>
    </row>
    <row r="385">
      <c r="A385" s="540" t="n">
        <v>389</v>
      </c>
      <c r="B385" s="540" t="inlineStr">
        <is>
          <t>KQCY0389</t>
        </is>
      </c>
      <c r="C385" s="540" t="inlineStr">
        <is>
          <t>餐饮六分部</t>
        </is>
      </c>
      <c r="D385" s="540" t="inlineStr">
        <is>
          <t>CF341</t>
        </is>
      </c>
      <c r="E385" s="540" t="inlineStr">
        <is>
          <t>扬大荷花池校区二楼食堂</t>
        </is>
      </c>
      <c r="F385" s="540" t="inlineStr">
        <is>
          <t>人员服务外包</t>
        </is>
      </c>
      <c r="G385" s="540" t="inlineStr">
        <is>
          <t>第一班组</t>
        </is>
      </c>
      <c r="H385" s="540" t="inlineStr">
        <is>
          <t>麻辣烫(麻辣拌、麻酱拌、小碗菜、盖浇饭、猪脚饭)</t>
        </is>
      </c>
      <c r="I385" s="540" t="inlineStr">
        <is>
          <t>于士位</t>
        </is>
      </c>
      <c r="J385" s="540" t="n"/>
      <c r="K385" s="540" t="n"/>
      <c r="L385" s="540" t="inlineStr">
        <is>
          <t>位军浩</t>
        </is>
      </c>
      <c r="M385" s="540" t="n"/>
    </row>
    <row r="386">
      <c r="A386" s="540" t="n">
        <v>390</v>
      </c>
      <c r="B386" s="540" t="inlineStr">
        <is>
          <t>KQCY0390</t>
        </is>
      </c>
      <c r="C386" s="540" t="inlineStr">
        <is>
          <t>餐饮六分部</t>
        </is>
      </c>
      <c r="D386" s="540" t="inlineStr">
        <is>
          <t>CF341</t>
        </is>
      </c>
      <c r="E386" s="540" t="inlineStr">
        <is>
          <t>扬大荷花池校区二楼食堂</t>
        </is>
      </c>
      <c r="F386" s="540" t="inlineStr">
        <is>
          <t>人员服务外包</t>
        </is>
      </c>
      <c r="G386" s="540" t="inlineStr">
        <is>
          <t>第二班组</t>
        </is>
      </c>
      <c r="H386" s="540" t="inlineStr">
        <is>
          <t>烤鸭饭</t>
        </is>
      </c>
      <c r="I386" s="540" t="inlineStr">
        <is>
          <t>吴异</t>
        </is>
      </c>
      <c r="J386" s="540" t="n"/>
      <c r="K386" s="540" t="n"/>
      <c r="L386" s="540" t="inlineStr">
        <is>
          <t>位军浩</t>
        </is>
      </c>
      <c r="M386" s="540" t="n"/>
    </row>
    <row r="387">
      <c r="A387" s="540" t="n">
        <v>391</v>
      </c>
      <c r="B387" s="540" t="inlineStr">
        <is>
          <t>KQCY0391</t>
        </is>
      </c>
      <c r="C387" s="540" t="inlineStr">
        <is>
          <t>餐饮六分部</t>
        </is>
      </c>
      <c r="D387" s="540" t="inlineStr">
        <is>
          <t>CF341</t>
        </is>
      </c>
      <c r="E387" s="540" t="inlineStr">
        <is>
          <t>扬大荷花池校区二楼食堂</t>
        </is>
      </c>
      <c r="F387" s="540" t="inlineStr">
        <is>
          <t>人员服务外包</t>
        </is>
      </c>
      <c r="G387" s="540" t="inlineStr">
        <is>
          <t>第三班组</t>
        </is>
      </c>
      <c r="H387" s="540" t="inlineStr">
        <is>
          <t>酸菜鱼(砂锅)</t>
        </is>
      </c>
      <c r="I387" s="645" t="inlineStr">
        <is>
          <t>邱康兴</t>
        </is>
      </c>
      <c r="J387" s="540" t="n"/>
      <c r="K387" s="540" t="n"/>
      <c r="L387" s="540" t="inlineStr">
        <is>
          <t>位军浩</t>
        </is>
      </c>
      <c r="M387" s="540" t="n"/>
    </row>
    <row r="388">
      <c r="A388" s="540" t="n">
        <v>392</v>
      </c>
      <c r="B388" s="540" t="inlineStr">
        <is>
          <t>KQCY0392</t>
        </is>
      </c>
      <c r="C388" s="540" t="inlineStr">
        <is>
          <t>餐饮六分部</t>
        </is>
      </c>
      <c r="D388" s="540" t="inlineStr">
        <is>
          <t>CF341</t>
        </is>
      </c>
      <c r="E388" s="540" t="inlineStr">
        <is>
          <t>扬大荷花池校区二楼食堂</t>
        </is>
      </c>
      <c r="F388" s="540" t="inlineStr">
        <is>
          <t>人员服务外包</t>
        </is>
      </c>
      <c r="G388" s="540" t="inlineStr">
        <is>
          <t>第四班组</t>
        </is>
      </c>
      <c r="H388" s="540" t="inlineStr">
        <is>
          <t>瓦香鸡</t>
        </is>
      </c>
      <c r="I388" s="540" t="inlineStr">
        <is>
          <t>董伟</t>
        </is>
      </c>
      <c r="J388" s="540" t="n"/>
      <c r="K388" s="540" t="n"/>
      <c r="L388" s="540" t="inlineStr">
        <is>
          <t>位军浩</t>
        </is>
      </c>
      <c r="M388" s="540" t="n"/>
    </row>
    <row r="389">
      <c r="A389" s="540" t="n">
        <v>393</v>
      </c>
      <c r="B389" s="540" t="inlineStr">
        <is>
          <t>KQCY0393</t>
        </is>
      </c>
      <c r="C389" s="540" t="inlineStr">
        <is>
          <t>餐饮六分部</t>
        </is>
      </c>
      <c r="D389" s="540" t="inlineStr">
        <is>
          <t>CF341</t>
        </is>
      </c>
      <c r="E389" s="540" t="inlineStr">
        <is>
          <t>扬大荷花池校区二楼食堂</t>
        </is>
      </c>
      <c r="F389" s="540" t="inlineStr">
        <is>
          <t>人员服务外包</t>
        </is>
      </c>
      <c r="G389" s="540" t="inlineStr">
        <is>
          <t>第五班组</t>
        </is>
      </c>
      <c r="H389" s="540" t="inlineStr">
        <is>
          <t>水饺(馄饨)</t>
        </is>
      </c>
      <c r="I389" s="540" t="inlineStr">
        <is>
          <t>周凯</t>
        </is>
      </c>
      <c r="J389" s="540" t="n"/>
      <c r="K389" s="540" t="inlineStr">
        <is>
          <t>已撤场</t>
        </is>
      </c>
      <c r="L389" s="540" t="inlineStr">
        <is>
          <t>位军浩</t>
        </is>
      </c>
      <c r="M389" s="540" t="n"/>
    </row>
    <row r="390">
      <c r="A390" s="540" t="n">
        <v>394</v>
      </c>
      <c r="B390" s="540" t="inlineStr">
        <is>
          <t>KQCY0394</t>
        </is>
      </c>
      <c r="C390" s="540" t="inlineStr">
        <is>
          <t>餐饮六分部</t>
        </is>
      </c>
      <c r="D390" s="540" t="inlineStr">
        <is>
          <t>CF341</t>
        </is>
      </c>
      <c r="E390" s="540" t="inlineStr">
        <is>
          <t>扬大荷花池校区二楼食堂</t>
        </is>
      </c>
      <c r="F390" s="540" t="inlineStr">
        <is>
          <t>人员服务外包</t>
        </is>
      </c>
      <c r="G390" s="540" t="inlineStr">
        <is>
          <t>第六班组</t>
        </is>
      </c>
      <c r="H390" s="540" t="inlineStr">
        <is>
          <t>川湘菜</t>
        </is>
      </c>
      <c r="I390" s="540" t="inlineStr">
        <is>
          <t>刘诚诚</t>
        </is>
      </c>
      <c r="J390" s="540" t="n"/>
      <c r="K390" s="540" t="n"/>
      <c r="L390" s="540" t="inlineStr">
        <is>
          <t>位军浩</t>
        </is>
      </c>
      <c r="M390" s="540" t="n"/>
    </row>
    <row r="391">
      <c r="A391" s="540" t="n">
        <v>395</v>
      </c>
      <c r="B391" s="540" t="inlineStr">
        <is>
          <t>KQCY0395</t>
        </is>
      </c>
      <c r="C391" s="540" t="inlineStr">
        <is>
          <t>餐饮六分部</t>
        </is>
      </c>
      <c r="D391" s="540" t="inlineStr">
        <is>
          <t>CF341</t>
        </is>
      </c>
      <c r="E391" s="540" t="inlineStr">
        <is>
          <t>扬大荷花池校区二楼食堂</t>
        </is>
      </c>
      <c r="F391" s="540" t="inlineStr">
        <is>
          <t>人员服务外包</t>
        </is>
      </c>
      <c r="G391" s="540" t="inlineStr">
        <is>
          <t>第七班组</t>
        </is>
      </c>
      <c r="H391" s="540" t="inlineStr">
        <is>
          <t>烤盘饭</t>
        </is>
      </c>
      <c r="I391" s="540" t="inlineStr">
        <is>
          <t>曹清红</t>
        </is>
      </c>
      <c r="J391" s="540" t="n"/>
      <c r="K391" s="540" t="n"/>
      <c r="L391" s="540" t="inlineStr">
        <is>
          <t>位军浩</t>
        </is>
      </c>
      <c r="M391" s="540" t="n"/>
    </row>
    <row r="392">
      <c r="A392" s="540" t="n">
        <v>396</v>
      </c>
      <c r="B392" s="540" t="inlineStr">
        <is>
          <t>KQCY0396</t>
        </is>
      </c>
      <c r="C392" s="540" t="inlineStr">
        <is>
          <t>餐饮六分部</t>
        </is>
      </c>
      <c r="D392" s="540" t="inlineStr">
        <is>
          <t>CF341</t>
        </is>
      </c>
      <c r="E392" s="540" t="inlineStr">
        <is>
          <t>扬大荷花池校区二楼食堂</t>
        </is>
      </c>
      <c r="F392" s="540" t="inlineStr">
        <is>
          <t>人员服务外包</t>
        </is>
      </c>
      <c r="G392" s="540" t="inlineStr">
        <is>
          <t>第八班组</t>
        </is>
      </c>
      <c r="H392" s="540" t="inlineStr">
        <is>
          <t>黄焖鸡(黑鸭煲、拌面拌粉)</t>
        </is>
      </c>
      <c r="I392" s="540" t="inlineStr">
        <is>
          <t>刘发治</t>
        </is>
      </c>
      <c r="J392" s="540" t="n"/>
      <c r="K392" s="540" t="inlineStr">
        <is>
          <t>已撤场</t>
        </is>
      </c>
      <c r="L392" s="540" t="inlineStr">
        <is>
          <t>位军浩</t>
        </is>
      </c>
      <c r="M392" s="540" t="n"/>
    </row>
    <row r="393">
      <c r="A393" s="540" t="n">
        <v>397</v>
      </c>
      <c r="B393" s="540" t="inlineStr">
        <is>
          <t>KQCY0397</t>
        </is>
      </c>
      <c r="C393" s="540" t="inlineStr">
        <is>
          <t>餐饮六分部</t>
        </is>
      </c>
      <c r="D393" s="540" t="inlineStr">
        <is>
          <t>CF213</t>
        </is>
      </c>
      <c r="E393" s="540" t="inlineStr">
        <is>
          <t>苏州大脑营行餐厅</t>
        </is>
      </c>
      <c r="F393" s="540" t="inlineStr">
        <is>
          <t>自营</t>
        </is>
      </c>
      <c r="G393" s="540" t="inlineStr">
        <is>
          <t>自营</t>
        </is>
      </c>
      <c r="H393" s="540" t="inlineStr">
        <is>
          <t>/</t>
        </is>
      </c>
      <c r="I393" s="540" t="inlineStr">
        <is>
          <t>/</t>
        </is>
      </c>
      <c r="J393" s="540" t="n">
        <v>1034178.47</v>
      </c>
      <c r="K393" s="540" t="n"/>
      <c r="L393" s="540" t="inlineStr">
        <is>
          <t>位军浩</t>
        </is>
      </c>
      <c r="M393" s="540" t="n"/>
    </row>
    <row r="394">
      <c r="A394" s="540" t="n">
        <v>398</v>
      </c>
      <c r="B394" s="540" t="inlineStr">
        <is>
          <t>KQCY0398</t>
        </is>
      </c>
      <c r="C394" s="540" t="inlineStr">
        <is>
          <t>餐饮六分部</t>
        </is>
      </c>
      <c r="D394" s="540" t="inlineStr">
        <is>
          <t>CF213</t>
        </is>
      </c>
      <c r="E394" s="540" t="inlineStr">
        <is>
          <t>苏州大脑营行餐厅</t>
        </is>
      </c>
      <c r="F394" s="540" t="inlineStr">
        <is>
          <t>分组作业</t>
        </is>
      </c>
      <c r="G394" s="540" t="inlineStr">
        <is>
          <t>第一班组</t>
        </is>
      </c>
      <c r="H394" s="540" t="inlineStr">
        <is>
          <t>湘菜</t>
        </is>
      </c>
      <c r="I394" s="540" t="inlineStr">
        <is>
          <t>李勇</t>
        </is>
      </c>
      <c r="J394" s="540" t="n">
        <v>97527</v>
      </c>
      <c r="K394" s="540" t="n"/>
      <c r="L394" s="540" t="inlineStr">
        <is>
          <t>位军浩</t>
        </is>
      </c>
      <c r="M394" s="540" t="n"/>
    </row>
    <row r="395">
      <c r="A395" s="540" t="n">
        <v>399</v>
      </c>
      <c r="B395" s="540" t="inlineStr">
        <is>
          <t>KQCY0399</t>
        </is>
      </c>
      <c r="C395" s="540" t="inlineStr">
        <is>
          <t>餐饮六分部</t>
        </is>
      </c>
      <c r="D395" s="540" t="inlineStr">
        <is>
          <t>CF213</t>
        </is>
      </c>
      <c r="E395" s="540" t="inlineStr">
        <is>
          <t>苏州大脑营行餐厅</t>
        </is>
      </c>
      <c r="F395" s="540" t="inlineStr">
        <is>
          <t>分组作业</t>
        </is>
      </c>
      <c r="G395" s="540" t="inlineStr">
        <is>
          <t>第二班组</t>
        </is>
      </c>
      <c r="H395" s="540" t="inlineStr">
        <is>
          <t>猪脚饭（酸菜鱼、米线、鸭血粉丝）</t>
        </is>
      </c>
      <c r="I395" s="540" t="inlineStr">
        <is>
          <t>黄永利</t>
        </is>
      </c>
      <c r="J395" s="540" t="n">
        <v>74836</v>
      </c>
      <c r="K395" s="540" t="n"/>
      <c r="L395" s="540" t="inlineStr">
        <is>
          <t>位军浩</t>
        </is>
      </c>
      <c r="M395" s="540" t="n"/>
    </row>
    <row r="396">
      <c r="A396" s="540" t="n">
        <v>400</v>
      </c>
      <c r="B396" s="540" t="inlineStr">
        <is>
          <t>KQCY0400</t>
        </is>
      </c>
      <c r="C396" s="540" t="inlineStr">
        <is>
          <t>餐饮六分部</t>
        </is>
      </c>
      <c r="D396" s="540" t="inlineStr">
        <is>
          <t>CF213</t>
        </is>
      </c>
      <c r="E396" s="540" t="inlineStr">
        <is>
          <t>苏州大脑营行餐厅</t>
        </is>
      </c>
      <c r="F396" s="540" t="inlineStr">
        <is>
          <t>分组作业</t>
        </is>
      </c>
      <c r="G396" s="540" t="inlineStr">
        <is>
          <t>第三班组</t>
        </is>
      </c>
      <c r="H396" s="540" t="inlineStr">
        <is>
          <t>黄焖鸡、沙县小吃</t>
        </is>
      </c>
      <c r="I396" s="540" t="inlineStr">
        <is>
          <t>苏嫩仔</t>
        </is>
      </c>
      <c r="J396" s="540" t="n">
        <v>62472.01</v>
      </c>
      <c r="K396" s="540" t="n"/>
      <c r="L396" s="540" t="inlineStr">
        <is>
          <t>位军浩</t>
        </is>
      </c>
      <c r="M396" s="540" t="n"/>
    </row>
    <row r="397">
      <c r="A397" s="540" t="n">
        <v>401</v>
      </c>
      <c r="B397" s="540" t="inlineStr">
        <is>
          <t>KQCY0401</t>
        </is>
      </c>
      <c r="C397" s="540" t="inlineStr">
        <is>
          <t>餐饮六分部</t>
        </is>
      </c>
      <c r="D397" s="540" t="inlineStr">
        <is>
          <t>CF275</t>
        </is>
      </c>
      <c r="E397" s="540" t="inlineStr">
        <is>
          <t>南大苏州校区西区二食堂</t>
        </is>
      </c>
      <c r="F397" s="540" t="inlineStr">
        <is>
          <t>自营</t>
        </is>
      </c>
      <c r="G397" s="540" t="inlineStr">
        <is>
          <t>自营</t>
        </is>
      </c>
      <c r="H397" s="540" t="inlineStr">
        <is>
          <t>/</t>
        </is>
      </c>
      <c r="I397" s="540" t="inlineStr">
        <is>
          <t>/</t>
        </is>
      </c>
      <c r="J397" s="643" t="n">
        <v>-2904.19</v>
      </c>
      <c r="K397" s="540" t="n"/>
      <c r="L397" s="540" t="inlineStr">
        <is>
          <t>谢苗苗</t>
        </is>
      </c>
      <c r="M397" s="540" t="n"/>
    </row>
    <row r="398">
      <c r="A398" s="540" t="n">
        <v>402</v>
      </c>
      <c r="B398" s="540" t="inlineStr">
        <is>
          <t>KQCY0402</t>
        </is>
      </c>
      <c r="C398" s="540" t="inlineStr">
        <is>
          <t>餐饮六分部</t>
        </is>
      </c>
      <c r="D398" s="540" t="inlineStr">
        <is>
          <t>CF275</t>
        </is>
      </c>
      <c r="E398" s="540" t="inlineStr">
        <is>
          <t>南大苏州校区西区二食堂</t>
        </is>
      </c>
      <c r="F398" s="540" t="inlineStr">
        <is>
          <t>分组作业</t>
        </is>
      </c>
      <c r="G398" s="540" t="inlineStr">
        <is>
          <t>第一班组</t>
        </is>
      </c>
      <c r="H398" s="540" t="inlineStr">
        <is>
          <t>自选</t>
        </is>
      </c>
      <c r="I398" s="540" t="inlineStr">
        <is>
          <t>刘岩艳</t>
        </is>
      </c>
      <c r="J398" s="540" t="n">
        <v>100693.97</v>
      </c>
      <c r="K398" s="540" t="n"/>
      <c r="L398" s="540" t="inlineStr">
        <is>
          <t>谢苗苗</t>
        </is>
      </c>
      <c r="M398" s="540" t="n"/>
    </row>
    <row r="399">
      <c r="A399" s="540" t="n">
        <v>403</v>
      </c>
      <c r="B399" s="540" t="inlineStr">
        <is>
          <t>KQCY0403</t>
        </is>
      </c>
      <c r="C399" s="540" t="inlineStr">
        <is>
          <t>餐饮六分部</t>
        </is>
      </c>
      <c r="D399" s="540" t="inlineStr">
        <is>
          <t>CF275</t>
        </is>
      </c>
      <c r="E399" s="540" t="inlineStr">
        <is>
          <t>南大苏州校区西区二食堂</t>
        </is>
      </c>
      <c r="F399" s="540" t="inlineStr">
        <is>
          <t>分组作业</t>
        </is>
      </c>
      <c r="G399" s="540" t="inlineStr">
        <is>
          <t>第二班组</t>
        </is>
      </c>
      <c r="H399" s="540" t="inlineStr">
        <is>
          <t>特色</t>
        </is>
      </c>
      <c r="I399" s="540" t="inlineStr">
        <is>
          <t>朱传兴</t>
        </is>
      </c>
      <c r="J399" s="540" t="n">
        <v>158780.98</v>
      </c>
      <c r="K399" s="540" t="n"/>
      <c r="L399" s="540" t="inlineStr">
        <is>
          <t>谢苗苗</t>
        </is>
      </c>
      <c r="M399" s="540" t="n"/>
    </row>
    <row r="400">
      <c r="A400" s="540" t="n">
        <v>404</v>
      </c>
      <c r="B400" s="540" t="inlineStr">
        <is>
          <t>KQCY0404</t>
        </is>
      </c>
      <c r="C400" s="540" t="inlineStr">
        <is>
          <t>餐饮六分部</t>
        </is>
      </c>
      <c r="D400" s="540" t="inlineStr">
        <is>
          <t>CF275</t>
        </is>
      </c>
      <c r="E400" s="540" t="inlineStr">
        <is>
          <t>南大苏州校区西区二食堂</t>
        </is>
      </c>
      <c r="F400" s="540" t="inlineStr">
        <is>
          <t>分组作业</t>
        </is>
      </c>
      <c r="G400" s="540" t="inlineStr">
        <is>
          <t>第三班组</t>
        </is>
      </c>
      <c r="H400" s="540" t="inlineStr">
        <is>
          <t>早餐</t>
        </is>
      </c>
      <c r="I400" s="540" t="inlineStr">
        <is>
          <t>李嵩</t>
        </is>
      </c>
      <c r="J400" s="540" t="n">
        <v>29515.23</v>
      </c>
      <c r="K400" s="540" t="n"/>
      <c r="L400" s="540" t="inlineStr">
        <is>
          <t>谢苗苗</t>
        </is>
      </c>
      <c r="M400" s="540" t="n"/>
    </row>
    <row r="401">
      <c r="A401" s="540" t="n">
        <v>405</v>
      </c>
      <c r="B401" s="540" t="inlineStr">
        <is>
          <t>KQCY0405</t>
        </is>
      </c>
      <c r="C401" s="540" t="inlineStr">
        <is>
          <t>餐饮六分部</t>
        </is>
      </c>
      <c r="D401" s="540" t="inlineStr">
        <is>
          <t>CF275</t>
        </is>
      </c>
      <c r="E401" s="540" t="inlineStr">
        <is>
          <t>南大苏州校区西区二食堂</t>
        </is>
      </c>
      <c r="F401" s="540" t="inlineStr">
        <is>
          <t>分组作业</t>
        </is>
      </c>
      <c r="G401" s="540" t="inlineStr">
        <is>
          <t>第四班组</t>
        </is>
      </c>
      <c r="H401" s="540" t="inlineStr">
        <is>
          <t>民族风味</t>
        </is>
      </c>
      <c r="I401" s="540" t="inlineStr">
        <is>
          <t>马素女</t>
        </is>
      </c>
      <c r="J401" s="540" t="n">
        <v>26243.75</v>
      </c>
      <c r="K401" s="540" t="n"/>
      <c r="L401" s="540" t="inlineStr">
        <is>
          <t>谢苗苗</t>
        </is>
      </c>
      <c r="M401" s="540" t="n"/>
    </row>
    <row r="402">
      <c r="A402" s="540" t="n">
        <v>406</v>
      </c>
      <c r="B402" s="540" t="inlineStr">
        <is>
          <t>KQCY0406</t>
        </is>
      </c>
      <c r="C402" s="540" t="inlineStr">
        <is>
          <t>餐饮六分部</t>
        </is>
      </c>
      <c r="D402" s="540" t="inlineStr">
        <is>
          <t>CF275</t>
        </is>
      </c>
      <c r="E402" s="540" t="inlineStr">
        <is>
          <t>南大苏州校区西区二食堂</t>
        </is>
      </c>
      <c r="F402" s="540" t="inlineStr">
        <is>
          <t>分组作业</t>
        </is>
      </c>
      <c r="G402" s="540" t="inlineStr">
        <is>
          <t>第五班组</t>
        </is>
      </c>
      <c r="H402" s="540" t="inlineStr">
        <is>
          <t>卤肉饭</t>
        </is>
      </c>
      <c r="I402" s="540" t="inlineStr">
        <is>
          <t>周文琳</t>
        </is>
      </c>
      <c r="J402" s="540" t="n">
        <v>31402.19</v>
      </c>
      <c r="K402" s="540" t="n"/>
      <c r="L402" s="540" t="inlineStr">
        <is>
          <t>谢苗苗</t>
        </is>
      </c>
      <c r="M402" s="540" t="n"/>
    </row>
    <row r="403">
      <c r="A403" s="540" t="n">
        <v>407</v>
      </c>
      <c r="B403" s="540" t="inlineStr">
        <is>
          <t>KQCY0407</t>
        </is>
      </c>
      <c r="C403" s="540" t="inlineStr">
        <is>
          <t>餐饮六分部</t>
        </is>
      </c>
      <c r="D403" s="540" t="inlineStr">
        <is>
          <t>CF275</t>
        </is>
      </c>
      <c r="E403" s="540" t="inlineStr">
        <is>
          <t>南大苏州校区西区二食堂</t>
        </is>
      </c>
      <c r="F403" s="540" t="inlineStr">
        <is>
          <t>分组作业</t>
        </is>
      </c>
      <c r="G403" s="540" t="inlineStr">
        <is>
          <t>第六班组</t>
        </is>
      </c>
      <c r="H403" s="540" t="inlineStr">
        <is>
          <t>麻辣烫</t>
        </is>
      </c>
      <c r="I403" s="540" t="inlineStr">
        <is>
          <t>余红莹</t>
        </is>
      </c>
      <c r="J403" s="540" t="n">
        <v>41344.11</v>
      </c>
      <c r="K403" s="540" t="n"/>
      <c r="L403" s="540" t="inlineStr">
        <is>
          <t>谢苗苗</t>
        </is>
      </c>
      <c r="M403" s="540" t="n"/>
    </row>
    <row r="404">
      <c r="A404" s="540" t="n">
        <v>408</v>
      </c>
      <c r="B404" s="540" t="inlineStr">
        <is>
          <t>KQCY0408</t>
        </is>
      </c>
      <c r="C404" s="540" t="inlineStr">
        <is>
          <t>餐饮六分部</t>
        </is>
      </c>
      <c r="D404" s="540" t="inlineStr">
        <is>
          <t>CF275</t>
        </is>
      </c>
      <c r="E404" s="540" t="inlineStr">
        <is>
          <t>南大苏州校区西区二食堂</t>
        </is>
      </c>
      <c r="F404" s="540" t="inlineStr">
        <is>
          <t>分组作业</t>
        </is>
      </c>
      <c r="G404" s="540" t="inlineStr">
        <is>
          <t>第七班组</t>
        </is>
      </c>
      <c r="H404" s="540" t="inlineStr">
        <is>
          <t>面条</t>
        </is>
      </c>
      <c r="I404" s="540" t="inlineStr">
        <is>
          <t>许铭鼎</t>
        </is>
      </c>
      <c r="J404" s="540" t="n">
        <v>20435.29</v>
      </c>
      <c r="K404" s="540" t="n"/>
      <c r="L404" s="540" t="inlineStr">
        <is>
          <t>谢苗苗</t>
        </is>
      </c>
      <c r="M404" s="540" t="n"/>
    </row>
    <row r="405">
      <c r="A405" s="540" t="n">
        <v>409</v>
      </c>
      <c r="B405" s="540" t="inlineStr">
        <is>
          <t>KQCY0409</t>
        </is>
      </c>
      <c r="C405" s="540" t="inlineStr">
        <is>
          <t>餐饮六分部</t>
        </is>
      </c>
      <c r="D405" s="540" t="inlineStr">
        <is>
          <t>CF275</t>
        </is>
      </c>
      <c r="E405" s="540" t="inlineStr">
        <is>
          <t>南大苏州校区西区二食堂</t>
        </is>
      </c>
      <c r="F405" s="540" t="inlineStr">
        <is>
          <t>分组作业</t>
        </is>
      </c>
      <c r="G405" s="540" t="inlineStr">
        <is>
          <t>第八班组</t>
        </is>
      </c>
      <c r="H405" s="540" t="inlineStr">
        <is>
          <t>辣椒炒肉</t>
        </is>
      </c>
      <c r="I405" s="540" t="inlineStr">
        <is>
          <t>吴海龙</t>
        </is>
      </c>
      <c r="J405" s="540" t="n">
        <v>40422.12</v>
      </c>
      <c r="K405" s="540" t="n"/>
      <c r="L405" s="540" t="inlineStr">
        <is>
          <t>谢苗苗</t>
        </is>
      </c>
      <c r="M405" s="540" t="n"/>
    </row>
    <row r="406">
      <c r="A406" s="540" t="n">
        <v>410</v>
      </c>
      <c r="B406" s="540" t="inlineStr">
        <is>
          <t>KQCY0410</t>
        </is>
      </c>
      <c r="C406" s="540" t="inlineStr">
        <is>
          <t>餐饮六分部</t>
        </is>
      </c>
      <c r="D406" s="540" t="inlineStr">
        <is>
          <t>CF275</t>
        </is>
      </c>
      <c r="E406" s="540" t="inlineStr">
        <is>
          <t>南大苏州校区西区二食堂</t>
        </is>
      </c>
      <c r="F406" s="540" t="inlineStr">
        <is>
          <t>分组作业</t>
        </is>
      </c>
      <c r="G406" s="540" t="inlineStr">
        <is>
          <t>第九班组</t>
        </is>
      </c>
      <c r="H406" s="540" t="inlineStr">
        <is>
          <t>瓦香鸡</t>
        </is>
      </c>
      <c r="I406" s="540" t="inlineStr">
        <is>
          <t>仲海洋</t>
        </is>
      </c>
      <c r="J406" s="540" t="n">
        <v>24022.37</v>
      </c>
      <c r="K406" s="540" t="n"/>
      <c r="L406" s="540" t="inlineStr">
        <is>
          <t>谢苗苗</t>
        </is>
      </c>
      <c r="M406" s="540" t="n"/>
    </row>
    <row r="407">
      <c r="A407" s="540" t="n">
        <v>411</v>
      </c>
      <c r="B407" s="540" t="inlineStr">
        <is>
          <t>KQCY0411</t>
        </is>
      </c>
      <c r="C407" s="540" t="inlineStr">
        <is>
          <t>餐饮六分部</t>
        </is>
      </c>
      <c r="D407" s="540" t="inlineStr">
        <is>
          <t>CF275</t>
        </is>
      </c>
      <c r="E407" s="540" t="inlineStr">
        <is>
          <t>南大苏州校区西区二食堂</t>
        </is>
      </c>
      <c r="F407" s="540" t="inlineStr">
        <is>
          <t>分组作业</t>
        </is>
      </c>
      <c r="G407" s="540" t="inlineStr">
        <is>
          <t>第十班组</t>
        </is>
      </c>
      <c r="H407" s="540" t="inlineStr">
        <is>
          <t>炸鸡汉堡</t>
        </is>
      </c>
      <c r="I407" s="540" t="inlineStr">
        <is>
          <t>张栗铭</t>
        </is>
      </c>
      <c r="J407" s="540" t="n">
        <v>28220.17</v>
      </c>
      <c r="K407" s="540" t="n"/>
      <c r="L407" s="540" t="inlineStr">
        <is>
          <t>谢苗苗</t>
        </is>
      </c>
      <c r="M407" s="540" t="n"/>
    </row>
    <row r="408">
      <c r="A408" s="540" t="n">
        <v>412</v>
      </c>
      <c r="B408" s="540" t="inlineStr">
        <is>
          <t>KQCY0412</t>
        </is>
      </c>
      <c r="C408" s="540" t="inlineStr">
        <is>
          <t>餐饮六分部</t>
        </is>
      </c>
      <c r="D408" s="540" t="inlineStr">
        <is>
          <t>CF275</t>
        </is>
      </c>
      <c r="E408" s="540" t="inlineStr">
        <is>
          <t>南大苏州校区西区二食堂</t>
        </is>
      </c>
      <c r="F408" s="540" t="inlineStr">
        <is>
          <t>分组作业</t>
        </is>
      </c>
      <c r="G408" s="540" t="inlineStr">
        <is>
          <t>第十一班组</t>
        </is>
      </c>
      <c r="H408" s="540" t="inlineStr">
        <is>
          <t>淮南牛肉汤</t>
        </is>
      </c>
      <c r="I408" s="540" t="inlineStr">
        <is>
          <t>钱年英</t>
        </is>
      </c>
      <c r="J408" s="540" t="n">
        <v>21063.9</v>
      </c>
      <c r="K408" s="540" t="n"/>
      <c r="L408" s="540" t="inlineStr">
        <is>
          <t>谢苗苗</t>
        </is>
      </c>
      <c r="M408" s="540" t="n"/>
    </row>
    <row r="409">
      <c r="A409" s="540" t="n">
        <v>413</v>
      </c>
      <c r="B409" s="540" t="inlineStr">
        <is>
          <t>KQCY0413</t>
        </is>
      </c>
      <c r="C409" s="540" t="inlineStr">
        <is>
          <t>餐饮六分部</t>
        </is>
      </c>
      <c r="D409" s="540" t="inlineStr">
        <is>
          <t>CF275</t>
        </is>
      </c>
      <c r="E409" s="540" t="inlineStr">
        <is>
          <t>南大苏州校区西区二食堂</t>
        </is>
      </c>
      <c r="F409" s="540" t="inlineStr">
        <is>
          <t>分组作业</t>
        </is>
      </c>
      <c r="G409" s="540" t="inlineStr">
        <is>
          <t>第十二班组</t>
        </is>
      </c>
      <c r="H409" s="540" t="inlineStr">
        <is>
          <t>面点</t>
        </is>
      </c>
      <c r="I409" s="540" t="inlineStr">
        <is>
          <t>陈天燕</t>
        </is>
      </c>
      <c r="J409" s="540" t="n">
        <v>35575.89</v>
      </c>
      <c r="K409" s="540" t="n"/>
      <c r="L409" s="540" t="inlineStr">
        <is>
          <t>谢苗苗</t>
        </is>
      </c>
      <c r="M409" s="540" t="n"/>
    </row>
    <row r="410">
      <c r="A410" s="540" t="n">
        <v>414</v>
      </c>
      <c r="B410" s="540" t="inlineStr">
        <is>
          <t>KQCY0414</t>
        </is>
      </c>
      <c r="C410" s="540" t="inlineStr">
        <is>
          <t>餐饮六分部</t>
        </is>
      </c>
      <c r="D410" s="540" t="inlineStr">
        <is>
          <t>CF212</t>
        </is>
      </c>
      <c r="E410" s="540" t="inlineStr">
        <is>
          <t>苏中附校苏州湾食堂</t>
        </is>
      </c>
      <c r="F410" s="540" t="inlineStr">
        <is>
          <t>自营</t>
        </is>
      </c>
      <c r="G410" s="540" t="inlineStr">
        <is>
          <t>自营</t>
        </is>
      </c>
      <c r="H410" s="540" t="inlineStr">
        <is>
          <t>/</t>
        </is>
      </c>
      <c r="I410" s="540" t="inlineStr">
        <is>
          <t>/</t>
        </is>
      </c>
      <c r="J410" s="540" t="n">
        <v>149018.39</v>
      </c>
      <c r="K410" s="540" t="n"/>
      <c r="L410" s="540" t="inlineStr">
        <is>
          <t>位军浩</t>
        </is>
      </c>
      <c r="M410" s="540" t="n"/>
    </row>
    <row r="411">
      <c r="A411" s="540" t="n">
        <v>415</v>
      </c>
      <c r="B411" s="540" t="inlineStr">
        <is>
          <t>KQCY0415</t>
        </is>
      </c>
      <c r="C411" s="540" t="inlineStr">
        <is>
          <t>餐饮六分部</t>
        </is>
      </c>
      <c r="D411" s="540" t="inlineStr">
        <is>
          <t>CF273</t>
        </is>
      </c>
      <c r="E411" s="540" t="inlineStr">
        <is>
          <t>南大苏州校区科创大厦食堂</t>
        </is>
      </c>
      <c r="F411" s="540" t="inlineStr">
        <is>
          <t>自营</t>
        </is>
      </c>
      <c r="G411" s="540" t="inlineStr">
        <is>
          <t>自营</t>
        </is>
      </c>
      <c r="H411" s="540" t="inlineStr">
        <is>
          <t>/</t>
        </is>
      </c>
      <c r="I411" s="540" t="inlineStr">
        <is>
          <t>/</t>
        </is>
      </c>
      <c r="J411" s="540" t="n">
        <v>175053.14</v>
      </c>
      <c r="K411" s="540" t="n"/>
      <c r="L411" s="540" t="inlineStr">
        <is>
          <t>谢苗苗</t>
        </is>
      </c>
      <c r="M411" s="540" t="n"/>
    </row>
    <row r="412">
      <c r="A412" s="540" t="n">
        <v>416</v>
      </c>
      <c r="B412" s="540" t="inlineStr">
        <is>
          <t>KQCY0416</t>
        </is>
      </c>
      <c r="C412" s="540" t="inlineStr">
        <is>
          <t>餐饮六分部</t>
        </is>
      </c>
      <c r="D412" s="540" t="inlineStr">
        <is>
          <t>CF191</t>
        </is>
      </c>
      <c r="E412" s="540" t="inlineStr">
        <is>
          <t>苏州旭辉彩园餐厅</t>
        </is>
      </c>
      <c r="F412" s="540" t="inlineStr">
        <is>
          <t>人员服务外包</t>
        </is>
      </c>
      <c r="G412" s="540" t="inlineStr">
        <is>
          <t>/</t>
        </is>
      </c>
      <c r="H412" s="540" t="inlineStr">
        <is>
          <t>/</t>
        </is>
      </c>
      <c r="I412" s="540" t="inlineStr">
        <is>
          <t>/</t>
        </is>
      </c>
      <c r="J412" s="540" t="n">
        <v>182182.78</v>
      </c>
      <c r="K412" s="540" t="inlineStr">
        <is>
          <t>预估</t>
        </is>
      </c>
      <c r="L412" s="540" t="inlineStr">
        <is>
          <t>位军浩</t>
        </is>
      </c>
      <c r="M412" s="540" t="n"/>
    </row>
    <row r="413">
      <c r="A413" s="540" t="n">
        <v>417</v>
      </c>
      <c r="B413" s="540" t="inlineStr">
        <is>
          <t>KQCY0417</t>
        </is>
      </c>
      <c r="C413" s="540" t="inlineStr">
        <is>
          <t>餐饮六分部</t>
        </is>
      </c>
      <c r="D413" s="540" t="inlineStr">
        <is>
          <t>CF479</t>
        </is>
      </c>
      <c r="E413" s="540" t="inlineStr">
        <is>
          <t>江苏省交通技师学院第一食堂</t>
        </is>
      </c>
      <c r="F413" s="540" t="inlineStr">
        <is>
          <t>自营</t>
        </is>
      </c>
      <c r="G413" s="540" t="inlineStr">
        <is>
          <t>自营</t>
        </is>
      </c>
      <c r="H413" s="540" t="inlineStr">
        <is>
          <t>/</t>
        </is>
      </c>
      <c r="I413" s="540" t="inlineStr">
        <is>
          <t>/</t>
        </is>
      </c>
      <c r="J413" s="540" t="n">
        <v>0</v>
      </c>
      <c r="K413" s="540" t="n"/>
      <c r="L413" s="540" t="inlineStr">
        <is>
          <t>位军浩</t>
        </is>
      </c>
      <c r="M413" s="540" t="n"/>
    </row>
    <row r="414">
      <c r="A414" s="540" t="n">
        <v>418</v>
      </c>
      <c r="B414" s="540" t="inlineStr">
        <is>
          <t>KQCY0418</t>
        </is>
      </c>
      <c r="C414" s="540" t="inlineStr">
        <is>
          <t>餐饮六分部</t>
        </is>
      </c>
      <c r="D414" s="540" t="inlineStr">
        <is>
          <t>CF479</t>
        </is>
      </c>
      <c r="E414" s="540" t="inlineStr">
        <is>
          <t>江苏省交通技师学院第一食堂</t>
        </is>
      </c>
      <c r="F414" s="540" t="inlineStr">
        <is>
          <t>分组作业</t>
        </is>
      </c>
      <c r="G414" s="540" t="inlineStr">
        <is>
          <t>第一班组</t>
        </is>
      </c>
      <c r="H414" s="540" t="inlineStr">
        <is>
          <t>八大碗</t>
        </is>
      </c>
      <c r="I414" s="540" t="inlineStr">
        <is>
          <t>丁秀梅</t>
        </is>
      </c>
      <c r="J414" s="540" t="n">
        <v>0</v>
      </c>
      <c r="K414" s="540" t="n"/>
      <c r="L414" s="540" t="inlineStr">
        <is>
          <t>位军浩</t>
        </is>
      </c>
      <c r="M414" s="540" t="n"/>
    </row>
    <row r="415">
      <c r="A415" s="540" t="n">
        <v>419</v>
      </c>
      <c r="B415" s="540" t="inlineStr">
        <is>
          <t>KQCY0419</t>
        </is>
      </c>
      <c r="C415" s="540" t="inlineStr">
        <is>
          <t>餐饮六分部</t>
        </is>
      </c>
      <c r="D415" s="540" t="inlineStr">
        <is>
          <t>CF479</t>
        </is>
      </c>
      <c r="E415" s="540" t="inlineStr">
        <is>
          <t>江苏省交通技师学院第一食堂</t>
        </is>
      </c>
      <c r="F415" s="540" t="inlineStr">
        <is>
          <t>分组作业</t>
        </is>
      </c>
      <c r="G415" s="540" t="inlineStr">
        <is>
          <t>第二班组</t>
        </is>
      </c>
      <c r="H415" s="540" t="inlineStr">
        <is>
          <t>牛肉汤</t>
        </is>
      </c>
      <c r="I415" s="540" t="inlineStr">
        <is>
          <t>范义龙</t>
        </is>
      </c>
      <c r="J415" s="540" t="n">
        <v>0</v>
      </c>
      <c r="K415" s="540" t="n"/>
      <c r="L415" s="540" t="inlineStr">
        <is>
          <t>位军浩</t>
        </is>
      </c>
      <c r="M415" s="540" t="n"/>
    </row>
    <row r="416">
      <c r="A416" s="540" t="n">
        <v>420</v>
      </c>
      <c r="B416" s="540" t="inlineStr">
        <is>
          <t>KQCY0420</t>
        </is>
      </c>
      <c r="C416" s="540" t="inlineStr">
        <is>
          <t>餐饮六分部</t>
        </is>
      </c>
      <c r="D416" s="540" t="inlineStr">
        <is>
          <t>CF479</t>
        </is>
      </c>
      <c r="E416" s="540" t="inlineStr">
        <is>
          <t>江苏省交通技师学院第一食堂</t>
        </is>
      </c>
      <c r="F416" s="540" t="inlineStr">
        <is>
          <t>分组作业</t>
        </is>
      </c>
      <c r="G416" s="540" t="inlineStr">
        <is>
          <t>第三班组</t>
        </is>
      </c>
      <c r="H416" s="540" t="inlineStr">
        <is>
          <t>基本大伙</t>
        </is>
      </c>
      <c r="I416" s="540" t="inlineStr">
        <is>
          <t>查启清</t>
        </is>
      </c>
      <c r="J416" s="540" t="n"/>
      <c r="K416" s="540" t="inlineStr">
        <is>
          <t>撤场</t>
        </is>
      </c>
      <c r="L416" s="540" t="inlineStr">
        <is>
          <t>位军浩</t>
        </is>
      </c>
      <c r="M416" s="540" t="n"/>
    </row>
    <row r="417">
      <c r="A417" s="540" t="n">
        <v>421</v>
      </c>
      <c r="B417" s="540" t="inlineStr">
        <is>
          <t>KQCY0421</t>
        </is>
      </c>
      <c r="C417" s="540" t="inlineStr">
        <is>
          <t>餐饮六分部</t>
        </is>
      </c>
      <c r="D417" s="540" t="inlineStr">
        <is>
          <t>CF479</t>
        </is>
      </c>
      <c r="E417" s="540" t="inlineStr">
        <is>
          <t>江苏省交通技师学院第一食堂</t>
        </is>
      </c>
      <c r="F417" s="540" t="inlineStr">
        <is>
          <t>分组作业</t>
        </is>
      </c>
      <c r="G417" s="540" t="inlineStr">
        <is>
          <t>第四班组</t>
        </is>
      </c>
      <c r="H417" s="540" t="inlineStr">
        <is>
          <t>早餐</t>
        </is>
      </c>
      <c r="I417" s="540" t="inlineStr">
        <is>
          <t>苏广前</t>
        </is>
      </c>
      <c r="J417" s="540" t="n">
        <v>0</v>
      </c>
      <c r="K417" s="540" t="n"/>
      <c r="L417" s="540" t="inlineStr">
        <is>
          <t>位军浩</t>
        </is>
      </c>
      <c r="M417" s="540" t="n"/>
    </row>
    <row r="418">
      <c r="A418" s="540" t="n">
        <v>422</v>
      </c>
      <c r="B418" s="540" t="inlineStr">
        <is>
          <t>KQCY0422</t>
        </is>
      </c>
      <c r="C418" s="540" t="inlineStr">
        <is>
          <t>餐饮六分部</t>
        </is>
      </c>
      <c r="D418" s="540" t="inlineStr">
        <is>
          <t>CF479</t>
        </is>
      </c>
      <c r="E418" s="540" t="inlineStr">
        <is>
          <t>江苏省交通技师学院第一食堂</t>
        </is>
      </c>
      <c r="F418" s="540" t="inlineStr">
        <is>
          <t>分组作业</t>
        </is>
      </c>
      <c r="G418" s="540" t="inlineStr">
        <is>
          <t>第五班组</t>
        </is>
      </c>
      <c r="H418" s="540" t="inlineStr">
        <is>
          <t>面条</t>
        </is>
      </c>
      <c r="I418" s="540" t="inlineStr">
        <is>
          <t>李炳志</t>
        </is>
      </c>
      <c r="J418" s="540" t="n">
        <v>0</v>
      </c>
      <c r="K418" s="540" t="n"/>
      <c r="L418" s="540" t="inlineStr">
        <is>
          <t>位军浩</t>
        </is>
      </c>
      <c r="M418" s="540" t="n"/>
    </row>
    <row r="419">
      <c r="A419" s="540" t="n">
        <v>423</v>
      </c>
      <c r="B419" s="540" t="inlineStr">
        <is>
          <t>KQCY0423</t>
        </is>
      </c>
      <c r="C419" s="540" t="inlineStr">
        <is>
          <t>餐饮六分部</t>
        </is>
      </c>
      <c r="D419" s="540" t="inlineStr">
        <is>
          <t>CF479</t>
        </is>
      </c>
      <c r="E419" s="540" t="inlineStr">
        <is>
          <t>江苏省交通技师学院第一食堂</t>
        </is>
      </c>
      <c r="F419" s="540" t="inlineStr">
        <is>
          <t>分组作业</t>
        </is>
      </c>
      <c r="G419" s="540" t="inlineStr">
        <is>
          <t>第六班组</t>
        </is>
      </c>
      <c r="H419" s="540" t="inlineStr">
        <is>
          <t>水饺</t>
        </is>
      </c>
      <c r="I419" s="540" t="inlineStr">
        <is>
          <t>王金华</t>
        </is>
      </c>
      <c r="J419" s="540" t="n">
        <v>0</v>
      </c>
      <c r="K419" s="540" t="n"/>
      <c r="L419" s="540" t="inlineStr">
        <is>
          <t>位军浩</t>
        </is>
      </c>
      <c r="M419" s="540" t="n"/>
    </row>
    <row r="420">
      <c r="A420" s="540" t="n">
        <v>424</v>
      </c>
      <c r="B420" s="540" t="inlineStr">
        <is>
          <t>KQCY0424</t>
        </is>
      </c>
      <c r="C420" s="540" t="inlineStr">
        <is>
          <t>餐饮六分部</t>
        </is>
      </c>
      <c r="D420" s="540" t="inlineStr">
        <is>
          <t>CF479</t>
        </is>
      </c>
      <c r="E420" s="540" t="inlineStr">
        <is>
          <t>江苏省交通技师学院第一食堂</t>
        </is>
      </c>
      <c r="F420" s="540" t="inlineStr">
        <is>
          <t>分组作业</t>
        </is>
      </c>
      <c r="G420" s="540" t="inlineStr">
        <is>
          <t>第七班组</t>
        </is>
      </c>
      <c r="H420" s="540" t="inlineStr">
        <is>
          <t>油泼鸡</t>
        </is>
      </c>
      <c r="I420" s="540" t="inlineStr">
        <is>
          <t>陈永龙</t>
        </is>
      </c>
      <c r="J420" s="540" t="n">
        <v>0</v>
      </c>
      <c r="K420" s="540" t="n"/>
      <c r="L420" s="540" t="inlineStr">
        <is>
          <t>位军浩</t>
        </is>
      </c>
      <c r="M420" s="540" t="n"/>
    </row>
    <row r="421">
      <c r="A421" s="540" t="n">
        <v>425</v>
      </c>
      <c r="B421" s="540" t="inlineStr">
        <is>
          <t>KQCY0425</t>
        </is>
      </c>
      <c r="C421" s="540" t="inlineStr">
        <is>
          <t>餐饮六分部</t>
        </is>
      </c>
      <c r="D421" s="540" t="inlineStr">
        <is>
          <t>CF479</t>
        </is>
      </c>
      <c r="E421" s="540" t="inlineStr">
        <is>
          <t>江苏省交通技师学院第一食堂</t>
        </is>
      </c>
      <c r="F421" s="540" t="inlineStr">
        <is>
          <t>分组作业</t>
        </is>
      </c>
      <c r="G421" s="540" t="inlineStr">
        <is>
          <t>第八班组</t>
        </is>
      </c>
      <c r="H421" s="540" t="inlineStr">
        <is>
          <t>麦多馅饼</t>
        </is>
      </c>
      <c r="I421" s="540" t="inlineStr">
        <is>
          <t>董超</t>
        </is>
      </c>
      <c r="J421" s="540" t="n"/>
      <c r="K421" s="540" t="inlineStr">
        <is>
          <t>撤场</t>
        </is>
      </c>
      <c r="L421" s="540" t="inlineStr">
        <is>
          <t>位军浩</t>
        </is>
      </c>
      <c r="M421" s="540" t="n"/>
    </row>
    <row r="422">
      <c r="A422" s="540" t="n">
        <v>426</v>
      </c>
      <c r="B422" s="540" t="inlineStr">
        <is>
          <t>KQCY0426</t>
        </is>
      </c>
      <c r="C422" s="540" t="inlineStr">
        <is>
          <t>餐饮六分部</t>
        </is>
      </c>
      <c r="D422" s="540" t="inlineStr">
        <is>
          <t>CF479</t>
        </is>
      </c>
      <c r="E422" s="540" t="inlineStr">
        <is>
          <t>江苏省交通技师学院第一食堂</t>
        </is>
      </c>
      <c r="F422" s="540" t="inlineStr">
        <is>
          <t>分组作业</t>
        </is>
      </c>
      <c r="G422" s="540" t="inlineStr">
        <is>
          <t>第九班组</t>
        </is>
      </c>
      <c r="H422" s="540" t="inlineStr">
        <is>
          <t>炒饭炒面</t>
        </is>
      </c>
      <c r="I422" s="540" t="inlineStr">
        <is>
          <t>于继文</t>
        </is>
      </c>
      <c r="J422" s="540" t="n">
        <v>0</v>
      </c>
      <c r="K422" s="540" t="n"/>
      <c r="L422" s="540" t="inlineStr">
        <is>
          <t>位军浩</t>
        </is>
      </c>
      <c r="M422" s="540" t="n"/>
    </row>
    <row r="423">
      <c r="A423" s="540" t="n">
        <v>427</v>
      </c>
      <c r="B423" s="540" t="inlineStr">
        <is>
          <t>KQCY0427</t>
        </is>
      </c>
      <c r="C423" s="540" t="inlineStr">
        <is>
          <t>餐饮六分部</t>
        </is>
      </c>
      <c r="D423" s="540" t="inlineStr">
        <is>
          <t>CF479</t>
        </is>
      </c>
      <c r="E423" s="540" t="inlineStr">
        <is>
          <t>江苏省交通技师学院第一食堂</t>
        </is>
      </c>
      <c r="F423" s="540" t="inlineStr">
        <is>
          <t>分组作业</t>
        </is>
      </c>
      <c r="G423" s="540" t="inlineStr">
        <is>
          <t>第十班组</t>
        </is>
      </c>
      <c r="H423" s="540" t="inlineStr">
        <is>
          <t>麻辣烫</t>
        </is>
      </c>
      <c r="I423" s="540" t="inlineStr">
        <is>
          <t>于立鑫</t>
        </is>
      </c>
      <c r="J423" s="540" t="n"/>
      <c r="K423" s="540" t="inlineStr">
        <is>
          <t>撤场</t>
        </is>
      </c>
      <c r="L423" s="540" t="inlineStr">
        <is>
          <t>位军浩</t>
        </is>
      </c>
      <c r="M423" s="540" t="n"/>
    </row>
    <row r="424">
      <c r="A424" s="540" t="n">
        <v>428</v>
      </c>
      <c r="B424" s="540" t="inlineStr">
        <is>
          <t>KQCY0428</t>
        </is>
      </c>
      <c r="C424" s="540" t="inlineStr">
        <is>
          <t>餐饮六分部</t>
        </is>
      </c>
      <c r="D424" s="540" t="inlineStr">
        <is>
          <t>CF479</t>
        </is>
      </c>
      <c r="E424" s="540" t="inlineStr">
        <is>
          <t>江苏省交通技师学院第一食堂</t>
        </is>
      </c>
      <c r="F424" s="540" t="inlineStr">
        <is>
          <t>分组作业</t>
        </is>
      </c>
      <c r="G424" s="540" t="inlineStr">
        <is>
          <t>第十一班组</t>
        </is>
      </c>
      <c r="H424" s="540" t="inlineStr">
        <is>
          <t>炸鸡汉堡</t>
        </is>
      </c>
      <c r="I424" s="540" t="inlineStr">
        <is>
          <t>刘立志</t>
        </is>
      </c>
      <c r="J424" s="540" t="n"/>
      <c r="K424" s="540" t="inlineStr">
        <is>
          <t>撤场</t>
        </is>
      </c>
      <c r="L424" s="540" t="inlineStr">
        <is>
          <t>位军浩</t>
        </is>
      </c>
      <c r="M424" s="540" t="n"/>
    </row>
    <row r="425">
      <c r="A425" s="540" t="n">
        <v>429</v>
      </c>
      <c r="B425" s="540" t="inlineStr">
        <is>
          <t>KQCY0429</t>
        </is>
      </c>
      <c r="C425" s="540" t="inlineStr">
        <is>
          <t>餐饮六分部</t>
        </is>
      </c>
      <c r="D425" s="540" t="inlineStr">
        <is>
          <t>CF479</t>
        </is>
      </c>
      <c r="E425" s="540" t="inlineStr">
        <is>
          <t>江苏省交通技师学院第一食堂</t>
        </is>
      </c>
      <c r="F425" s="540" t="inlineStr">
        <is>
          <t>分组作业</t>
        </is>
      </c>
      <c r="G425" s="540" t="inlineStr">
        <is>
          <t>第十二班组</t>
        </is>
      </c>
      <c r="H425" s="540" t="inlineStr">
        <is>
          <t>掉渣饼</t>
        </is>
      </c>
      <c r="I425" s="540" t="inlineStr">
        <is>
          <t>武情</t>
        </is>
      </c>
      <c r="J425" s="540" t="n"/>
      <c r="K425" s="540" t="inlineStr">
        <is>
          <t>撤场</t>
        </is>
      </c>
      <c r="L425" s="540" t="inlineStr">
        <is>
          <t>位军浩</t>
        </is>
      </c>
      <c r="M425" s="540" t="n"/>
    </row>
    <row r="426">
      <c r="A426" s="540" t="n">
        <v>430</v>
      </c>
      <c r="B426" s="540" t="inlineStr">
        <is>
          <t>KQCY0430</t>
        </is>
      </c>
      <c r="C426" s="540" t="inlineStr">
        <is>
          <t>餐饮六分部</t>
        </is>
      </c>
      <c r="D426" s="540" t="inlineStr">
        <is>
          <t>CF479</t>
        </is>
      </c>
      <c r="E426" s="540" t="inlineStr">
        <is>
          <t>江苏省交通技师学院第一食堂</t>
        </is>
      </c>
      <c r="F426" s="540" t="inlineStr">
        <is>
          <t>分组作业</t>
        </is>
      </c>
      <c r="G426" s="540" t="inlineStr">
        <is>
          <t>第十三班组</t>
        </is>
      </c>
      <c r="H426" s="540" t="inlineStr">
        <is>
          <t>鸭血粉丝</t>
        </is>
      </c>
      <c r="I426" s="540" t="inlineStr">
        <is>
          <t>巫杨银</t>
        </is>
      </c>
      <c r="J426" s="540" t="n"/>
      <c r="K426" s="540" t="inlineStr">
        <is>
          <t>撤场</t>
        </is>
      </c>
      <c r="L426" s="540" t="inlineStr">
        <is>
          <t>位军浩</t>
        </is>
      </c>
      <c r="M426" s="540" t="n"/>
    </row>
    <row r="427">
      <c r="A427" s="540" t="n">
        <v>431</v>
      </c>
      <c r="B427" s="540" t="inlineStr">
        <is>
          <t>KQCY0431</t>
        </is>
      </c>
      <c r="C427" s="540" t="inlineStr">
        <is>
          <t>餐饮六分部</t>
        </is>
      </c>
      <c r="D427" s="540" t="inlineStr">
        <is>
          <t>CF475</t>
        </is>
      </c>
      <c r="E427" s="540" t="inlineStr">
        <is>
          <t>国科大南京学院食堂</t>
        </is>
      </c>
      <c r="F427" s="540" t="inlineStr">
        <is>
          <t>自营</t>
        </is>
      </c>
      <c r="G427" s="540" t="inlineStr">
        <is>
          <t>自营</t>
        </is>
      </c>
      <c r="H427" s="540" t="inlineStr">
        <is>
          <t>/</t>
        </is>
      </c>
      <c r="I427" s="540" t="inlineStr">
        <is>
          <t>/</t>
        </is>
      </c>
      <c r="J427" s="540" t="n">
        <v>113658.71</v>
      </c>
      <c r="K427" s="540" t="n"/>
      <c r="L427" s="540" t="inlineStr">
        <is>
          <t>位军浩</t>
        </is>
      </c>
      <c r="M427" s="540" t="n"/>
    </row>
    <row r="428">
      <c r="A428" s="540" t="n">
        <v>432</v>
      </c>
      <c r="B428" s="540" t="inlineStr">
        <is>
          <t>KQCY0432</t>
        </is>
      </c>
      <c r="C428" s="540" t="inlineStr">
        <is>
          <t>餐饮六分部</t>
        </is>
      </c>
      <c r="D428" s="540" t="inlineStr">
        <is>
          <t>CF475</t>
        </is>
      </c>
      <c r="E428" s="540" t="inlineStr">
        <is>
          <t>国科大南京学院食堂</t>
        </is>
      </c>
      <c r="F428" s="540" t="inlineStr">
        <is>
          <t>分组作业</t>
        </is>
      </c>
      <c r="G428" s="540" t="inlineStr">
        <is>
          <t>第一班组</t>
        </is>
      </c>
      <c r="H428" s="540" t="inlineStr">
        <is>
          <t>茶香鸡、麻辣烫、水吧</t>
        </is>
      </c>
      <c r="I428" s="540" t="inlineStr">
        <is>
          <t>浦卫东</t>
        </is>
      </c>
      <c r="J428" s="642" t="n">
        <v>2862.5</v>
      </c>
      <c r="K428" s="540" t="n"/>
      <c r="L428" s="540" t="inlineStr">
        <is>
          <t>位军浩</t>
        </is>
      </c>
      <c r="M428" s="540" t="n"/>
    </row>
    <row r="429">
      <c r="A429" s="540" t="n">
        <v>433</v>
      </c>
      <c r="B429" s="540" t="inlineStr">
        <is>
          <t>KQCY0433</t>
        </is>
      </c>
      <c r="C429" s="540" t="inlineStr">
        <is>
          <t>餐饮六分部</t>
        </is>
      </c>
      <c r="D429" s="540" t="inlineStr">
        <is>
          <t>CF475</t>
        </is>
      </c>
      <c r="E429" s="540" t="inlineStr">
        <is>
          <t>国科大南京学院食堂</t>
        </is>
      </c>
      <c r="F429" s="540" t="inlineStr">
        <is>
          <t>分组作业</t>
        </is>
      </c>
      <c r="G429" s="540" t="inlineStr">
        <is>
          <t>第二班组</t>
        </is>
      </c>
      <c r="H429" s="540" t="inlineStr">
        <is>
          <t>西北风味</t>
        </is>
      </c>
      <c r="I429" s="540" t="inlineStr">
        <is>
          <t>马山杏尼</t>
        </is>
      </c>
      <c r="J429" s="646" t="n">
        <v>5949.1</v>
      </c>
      <c r="K429" s="540" t="n"/>
      <c r="L429" s="540" t="inlineStr">
        <is>
          <t>位军浩</t>
        </is>
      </c>
      <c r="M429" s="540" t="n"/>
    </row>
    <row r="430">
      <c r="A430" s="540" t="n">
        <v>434</v>
      </c>
      <c r="B430" s="540" t="inlineStr">
        <is>
          <t>KQCY0434</t>
        </is>
      </c>
      <c r="C430" s="540" t="inlineStr">
        <is>
          <t>餐饮六分部</t>
        </is>
      </c>
      <c r="D430" s="540" t="inlineStr">
        <is>
          <t>CF475</t>
        </is>
      </c>
      <c r="E430" s="540" t="inlineStr">
        <is>
          <t>国科大南京学院食堂</t>
        </is>
      </c>
      <c r="F430" s="540" t="inlineStr">
        <is>
          <t>分组作业</t>
        </is>
      </c>
      <c r="G430" s="540" t="inlineStr">
        <is>
          <t>第四班组</t>
        </is>
      </c>
      <c r="H430" s="540" t="inlineStr">
        <is>
          <t>七里塘</t>
        </is>
      </c>
      <c r="I430" s="540" t="inlineStr">
        <is>
          <t>沈汉平</t>
        </is>
      </c>
      <c r="J430" s="646" t="n"/>
      <c r="K430" s="540" t="inlineStr">
        <is>
          <t>撤场</t>
        </is>
      </c>
      <c r="L430" s="540" t="inlineStr">
        <is>
          <t>位军浩</t>
        </is>
      </c>
      <c r="M430" s="540" t="n"/>
    </row>
    <row r="431">
      <c r="A431" s="540" t="n"/>
      <c r="B431" s="540" t="inlineStr">
        <is>
          <t>补充</t>
        </is>
      </c>
      <c r="C431" s="540" t="inlineStr">
        <is>
          <t>餐饮二分部</t>
        </is>
      </c>
      <c r="D431" s="540" t="inlineStr">
        <is>
          <t>CF364</t>
        </is>
      </c>
      <c r="E431" s="540" t="inlineStr">
        <is>
          <t>江苏航运思本轩食堂</t>
        </is>
      </c>
      <c r="F431" s="540" t="inlineStr">
        <is>
          <t>分组作业</t>
        </is>
      </c>
      <c r="G431" s="540" t="inlineStr">
        <is>
          <t>第十二班组</t>
        </is>
      </c>
      <c r="H431" s="540" t="inlineStr">
        <is>
          <t>炸串</t>
        </is>
      </c>
      <c r="I431" s="540" t="inlineStr">
        <is>
          <t>陆水花</t>
        </is>
      </c>
      <c r="J431" s="540" t="n">
        <v>0</v>
      </c>
      <c r="K431" s="540" t="inlineStr">
        <is>
          <t>撤场</t>
        </is>
      </c>
      <c r="L431" s="540" t="inlineStr">
        <is>
          <t>位军浩</t>
        </is>
      </c>
      <c r="M431" s="540" t="n"/>
    </row>
    <row r="432">
      <c r="A432" s="540" t="n"/>
      <c r="B432" s="540" t="inlineStr">
        <is>
          <t>补充</t>
        </is>
      </c>
      <c r="C432" s="540" t="inlineStr">
        <is>
          <t>餐饮二分部</t>
        </is>
      </c>
      <c r="D432" s="540" t="inlineStr">
        <is>
          <t>CF364</t>
        </is>
      </c>
      <c r="E432" s="540" t="inlineStr">
        <is>
          <t>江苏航运思本轩食堂</t>
        </is>
      </c>
      <c r="F432" s="540" t="inlineStr">
        <is>
          <t>分组作业</t>
        </is>
      </c>
      <c r="G432" s="540" t="inlineStr">
        <is>
          <t>第十三班组</t>
        </is>
      </c>
      <c r="H432" s="540" t="inlineStr">
        <is>
          <t>马玉涛麻辣烫</t>
        </is>
      </c>
      <c r="I432" s="540" t="inlineStr">
        <is>
          <t>陆爱军</t>
        </is>
      </c>
      <c r="J432" s="540" t="n">
        <v>0</v>
      </c>
      <c r="K432" s="540" t="n"/>
      <c r="L432" s="540" t="inlineStr">
        <is>
          <t>位军浩</t>
        </is>
      </c>
      <c r="M432" s="540" t="n"/>
    </row>
    <row r="433">
      <c r="A433" s="540" t="n"/>
      <c r="B433" s="540" t="inlineStr">
        <is>
          <t>补充</t>
        </is>
      </c>
      <c r="C433" s="540" t="inlineStr">
        <is>
          <t>餐饮六分部</t>
        </is>
      </c>
      <c r="D433" s="540" t="inlineStr">
        <is>
          <t>CF479</t>
        </is>
      </c>
      <c r="E433" s="540" t="inlineStr">
        <is>
          <t>江苏省交通技师学院第一食堂</t>
        </is>
      </c>
      <c r="F433" s="540" t="inlineStr">
        <is>
          <t>分组作业</t>
        </is>
      </c>
      <c r="G433" s="540" t="inlineStr">
        <is>
          <t>第十二班组</t>
        </is>
      </c>
      <c r="H433" s="540" t="inlineStr">
        <is>
          <t>自选称重</t>
        </is>
      </c>
      <c r="I433" s="540" t="inlineStr">
        <is>
          <t>周俊帅</t>
        </is>
      </c>
      <c r="J433" s="540" t="n">
        <v>0</v>
      </c>
      <c r="K433" s="540" t="n"/>
      <c r="L433" s="540" t="inlineStr">
        <is>
          <t>位军浩</t>
        </is>
      </c>
      <c r="M433" s="540" t="n"/>
    </row>
    <row r="434">
      <c r="A434" s="540" t="n"/>
      <c r="B434" s="540" t="inlineStr">
        <is>
          <t>补充</t>
        </is>
      </c>
      <c r="C434" s="540" t="inlineStr">
        <is>
          <t>餐饮六分部</t>
        </is>
      </c>
      <c r="D434" s="540" t="inlineStr">
        <is>
          <t>CF480</t>
        </is>
      </c>
      <c r="E434" s="540" t="inlineStr">
        <is>
          <t>江苏旅游学生食堂二楼</t>
        </is>
      </c>
      <c r="F434" s="540" t="inlineStr">
        <is>
          <t>分组作业</t>
        </is>
      </c>
      <c r="G434" s="540" t="inlineStr">
        <is>
          <t>/</t>
        </is>
      </c>
      <c r="H434" s="540" t="inlineStr">
        <is>
          <t>虾仁捞饭</t>
        </is>
      </c>
      <c r="I434" s="540" t="inlineStr">
        <is>
          <t>周玉娟</t>
        </is>
      </c>
      <c r="J434" s="540" t="n"/>
      <c r="K434" s="540" t="inlineStr">
        <is>
          <t>撤场</t>
        </is>
      </c>
      <c r="L434" s="540" t="inlineStr">
        <is>
          <t>位军浩</t>
        </is>
      </c>
      <c r="M434" s="540" t="n"/>
    </row>
    <row r="435">
      <c r="A435" s="540" t="n"/>
      <c r="B435" s="540" t="inlineStr">
        <is>
          <t>补充</t>
        </is>
      </c>
      <c r="C435" s="540" t="inlineStr">
        <is>
          <t>餐饮六分部</t>
        </is>
      </c>
      <c r="D435" s="540" t="inlineStr">
        <is>
          <t>CF480</t>
        </is>
      </c>
      <c r="E435" s="540" t="inlineStr">
        <is>
          <t>江苏旅游学生食堂二楼</t>
        </is>
      </c>
      <c r="F435" s="540" t="inlineStr">
        <is>
          <t>分组作业</t>
        </is>
      </c>
      <c r="G435" s="540" t="inlineStr">
        <is>
          <t>/</t>
        </is>
      </c>
      <c r="H435" s="540" t="inlineStr">
        <is>
          <t>大大大碗面</t>
        </is>
      </c>
      <c r="I435" s="540" t="inlineStr">
        <is>
          <t>夏发军</t>
        </is>
      </c>
      <c r="J435" s="540" t="n">
        <v>0</v>
      </c>
      <c r="K435" s="540" t="n"/>
      <c r="L435" s="540" t="inlineStr">
        <is>
          <t>位军浩</t>
        </is>
      </c>
      <c r="M435" s="540" t="n"/>
    </row>
    <row r="436">
      <c r="A436" s="540" t="n"/>
      <c r="B436" s="540" t="inlineStr">
        <is>
          <t>补充</t>
        </is>
      </c>
      <c r="C436" s="540" t="inlineStr">
        <is>
          <t>餐饮五分部</t>
        </is>
      </c>
      <c r="D436" s="540" t="inlineStr">
        <is>
          <t>CF108</t>
        </is>
      </c>
      <c r="E436" s="540" t="inlineStr">
        <is>
          <t>苏大北区六食堂</t>
        </is>
      </c>
      <c r="F436" s="540" t="inlineStr">
        <is>
          <t>自营</t>
        </is>
      </c>
      <c r="G436" s="540" t="n"/>
      <c r="H436" s="540" t="inlineStr">
        <is>
          <t>民族餐厅</t>
        </is>
      </c>
      <c r="I436" s="540" t="inlineStr">
        <is>
          <t>/</t>
        </is>
      </c>
      <c r="J436" s="540" t="n">
        <v>0</v>
      </c>
      <c r="K436" s="540" t="n"/>
      <c r="L436" s="540" t="inlineStr">
        <is>
          <t>位军浩</t>
        </is>
      </c>
      <c r="M436" s="540" t="n"/>
    </row>
    <row r="437">
      <c r="A437" s="540" t="n"/>
      <c r="B437" s="540" t="inlineStr">
        <is>
          <t>补充</t>
        </is>
      </c>
      <c r="C437" s="540" t="inlineStr">
        <is>
          <t>餐饮五分部</t>
        </is>
      </c>
      <c r="D437" s="540" t="inlineStr">
        <is>
          <t>CF102</t>
        </is>
      </c>
      <c r="E437" s="540" t="inlineStr">
        <is>
          <t>苏大东区四食堂</t>
        </is>
      </c>
      <c r="F437" s="540" t="inlineStr">
        <is>
          <t>分组作业</t>
        </is>
      </c>
      <c r="G437" s="540" t="inlineStr">
        <is>
          <t>/</t>
        </is>
      </c>
      <c r="H437" s="540" t="inlineStr">
        <is>
          <t>深夜大食堂</t>
        </is>
      </c>
      <c r="I437" s="540" t="inlineStr">
        <is>
          <t>左伟</t>
        </is>
      </c>
      <c r="J437" s="540" t="n"/>
      <c r="K437" s="540" t="inlineStr">
        <is>
          <t>已撤场</t>
        </is>
      </c>
      <c r="L437" s="540" t="inlineStr">
        <is>
          <t>位军浩</t>
        </is>
      </c>
      <c r="M437" s="540" t="n"/>
    </row>
    <row r="438">
      <c r="A438" s="540" t="n"/>
      <c r="B438" s="540" t="inlineStr">
        <is>
          <t>补充</t>
        </is>
      </c>
      <c r="C438" s="540" t="inlineStr">
        <is>
          <t>餐饮一分部</t>
        </is>
      </c>
      <c r="D438" s="540" t="inlineStr">
        <is>
          <t>CF477</t>
        </is>
      </c>
      <c r="E438" s="540" t="inlineStr">
        <is>
          <t>上海民航第一食堂</t>
        </is>
      </c>
      <c r="F438" s="540" t="inlineStr">
        <is>
          <t>分组作业</t>
        </is>
      </c>
      <c r="G438" s="540" t="inlineStr">
        <is>
          <t>第五班组</t>
        </is>
      </c>
      <c r="H438" s="540" t="inlineStr">
        <is>
          <t>三楼风味</t>
        </is>
      </c>
      <c r="I438" s="540" t="inlineStr">
        <is>
          <t>卢翠连</t>
        </is>
      </c>
      <c r="J438" s="540" t="n">
        <v>0</v>
      </c>
      <c r="K438" s="540" t="inlineStr">
        <is>
          <t>未签订会议纪要</t>
        </is>
      </c>
      <c r="L438" s="540" t="inlineStr">
        <is>
          <t>谢苗苗</t>
        </is>
      </c>
      <c r="M438" s="540" t="inlineStr">
        <is>
          <t>已核对</t>
        </is>
      </c>
    </row>
    <row r="439">
      <c r="A439" s="540" t="n"/>
      <c r="B439" s="540" t="inlineStr">
        <is>
          <t>补充</t>
        </is>
      </c>
      <c r="C439" s="540" t="inlineStr">
        <is>
          <t>餐饮三分部</t>
        </is>
      </c>
      <c r="D439" s="540" t="inlineStr">
        <is>
          <t>CF699</t>
        </is>
      </c>
      <c r="E439" s="540" t="inlineStr">
        <is>
          <t>徐医大第一食堂</t>
        </is>
      </c>
      <c r="F439" s="540" t="inlineStr">
        <is>
          <t>分组作业</t>
        </is>
      </c>
      <c r="G439" s="540" t="inlineStr">
        <is>
          <t>/</t>
        </is>
      </c>
      <c r="H439" s="540" t="inlineStr">
        <is>
          <t>悦轻荷</t>
        </is>
      </c>
      <c r="I439" s="540" t="inlineStr">
        <is>
          <t>王于于</t>
        </is>
      </c>
      <c r="J439" s="540" t="n">
        <v>2632.4</v>
      </c>
      <c r="K439" s="540" t="n">
        <v>0</v>
      </c>
      <c r="L439" s="540" t="inlineStr">
        <is>
          <t>位军浩</t>
        </is>
      </c>
      <c r="M439" s="540" t="n"/>
    </row>
    <row r="440">
      <c r="A440" s="540" t="n"/>
      <c r="B440" s="540" t="inlineStr">
        <is>
          <t>补充</t>
        </is>
      </c>
      <c r="C440" s="540" t="inlineStr">
        <is>
          <t>餐饮三分部</t>
        </is>
      </c>
      <c r="D440" s="540" t="inlineStr">
        <is>
          <t>CF780</t>
        </is>
      </c>
      <c r="E440" s="540" t="inlineStr">
        <is>
          <t>吉建大二食堂</t>
        </is>
      </c>
      <c r="F440" s="540" t="inlineStr">
        <is>
          <t>分组作业</t>
        </is>
      </c>
      <c r="G440" s="540" t="inlineStr">
        <is>
          <t>/</t>
        </is>
      </c>
      <c r="H440" s="540" t="inlineStr">
        <is>
          <t>板烧厨房</t>
        </is>
      </c>
      <c r="I440" s="540" t="inlineStr">
        <is>
          <t>徐红月</t>
        </is>
      </c>
      <c r="J440" s="540" t="n">
        <v>3994.4</v>
      </c>
      <c r="K440" s="540" t="n">
        <v>0</v>
      </c>
      <c r="L440" s="540" t="inlineStr">
        <is>
          <t>位军浩</t>
        </is>
      </c>
      <c r="M440" s="540" t="n"/>
    </row>
    <row r="441">
      <c r="A441" s="540" t="n"/>
      <c r="B441" s="540" t="inlineStr">
        <is>
          <t>补充</t>
        </is>
      </c>
      <c r="C441" s="540" t="inlineStr">
        <is>
          <t>餐饮六分部</t>
        </is>
      </c>
      <c r="D441" s="540" t="inlineStr">
        <is>
          <t>CF293</t>
        </is>
      </c>
      <c r="E441" s="540" t="inlineStr">
        <is>
          <t>江苏二师石湫校区食堂</t>
        </is>
      </c>
      <c r="F441" s="540" t="inlineStr">
        <is>
          <t>分组作业</t>
        </is>
      </c>
      <c r="G441" s="540" t="inlineStr">
        <is>
          <t>第二班组</t>
        </is>
      </c>
      <c r="H441" s="540" t="inlineStr">
        <is>
          <t>猪脚饭</t>
        </is>
      </c>
      <c r="I441" s="540" t="inlineStr">
        <is>
          <t>孙仲弘</t>
        </is>
      </c>
      <c r="J441" s="540" t="n">
        <v>0</v>
      </c>
      <c r="K441" s="540" t="n"/>
      <c r="L441" s="540" t="inlineStr">
        <is>
          <t>位军浩</t>
        </is>
      </c>
      <c r="M441" s="540" t="n"/>
    </row>
    <row r="442">
      <c r="A442" s="540" t="n"/>
      <c r="B442" s="540" t="inlineStr">
        <is>
          <t>补充</t>
        </is>
      </c>
      <c r="C442" s="540" t="inlineStr">
        <is>
          <t>餐饮六分部</t>
        </is>
      </c>
      <c r="D442" s="540" t="inlineStr">
        <is>
          <t>CF293</t>
        </is>
      </c>
      <c r="E442" s="540" t="inlineStr">
        <is>
          <t>江苏二师石湫校区食堂</t>
        </is>
      </c>
      <c r="F442" s="540" t="inlineStr">
        <is>
          <t>分组作业</t>
        </is>
      </c>
      <c r="G442" s="540" t="inlineStr">
        <is>
          <t>第四班组</t>
        </is>
      </c>
      <c r="H442" s="540" t="inlineStr">
        <is>
          <t>铁锅炖</t>
        </is>
      </c>
      <c r="I442" s="540" t="inlineStr">
        <is>
          <t>夏金涛</t>
        </is>
      </c>
      <c r="J442" s="540" t="n">
        <v>0</v>
      </c>
      <c r="K442" s="540" t="n"/>
      <c r="L442" s="540" t="inlineStr">
        <is>
          <t>位军浩</t>
        </is>
      </c>
      <c r="M442" s="540" t="n"/>
    </row>
    <row r="443">
      <c r="A443" s="540" t="n"/>
      <c r="B443" s="540" t="inlineStr">
        <is>
          <t>补充</t>
        </is>
      </c>
      <c r="C443" s="540" t="inlineStr">
        <is>
          <t>餐饮二分部</t>
        </is>
      </c>
      <c r="D443" s="540" t="inlineStr">
        <is>
          <t>Q021</t>
        </is>
      </c>
      <c r="E443" s="540" t="inlineStr">
        <is>
          <t>苏州星塘医院餐厅</t>
        </is>
      </c>
      <c r="F443" s="540" t="inlineStr">
        <is>
          <t>人员服务外包</t>
        </is>
      </c>
      <c r="G443" s="540" t="inlineStr">
        <is>
          <t>/</t>
        </is>
      </c>
      <c r="H443" s="540" t="inlineStr">
        <is>
          <t>/</t>
        </is>
      </c>
      <c r="I443" s="540" t="inlineStr">
        <is>
          <t>/</t>
        </is>
      </c>
      <c r="J443" s="540">
        <f>171543.95+51733.33</f>
        <v/>
      </c>
      <c r="K443" s="540" t="inlineStr">
        <is>
          <t>含食材费用171543.95</t>
        </is>
      </c>
      <c r="L443" s="540" t="inlineStr">
        <is>
          <t>谢苗苗</t>
        </is>
      </c>
      <c r="M443" s="540" t="inlineStr">
        <is>
          <t>已核对</t>
        </is>
      </c>
    </row>
    <row r="444">
      <c r="A444" s="540" t="n"/>
      <c r="B444" s="540" t="inlineStr">
        <is>
          <t>补充</t>
        </is>
      </c>
      <c r="C444" s="647" t="inlineStr">
        <is>
          <t>餐饮五分部</t>
        </is>
      </c>
      <c r="D444" s="540" t="inlineStr">
        <is>
          <t>CF700</t>
        </is>
      </c>
      <c r="E444" s="540" t="inlineStr">
        <is>
          <t>北理工长三角研究院(嘉兴）食堂</t>
        </is>
      </c>
      <c r="F444" s="540" t="inlineStr">
        <is>
          <t>分组作业</t>
        </is>
      </c>
      <c r="G444" s="540" t="inlineStr">
        <is>
          <t>自选快餐面条</t>
        </is>
      </c>
      <c r="H444" s="540" t="n"/>
      <c r="I444" s="540" t="n"/>
      <c r="J444" s="540" t="n">
        <v>213247.9</v>
      </c>
      <c r="K444" s="540" t="n"/>
      <c r="L444" s="540" t="inlineStr">
        <is>
          <t>位军浩</t>
        </is>
      </c>
      <c r="M444" s="540" t="n"/>
    </row>
    <row r="445">
      <c r="A445" s="540" t="n"/>
      <c r="B445" s="540" t="inlineStr">
        <is>
          <t>补充</t>
        </is>
      </c>
      <c r="C445" s="540" t="inlineStr">
        <is>
          <t>餐饮三分部</t>
        </is>
      </c>
      <c r="D445" s="540" t="inlineStr">
        <is>
          <t>CF699</t>
        </is>
      </c>
      <c r="E445" s="540" t="inlineStr">
        <is>
          <t>徐医大第一食堂</t>
        </is>
      </c>
      <c r="F445" s="540" t="inlineStr">
        <is>
          <t>分组作业</t>
        </is>
      </c>
      <c r="G445" s="540" t="inlineStr">
        <is>
          <t>/</t>
        </is>
      </c>
      <c r="H445" s="540" t="inlineStr">
        <is>
          <t>快餐</t>
        </is>
      </c>
      <c r="I445" s="540" t="inlineStr">
        <is>
          <t>张振</t>
        </is>
      </c>
      <c r="J445" s="540" t="n">
        <v>6859.1</v>
      </c>
      <c r="K445" s="540" t="n"/>
      <c r="L445" s="540" t="inlineStr">
        <is>
          <t>位军浩</t>
        </is>
      </c>
      <c r="M445" s="540" t="n"/>
    </row>
    <row r="446">
      <c r="A446" s="540" t="n"/>
      <c r="B446" s="540" t="n"/>
      <c r="C446" s="540" t="inlineStr">
        <is>
          <t>餐饮二分部</t>
        </is>
      </c>
      <c r="D446" s="540" t="inlineStr">
        <is>
          <t>CF516</t>
        </is>
      </c>
      <c r="E446" s="540" t="inlineStr">
        <is>
          <t>苏州北美国际高级中学餐厅</t>
        </is>
      </c>
      <c r="F446" s="540" t="inlineStr">
        <is>
          <t>自营</t>
        </is>
      </c>
      <c r="G446" s="540" t="n"/>
      <c r="H446" s="540" t="inlineStr">
        <is>
          <t>快餐</t>
        </is>
      </c>
      <c r="I446" s="540" t="n"/>
      <c r="J446" s="643" t="n">
        <v>86533.3</v>
      </c>
      <c r="K446" s="540" t="n"/>
      <c r="L446" s="540" t="inlineStr">
        <is>
          <t>位军浩</t>
        </is>
      </c>
      <c r="M446" s="540" t="n"/>
    </row>
    <row r="447">
      <c r="A447" s="540" t="n"/>
      <c r="B447" s="540" t="n"/>
      <c r="C447" s="540" t="inlineStr">
        <is>
          <t>餐饮二分部</t>
        </is>
      </c>
      <c r="D447" s="540" t="inlineStr">
        <is>
          <t>CF516</t>
        </is>
      </c>
      <c r="E447" s="540" t="inlineStr">
        <is>
          <t>苏州北美国际高级中学餐厅</t>
        </is>
      </c>
      <c r="F447" s="540" t="inlineStr">
        <is>
          <t>分组作业</t>
        </is>
      </c>
      <c r="G447" s="540" t="n"/>
      <c r="H447" s="540" t="inlineStr">
        <is>
          <t>个体</t>
        </is>
      </c>
      <c r="I447" s="540" t="n"/>
      <c r="J447" s="643" t="n">
        <v>5519</v>
      </c>
      <c r="K447" s="540" t="n"/>
      <c r="L447" s="540" t="inlineStr">
        <is>
          <t>位军浩</t>
        </is>
      </c>
      <c r="M447" s="540" t="n"/>
    </row>
    <row r="448">
      <c r="A448" s="540" t="n"/>
      <c r="B448" s="540" t="n"/>
      <c r="C448" s="540" t="inlineStr">
        <is>
          <t>餐饮一分部</t>
        </is>
      </c>
      <c r="D448" s="540" t="inlineStr">
        <is>
          <t>CF514</t>
        </is>
      </c>
      <c r="E448" s="540" t="inlineStr">
        <is>
          <t>昆山康桥培英高级中学食堂</t>
        </is>
      </c>
      <c r="F448" s="540" t="inlineStr">
        <is>
          <t>自营</t>
        </is>
      </c>
      <c r="G448" s="540" t="n"/>
      <c r="H448" s="540" t="n"/>
      <c r="I448" s="540" t="n"/>
      <c r="J448" s="540" t="n">
        <v>568469</v>
      </c>
      <c r="K448" s="540" t="n"/>
      <c r="L448" s="540" t="inlineStr">
        <is>
          <t>位军浩</t>
        </is>
      </c>
      <c r="M448" s="540" t="n"/>
    </row>
    <row r="449">
      <c r="A449" s="540" t="n"/>
      <c r="B449" s="540" t="inlineStr">
        <is>
          <t>补充</t>
        </is>
      </c>
      <c r="C449" s="540" t="inlineStr">
        <is>
          <t>餐饮二分部</t>
        </is>
      </c>
      <c r="D449" s="540" t="inlineStr">
        <is>
          <t>CF450</t>
        </is>
      </c>
      <c r="E449" s="540" t="inlineStr">
        <is>
          <t>天津大学学二食堂</t>
        </is>
      </c>
      <c r="F449" s="540" t="inlineStr">
        <is>
          <t>强责</t>
        </is>
      </c>
      <c r="G449" s="540" t="n"/>
      <c r="H449" s="540" t="inlineStr">
        <is>
          <t>牛肉面</t>
        </is>
      </c>
      <c r="I449" s="540" t="inlineStr">
        <is>
          <t>何元双</t>
        </is>
      </c>
      <c r="J449" s="643" t="n">
        <v>16536</v>
      </c>
      <c r="K449" s="540" t="n"/>
      <c r="L449" s="540" t="inlineStr">
        <is>
          <t>位军浩</t>
        </is>
      </c>
      <c r="M449" s="540" t="n"/>
    </row>
    <row r="450">
      <c r="A450" s="540" t="n"/>
      <c r="B450" s="540" t="inlineStr">
        <is>
          <t>补充</t>
        </is>
      </c>
      <c r="C450" s="540" t="inlineStr">
        <is>
          <t>餐饮三分部</t>
        </is>
      </c>
      <c r="D450" s="540" t="inlineStr">
        <is>
          <t>CF780</t>
        </is>
      </c>
      <c r="E450" s="540" t="inlineStr">
        <is>
          <t>吉建大二食堂</t>
        </is>
      </c>
      <c r="F450" s="540" t="inlineStr">
        <is>
          <t>分组作业</t>
        </is>
      </c>
      <c r="G450" s="540" t="inlineStr">
        <is>
          <t>/</t>
        </is>
      </c>
      <c r="H450" s="540" t="inlineStr">
        <is>
          <t xml:space="preserve"> 手工鲜水饺 </t>
        </is>
      </c>
      <c r="I450" s="647" t="inlineStr">
        <is>
          <t>王洪伟</t>
        </is>
      </c>
      <c r="J450" s="643" t="n">
        <v>1544.63</v>
      </c>
      <c r="K450" s="540" t="n"/>
      <c r="L450" s="540" t="inlineStr">
        <is>
          <t>位军浩</t>
        </is>
      </c>
      <c r="M450" s="540" t="n"/>
    </row>
    <row r="451">
      <c r="A451" s="540" t="n"/>
      <c r="B451" s="540" t="inlineStr">
        <is>
          <t>补充</t>
        </is>
      </c>
      <c r="C451" s="540" t="inlineStr">
        <is>
          <t>餐饮三分部</t>
        </is>
      </c>
      <c r="D451" s="540" t="inlineStr">
        <is>
          <t>CF780</t>
        </is>
      </c>
      <c r="E451" s="540" t="inlineStr">
        <is>
          <t>吉建大二食堂</t>
        </is>
      </c>
      <c r="F451" s="540" t="inlineStr">
        <is>
          <t>分组作业</t>
        </is>
      </c>
      <c r="G451" s="540" t="inlineStr">
        <is>
          <t>/</t>
        </is>
      </c>
      <c r="H451" s="540" t="inlineStr">
        <is>
          <t xml:space="preserve"> 荔枝鸡饭 </t>
        </is>
      </c>
      <c r="I451" s="647" t="inlineStr">
        <is>
          <t>陈志国</t>
        </is>
      </c>
      <c r="J451" s="643" t="n">
        <v>8720.799999999999</v>
      </c>
      <c r="K451" s="540" t="n"/>
      <c r="L451" s="540" t="inlineStr">
        <is>
          <t>位军浩</t>
        </is>
      </c>
      <c r="M451" s="540" t="n"/>
    </row>
    <row r="452">
      <c r="A452" s="540" t="n"/>
      <c r="B452" s="540" t="inlineStr">
        <is>
          <t>补充</t>
        </is>
      </c>
      <c r="C452" s="540" t="inlineStr">
        <is>
          <t>餐饮三分部</t>
        </is>
      </c>
      <c r="D452" s="540" t="inlineStr">
        <is>
          <t>CF780</t>
        </is>
      </c>
      <c r="E452" s="540" t="inlineStr">
        <is>
          <t>吉建大二食堂</t>
        </is>
      </c>
      <c r="F452" s="540" t="inlineStr">
        <is>
          <t>分组作业</t>
        </is>
      </c>
      <c r="G452" s="540" t="inlineStr">
        <is>
          <t>/</t>
        </is>
      </c>
      <c r="H452" s="540" t="inlineStr">
        <is>
          <t>河山桥水煮肉</t>
        </is>
      </c>
      <c r="I452" s="647" t="inlineStr">
        <is>
          <t>李旭</t>
        </is>
      </c>
      <c r="J452" s="643" t="n">
        <v>0</v>
      </c>
      <c r="K452" s="540" t="n"/>
      <c r="L452" s="540" t="inlineStr">
        <is>
          <t>位军浩</t>
        </is>
      </c>
      <c r="M452" s="540" t="n"/>
    </row>
    <row r="453">
      <c r="A453" s="540" t="n"/>
      <c r="B453" s="540" t="inlineStr">
        <is>
          <t>补充</t>
        </is>
      </c>
      <c r="C453" s="540" t="inlineStr">
        <is>
          <t>餐饮三分部</t>
        </is>
      </c>
      <c r="D453" s="540" t="inlineStr">
        <is>
          <t>CF780</t>
        </is>
      </c>
      <c r="E453" s="540" t="inlineStr">
        <is>
          <t>吉建大二食堂</t>
        </is>
      </c>
      <c r="F453" s="540" t="inlineStr">
        <is>
          <t>分组作业</t>
        </is>
      </c>
      <c r="G453" s="540" t="inlineStr">
        <is>
          <t>/</t>
        </is>
      </c>
      <c r="H453" s="540" t="inlineStr">
        <is>
          <t>土豆泥拌饭</t>
        </is>
      </c>
      <c r="I453" s="647" t="inlineStr">
        <is>
          <t>徐启航</t>
        </is>
      </c>
      <c r="J453" s="643" t="n">
        <v>5054.4</v>
      </c>
      <c r="K453" s="540" t="n"/>
      <c r="L453" s="540" t="inlineStr">
        <is>
          <t>位军浩</t>
        </is>
      </c>
      <c r="M453" s="540" t="n"/>
    </row>
    <row r="454">
      <c r="A454" s="540" t="n"/>
      <c r="B454" s="540" t="inlineStr">
        <is>
          <t>补充</t>
        </is>
      </c>
      <c r="C454" s="540" t="inlineStr">
        <is>
          <t>餐饮五分部</t>
        </is>
      </c>
      <c r="D454" s="540" t="inlineStr">
        <is>
          <t>CF698</t>
        </is>
      </c>
      <c r="E454" s="540" t="inlineStr">
        <is>
          <t>兰理工兰工坪校区一食堂</t>
        </is>
      </c>
      <c r="F454" s="540" t="inlineStr">
        <is>
          <t>分组作业</t>
        </is>
      </c>
      <c r="G454" s="540" t="inlineStr">
        <is>
          <t>/</t>
        </is>
      </c>
      <c r="H454" s="540" t="inlineStr">
        <is>
          <t>小碗菜</t>
        </is>
      </c>
      <c r="I454" s="540" t="inlineStr">
        <is>
          <t>宋玉琴</t>
        </is>
      </c>
      <c r="J454" s="643" t="n">
        <v>12228.47</v>
      </c>
      <c r="K454" s="540" t="n"/>
      <c r="L454" s="540" t="inlineStr">
        <is>
          <t>位军浩</t>
        </is>
      </c>
      <c r="M454" s="540" t="n"/>
    </row>
    <row r="455">
      <c r="A455" s="540" t="n"/>
      <c r="B455" s="540" t="inlineStr">
        <is>
          <t>补充</t>
        </is>
      </c>
      <c r="C455" s="540" t="inlineStr">
        <is>
          <t>餐饮六分部</t>
        </is>
      </c>
      <c r="D455" s="540" t="inlineStr">
        <is>
          <t>CF341</t>
        </is>
      </c>
      <c r="E455" s="540" t="inlineStr">
        <is>
          <t>扬大荷花池校区二楼食堂</t>
        </is>
      </c>
      <c r="F455" s="540" t="inlineStr">
        <is>
          <t>人员服务外包</t>
        </is>
      </c>
      <c r="G455" s="540" t="n"/>
      <c r="H455" s="540" t="inlineStr">
        <is>
          <t>牛杂面</t>
        </is>
      </c>
      <c r="I455" s="540" t="inlineStr">
        <is>
          <t>周小红</t>
        </is>
      </c>
      <c r="J455" s="643" t="n"/>
      <c r="K455" s="540" t="n"/>
      <c r="L455" s="540" t="inlineStr">
        <is>
          <t>位军浩</t>
        </is>
      </c>
      <c r="M455" s="540" t="n"/>
    </row>
    <row r="456">
      <c r="A456" s="540" t="n"/>
      <c r="B456" s="540" t="inlineStr">
        <is>
          <t>补充</t>
        </is>
      </c>
      <c r="C456" s="540" t="inlineStr">
        <is>
          <t>餐饮六分部</t>
        </is>
      </c>
      <c r="D456" s="540" t="inlineStr">
        <is>
          <t>CF341</t>
        </is>
      </c>
      <c r="E456" s="540" t="inlineStr">
        <is>
          <t>扬大荷花池校区二楼食堂</t>
        </is>
      </c>
      <c r="F456" s="540" t="inlineStr">
        <is>
          <t>人员服务外包</t>
        </is>
      </c>
      <c r="G456" s="540" t="n"/>
      <c r="H456" s="540" t="inlineStr">
        <is>
          <t>黑鸭煲</t>
        </is>
      </c>
      <c r="I456" s="540" t="inlineStr">
        <is>
          <t>邱浩</t>
        </is>
      </c>
      <c r="J456" s="643" t="n"/>
      <c r="K456" s="540" t="n"/>
      <c r="L456" s="540" t="inlineStr">
        <is>
          <t>位军浩</t>
        </is>
      </c>
      <c r="M456" s="540" t="n"/>
    </row>
    <row r="457">
      <c r="A457" s="540" t="n"/>
      <c r="B457" s="540" t="inlineStr">
        <is>
          <t>补充</t>
        </is>
      </c>
      <c r="C457" s="540" t="inlineStr">
        <is>
          <t>餐饮六分部</t>
        </is>
      </c>
      <c r="D457" s="540" t="inlineStr">
        <is>
          <t>CF341</t>
        </is>
      </c>
      <c r="E457" s="540" t="inlineStr">
        <is>
          <t>扬大荷花池校区二楼食堂</t>
        </is>
      </c>
      <c r="F457" s="540" t="inlineStr">
        <is>
          <t>人员服务外包</t>
        </is>
      </c>
      <c r="G457" s="540" t="n"/>
      <c r="H457" s="540" t="inlineStr">
        <is>
          <t>盖浇饭</t>
        </is>
      </c>
      <c r="I457" s="540" t="inlineStr">
        <is>
          <t>唐爱萍</t>
        </is>
      </c>
      <c r="J457" s="643" t="n"/>
      <c r="K457" s="540" t="n"/>
      <c r="L457" s="540" t="inlineStr">
        <is>
          <t>位军浩</t>
        </is>
      </c>
      <c r="M457" s="540" t="n"/>
    </row>
    <row r="458">
      <c r="A458" s="540" t="n"/>
      <c r="B458" s="540" t="inlineStr">
        <is>
          <t>补充</t>
        </is>
      </c>
      <c r="C458" s="540" t="inlineStr">
        <is>
          <t>餐饮三分部</t>
        </is>
      </c>
      <c r="D458" s="540" t="inlineStr">
        <is>
          <t>CF781</t>
        </is>
      </c>
      <c r="E458" s="540" t="inlineStr">
        <is>
          <t>苏食院第一学生食堂</t>
        </is>
      </c>
      <c r="F458" s="540" t="inlineStr">
        <is>
          <t>分组作业</t>
        </is>
      </c>
      <c r="G458" s="540" t="inlineStr">
        <is>
          <t>/</t>
        </is>
      </c>
      <c r="H458" s="540" t="inlineStr">
        <is>
          <t>烤鸭饭</t>
        </is>
      </c>
      <c r="I458" s="540" t="inlineStr">
        <is>
          <t>刘太华</t>
        </is>
      </c>
      <c r="J458" s="540" t="n">
        <v>15577.93</v>
      </c>
      <c r="K458" s="540" t="n"/>
      <c r="L458" s="540" t="inlineStr">
        <is>
          <t>位军浩</t>
        </is>
      </c>
      <c r="M458" s="540" t="n"/>
    </row>
    <row r="459">
      <c r="A459" s="540" t="n"/>
      <c r="B459" s="540" t="inlineStr">
        <is>
          <t>补充</t>
        </is>
      </c>
      <c r="C459" s="540" t="inlineStr">
        <is>
          <t>餐饮三分部</t>
        </is>
      </c>
      <c r="D459" s="540" t="inlineStr">
        <is>
          <t>CF781</t>
        </is>
      </c>
      <c r="E459" s="540" t="inlineStr">
        <is>
          <t>苏食院第一学生食堂</t>
        </is>
      </c>
      <c r="F459" s="540" t="inlineStr">
        <is>
          <t>分组作业</t>
        </is>
      </c>
      <c r="G459" s="540" t="inlineStr">
        <is>
          <t>/</t>
        </is>
      </c>
      <c r="H459" s="540" t="inlineStr">
        <is>
          <t>现炒浇头</t>
        </is>
      </c>
      <c r="I459" s="540" t="inlineStr">
        <is>
          <t>匡雷</t>
        </is>
      </c>
      <c r="J459" s="540" t="n">
        <v>9909.360000000001</v>
      </c>
      <c r="K459" s="540" t="n"/>
      <c r="L459" s="540" t="inlineStr">
        <is>
          <t>位军浩</t>
        </is>
      </c>
      <c r="M459" s="540" t="n"/>
    </row>
    <row r="460">
      <c r="A460" s="540" t="n"/>
      <c r="B460" s="540" t="inlineStr">
        <is>
          <t>补充</t>
        </is>
      </c>
      <c r="C460" s="540" t="inlineStr">
        <is>
          <t>餐饮三分部</t>
        </is>
      </c>
      <c r="D460" s="540" t="inlineStr">
        <is>
          <t>CF781</t>
        </is>
      </c>
      <c r="E460" s="540" t="inlineStr">
        <is>
          <t>苏食院第一学生食堂</t>
        </is>
      </c>
      <c r="F460" s="540" t="inlineStr">
        <is>
          <t>分组作业</t>
        </is>
      </c>
      <c r="G460" s="540" t="inlineStr">
        <is>
          <t>/</t>
        </is>
      </c>
      <c r="H460" s="540" t="inlineStr">
        <is>
          <t>库迪咖啡</t>
        </is>
      </c>
      <c r="I460" s="540" t="inlineStr">
        <is>
          <t>张凌子</t>
        </is>
      </c>
      <c r="J460" s="643" t="n">
        <v>39.8</v>
      </c>
      <c r="K460" s="540" t="n"/>
      <c r="L460" s="540" t="inlineStr">
        <is>
          <t>位军浩</t>
        </is>
      </c>
      <c r="M460" s="540" t="n"/>
    </row>
    <row r="461">
      <c r="A461" s="540" t="n"/>
      <c r="B461" s="540" t="inlineStr">
        <is>
          <t>补充</t>
        </is>
      </c>
      <c r="C461" s="540" t="inlineStr">
        <is>
          <t>餐饮三分部</t>
        </is>
      </c>
      <c r="D461" s="540" t="inlineStr">
        <is>
          <t>CF781</t>
        </is>
      </c>
      <c r="E461" s="540" t="inlineStr">
        <is>
          <t>苏食院第一学生食堂</t>
        </is>
      </c>
      <c r="F461" s="540" t="inlineStr">
        <is>
          <t>分组作业</t>
        </is>
      </c>
      <c r="G461" s="540" t="inlineStr">
        <is>
          <t>/</t>
        </is>
      </c>
      <c r="H461" s="540" t="inlineStr">
        <is>
          <t>水果捞</t>
        </is>
      </c>
      <c r="I461" s="540" t="inlineStr">
        <is>
          <t>徐星</t>
        </is>
      </c>
      <c r="J461" s="540" t="n">
        <v>682.67</v>
      </c>
      <c r="K461" s="540" t="n"/>
      <c r="L461" s="540" t="inlineStr">
        <is>
          <t>位军浩</t>
        </is>
      </c>
      <c r="M461" s="540" t="n"/>
    </row>
    <row r="462">
      <c r="A462" s="540" t="n"/>
      <c r="B462" s="540" t="inlineStr">
        <is>
          <t>补充</t>
        </is>
      </c>
      <c r="C462" s="540" t="inlineStr">
        <is>
          <t>餐饮三分部</t>
        </is>
      </c>
      <c r="D462" s="540" t="inlineStr">
        <is>
          <t>CF781</t>
        </is>
      </c>
      <c r="E462" s="540" t="inlineStr">
        <is>
          <t>苏食院第一学生食堂</t>
        </is>
      </c>
      <c r="F462" s="540" t="inlineStr">
        <is>
          <t>分组作业</t>
        </is>
      </c>
      <c r="G462" s="540" t="inlineStr">
        <is>
          <t>/</t>
        </is>
      </c>
      <c r="H462" s="540" t="inlineStr">
        <is>
          <t>自选菜</t>
        </is>
      </c>
      <c r="I462" s="540" t="inlineStr">
        <is>
          <t>王功成</t>
        </is>
      </c>
      <c r="J462" s="540" t="n">
        <v>2040.16</v>
      </c>
      <c r="K462" s="540" t="n"/>
      <c r="L462" s="540" t="inlineStr">
        <is>
          <t>位军浩</t>
        </is>
      </c>
      <c r="M462" s="540" t="n"/>
    </row>
    <row r="463">
      <c r="A463" s="540" t="n"/>
      <c r="B463" s="540" t="inlineStr">
        <is>
          <t>补充</t>
        </is>
      </c>
      <c r="C463" s="540" t="inlineStr">
        <is>
          <t>餐饮三分部</t>
        </is>
      </c>
      <c r="D463" s="540" t="inlineStr">
        <is>
          <t>CF781</t>
        </is>
      </c>
      <c r="E463" s="540" t="inlineStr">
        <is>
          <t>苏食院第一学生食堂</t>
        </is>
      </c>
      <c r="F463" s="540" t="inlineStr">
        <is>
          <t>分组作业</t>
        </is>
      </c>
      <c r="G463" s="540" t="inlineStr">
        <is>
          <t>/</t>
        </is>
      </c>
      <c r="H463" s="540" t="inlineStr">
        <is>
          <t>麻辣烫</t>
        </is>
      </c>
      <c r="I463" s="540" t="inlineStr">
        <is>
          <t>胡长江</t>
        </is>
      </c>
      <c r="J463" s="540" t="n">
        <v>4618.93</v>
      </c>
      <c r="K463" s="540" t="n"/>
      <c r="L463" s="540" t="inlineStr">
        <is>
          <t>位军浩</t>
        </is>
      </c>
      <c r="M463" s="540" t="n"/>
    </row>
    <row r="464">
      <c r="A464" s="540" t="n"/>
      <c r="B464" s="540" t="inlineStr">
        <is>
          <t>补充</t>
        </is>
      </c>
      <c r="C464" s="540" t="inlineStr">
        <is>
          <t>餐饮三分部</t>
        </is>
      </c>
      <c r="D464" s="540" t="inlineStr">
        <is>
          <t>CF781</t>
        </is>
      </c>
      <c r="E464" s="540" t="inlineStr">
        <is>
          <t>苏食院第一学生食堂</t>
        </is>
      </c>
      <c r="F464" s="540" t="inlineStr">
        <is>
          <t>分组作业</t>
        </is>
      </c>
      <c r="G464" s="540" t="inlineStr">
        <is>
          <t>/</t>
        </is>
      </c>
      <c r="H464" s="540" t="inlineStr">
        <is>
          <t>水吧</t>
        </is>
      </c>
      <c r="I464" s="540" t="inlineStr">
        <is>
          <t>刘飞</t>
        </is>
      </c>
      <c r="J464" s="540" t="n">
        <v>2089.63</v>
      </c>
      <c r="K464" s="540" t="n"/>
      <c r="L464" s="540" t="inlineStr">
        <is>
          <t>位军浩</t>
        </is>
      </c>
      <c r="M464" s="540" t="n"/>
    </row>
    <row r="465">
      <c r="A465" s="540" t="n"/>
      <c r="B465" s="540" t="inlineStr">
        <is>
          <t>补充</t>
        </is>
      </c>
      <c r="C465" s="540" t="inlineStr">
        <is>
          <t>餐饮三分部</t>
        </is>
      </c>
      <c r="D465" s="540" t="inlineStr">
        <is>
          <t>CF781</t>
        </is>
      </c>
      <c r="E465" s="540" t="inlineStr">
        <is>
          <t>苏食院第一学生食堂</t>
        </is>
      </c>
      <c r="F465" s="540" t="inlineStr">
        <is>
          <t>分组作业</t>
        </is>
      </c>
      <c r="G465" s="540" t="inlineStr">
        <is>
          <t>/</t>
        </is>
      </c>
      <c r="H465" s="540" t="inlineStr">
        <is>
          <t>西点</t>
        </is>
      </c>
      <c r="I465" s="540" t="inlineStr">
        <is>
          <t>吴贵华</t>
        </is>
      </c>
      <c r="J465" s="540" t="n">
        <v>448.4</v>
      </c>
      <c r="K465" s="540" t="n"/>
      <c r="L465" s="540" t="inlineStr">
        <is>
          <t>位军浩</t>
        </is>
      </c>
      <c r="M465" s="540" t="n"/>
    </row>
    <row r="466">
      <c r="A466" s="540" t="n"/>
      <c r="B466" s="540" t="inlineStr">
        <is>
          <t>补充</t>
        </is>
      </c>
      <c r="C466" s="540" t="inlineStr">
        <is>
          <t>餐饮三分部</t>
        </is>
      </c>
      <c r="D466" s="540" t="inlineStr">
        <is>
          <t>CF781</t>
        </is>
      </c>
      <c r="E466" s="540" t="inlineStr">
        <is>
          <t>苏食院第一学生食堂</t>
        </is>
      </c>
      <c r="F466" s="540" t="inlineStr">
        <is>
          <t>分组作业</t>
        </is>
      </c>
      <c r="G466" s="540" t="inlineStr">
        <is>
          <t>/</t>
        </is>
      </c>
      <c r="H466" s="540" t="inlineStr">
        <is>
          <t>烤鸡饭</t>
        </is>
      </c>
      <c r="I466" s="540" t="inlineStr">
        <is>
          <t>刘太华</t>
        </is>
      </c>
      <c r="J466" s="540" t="n">
        <v>855.6</v>
      </c>
      <c r="K466" s="540" t="n"/>
      <c r="L466" s="540" t="inlineStr">
        <is>
          <t>位军浩</t>
        </is>
      </c>
      <c r="M466" s="540" t="n"/>
    </row>
    <row r="467">
      <c r="A467" s="540" t="n"/>
      <c r="B467" s="540" t="inlineStr">
        <is>
          <t>补充</t>
        </is>
      </c>
      <c r="C467" s="540" t="inlineStr">
        <is>
          <t>餐饮三分部</t>
        </is>
      </c>
      <c r="D467" s="540" t="inlineStr">
        <is>
          <t>CF320</t>
        </is>
      </c>
      <c r="E467" s="540" t="inlineStr">
        <is>
          <t>江苏财经梅园食堂</t>
        </is>
      </c>
      <c r="F467" s="540" t="inlineStr">
        <is>
          <t>分组作业</t>
        </is>
      </c>
      <c r="G467" s="540" t="inlineStr">
        <is>
          <t>/</t>
        </is>
      </c>
      <c r="H467" s="540" t="inlineStr">
        <is>
          <t>卤肉饭</t>
        </is>
      </c>
      <c r="I467" s="540" t="inlineStr">
        <is>
          <t>朱仕兵</t>
        </is>
      </c>
      <c r="J467" s="643" t="n">
        <v>0</v>
      </c>
      <c r="K467" s="540" t="n"/>
      <c r="L467" s="540" t="inlineStr">
        <is>
          <t>位军浩</t>
        </is>
      </c>
      <c r="M467" s="540" t="n"/>
    </row>
    <row r="468">
      <c r="A468" s="540" t="n"/>
      <c r="B468" s="540" t="inlineStr">
        <is>
          <t>补充</t>
        </is>
      </c>
      <c r="C468" s="540" t="inlineStr">
        <is>
          <t>餐饮三分部</t>
        </is>
      </c>
      <c r="D468" s="540" t="inlineStr">
        <is>
          <t>CF320</t>
        </is>
      </c>
      <c r="E468" s="540" t="inlineStr">
        <is>
          <t>江苏财经梅园食堂</t>
        </is>
      </c>
      <c r="F468" s="540" t="inlineStr">
        <is>
          <t>分组作业</t>
        </is>
      </c>
      <c r="G468" s="540" t="inlineStr">
        <is>
          <t>/</t>
        </is>
      </c>
      <c r="H468" s="540" t="inlineStr">
        <is>
          <t>牛肉汤</t>
        </is>
      </c>
      <c r="I468" s="540" t="inlineStr">
        <is>
          <t>张然</t>
        </is>
      </c>
      <c r="J468" s="643" t="n">
        <v>5324.01</v>
      </c>
      <c r="K468" s="540" t="n"/>
      <c r="L468" s="540" t="inlineStr">
        <is>
          <t>位军浩</t>
        </is>
      </c>
      <c r="M468" s="540" t="n"/>
    </row>
    <row r="469">
      <c r="A469" s="540" t="n"/>
      <c r="B469" s="540" t="inlineStr">
        <is>
          <t>补充</t>
        </is>
      </c>
      <c r="C469" s="540" t="inlineStr">
        <is>
          <t>餐饮三分部</t>
        </is>
      </c>
      <c r="D469" s="540" t="inlineStr">
        <is>
          <t>CF320</t>
        </is>
      </c>
      <c r="E469" s="540" t="inlineStr">
        <is>
          <t>江苏财经梅园食堂</t>
        </is>
      </c>
      <c r="F469" s="540" t="inlineStr">
        <is>
          <t>分组作业</t>
        </is>
      </c>
      <c r="G469" s="540" t="inlineStr">
        <is>
          <t>/</t>
        </is>
      </c>
      <c r="H469" s="540" t="inlineStr">
        <is>
          <t>港式烤鸭饭</t>
        </is>
      </c>
      <c r="I469" s="540" t="inlineStr">
        <is>
          <t>籍明明</t>
        </is>
      </c>
      <c r="J469" s="643" t="n">
        <v>26809.82</v>
      </c>
      <c r="K469" s="540" t="n"/>
      <c r="L469" s="540" t="inlineStr">
        <is>
          <t>位军浩</t>
        </is>
      </c>
      <c r="M469" s="540" t="n"/>
    </row>
    <row r="470">
      <c r="A470" s="540" t="n"/>
      <c r="B470" s="540" t="inlineStr">
        <is>
          <t>补充</t>
        </is>
      </c>
      <c r="C470" s="540" t="inlineStr">
        <is>
          <t>餐饮三分部</t>
        </is>
      </c>
      <c r="D470" s="540" t="inlineStr">
        <is>
          <t>CF320</t>
        </is>
      </c>
      <c r="E470" s="540" t="inlineStr">
        <is>
          <t>江苏财经梅园食堂</t>
        </is>
      </c>
      <c r="F470" s="540" t="inlineStr">
        <is>
          <t>分组作业</t>
        </is>
      </c>
      <c r="G470" s="540" t="inlineStr">
        <is>
          <t>/</t>
        </is>
      </c>
      <c r="H470" s="540" t="inlineStr">
        <is>
          <t>黄焖鸡</t>
        </is>
      </c>
      <c r="I470" s="540" t="inlineStr">
        <is>
          <t>曹学云</t>
        </is>
      </c>
      <c r="J470" s="643" t="n">
        <v>23234.41</v>
      </c>
      <c r="K470" s="540" t="n"/>
      <c r="L470" s="540" t="inlineStr">
        <is>
          <t>位军浩</t>
        </is>
      </c>
      <c r="M470" s="540" t="n"/>
    </row>
    <row r="471">
      <c r="A471" s="540" t="n"/>
      <c r="B471" s="540" t="inlineStr">
        <is>
          <t>补充</t>
        </is>
      </c>
      <c r="C471" s="540" t="inlineStr">
        <is>
          <t>餐饮三分部</t>
        </is>
      </c>
      <c r="D471" s="540" t="inlineStr">
        <is>
          <t>CF320</t>
        </is>
      </c>
      <c r="E471" s="540" t="inlineStr">
        <is>
          <t>江苏财经梅园食堂</t>
        </is>
      </c>
      <c r="F471" s="540" t="inlineStr">
        <is>
          <t>分组作业</t>
        </is>
      </c>
      <c r="G471" s="540" t="inlineStr">
        <is>
          <t>/</t>
        </is>
      </c>
      <c r="H471" s="540" t="inlineStr">
        <is>
          <t>有味拉面</t>
        </is>
      </c>
      <c r="I471" s="540" t="inlineStr">
        <is>
          <t>刘万众</t>
        </is>
      </c>
      <c r="J471" s="643" t="n">
        <v>10850.02</v>
      </c>
      <c r="K471" s="540" t="n"/>
      <c r="L471" s="540" t="inlineStr">
        <is>
          <t>位军浩</t>
        </is>
      </c>
      <c r="M471" s="540" t="n"/>
    </row>
    <row r="472">
      <c r="A472" s="540" t="n"/>
      <c r="B472" s="540" t="inlineStr">
        <is>
          <t>补充</t>
        </is>
      </c>
      <c r="C472" s="540" t="inlineStr">
        <is>
          <t>餐饮三分部</t>
        </is>
      </c>
      <c r="D472" s="540" t="inlineStr">
        <is>
          <t>CF320</t>
        </is>
      </c>
      <c r="E472" s="540" t="inlineStr">
        <is>
          <t>江苏财经梅园食堂</t>
        </is>
      </c>
      <c r="F472" s="540" t="inlineStr">
        <is>
          <t>分组作业</t>
        </is>
      </c>
      <c r="G472" s="540" t="inlineStr">
        <is>
          <t>/</t>
        </is>
      </c>
      <c r="H472" s="540" t="inlineStr">
        <is>
          <t>现炒浇头</t>
        </is>
      </c>
      <c r="I472" s="540" t="inlineStr">
        <is>
          <t>朱潮</t>
        </is>
      </c>
      <c r="J472" s="643" t="n">
        <v>11042.71</v>
      </c>
      <c r="K472" s="540" t="n"/>
      <c r="L472" s="540" t="inlineStr">
        <is>
          <t>位军浩</t>
        </is>
      </c>
      <c r="M472" s="540" t="n"/>
    </row>
    <row r="473">
      <c r="A473" s="540" t="n"/>
      <c r="B473" s="540" t="inlineStr">
        <is>
          <t>补充</t>
        </is>
      </c>
      <c r="C473" s="540" t="inlineStr">
        <is>
          <t>餐饮三分部</t>
        </is>
      </c>
      <c r="D473" s="540" t="inlineStr">
        <is>
          <t>CF320</t>
        </is>
      </c>
      <c r="E473" s="540" t="inlineStr">
        <is>
          <t>江苏财经梅园食堂</t>
        </is>
      </c>
      <c r="F473" s="540" t="inlineStr">
        <is>
          <t>分组作业</t>
        </is>
      </c>
      <c r="G473" s="540" t="inlineStr">
        <is>
          <t>/</t>
        </is>
      </c>
      <c r="H473" s="540" t="inlineStr">
        <is>
          <t>面包</t>
        </is>
      </c>
      <c r="I473" s="540" t="inlineStr">
        <is>
          <t>吴桂华</t>
        </is>
      </c>
      <c r="J473" s="540" t="n">
        <v>405.51</v>
      </c>
      <c r="K473" s="540" t="n"/>
      <c r="L473" s="540" t="inlineStr">
        <is>
          <t>位军浩</t>
        </is>
      </c>
      <c r="M473" s="540" t="n"/>
    </row>
    <row r="474">
      <c r="A474" s="540" t="n"/>
      <c r="B474" s="540" t="inlineStr">
        <is>
          <t>补充</t>
        </is>
      </c>
      <c r="C474" s="540" t="inlineStr">
        <is>
          <t>餐饮三分部</t>
        </is>
      </c>
      <c r="D474" s="540" t="inlineStr">
        <is>
          <t>CF320</t>
        </is>
      </c>
      <c r="E474" s="540" t="inlineStr">
        <is>
          <t>江苏财经梅园食堂</t>
        </is>
      </c>
      <c r="F474" s="540" t="inlineStr">
        <is>
          <t>分组作业</t>
        </is>
      </c>
      <c r="G474" s="540" t="inlineStr">
        <is>
          <t>/</t>
        </is>
      </c>
      <c r="H474" s="540" t="inlineStr">
        <is>
          <t>江晓笼</t>
        </is>
      </c>
      <c r="I474" s="540" t="inlineStr">
        <is>
          <t>廖文</t>
        </is>
      </c>
      <c r="J474" s="540" t="n">
        <v>3102.05</v>
      </c>
      <c r="K474" s="540" t="n"/>
      <c r="L474" s="540" t="inlineStr">
        <is>
          <t>位军浩</t>
        </is>
      </c>
      <c r="M474" s="540" t="n"/>
    </row>
    <row r="475">
      <c r="A475" s="540" t="n"/>
      <c r="B475" s="540" t="inlineStr">
        <is>
          <t>补充</t>
        </is>
      </c>
      <c r="C475" s="540" t="inlineStr">
        <is>
          <t>餐饮六分部</t>
        </is>
      </c>
      <c r="D475" s="540" t="inlineStr">
        <is>
          <t>CF275</t>
        </is>
      </c>
      <c r="E475" s="540" t="inlineStr">
        <is>
          <t>南大苏州校区西区二食堂</t>
        </is>
      </c>
      <c r="F475" s="540" t="inlineStr">
        <is>
          <t>分组作业</t>
        </is>
      </c>
      <c r="G475" s="540" t="inlineStr">
        <is>
          <t>第十三班组</t>
        </is>
      </c>
      <c r="H475" s="540" t="inlineStr">
        <is>
          <t>西餐</t>
        </is>
      </c>
      <c r="I475" s="540" t="n"/>
      <c r="J475" s="540" t="n">
        <v>108653.79</v>
      </c>
      <c r="K475" s="540" t="n"/>
      <c r="L475" s="540" t="inlineStr">
        <is>
          <t>谢苗苗</t>
        </is>
      </c>
      <c r="M475" s="540" t="n"/>
    </row>
    <row r="476">
      <c r="A476" s="540" t="n"/>
      <c r="B476" s="540" t="inlineStr">
        <is>
          <t>补充</t>
        </is>
      </c>
      <c r="C476" s="540" t="inlineStr">
        <is>
          <t>餐饮三分部</t>
        </is>
      </c>
      <c r="D476" s="540" t="inlineStr">
        <is>
          <t>CF699</t>
        </is>
      </c>
      <c r="E476" s="540" t="inlineStr">
        <is>
          <t>徐医大第一食堂</t>
        </is>
      </c>
      <c r="F476" s="540" t="inlineStr">
        <is>
          <t>分组作业</t>
        </is>
      </c>
      <c r="G476" s="540" t="inlineStr">
        <is>
          <t>/</t>
        </is>
      </c>
      <c r="H476" s="540" t="inlineStr">
        <is>
          <t>药膳卤肉套餐饭</t>
        </is>
      </c>
      <c r="I476" s="540" t="inlineStr">
        <is>
          <t>崔小平</t>
        </is>
      </c>
      <c r="J476" s="540" t="n">
        <v>997.5</v>
      </c>
      <c r="K476" s="540" t="n"/>
      <c r="L476" s="540" t="inlineStr">
        <is>
          <t>位军浩</t>
        </is>
      </c>
      <c r="M476" s="540" t="n"/>
    </row>
    <row r="477">
      <c r="A477" s="540" t="n"/>
      <c r="B477" s="540" t="n"/>
      <c r="C477" s="540" t="n"/>
      <c r="D477" s="540" t="n"/>
      <c r="E477" s="540" t="n"/>
      <c r="F477" s="540" t="n"/>
      <c r="G477" s="540" t="n"/>
      <c r="H477" s="540" t="n"/>
      <c r="I477" s="540" t="n"/>
      <c r="J477" s="540" t="n"/>
      <c r="K477" s="540" t="n"/>
      <c r="L477" s="540" t="n"/>
      <c r="M477" s="540" t="n"/>
    </row>
    <row r="478">
      <c r="A478" s="540" t="n"/>
      <c r="B478" s="540" t="n"/>
      <c r="C478" s="540" t="n"/>
      <c r="D478" s="540" t="n"/>
      <c r="E478" s="540" t="n"/>
      <c r="F478" s="540" t="n"/>
      <c r="G478" s="540" t="n"/>
      <c r="H478" s="540" t="n"/>
      <c r="I478" s="540" t="n"/>
      <c r="J478" s="540" t="n"/>
      <c r="K478" s="540" t="n"/>
      <c r="L478" s="540" t="n"/>
      <c r="M478" s="540" t="n"/>
    </row>
    <row r="479">
      <c r="A479" s="540" t="n"/>
      <c r="B479" s="540" t="n"/>
      <c r="C479" s="540" t="n"/>
      <c r="D479" s="540" t="n"/>
      <c r="E479" s="540" t="n"/>
      <c r="F479" s="540" t="n"/>
      <c r="G479" s="540" t="n"/>
      <c r="H479" s="540" t="n"/>
      <c r="I479" s="540" t="n"/>
      <c r="J479" s="540" t="n"/>
      <c r="K479" s="540" t="n"/>
      <c r="L479" s="540" t="n"/>
      <c r="M479" s="540" t="n"/>
    </row>
    <row r="480">
      <c r="A480" s="540" t="n"/>
      <c r="B480" s="540" t="n"/>
      <c r="C480" s="540" t="n"/>
      <c r="D480" s="540" t="n"/>
      <c r="E480" s="540" t="n"/>
      <c r="F480" s="540" t="n"/>
      <c r="G480" s="540" t="n"/>
      <c r="H480" s="540" t="n"/>
      <c r="I480" s="540" t="n"/>
      <c r="J480" s="540" t="n"/>
      <c r="K480" s="540" t="n"/>
      <c r="L480" s="540" t="n"/>
      <c r="M480" s="540" t="n"/>
    </row>
    <row r="481">
      <c r="A481" s="540" t="n"/>
      <c r="B481" s="540" t="n"/>
      <c r="C481" s="540" t="n"/>
      <c r="D481" s="540" t="n"/>
      <c r="E481" s="540" t="n"/>
      <c r="F481" s="540" t="n"/>
      <c r="G481" s="540" t="n"/>
      <c r="H481" s="540" t="n"/>
      <c r="I481" s="540" t="n"/>
      <c r="J481" s="540" t="n"/>
      <c r="K481" s="540" t="n"/>
      <c r="L481" s="540" t="n"/>
      <c r="M481" s="540" t="n"/>
    </row>
    <row r="482">
      <c r="A482" s="540" t="n"/>
      <c r="B482" s="540" t="n"/>
      <c r="C482" s="540" t="n"/>
      <c r="D482" s="540" t="n"/>
      <c r="E482" s="540" t="n"/>
      <c r="F482" s="540" t="n"/>
      <c r="G482" s="540" t="n"/>
      <c r="H482" s="540" t="n"/>
      <c r="I482" s="540" t="n"/>
      <c r="J482" s="540" t="n"/>
      <c r="K482" s="540" t="n"/>
      <c r="L482" s="540" t="n"/>
      <c r="M482" s="540" t="n"/>
    </row>
    <row r="483">
      <c r="A483" s="540" t="n"/>
      <c r="B483" s="540" t="n"/>
      <c r="C483" s="540" t="n"/>
      <c r="D483" s="540" t="n"/>
      <c r="E483" s="540" t="n"/>
      <c r="F483" s="540" t="n"/>
      <c r="G483" s="540" t="n"/>
      <c r="H483" s="540" t="n"/>
      <c r="I483" s="540" t="n"/>
      <c r="J483" s="540" t="n"/>
      <c r="K483" s="540" t="n"/>
      <c r="L483" s="540" t="n"/>
      <c r="M483" s="540" t="n"/>
    </row>
    <row r="484">
      <c r="A484" s="540" t="n"/>
      <c r="B484" s="540" t="n"/>
      <c r="C484" s="540" t="n"/>
      <c r="D484" s="540" t="n"/>
      <c r="E484" s="540" t="n"/>
      <c r="F484" s="540" t="n"/>
      <c r="G484" s="540" t="n"/>
      <c r="H484" s="540" t="n"/>
      <c r="I484" s="540" t="n"/>
      <c r="J484" s="540" t="n"/>
      <c r="K484" s="540" t="n"/>
      <c r="L484" s="540" t="n"/>
      <c r="M484" s="540" t="n"/>
    </row>
    <row r="485">
      <c r="A485" s="540" t="n"/>
      <c r="B485" s="540" t="n"/>
      <c r="C485" s="540" t="n"/>
      <c r="D485" s="540" t="n"/>
      <c r="E485" s="540" t="n"/>
      <c r="F485" s="540" t="n"/>
      <c r="G485" s="540" t="n"/>
      <c r="H485" s="540" t="n"/>
      <c r="I485" s="540" t="n"/>
      <c r="J485" s="540" t="n"/>
      <c r="K485" s="540" t="n"/>
      <c r="L485" s="540" t="n"/>
      <c r="M485" s="540" t="n"/>
    </row>
    <row r="486">
      <c r="A486" s="540" t="n"/>
      <c r="B486" s="540" t="n"/>
      <c r="C486" s="540" t="n"/>
      <c r="D486" s="540" t="n"/>
      <c r="E486" s="540" t="n"/>
      <c r="F486" s="540" t="n"/>
      <c r="G486" s="540" t="n"/>
      <c r="H486" s="540" t="n"/>
      <c r="I486" s="540" t="n"/>
      <c r="J486" s="540" t="n"/>
      <c r="K486" s="540" t="n"/>
      <c r="L486" s="540" t="n"/>
      <c r="M486" s="540" t="n"/>
    </row>
    <row r="487">
      <c r="A487" s="540" t="n"/>
      <c r="B487" s="540" t="n"/>
      <c r="C487" s="540" t="n"/>
      <c r="D487" s="540" t="n"/>
      <c r="E487" s="540" t="n"/>
      <c r="F487" s="540" t="n"/>
      <c r="G487" s="540" t="n"/>
      <c r="H487" s="540" t="n"/>
      <c r="I487" s="540" t="n"/>
      <c r="J487" s="540" t="n"/>
      <c r="K487" s="540" t="n"/>
      <c r="L487" s="540" t="n"/>
      <c r="M487" s="540" t="n"/>
    </row>
    <row r="488">
      <c r="A488" s="540" t="n"/>
      <c r="B488" s="540" t="n"/>
      <c r="C488" s="540" t="n"/>
      <c r="D488" s="540" t="n"/>
      <c r="E488" s="540" t="n"/>
      <c r="F488" s="540" t="n"/>
      <c r="G488" s="540" t="n"/>
      <c r="H488" s="540" t="n"/>
      <c r="I488" s="540" t="n"/>
      <c r="J488" s="540" t="n"/>
      <c r="K488" s="540" t="n"/>
      <c r="L488" s="540" t="n"/>
      <c r="M488" s="540" t="n"/>
    </row>
    <row r="489">
      <c r="A489" s="540" t="n"/>
      <c r="B489" s="540" t="n"/>
      <c r="C489" s="540" t="n"/>
      <c r="D489" s="540" t="n"/>
      <c r="E489" s="540" t="n"/>
      <c r="F489" s="540" t="n"/>
      <c r="G489" s="540" t="n"/>
      <c r="H489" s="540" t="n"/>
      <c r="I489" s="540" t="n"/>
      <c r="J489" s="540" t="n"/>
      <c r="K489" s="540" t="n"/>
      <c r="L489" s="540" t="n"/>
      <c r="M489" s="540" t="n"/>
    </row>
    <row r="490">
      <c r="A490" s="540" t="n"/>
      <c r="B490" s="540" t="n"/>
      <c r="C490" s="540" t="n"/>
      <c r="D490" s="540" t="n"/>
      <c r="E490" s="540" t="n"/>
      <c r="F490" s="540" t="n"/>
      <c r="G490" s="540" t="n"/>
      <c r="H490" s="540" t="n"/>
      <c r="I490" s="540" t="n"/>
      <c r="J490" s="540" t="n"/>
      <c r="K490" s="540" t="n"/>
      <c r="L490" s="540" t="n"/>
      <c r="M490" s="540" t="n"/>
    </row>
    <row r="491">
      <c r="A491" s="540" t="n"/>
      <c r="B491" s="540" t="n"/>
      <c r="C491" s="540" t="n"/>
      <c r="D491" s="540" t="n"/>
      <c r="E491" s="540" t="n"/>
      <c r="F491" s="540" t="n"/>
      <c r="G491" s="540" t="n"/>
      <c r="H491" s="540" t="n"/>
      <c r="I491" s="540" t="n"/>
      <c r="J491" s="540" t="n"/>
      <c r="K491" s="540" t="n"/>
      <c r="L491" s="540" t="n"/>
      <c r="M491" s="540" t="n"/>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13"/>
  <sheetViews>
    <sheetView showGridLines="0" workbookViewId="0">
      <pane ySplit="12" topLeftCell="A13" activePane="bottomLeft" state="frozen"/>
      <selection pane="bottomLeft" activeCell="A1" sqref="A1"/>
    </sheetView>
  </sheetViews>
  <sheetFormatPr baseColWidth="8" defaultRowHeight="15"/>
  <cols>
    <col width="16" customWidth="1" style="537" min="1" max="1"/>
    <col width="16" customWidth="1" style="537" min="2" max="2"/>
    <col width="10" customWidth="1" style="537" min="3" max="3"/>
    <col width="16" customWidth="1" style="537" min="4" max="4"/>
    <col width="18" customWidth="1" style="537" min="5" max="5"/>
    <col width="14" customWidth="1" style="537" min="6" max="6"/>
    <col width="30" customWidth="1" style="537" min="7" max="7"/>
    <col width="14" customWidth="1" style="537" min="8" max="8"/>
    <col width="18" customWidth="1" style="537" min="9" max="9"/>
    <col width="34" customWidth="1" style="537" min="10" max="10"/>
    <col width="14" customWidth="1" style="537" min="11" max="11"/>
    <col width="18" customWidth="1" style="537" min="12" max="12"/>
    <col width="34" customWidth="1" style="537" min="13" max="13"/>
  </cols>
  <sheetData>
    <row r="1">
      <c r="A1" s="638" t="inlineStr">
        <is>
          <t>营业额导入核验（纯函数）</t>
        </is>
      </c>
    </row>
    <row r="3">
      <c r="A3" t="inlineStr">
        <is>
          <t>输出记录数</t>
        </is>
      </c>
      <c r="B3">
        <f>ROWS('函数目标输出'!A4#)</f>
        <v/>
      </c>
    </row>
    <row r="4">
      <c r="A4" t="inlineStr">
        <is>
          <t>正常</t>
        </is>
      </c>
      <c r="B4">
        <f>COUNTIF(INDEX('函数目标输出'!A4#,0,1),"正常")</f>
        <v/>
      </c>
    </row>
    <row r="5">
      <c r="A5" t="inlineStr">
        <is>
          <t>保留人工营业额</t>
        </is>
      </c>
      <c r="B5">
        <f>COUNTIF(INDEX('函数目标输出'!A4#,0,1),"保留人工录入")</f>
        <v/>
      </c>
    </row>
    <row r="6">
      <c r="A6" t="inlineStr">
        <is>
          <t>待核验</t>
        </is>
      </c>
      <c r="B6">
        <f>COUNTIF(INDEX('函数目标输出'!A4#,0,1),"待核验")</f>
        <v/>
      </c>
    </row>
    <row r="7">
      <c r="A7" t="inlineStr">
        <is>
          <t>新增窗口</t>
        </is>
      </c>
      <c r="B7">
        <f>COUNTIF(INDEX('函数目标输出'!A4#,0,1),"新增窗口")</f>
        <v/>
      </c>
    </row>
    <row r="8">
      <c r="A8" t="inlineStr">
        <is>
          <t>责任人变更</t>
        </is>
      </c>
      <c r="B8">
        <f>COUNTIF(INDEX('函数目标输出'!A4#,0,1),"新增（责任人变更）")</f>
        <v/>
      </c>
    </row>
    <row r="10">
      <c r="A10" s="648" t="inlineStr">
        <is>
          <t>明细：点击“数据源行”跳转到本文件内的营业额数据源。</t>
        </is>
      </c>
    </row>
    <row r="12">
      <c r="A12" s="640" t="inlineStr">
        <is>
          <t>状态</t>
        </is>
      </c>
      <c r="B12" s="640" t="inlineStr">
        <is>
          <t>数据源行（点击跳转）</t>
        </is>
      </c>
      <c r="C12" s="640" t="inlineStr">
        <is>
          <t>标记</t>
        </is>
      </c>
      <c r="D12" s="640" t="inlineStr">
        <is>
          <t>档口唯一标志</t>
        </is>
      </c>
      <c r="E12" s="640" t="inlineStr">
        <is>
          <t>分部名称</t>
        </is>
      </c>
      <c r="F12" s="640" t="inlineStr">
        <is>
          <t>项目代码</t>
        </is>
      </c>
      <c r="G12" s="640" t="inlineStr">
        <is>
          <t>项目名称</t>
        </is>
      </c>
      <c r="H12" s="640" t="inlineStr">
        <is>
          <t>项目类型</t>
        </is>
      </c>
      <c r="I12" s="640" t="inlineStr">
        <is>
          <t>分组作业名称</t>
        </is>
      </c>
      <c r="J12" s="640" t="inlineStr">
        <is>
          <t>分组作业窗口名称</t>
        </is>
      </c>
      <c r="K12" s="640" t="inlineStr">
        <is>
          <t>责任人</t>
        </is>
      </c>
      <c r="L12" s="640" t="inlineStr">
        <is>
          <t>当月营业额</t>
        </is>
      </c>
      <c r="M12" s="640" t="inlineStr">
        <is>
          <t>说明</t>
        </is>
      </c>
    </row>
    <row r="13">
      <c r="A13">
        <f>LET(x,'函数目标输出'!A4#,HSTACK(INDEX(x,,1),IF(INDEX(x,,2)="","",HYPERLINK("#'营业额数据源'!A"&amp;INDEX(x,,2),INDEX(x,,2))),DROP(x,,3)))</f>
        <v/>
      </c>
      <c r="L13" s="649" t="n"/>
    </row>
  </sheetData>
  <conditionalFormatting sqref="A13:M1200">
    <cfRule type="expression" priority="1" dxfId="18">
      <formula>$A13="待核验"</formula>
    </cfRule>
    <cfRule type="expression" priority="2" dxfId="17">
      <formula>LEFT($A13,2)="新增"</formula>
    </cfRule>
    <cfRule type="expression" priority="3" dxfId="19">
      <formula>$A13="保留人工录入"</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14" customWidth="1" style="537" min="1" max="1"/>
    <col width="30" customWidth="1" style="537" min="2" max="2"/>
    <col width="18" customWidth="1" style="537" min="3" max="3"/>
    <col width="34" customWidth="1" style="537" min="4" max="4"/>
    <col width="14" customWidth="1" style="537" min="5" max="5"/>
    <col width="18" customWidth="1" style="537" min="6" max="6"/>
    <col width="36" customWidth="1" style="537" min="7" max="7"/>
  </cols>
  <sheetData>
    <row r="1">
      <c r="A1" s="638" t="inlineStr">
        <is>
          <t>人工营业额覆盖（优先级高于数据源；仅维护经确认的例外）</t>
        </is>
      </c>
    </row>
    <row r="3">
      <c r="A3" s="640" t="inlineStr">
        <is>
          <t>项目代码</t>
        </is>
      </c>
      <c r="B3" s="640" t="inlineStr">
        <is>
          <t>项目名称</t>
        </is>
      </c>
      <c r="C3" s="640" t="inlineStr">
        <is>
          <t>分组作业名称</t>
        </is>
      </c>
      <c r="D3" s="640" t="inlineStr">
        <is>
          <t>分组作业窗口名称</t>
        </is>
      </c>
      <c r="E3" s="640" t="inlineStr">
        <is>
          <t>责任人</t>
        </is>
      </c>
      <c r="F3" s="640" t="inlineStr">
        <is>
          <t>营业额覆盖</t>
        </is>
      </c>
      <c r="G3" s="640" t="inlineStr">
        <is>
          <t>覆盖原因</t>
        </is>
      </c>
    </row>
    <row r="4">
      <c r="A4" s="540" t="inlineStr">
        <is>
          <t>CF699</t>
        </is>
      </c>
      <c r="B4" s="540" t="inlineStr">
        <is>
          <t>徐医大第一食堂</t>
        </is>
      </c>
      <c r="C4" s="540" t="inlineStr">
        <is>
          <t>/</t>
        </is>
      </c>
      <c r="D4" s="540" t="inlineStr">
        <is>
          <t>麻辣烫</t>
        </is>
      </c>
      <c r="E4" s="540" t="inlineStr">
        <is>
          <t>董浩</t>
        </is>
      </c>
      <c r="F4" s="645" t="n">
        <v>3358.13</v>
      </c>
      <c r="G4" s="540" t="inlineStr">
        <is>
          <t>原模板人工营业额，已预置</t>
        </is>
      </c>
    </row>
    <row r="5">
      <c r="A5" s="540" t="inlineStr">
        <is>
          <t>CF699</t>
        </is>
      </c>
      <c r="B5" s="540" t="inlineStr">
        <is>
          <t>徐医大第一食堂</t>
        </is>
      </c>
      <c r="C5" s="540" t="inlineStr">
        <is>
          <t>/</t>
        </is>
      </c>
      <c r="D5" s="540" t="inlineStr">
        <is>
          <t>脆香鸡</t>
        </is>
      </c>
      <c r="E5" s="540" t="inlineStr">
        <is>
          <t>闫玉净</t>
        </is>
      </c>
      <c r="F5" s="645" t="n">
        <v>6538.5</v>
      </c>
      <c r="G5" s="540" t="inlineStr">
        <is>
          <t>原模板人工营业额，已预置</t>
        </is>
      </c>
    </row>
    <row r="6">
      <c r="A6" s="540" t="inlineStr">
        <is>
          <t>CF699</t>
        </is>
      </c>
      <c r="B6" s="540" t="inlineStr">
        <is>
          <t>徐医大第一食堂</t>
        </is>
      </c>
      <c r="C6" s="540" t="inlineStr">
        <is>
          <t>/</t>
        </is>
      </c>
      <c r="D6" s="540" t="inlineStr">
        <is>
          <t>鸡柳窜巷</t>
        </is>
      </c>
      <c r="E6" s="540" t="inlineStr">
        <is>
          <t>王晨</t>
        </is>
      </c>
      <c r="F6" s="645" t="n">
        <v>0</v>
      </c>
      <c r="G6" s="540" t="inlineStr">
        <is>
          <t>原模板人工营业额，已预置</t>
        </is>
      </c>
    </row>
    <row r="7">
      <c r="A7" s="540" t="inlineStr">
        <is>
          <t>CF699</t>
        </is>
      </c>
      <c r="B7" s="540" t="inlineStr">
        <is>
          <t>徐医大第一食堂</t>
        </is>
      </c>
      <c r="C7" s="540" t="inlineStr">
        <is>
          <t>/</t>
        </is>
      </c>
      <c r="D7" s="540" t="inlineStr">
        <is>
          <t>螺蛳粉</t>
        </is>
      </c>
      <c r="E7" s="540" t="inlineStr">
        <is>
          <t>王梅</t>
        </is>
      </c>
      <c r="F7" s="645" t="n">
        <v>6169.68</v>
      </c>
      <c r="G7" s="540" t="inlineStr">
        <is>
          <t>原模板人工营业额，已预置</t>
        </is>
      </c>
    </row>
    <row r="8">
      <c r="A8" s="540" t="inlineStr">
        <is>
          <t>CF699</t>
        </is>
      </c>
      <c r="B8" s="540" t="inlineStr">
        <is>
          <t>徐医大第一食堂</t>
        </is>
      </c>
      <c r="C8" s="540" t="inlineStr">
        <is>
          <t>/</t>
        </is>
      </c>
      <c r="D8" s="540" t="inlineStr">
        <is>
          <t>苏式汤面</t>
        </is>
      </c>
      <c r="E8" s="540" t="inlineStr">
        <is>
          <t>刘行行</t>
        </is>
      </c>
      <c r="F8" s="645" t="n">
        <v>5915.21</v>
      </c>
      <c r="G8" s="540" t="inlineStr">
        <is>
          <t>原模板人工营业额，已预置</t>
        </is>
      </c>
    </row>
    <row r="9">
      <c r="A9" s="540" t="inlineStr">
        <is>
          <t>CF699</t>
        </is>
      </c>
      <c r="B9" s="540" t="inlineStr">
        <is>
          <t>徐医大第一食堂</t>
        </is>
      </c>
      <c r="C9" s="540" t="inlineStr">
        <is>
          <t>/</t>
        </is>
      </c>
      <c r="D9" s="540" t="inlineStr">
        <is>
          <t>营养粥</t>
        </is>
      </c>
      <c r="E9" s="540" t="inlineStr">
        <is>
          <t>周冰</t>
        </is>
      </c>
      <c r="F9" s="645" t="n">
        <v>3626.3</v>
      </c>
      <c r="G9" s="540" t="inlineStr">
        <is>
          <t>原模板人工营业额，已预置</t>
        </is>
      </c>
    </row>
    <row r="10">
      <c r="A10" s="540" t="inlineStr">
        <is>
          <t>CF699</t>
        </is>
      </c>
      <c r="B10" s="540" t="inlineStr">
        <is>
          <t>徐医大第一食堂</t>
        </is>
      </c>
      <c r="C10" s="540" t="inlineStr">
        <is>
          <t>/</t>
        </is>
      </c>
      <c r="D10" s="540" t="inlineStr">
        <is>
          <t>辣椒炒肉</t>
        </is>
      </c>
      <c r="E10" s="540" t="inlineStr">
        <is>
          <t>王桐</t>
        </is>
      </c>
      <c r="F10" s="645" t="n">
        <v>4097.2</v>
      </c>
      <c r="G10" s="540" t="inlineStr">
        <is>
          <t>原模板人工营业额，已预置</t>
        </is>
      </c>
    </row>
    <row r="11">
      <c r="A11" s="540" t="inlineStr">
        <is>
          <t>CF699</t>
        </is>
      </c>
      <c r="B11" s="540" t="inlineStr">
        <is>
          <t>徐医大第一食堂</t>
        </is>
      </c>
      <c r="C11" s="540" t="inlineStr">
        <is>
          <t>/</t>
        </is>
      </c>
      <c r="D11" s="540" t="inlineStr">
        <is>
          <t>板煮演义</t>
        </is>
      </c>
      <c r="E11" s="540" t="inlineStr">
        <is>
          <t>郑亚兰</t>
        </is>
      </c>
      <c r="F11" s="645" t="n">
        <v>2538</v>
      </c>
      <c r="G11" s="540" t="inlineStr">
        <is>
          <t>原模板人工营业额，已预置</t>
        </is>
      </c>
    </row>
    <row r="12">
      <c r="A12" s="540" t="inlineStr">
        <is>
          <t>CF699</t>
        </is>
      </c>
      <c r="B12" s="540" t="inlineStr">
        <is>
          <t>徐医大第一食堂</t>
        </is>
      </c>
      <c r="C12" s="540" t="inlineStr">
        <is>
          <t>/</t>
        </is>
      </c>
      <c r="D12" s="540" t="inlineStr">
        <is>
          <t>老翟板面</t>
        </is>
      </c>
      <c r="E12" s="540" t="inlineStr">
        <is>
          <t>经蕊蕊</t>
        </is>
      </c>
      <c r="F12" s="645" t="n">
        <v>2745.4</v>
      </c>
      <c r="G12" s="540" t="inlineStr">
        <is>
          <t>原模板人工营业额，已预置</t>
        </is>
      </c>
    </row>
    <row r="13">
      <c r="A13" s="540" t="inlineStr">
        <is>
          <t>CF699</t>
        </is>
      </c>
      <c r="B13" s="540" t="inlineStr">
        <is>
          <t>徐医大第一食堂</t>
        </is>
      </c>
      <c r="C13" s="540" t="inlineStr">
        <is>
          <t>/</t>
        </is>
      </c>
      <c r="D13" s="540" t="inlineStr">
        <is>
          <t>杂粮煎饼</t>
        </is>
      </c>
      <c r="E13" s="540" t="inlineStr">
        <is>
          <t>陈希广</t>
        </is>
      </c>
      <c r="F13" s="645" t="n">
        <v>4510.1</v>
      </c>
      <c r="G13" s="540" t="inlineStr">
        <is>
          <t>原模板人工营业额，已预置</t>
        </is>
      </c>
    </row>
    <row r="14">
      <c r="A14" s="540" t="inlineStr">
        <is>
          <t>CF699</t>
        </is>
      </c>
      <c r="B14" s="540" t="inlineStr">
        <is>
          <t>徐医大第一食堂</t>
        </is>
      </c>
      <c r="C14" s="540" t="inlineStr">
        <is>
          <t>/</t>
        </is>
      </c>
      <c r="D14" s="540" t="inlineStr">
        <is>
          <t>早餐</t>
        </is>
      </c>
      <c r="E14" s="540" t="inlineStr">
        <is>
          <t>张召兵</t>
        </is>
      </c>
      <c r="F14" s="645" t="n">
        <v>5714.25</v>
      </c>
      <c r="G14" s="540" t="inlineStr">
        <is>
          <t>原模板人工营业额，已预置</t>
        </is>
      </c>
    </row>
    <row r="15">
      <c r="A15" s="540" t="inlineStr">
        <is>
          <t>CF699</t>
        </is>
      </c>
      <c r="B15" s="540" t="inlineStr">
        <is>
          <t>徐医大第一食堂</t>
        </is>
      </c>
      <c r="C15" s="540" t="inlineStr">
        <is>
          <t>/</t>
        </is>
      </c>
      <c r="D15" s="540" t="inlineStr">
        <is>
          <t>快餐</t>
        </is>
      </c>
      <c r="E15" s="540" t="inlineStr">
        <is>
          <t>任现军</t>
        </is>
      </c>
      <c r="F15" s="645" t="n">
        <v>0</v>
      </c>
      <c r="G15" s="540" t="inlineStr">
        <is>
          <t>原模板人工营业额，已预置</t>
        </is>
      </c>
    </row>
    <row r="16">
      <c r="A16" s="540" t="inlineStr">
        <is>
          <t>CF699</t>
        </is>
      </c>
      <c r="B16" s="540" t="inlineStr">
        <is>
          <t>徐医大第一食堂</t>
        </is>
      </c>
      <c r="C16" s="540" t="inlineStr">
        <is>
          <t>/</t>
        </is>
      </c>
      <c r="D16" s="540" t="inlineStr">
        <is>
          <t>精品套餐</t>
        </is>
      </c>
      <c r="E16" s="540" t="inlineStr">
        <is>
          <t>任现军</t>
        </is>
      </c>
      <c r="F16" s="645" t="n">
        <v>0</v>
      </c>
      <c r="G16" s="540" t="inlineStr">
        <is>
          <t>原模板人工营业额，已预置</t>
        </is>
      </c>
    </row>
    <row r="17">
      <c r="A17" s="540" t="inlineStr">
        <is>
          <t>CF699</t>
        </is>
      </c>
      <c r="B17" s="540" t="inlineStr">
        <is>
          <t>徐医大第一食堂</t>
        </is>
      </c>
      <c r="C17" s="540" t="inlineStr">
        <is>
          <t>/</t>
        </is>
      </c>
      <c r="D17" s="540" t="inlineStr">
        <is>
          <t>家家乐烘焙</t>
        </is>
      </c>
      <c r="E17" s="540" t="inlineStr">
        <is>
          <t>朱江平</t>
        </is>
      </c>
      <c r="F17" s="645" t="n">
        <v>5061.1</v>
      </c>
      <c r="G17" s="540" t="inlineStr">
        <is>
          <t>原模板人工营业额，已预置</t>
        </is>
      </c>
    </row>
    <row r="18">
      <c r="A18" s="540" t="inlineStr">
        <is>
          <t>CF699</t>
        </is>
      </c>
      <c r="B18" s="540" t="inlineStr">
        <is>
          <t>徐医大第一食堂</t>
        </is>
      </c>
      <c r="C18" s="540" t="inlineStr">
        <is>
          <t>/</t>
        </is>
      </c>
      <c r="D18" s="540" t="inlineStr">
        <is>
          <t>马老头江南小吃（炒饭）</t>
        </is>
      </c>
      <c r="E18" s="540" t="inlineStr">
        <is>
          <t>曾莉</t>
        </is>
      </c>
      <c r="F18" s="645" t="n">
        <v>4009.4</v>
      </c>
      <c r="G18" s="540" t="inlineStr">
        <is>
          <t>原模板人工营业额，已预置</t>
        </is>
      </c>
    </row>
    <row r="19">
      <c r="A19" s="540" t="inlineStr">
        <is>
          <t>CF699</t>
        </is>
      </c>
      <c r="B19" s="540" t="inlineStr">
        <is>
          <t>徐医大第一食堂</t>
        </is>
      </c>
      <c r="C19" s="540" t="inlineStr">
        <is>
          <t>/</t>
        </is>
      </c>
      <c r="D19" s="540" t="inlineStr">
        <is>
          <t>鸡架拌面</t>
        </is>
      </c>
      <c r="E19" s="540" t="inlineStr">
        <is>
          <t>冀振杰</t>
        </is>
      </c>
      <c r="F19" s="645" t="n">
        <v>0</v>
      </c>
      <c r="G19" s="540" t="inlineStr">
        <is>
          <t>原模板人工营业额，已预置</t>
        </is>
      </c>
    </row>
    <row r="20">
      <c r="A20" s="540" t="inlineStr">
        <is>
          <t>CF699</t>
        </is>
      </c>
      <c r="B20" s="540" t="inlineStr">
        <is>
          <t>徐医大第一食堂</t>
        </is>
      </c>
      <c r="C20" s="540" t="inlineStr">
        <is>
          <t>/</t>
        </is>
      </c>
      <c r="D20" s="540" t="inlineStr">
        <is>
          <t>自选称菜</t>
        </is>
      </c>
      <c r="E20" s="540" t="inlineStr">
        <is>
          <t>韦志得</t>
        </is>
      </c>
      <c r="F20" s="645" t="n">
        <v>7929.73</v>
      </c>
      <c r="G20" s="540" t="inlineStr">
        <is>
          <t>原模板人工营业额，已预置</t>
        </is>
      </c>
    </row>
    <row r="21">
      <c r="A21" s="540" t="inlineStr">
        <is>
          <t>CF699</t>
        </is>
      </c>
      <c r="B21" s="540" t="inlineStr">
        <is>
          <t>徐医大第一食堂</t>
        </is>
      </c>
      <c r="C21" s="540" t="inlineStr">
        <is>
          <t>/</t>
        </is>
      </c>
      <c r="D21" s="540" t="inlineStr">
        <is>
          <t>药膳卤肉套餐饭</t>
        </is>
      </c>
      <c r="E21" s="540" t="inlineStr">
        <is>
          <t>崔小平</t>
        </is>
      </c>
      <c r="F21" s="645" t="n">
        <v>997.5</v>
      </c>
      <c r="G21" s="540" t="inlineStr">
        <is>
          <t>原模板人工营业额，已预置</t>
        </is>
      </c>
    </row>
    <row r="22">
      <c r="A22" s="540" t="inlineStr">
        <is>
          <t>CF699</t>
        </is>
      </c>
      <c r="B22" s="540" t="inlineStr">
        <is>
          <t>徐医大第一食堂</t>
        </is>
      </c>
      <c r="C22" s="540" t="inlineStr">
        <is>
          <t>/</t>
        </is>
      </c>
      <c r="D22" s="540" t="inlineStr">
        <is>
          <t>千里香馄饨</t>
        </is>
      </c>
      <c r="E22" s="540" t="inlineStr">
        <is>
          <t>王才早</t>
        </is>
      </c>
      <c r="F22" s="645" t="n">
        <v>5267.1</v>
      </c>
      <c r="G22" s="540" t="inlineStr">
        <is>
          <t>原模板人工营业额，已预置</t>
        </is>
      </c>
    </row>
    <row r="23">
      <c r="A23" s="540" t="inlineStr">
        <is>
          <t>CF699</t>
        </is>
      </c>
      <c r="B23" s="540" t="inlineStr">
        <is>
          <t>徐医大第一食堂</t>
        </is>
      </c>
      <c r="C23" s="540" t="inlineStr">
        <is>
          <t>/</t>
        </is>
      </c>
      <c r="D23" s="540" t="inlineStr">
        <is>
          <t>农家小炒盖浇饭</t>
        </is>
      </c>
      <c r="E23" s="540" t="inlineStr">
        <is>
          <t>崔小平</t>
        </is>
      </c>
      <c r="F23" s="645" t="n">
        <v>5204.8</v>
      </c>
      <c r="G23" s="540" t="inlineStr">
        <is>
          <t>原模板人工营业额，已预置</t>
        </is>
      </c>
    </row>
    <row r="24">
      <c r="A24" s="540" t="inlineStr">
        <is>
          <t>CF699</t>
        </is>
      </c>
      <c r="B24" s="540" t="inlineStr">
        <is>
          <t>徐医大第一食堂</t>
        </is>
      </c>
      <c r="C24" s="540" t="inlineStr">
        <is>
          <t>/</t>
        </is>
      </c>
      <c r="D24" s="540" t="inlineStr">
        <is>
          <t>蜜雪冰城</t>
        </is>
      </c>
      <c r="E24" s="540" t="inlineStr">
        <is>
          <t>周雨</t>
        </is>
      </c>
      <c r="F24" s="645" t="n">
        <v>12185.1</v>
      </c>
      <c r="G24" s="540" t="inlineStr">
        <is>
          <t>原模板人工营业额，已预置</t>
        </is>
      </c>
    </row>
    <row r="25">
      <c r="A25" s="540" t="inlineStr">
        <is>
          <t>CF213</t>
        </is>
      </c>
      <c r="B25" s="540" t="inlineStr">
        <is>
          <t>苏州大脑营行餐厅</t>
        </is>
      </c>
      <c r="C25" s="540" t="inlineStr">
        <is>
          <t>第一班组</t>
        </is>
      </c>
      <c r="D25" s="540" t="inlineStr">
        <is>
          <t>湘菜</t>
        </is>
      </c>
      <c r="E25" s="540" t="inlineStr">
        <is>
          <t>李勇</t>
        </is>
      </c>
      <c r="F25" s="645" t="n">
        <v>97527</v>
      </c>
      <c r="G25" s="540" t="inlineStr">
        <is>
          <t>原模板人工营业额，已预置</t>
        </is>
      </c>
    </row>
    <row r="26">
      <c r="A26" s="540" t="inlineStr">
        <is>
          <t>CF213</t>
        </is>
      </c>
      <c r="B26" s="540" t="inlineStr">
        <is>
          <t>苏州大脑营行餐厅</t>
        </is>
      </c>
      <c r="C26" s="540" t="inlineStr">
        <is>
          <t>第二班组</t>
        </is>
      </c>
      <c r="D26" s="540" t="inlineStr">
        <is>
          <t>猪脚饭（酸菜鱼、米线、鸭血粉丝）</t>
        </is>
      </c>
      <c r="E26" s="540" t="inlineStr">
        <is>
          <t>黄永利</t>
        </is>
      </c>
      <c r="F26" s="645" t="n">
        <v>62472.01</v>
      </c>
      <c r="G26" s="540" t="inlineStr">
        <is>
          <t>原模板人工营业额，已预置</t>
        </is>
      </c>
    </row>
    <row r="27">
      <c r="A27" s="540" t="inlineStr">
        <is>
          <t>CF213</t>
        </is>
      </c>
      <c r="B27" s="540" t="inlineStr">
        <is>
          <t>苏州大脑营行餐厅</t>
        </is>
      </c>
      <c r="C27" s="540" t="inlineStr">
        <is>
          <t>第三班组</t>
        </is>
      </c>
      <c r="D27" s="540" t="inlineStr">
        <is>
          <t>黄焖鸡、沙县小吃</t>
        </is>
      </c>
      <c r="E27" s="540" t="inlineStr">
        <is>
          <t>苏嫩仔</t>
        </is>
      </c>
      <c r="F27" s="645" t="n">
        <v>74836</v>
      </c>
      <c r="G27" s="540" t="inlineStr">
        <is>
          <t>原模板人工营业额，已预置</t>
        </is>
      </c>
    </row>
    <row r="28">
      <c r="A28" s="540" t="inlineStr">
        <is>
          <t>CF699</t>
        </is>
      </c>
      <c r="B28" s="540" t="inlineStr">
        <is>
          <t>徐医大第一食堂</t>
        </is>
      </c>
      <c r="C28" s="540" t="inlineStr">
        <is>
          <t>/</t>
        </is>
      </c>
      <c r="D28" s="540" t="inlineStr">
        <is>
          <t>悦轻荷</t>
        </is>
      </c>
      <c r="E28" s="540" t="inlineStr">
        <is>
          <t>王于于</t>
        </is>
      </c>
      <c r="F28" s="645" t="n">
        <v>2632.4</v>
      </c>
      <c r="G28" s="540" t="inlineStr">
        <is>
          <t>原模板人工营业额，已预置</t>
        </is>
      </c>
    </row>
    <row r="29">
      <c r="A29" s="540" t="inlineStr">
        <is>
          <t>CF478</t>
        </is>
      </c>
      <c r="B29" s="540" t="inlineStr">
        <is>
          <t>苏州华杨电子餐厅</t>
        </is>
      </c>
      <c r="C29" s="540" t="inlineStr">
        <is>
          <t>/</t>
        </is>
      </c>
      <c r="D29" s="540" t="inlineStr">
        <is>
          <t>/</t>
        </is>
      </c>
      <c r="E29" s="540" t="inlineStr">
        <is>
          <t>武良军</t>
        </is>
      </c>
      <c r="F29" s="645" t="n">
        <v>177321</v>
      </c>
      <c r="G29" s="540" t="inlineStr">
        <is>
          <t>原模板人工营业额，已预置</t>
        </is>
      </c>
    </row>
    <row r="30">
      <c r="A30" s="540" t="inlineStr">
        <is>
          <t>CF700</t>
        </is>
      </c>
      <c r="B30" s="540" t="inlineStr">
        <is>
          <t>北理工长三角研究院(嘉兴）食堂</t>
        </is>
      </c>
      <c r="C30" s="540" t="inlineStr">
        <is>
          <t>自选快餐面条</t>
        </is>
      </c>
      <c r="D30" s="540" t="n"/>
      <c r="E30" s="540" t="n"/>
      <c r="F30" s="645" t="n">
        <v>213402.66</v>
      </c>
      <c r="G30" s="540" t="inlineStr">
        <is>
          <t>原模板人工营业额，已预置</t>
        </is>
      </c>
    </row>
    <row r="31">
      <c r="A31" s="540" t="inlineStr">
        <is>
          <t>CF699</t>
        </is>
      </c>
      <c r="B31" s="540" t="inlineStr">
        <is>
          <t>徐医大第一食堂</t>
        </is>
      </c>
      <c r="C31" s="540" t="inlineStr">
        <is>
          <t>/</t>
        </is>
      </c>
      <c r="D31" s="540" t="inlineStr">
        <is>
          <t>快餐</t>
        </is>
      </c>
      <c r="E31" s="540" t="inlineStr">
        <is>
          <t>张振</t>
        </is>
      </c>
      <c r="F31" s="645" t="n">
        <v>6859.1</v>
      </c>
      <c r="G31" s="540" t="inlineStr">
        <is>
          <t>原模板人工营业额，已预置</t>
        </is>
      </c>
    </row>
    <row r="32">
      <c r="A32" s="540" t="inlineStr">
        <is>
          <t>CF450</t>
        </is>
      </c>
      <c r="B32" s="540" t="inlineStr">
        <is>
          <t>天津大学学二食堂</t>
        </is>
      </c>
      <c r="C32" s="540" t="inlineStr">
        <is>
          <t>/</t>
        </is>
      </c>
      <c r="D32" s="540" t="inlineStr">
        <is>
          <t>牛肉面</t>
        </is>
      </c>
      <c r="E32" s="540" t="inlineStr">
        <is>
          <t>何元双</t>
        </is>
      </c>
      <c r="F32" s="645" t="n">
        <v>16536</v>
      </c>
      <c r="G32" s="540" t="inlineStr">
        <is>
          <t>原模板人工营业额，已预置</t>
        </is>
      </c>
    </row>
    <row r="33">
      <c r="A33" s="540" t="inlineStr">
        <is>
          <t>CF699</t>
        </is>
      </c>
      <c r="B33" s="540" t="inlineStr">
        <is>
          <t>徐医大第一食堂</t>
        </is>
      </c>
      <c r="C33" s="540" t="inlineStr">
        <is>
          <t>/</t>
        </is>
      </c>
      <c r="D33" s="540" t="inlineStr">
        <is>
          <t>炸串卷饼拌饭</t>
        </is>
      </c>
      <c r="E33" s="540" t="inlineStr">
        <is>
          <t>王倩</t>
        </is>
      </c>
      <c r="F33" s="645" t="n">
        <v>676.5700000000001</v>
      </c>
      <c r="G33" s="540" t="inlineStr">
        <is>
          <t>原模板人工营业额，已预置</t>
        </is>
      </c>
    </row>
    <row r="34">
      <c r="A34" s="540" t="inlineStr">
        <is>
          <t>CF699</t>
        </is>
      </c>
      <c r="B34" s="540" t="inlineStr">
        <is>
          <t>徐医大第一食堂</t>
        </is>
      </c>
      <c r="C34" s="540" t="inlineStr">
        <is>
          <t>/</t>
        </is>
      </c>
      <c r="D34" s="540" t="inlineStr">
        <is>
          <t>鸡架拌面</t>
        </is>
      </c>
      <c r="E34" s="540" t="inlineStr">
        <is>
          <t>姜艳芳</t>
        </is>
      </c>
      <c r="F34" s="645" t="n">
        <v>2954.9</v>
      </c>
      <c r="G34" s="540" t="inlineStr">
        <is>
          <t>原模板人工营业额，已预置</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F420"/>
  <sheetViews>
    <sheetView workbookViewId="0">
      <selection activeCell="A1" sqref="A1:N1"/>
    </sheetView>
  </sheetViews>
  <sheetFormatPr baseColWidth="8" defaultColWidth="9" defaultRowHeight="13.5"/>
  <cols>
    <col width="9" customWidth="1" style="27" min="1" max="1"/>
    <col width="16.25" customWidth="1" style="27" min="2" max="2"/>
    <col width="12.5" customWidth="1" style="534" min="3" max="4"/>
    <col width="21.125" customWidth="1" style="534" min="5" max="5"/>
    <col width="12.5" customWidth="1" style="29" min="6" max="6"/>
    <col width="12.5" customWidth="1" style="534" min="7" max="7"/>
    <col width="16.25" customWidth="1" style="534" min="8" max="8"/>
    <col width="29.375" customWidth="1" style="30" min="9" max="9"/>
    <col width="16.25" customWidth="1" style="31" min="10" max="10"/>
    <col width="12.5" customWidth="1" style="31" min="11" max="11"/>
    <col width="25.875" customWidth="1" style="542" min="12" max="12"/>
    <col width="10.75" customWidth="1" style="33" min="13" max="13"/>
    <col width="12.5" customWidth="1" style="27" min="14" max="15"/>
    <col width="14.25" customWidth="1" style="27" min="16" max="18"/>
    <col width="12.5" customWidth="1" style="27" min="19" max="19"/>
    <col width="12.5" customWidth="1" style="34" min="20" max="20"/>
    <col width="12.5" customWidth="1" style="33" min="21" max="21"/>
    <col width="12.5" customWidth="1" style="27" min="22" max="22"/>
    <col width="12.5" customWidth="1" style="31" min="23" max="23"/>
    <col width="14.25" customWidth="1" style="31" min="24" max="24"/>
    <col width="12.5" customWidth="1" style="31" min="25" max="25"/>
    <col width="14.25" customWidth="1" style="31" min="26" max="26"/>
    <col width="12.5" customWidth="1" style="31" min="27" max="27"/>
    <col width="27.875" customWidth="1" style="35" min="28" max="28"/>
    <col width="10.75" customWidth="1" style="534" min="29" max="29"/>
    <col width="41.5" customWidth="1" style="29" min="30" max="30"/>
    <col width="41.75" customWidth="1" style="30" min="31" max="31"/>
    <col width="53.5" customWidth="1" style="30" min="32" max="32"/>
  </cols>
  <sheetData>
    <row r="1" ht="18.75" customHeight="1" s="537">
      <c r="A1" s="36" t="inlineStr">
        <is>
          <t xml:space="preserve"> 2026年科桥餐饮公司各项指标明细</t>
        </is>
      </c>
      <c r="B1" s="37" t="n"/>
      <c r="C1" s="37" t="n"/>
      <c r="D1" s="37" t="n"/>
      <c r="E1" s="37" t="n"/>
      <c r="F1" s="37" t="n"/>
      <c r="G1" s="37" t="n"/>
      <c r="H1" s="37" t="n"/>
      <c r="I1" s="37" t="n"/>
      <c r="J1" s="37" t="n"/>
      <c r="K1" s="37" t="n"/>
      <c r="L1" s="37" t="n"/>
      <c r="M1" s="37" t="n"/>
      <c r="N1" s="37" t="n"/>
      <c r="O1" s="38" t="n"/>
      <c r="P1" s="38" t="n"/>
      <c r="Q1" s="38" t="n"/>
      <c r="R1" s="38" t="n"/>
      <c r="S1" s="38" t="n"/>
      <c r="T1" s="38" t="n"/>
      <c r="U1" s="38" t="n"/>
      <c r="V1" s="38" t="n"/>
      <c r="W1" s="38" t="n"/>
      <c r="X1" s="39" t="n"/>
      <c r="Y1" s="40" t="n"/>
      <c r="Z1" s="40" t="n"/>
      <c r="AA1" s="40" t="n"/>
      <c r="AB1" s="41" t="n"/>
      <c r="AC1" s="38" t="n"/>
      <c r="AD1" s="42" t="n"/>
      <c r="AE1" s="42" t="n"/>
      <c r="AF1" s="38" t="n"/>
    </row>
    <row r="2" ht="24" customFormat="1" customHeight="1" s="1">
      <c r="A2" s="3" t="inlineStr">
        <is>
          <t>序号</t>
        </is>
      </c>
      <c r="B2" s="3" t="inlineStr">
        <is>
          <t>档口唯一标志</t>
        </is>
      </c>
      <c r="C2" s="3" t="inlineStr">
        <is>
          <t>分部名称</t>
        </is>
      </c>
      <c r="D2" s="3" t="inlineStr">
        <is>
          <t>项目代码</t>
        </is>
      </c>
      <c r="E2" s="3" t="inlineStr">
        <is>
          <t>项目名称</t>
        </is>
      </c>
      <c r="F2" s="4" t="inlineStr">
        <is>
          <t>项目类型</t>
        </is>
      </c>
      <c r="G2" s="4" t="inlineStr">
        <is>
          <t>核算会计</t>
        </is>
      </c>
      <c r="H2" s="4" t="inlineStr">
        <is>
          <t>分组作业名称</t>
        </is>
      </c>
      <c r="I2" s="4" t="inlineStr">
        <is>
          <t>分组作业窗口名称</t>
        </is>
      </c>
      <c r="J2" s="4" t="inlineStr">
        <is>
          <t>签订人
（会议纪要）</t>
        </is>
      </c>
      <c r="K2" s="6" t="inlineStr">
        <is>
          <t>人员工资</t>
        </is>
      </c>
      <c r="L2" s="650" t="inlineStr">
        <is>
          <t>营业额指标
【部分金额折算成一年】</t>
        </is>
      </c>
      <c r="M2" s="8" t="inlineStr">
        <is>
          <t>服务费</t>
        </is>
      </c>
      <c r="N2" s="4" t="inlineStr">
        <is>
          <t>虫害消杀
(按实）</t>
        </is>
      </c>
      <c r="O2" s="4" t="inlineStr">
        <is>
          <t>采购费
（按实）</t>
        </is>
      </c>
      <c r="P2" s="6" t="inlineStr">
        <is>
          <t>装修折旧费
(按实）</t>
        </is>
      </c>
      <c r="Q2" s="6" t="inlineStr">
        <is>
          <t>管理人员费
（按实）</t>
        </is>
      </c>
      <c r="R2" s="6" t="inlineStr">
        <is>
          <t>共建活动费
（按实）</t>
        </is>
      </c>
      <c r="S2" s="6" t="inlineStr">
        <is>
          <t>资产费
（按实）</t>
        </is>
      </c>
      <c r="T2" s="9" t="inlineStr">
        <is>
          <t>卫生费
（按实）</t>
        </is>
      </c>
      <c r="U2" s="9" t="inlineStr">
        <is>
          <t>能源费
（按实）</t>
        </is>
      </c>
      <c r="V2" s="4" t="inlineStr">
        <is>
          <t>其他
（按实）</t>
        </is>
      </c>
      <c r="W2" s="4" t="inlineStr">
        <is>
          <t>原材料
（按实）</t>
        </is>
      </c>
      <c r="X2" s="10" t="inlineStr">
        <is>
          <t>甲方管理费
（按实）</t>
        </is>
      </c>
      <c r="Y2" s="10" t="inlineStr">
        <is>
          <t>甲方房租</t>
        </is>
      </c>
      <c r="Z2" s="10" t="inlineStr">
        <is>
          <t>甲方人员工资</t>
        </is>
      </c>
      <c r="AA2" s="10" t="inlineStr">
        <is>
          <t>甲方捐赠</t>
        </is>
      </c>
      <c r="AB2" s="11" t="inlineStr">
        <is>
          <t>分部管理费
（按实+固定值）</t>
        </is>
      </c>
      <c r="AC2" s="12" t="inlineStr">
        <is>
          <t>业务费</t>
        </is>
      </c>
      <c r="AD2" s="4" t="inlineStr">
        <is>
          <t>备注1</t>
        </is>
      </c>
      <c r="AE2" s="6" t="inlineStr">
        <is>
          <t>备注2</t>
        </is>
      </c>
      <c r="AF2" s="4" t="inlineStr">
        <is>
          <t>难以落地条款</t>
        </is>
      </c>
    </row>
    <row r="3" ht="12" customFormat="1" customHeight="1" s="209">
      <c r="A3" s="219" t="n">
        <v>1</v>
      </c>
      <c r="B3" s="14" t="inlineStr">
        <is>
          <t>KQCY0001</t>
        </is>
      </c>
      <c r="C3" s="221" t="inlineStr">
        <is>
          <t>餐饮一分部</t>
        </is>
      </c>
      <c r="D3" s="221" t="inlineStr">
        <is>
          <t>CF139</t>
        </is>
      </c>
      <c r="E3" s="221" t="inlineStr">
        <is>
          <t>苏州中科新药篮餐厅</t>
        </is>
      </c>
      <c r="F3" s="219" t="inlineStr">
        <is>
          <t>自营</t>
        </is>
      </c>
      <c r="G3" s="222" t="inlineStr">
        <is>
          <t>卫屹</t>
        </is>
      </c>
      <c r="H3" s="222" t="inlineStr">
        <is>
          <t>/</t>
        </is>
      </c>
      <c r="I3" s="355" t="inlineStr">
        <is>
          <t>/</t>
        </is>
      </c>
      <c r="J3" s="222" t="inlineStr">
        <is>
          <t>/</t>
        </is>
      </c>
      <c r="K3" s="224" t="inlineStr">
        <is>
          <t>/</t>
        </is>
      </c>
      <c r="L3" s="651" t="n">
        <v>1900000</v>
      </c>
      <c r="M3" s="224" t="inlineStr">
        <is>
          <t>/</t>
        </is>
      </c>
      <c r="N3" s="224" t="inlineStr">
        <is>
          <t>/</t>
        </is>
      </c>
      <c r="O3" s="224" t="inlineStr">
        <is>
          <t>/</t>
        </is>
      </c>
      <c r="P3" s="224" t="inlineStr">
        <is>
          <t>/</t>
        </is>
      </c>
      <c r="Q3" s="224" t="inlineStr">
        <is>
          <t>/</t>
        </is>
      </c>
      <c r="R3" s="224" t="inlineStr">
        <is>
          <t>/</t>
        </is>
      </c>
      <c r="S3" s="224" t="inlineStr">
        <is>
          <t>/</t>
        </is>
      </c>
      <c r="T3" s="224" t="inlineStr">
        <is>
          <t>/</t>
        </is>
      </c>
      <c r="U3" s="224" t="inlineStr">
        <is>
          <t>/</t>
        </is>
      </c>
      <c r="V3" s="224" t="inlineStr">
        <is>
          <t>/</t>
        </is>
      </c>
      <c r="W3" s="44" t="n"/>
      <c r="X3" s="461" t="inlineStr">
        <is>
          <t>/</t>
        </is>
      </c>
      <c r="Y3" s="461" t="inlineStr">
        <is>
          <t>/</t>
        </is>
      </c>
      <c r="Z3" s="461" t="inlineStr">
        <is>
          <t>/</t>
        </is>
      </c>
      <c r="AA3" s="461" t="inlineStr">
        <is>
          <t>/</t>
        </is>
      </c>
      <c r="AB3" s="46" t="n">
        <v>0.06</v>
      </c>
      <c r="AC3" s="46" t="inlineStr">
        <is>
          <t>/</t>
        </is>
      </c>
      <c r="AD3" s="232" t="n"/>
      <c r="AE3" s="232" t="n"/>
      <c r="AF3" s="206" t="n"/>
    </row>
    <row r="4" ht="48" customFormat="1" customHeight="1" s="209">
      <c r="A4" s="219" t="n">
        <v>2</v>
      </c>
      <c r="B4" s="14" t="inlineStr">
        <is>
          <t>KQCY0002</t>
        </is>
      </c>
      <c r="C4" s="221" t="inlineStr">
        <is>
          <t>餐饮一分部</t>
        </is>
      </c>
      <c r="D4" s="221" t="inlineStr">
        <is>
          <t>CF481</t>
        </is>
      </c>
      <c r="E4" s="221" t="inlineStr">
        <is>
          <t>常熟世华高级中学食堂</t>
        </is>
      </c>
      <c r="F4" s="219" t="inlineStr">
        <is>
          <t>自营</t>
        </is>
      </c>
      <c r="G4" s="222" t="inlineStr">
        <is>
          <t>卫屹</t>
        </is>
      </c>
      <c r="H4" s="222" t="inlineStr">
        <is>
          <t>/</t>
        </is>
      </c>
      <c r="I4" s="355" t="inlineStr">
        <is>
          <t>/</t>
        </is>
      </c>
      <c r="J4" s="222" t="inlineStr">
        <is>
          <t>/</t>
        </is>
      </c>
      <c r="K4" s="224" t="inlineStr">
        <is>
          <t>/</t>
        </is>
      </c>
      <c r="L4" s="651" t="n">
        <v>2600000</v>
      </c>
      <c r="M4" s="224" t="inlineStr">
        <is>
          <t>/</t>
        </is>
      </c>
      <c r="N4" s="224" t="inlineStr">
        <is>
          <t>/</t>
        </is>
      </c>
      <c r="O4" s="224" t="inlineStr">
        <is>
          <t>/</t>
        </is>
      </c>
      <c r="P4" s="224" t="inlineStr">
        <is>
          <t>/</t>
        </is>
      </c>
      <c r="Q4" s="224" t="inlineStr">
        <is>
          <t>/</t>
        </is>
      </c>
      <c r="R4" s="224" t="inlineStr">
        <is>
          <t>/</t>
        </is>
      </c>
      <c r="S4" s="224" t="inlineStr">
        <is>
          <t>/</t>
        </is>
      </c>
      <c r="T4" s="224" t="inlineStr">
        <is>
          <t>/</t>
        </is>
      </c>
      <c r="U4" s="224" t="inlineStr">
        <is>
          <t>/</t>
        </is>
      </c>
      <c r="V4" s="224" t="inlineStr">
        <is>
          <t>/</t>
        </is>
      </c>
      <c r="W4" s="47" t="n"/>
      <c r="X4" s="461" t="inlineStr">
        <is>
          <t>/</t>
        </is>
      </c>
      <c r="Y4" s="461" t="inlineStr">
        <is>
          <t>/</t>
        </is>
      </c>
      <c r="Z4" s="461" t="inlineStr">
        <is>
          <t>/</t>
        </is>
      </c>
      <c r="AA4" s="461" t="inlineStr">
        <is>
          <t>/</t>
        </is>
      </c>
      <c r="AB4" s="46" t="n">
        <v>0.0585</v>
      </c>
      <c r="AC4" s="46" t="n">
        <v>0.005</v>
      </c>
      <c r="AD4" s="48" t="inlineStr">
        <is>
          <t>1、原材料：若政府部门要求执行“阳光平台”的原材料比例，乙方实际经营中原材料比例与阳光平台规定比例的差额的处理和费用都由甲方承担。（阳光平台原材料占餐食营业额比例≥75%，项目按实际领用）</t>
        </is>
      </c>
      <c r="AE4" s="25" t="n"/>
      <c r="AF4" s="206" t="n"/>
    </row>
    <row r="5" ht="12" customFormat="1" customHeight="1" s="209">
      <c r="A5" s="219" t="n">
        <v>3</v>
      </c>
      <c r="B5" s="14" t="inlineStr">
        <is>
          <t>KQCY0003</t>
        </is>
      </c>
      <c r="C5" s="221" t="inlineStr">
        <is>
          <t>餐饮一分部</t>
        </is>
      </c>
      <c r="D5" s="221" t="inlineStr">
        <is>
          <t>CF478</t>
        </is>
      </c>
      <c r="E5" s="221" t="inlineStr">
        <is>
          <t>苏州华杨电子餐厅</t>
        </is>
      </c>
      <c r="F5" s="219" t="inlineStr">
        <is>
          <t>强责</t>
        </is>
      </c>
      <c r="G5" s="222" t="inlineStr">
        <is>
          <t>陆琪</t>
        </is>
      </c>
      <c r="H5" s="222" t="inlineStr">
        <is>
          <t>/</t>
        </is>
      </c>
      <c r="I5" s="232" t="inlineStr">
        <is>
          <t>/</t>
        </is>
      </c>
      <c r="J5" s="222" t="inlineStr">
        <is>
          <t>武良军</t>
        </is>
      </c>
      <c r="K5" s="224" t="inlineStr">
        <is>
          <t>/</t>
        </is>
      </c>
      <c r="L5" s="651" t="n">
        <v>2200000</v>
      </c>
      <c r="M5" s="502" t="inlineStr">
        <is>
          <t>/</t>
        </is>
      </c>
      <c r="N5" s="502" t="inlineStr">
        <is>
          <t>/</t>
        </is>
      </c>
      <c r="O5" s="49" t="n">
        <v>0.01</v>
      </c>
      <c r="P5" s="502" t="inlineStr">
        <is>
          <t>/</t>
        </is>
      </c>
      <c r="Q5" s="502" t="inlineStr">
        <is>
          <t>/</t>
        </is>
      </c>
      <c r="R5" s="502" t="inlineStr">
        <is>
          <t>/</t>
        </is>
      </c>
      <c r="S5" s="502" t="inlineStr">
        <is>
          <t>/</t>
        </is>
      </c>
      <c r="T5" s="503" t="inlineStr">
        <is>
          <t>/</t>
        </is>
      </c>
      <c r="U5" s="502" t="inlineStr">
        <is>
          <t>/</t>
        </is>
      </c>
      <c r="V5" s="502" t="inlineStr">
        <is>
          <t>/</t>
        </is>
      </c>
      <c r="W5" s="50" t="n"/>
      <c r="X5" s="51" t="inlineStr">
        <is>
          <t>/</t>
        </is>
      </c>
      <c r="Y5" s="51" t="inlineStr">
        <is>
          <t>/</t>
        </is>
      </c>
      <c r="Z5" s="51" t="inlineStr">
        <is>
          <t>/</t>
        </is>
      </c>
      <c r="AA5" s="51" t="inlineStr">
        <is>
          <t>/</t>
        </is>
      </c>
      <c r="AB5" s="51" t="n">
        <v>0.04</v>
      </c>
      <c r="AC5" s="46" t="inlineStr">
        <is>
          <t>/</t>
        </is>
      </c>
      <c r="AD5" s="232" t="n"/>
      <c r="AE5" s="25" t="n"/>
      <c r="AF5" s="206" t="n"/>
    </row>
    <row r="6" ht="12" customFormat="1" customHeight="1" s="209">
      <c r="A6" s="219" t="n">
        <v>4</v>
      </c>
      <c r="B6" s="14" t="inlineStr">
        <is>
          <t>KQCY0004</t>
        </is>
      </c>
      <c r="C6" s="221" t="inlineStr">
        <is>
          <t>餐饮一分部</t>
        </is>
      </c>
      <c r="D6" s="221" t="inlineStr">
        <is>
          <t>CF751</t>
        </is>
      </c>
      <c r="E6" s="221" t="inlineStr">
        <is>
          <t>国防科大（长沙）食堂</t>
        </is>
      </c>
      <c r="F6" s="219" t="inlineStr">
        <is>
          <t>人员服务外包</t>
        </is>
      </c>
      <c r="G6" s="222" t="inlineStr">
        <is>
          <t>陆琪</t>
        </is>
      </c>
      <c r="H6" s="222" t="inlineStr">
        <is>
          <t>/</t>
        </is>
      </c>
      <c r="I6" s="355" t="inlineStr">
        <is>
          <t>/</t>
        </is>
      </c>
      <c r="J6" s="222" t="inlineStr">
        <is>
          <t>/</t>
        </is>
      </c>
      <c r="K6" s="224" t="inlineStr">
        <is>
          <t>/</t>
        </is>
      </c>
      <c r="L6" s="651" t="n">
        <v>8931000</v>
      </c>
      <c r="M6" s="502" t="inlineStr">
        <is>
          <t>/</t>
        </is>
      </c>
      <c r="N6" s="502" t="inlineStr">
        <is>
          <t>/</t>
        </is>
      </c>
      <c r="O6" s="502" t="inlineStr">
        <is>
          <t>/</t>
        </is>
      </c>
      <c r="P6" s="502" t="inlineStr">
        <is>
          <t>/</t>
        </is>
      </c>
      <c r="Q6" s="502" t="inlineStr">
        <is>
          <t>/</t>
        </is>
      </c>
      <c r="R6" s="502" t="inlineStr">
        <is>
          <t>/</t>
        </is>
      </c>
      <c r="S6" s="502" t="inlineStr">
        <is>
          <t>/</t>
        </is>
      </c>
      <c r="T6" s="503" t="inlineStr">
        <is>
          <t>/</t>
        </is>
      </c>
      <c r="U6" s="502" t="inlineStr">
        <is>
          <t>/</t>
        </is>
      </c>
      <c r="V6" s="502" t="inlineStr">
        <is>
          <t>/</t>
        </is>
      </c>
      <c r="W6" s="503" t="inlineStr">
        <is>
          <t>/</t>
        </is>
      </c>
      <c r="X6" s="51" t="inlineStr">
        <is>
          <t>/</t>
        </is>
      </c>
      <c r="Y6" s="51" t="inlineStr">
        <is>
          <t>/</t>
        </is>
      </c>
      <c r="Z6" s="51" t="inlineStr">
        <is>
          <t>/</t>
        </is>
      </c>
      <c r="AA6" s="51" t="inlineStr">
        <is>
          <t>/</t>
        </is>
      </c>
      <c r="AB6" s="46" t="n">
        <v>0.045</v>
      </c>
      <c r="AC6" s="46" t="inlineStr">
        <is>
          <t>/</t>
        </is>
      </c>
      <c r="AD6" s="232" t="n"/>
      <c r="AE6" s="25" t="n"/>
      <c r="AF6" s="206" t="n"/>
    </row>
    <row r="7" ht="24" customFormat="1" customHeight="1" s="209">
      <c r="A7" s="219" t="n">
        <v>5</v>
      </c>
      <c r="B7" s="14" t="inlineStr">
        <is>
          <t>KQCY0005</t>
        </is>
      </c>
      <c r="C7" s="221" t="inlineStr">
        <is>
          <t>餐饮一分部</t>
        </is>
      </c>
      <c r="D7" s="221" t="inlineStr">
        <is>
          <t>CF474</t>
        </is>
      </c>
      <c r="E7" s="221" t="inlineStr">
        <is>
          <t>安工大七食堂</t>
        </is>
      </c>
      <c r="F7" s="219" t="inlineStr">
        <is>
          <t>强责</t>
        </is>
      </c>
      <c r="G7" s="222" t="inlineStr">
        <is>
          <t>卫屹</t>
        </is>
      </c>
      <c r="H7" s="222" t="inlineStr">
        <is>
          <t>/</t>
        </is>
      </c>
      <c r="I7" s="232" t="inlineStr">
        <is>
          <t>/</t>
        </is>
      </c>
      <c r="J7" s="503" t="inlineStr">
        <is>
          <t>李俊彦</t>
        </is>
      </c>
      <c r="K7" s="224" t="inlineStr">
        <is>
          <t>/</t>
        </is>
      </c>
      <c r="L7" s="651" t="inlineStr">
        <is>
          <t>/</t>
        </is>
      </c>
      <c r="M7" s="502" t="inlineStr">
        <is>
          <t>/</t>
        </is>
      </c>
      <c r="N7" s="502" t="inlineStr">
        <is>
          <t>/</t>
        </is>
      </c>
      <c r="O7" s="502" t="inlineStr">
        <is>
          <t>/</t>
        </is>
      </c>
      <c r="P7" s="502" t="inlineStr">
        <is>
          <t>/</t>
        </is>
      </c>
      <c r="Q7" s="502" t="inlineStr">
        <is>
          <t>/</t>
        </is>
      </c>
      <c r="R7" s="502" t="inlineStr">
        <is>
          <t>/</t>
        </is>
      </c>
      <c r="S7" s="502" t="inlineStr">
        <is>
          <t>/</t>
        </is>
      </c>
      <c r="T7" s="503" t="inlineStr">
        <is>
          <t>/</t>
        </is>
      </c>
      <c r="U7" s="502" t="inlineStr">
        <is>
          <t>/</t>
        </is>
      </c>
      <c r="V7" s="502" t="inlineStr">
        <is>
          <t>/</t>
        </is>
      </c>
      <c r="W7" s="47" t="n">
        <v>0.55</v>
      </c>
      <c r="X7" s="461" t="inlineStr">
        <is>
          <t>/</t>
        </is>
      </c>
      <c r="Y7" s="461" t="inlineStr">
        <is>
          <t>/</t>
        </is>
      </c>
      <c r="Z7" s="461" t="inlineStr">
        <is>
          <t>/</t>
        </is>
      </c>
      <c r="AA7" s="461" t="inlineStr">
        <is>
          <t>/</t>
        </is>
      </c>
      <c r="AB7" s="46" t="n">
        <v>0.015</v>
      </c>
      <c r="AC7" s="652" t="inlineStr">
        <is>
          <t>/</t>
        </is>
      </c>
      <c r="AD7" s="48" t="inlineStr">
        <is>
          <t>1、原材料：安徽工业大学食堂食品原材料定点采购办法约定食品原材料≥55%营业额（不含一次性打包用品）</t>
        </is>
      </c>
      <c r="AE7" s="25" t="n"/>
      <c r="AF7" s="206" t="n"/>
    </row>
    <row r="8" ht="82.5" customFormat="1" customHeight="1" s="209">
      <c r="A8" s="219" t="n">
        <v>6</v>
      </c>
      <c r="B8" s="14" t="inlineStr">
        <is>
          <t>KQCY0006</t>
        </is>
      </c>
      <c r="C8" s="221" t="inlineStr">
        <is>
          <t>餐饮一分部</t>
        </is>
      </c>
      <c r="D8" s="221" t="inlineStr">
        <is>
          <t>CF474</t>
        </is>
      </c>
      <c r="E8" s="221" t="inlineStr">
        <is>
          <t>安工大七食堂</t>
        </is>
      </c>
      <c r="F8" s="219" t="inlineStr">
        <is>
          <t>强责</t>
        </is>
      </c>
      <c r="G8" s="222" t="inlineStr">
        <is>
          <t>卫屹</t>
        </is>
      </c>
      <c r="H8" s="222" t="inlineStr">
        <is>
          <t>第一班组</t>
        </is>
      </c>
      <c r="I8" s="232" t="inlineStr">
        <is>
          <t>手工馄饨（大陷水饺、刀削面/汆肉米线）</t>
        </is>
      </c>
      <c r="J8" s="503" t="inlineStr">
        <is>
          <t>潘海英</t>
        </is>
      </c>
      <c r="K8" s="224" t="inlineStr">
        <is>
          <t>/</t>
        </is>
      </c>
      <c r="L8" s="651" t="n">
        <v>700000</v>
      </c>
      <c r="M8" s="224" t="n">
        <v>0.07000000000000001</v>
      </c>
      <c r="N8" s="224" t="n">
        <v>0.01</v>
      </c>
      <c r="O8" s="224" t="inlineStr">
        <is>
          <t>/</t>
        </is>
      </c>
      <c r="P8" s="224" t="n">
        <v>0.03</v>
      </c>
      <c r="Q8" s="224" t="n">
        <v>0.03</v>
      </c>
      <c r="R8" s="224" t="n">
        <v>0.01</v>
      </c>
      <c r="S8" s="224" t="n">
        <v>0.02</v>
      </c>
      <c r="T8" s="224" t="n">
        <v>0.04</v>
      </c>
      <c r="U8" s="224" t="n">
        <v>0.05</v>
      </c>
      <c r="V8" s="224" t="inlineStr">
        <is>
          <t>/</t>
        </is>
      </c>
      <c r="W8" s="224" t="n">
        <v>0.4</v>
      </c>
      <c r="X8" s="349" t="inlineStr">
        <is>
          <t>/</t>
        </is>
      </c>
      <c r="Y8" s="461" t="inlineStr">
        <is>
          <t>/</t>
        </is>
      </c>
      <c r="Z8" s="461" t="inlineStr">
        <is>
          <t>/</t>
        </is>
      </c>
      <c r="AA8" s="349" t="inlineStr">
        <is>
          <t>/</t>
        </is>
      </c>
      <c r="AB8" s="652" t="inlineStr">
        <is>
          <t>/</t>
        </is>
      </c>
      <c r="AC8" s="652" t="inlineStr">
        <is>
          <t>/</t>
        </is>
      </c>
      <c r="AD8"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8" s="53" t="n"/>
      <c r="AF8" s="232" t="inlineStr">
        <is>
          <t>1、会议纪要中约定了各项费用比例，但实际账务处理中未按照各费用比例分别收取；
建议：项目收支明细表按会议纪要签订的要求进行统计；</t>
        </is>
      </c>
    </row>
    <row r="9" ht="92.25" customFormat="1" customHeight="1" s="209">
      <c r="A9" s="219" t="n">
        <v>7</v>
      </c>
      <c r="B9" s="14" t="inlineStr">
        <is>
          <t>KQCY0007</t>
        </is>
      </c>
      <c r="C9" s="221" t="inlineStr">
        <is>
          <t>餐饮一分部</t>
        </is>
      </c>
      <c r="D9" s="221" t="inlineStr">
        <is>
          <t>CF474</t>
        </is>
      </c>
      <c r="E9" s="221" t="inlineStr">
        <is>
          <t>安工大七食堂</t>
        </is>
      </c>
      <c r="F9" s="219" t="inlineStr">
        <is>
          <t>强责</t>
        </is>
      </c>
      <c r="G9" s="222" t="inlineStr">
        <is>
          <t>卫屹</t>
        </is>
      </c>
      <c r="H9" s="222" t="inlineStr">
        <is>
          <t>第二班组</t>
        </is>
      </c>
      <c r="I9" s="232" t="inlineStr">
        <is>
          <t>黄焖系列（酸菜肉煲系列、椒麻鸡系列、酸菜鱼系列）</t>
        </is>
      </c>
      <c r="J9" s="503" t="inlineStr">
        <is>
          <t>胡科才</t>
        </is>
      </c>
      <c r="K9" s="224" t="inlineStr">
        <is>
          <t>/</t>
        </is>
      </c>
      <c r="L9" s="651" t="n">
        <v>500000</v>
      </c>
      <c r="M9" s="224" t="n">
        <v>0.07000000000000001</v>
      </c>
      <c r="N9" s="224" t="n">
        <v>0.01</v>
      </c>
      <c r="O9" s="224" t="inlineStr">
        <is>
          <t>/</t>
        </is>
      </c>
      <c r="P9" s="224" t="n">
        <v>0.03</v>
      </c>
      <c r="Q9" s="224" t="n">
        <v>0.03</v>
      </c>
      <c r="R9" s="224" t="n">
        <v>0.01</v>
      </c>
      <c r="S9" s="224" t="n">
        <v>0.02</v>
      </c>
      <c r="T9" s="224" t="n">
        <v>0.04</v>
      </c>
      <c r="U9" s="224" t="n">
        <v>0.05</v>
      </c>
      <c r="V9" s="224" t="inlineStr">
        <is>
          <t>/</t>
        </is>
      </c>
      <c r="W9" s="224" t="n">
        <v>0.4</v>
      </c>
      <c r="X9" s="349" t="inlineStr">
        <is>
          <t>/</t>
        </is>
      </c>
      <c r="Y9" s="461" t="inlineStr">
        <is>
          <t>/</t>
        </is>
      </c>
      <c r="Z9" s="461" t="inlineStr">
        <is>
          <t>/</t>
        </is>
      </c>
      <c r="AA9" s="349" t="inlineStr">
        <is>
          <t>/</t>
        </is>
      </c>
      <c r="AB9" s="652" t="inlineStr">
        <is>
          <t>/</t>
        </is>
      </c>
      <c r="AC9" s="652" t="inlineStr">
        <is>
          <t>/</t>
        </is>
      </c>
      <c r="AD9"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9" s="25" t="n"/>
      <c r="AF9" s="232" t="inlineStr">
        <is>
          <t>1、会议纪要中约定了各项费用比例，但实际账务处理中未按照各费用比例分别收取；
建议：项目收支明细表按会议纪要签订的要求进行统计；</t>
        </is>
      </c>
    </row>
    <row r="10" ht="72" customFormat="1" customHeight="1" s="209">
      <c r="A10" s="219" t="n">
        <v>8</v>
      </c>
      <c r="B10" s="14" t="inlineStr">
        <is>
          <t>KQCY0008</t>
        </is>
      </c>
      <c r="C10" s="221" t="inlineStr">
        <is>
          <t>餐饮一分部</t>
        </is>
      </c>
      <c r="D10" s="221" t="inlineStr">
        <is>
          <t>CF474</t>
        </is>
      </c>
      <c r="E10" s="221" t="inlineStr">
        <is>
          <t>安工大七食堂</t>
        </is>
      </c>
      <c r="F10" s="219" t="inlineStr">
        <is>
          <t>强责</t>
        </is>
      </c>
      <c r="G10" s="222" t="inlineStr">
        <is>
          <t>卫屹</t>
        </is>
      </c>
      <c r="H10" s="222" t="inlineStr">
        <is>
          <t>第三班组</t>
        </is>
      </c>
      <c r="I10" s="232" t="inlineStr">
        <is>
          <t>猪脚饭系列（套饭系列、菜饭骨头汤系列）</t>
        </is>
      </c>
      <c r="J10" s="503" t="inlineStr">
        <is>
          <t>杨克顺</t>
        </is>
      </c>
      <c r="K10" s="224" t="inlineStr">
        <is>
          <t>/</t>
        </is>
      </c>
      <c r="L10" s="651" t="n">
        <v>700000</v>
      </c>
      <c r="M10" s="224" t="n">
        <v>0.07000000000000001</v>
      </c>
      <c r="N10" s="224" t="n">
        <v>0.01</v>
      </c>
      <c r="O10" s="224" t="inlineStr">
        <is>
          <t>/</t>
        </is>
      </c>
      <c r="P10" s="224" t="n">
        <v>0.03</v>
      </c>
      <c r="Q10" s="224" t="n">
        <v>0.03</v>
      </c>
      <c r="R10" s="224" t="n">
        <v>0.01</v>
      </c>
      <c r="S10" s="224" t="n">
        <v>0.02</v>
      </c>
      <c r="T10" s="224" t="n">
        <v>0.04</v>
      </c>
      <c r="U10" s="224" t="n">
        <v>0.05</v>
      </c>
      <c r="V10" s="224" t="inlineStr">
        <is>
          <t>/</t>
        </is>
      </c>
      <c r="W10" s="224" t="n">
        <v>0.4</v>
      </c>
      <c r="X10" s="349" t="inlineStr">
        <is>
          <t>/</t>
        </is>
      </c>
      <c r="Y10" s="461" t="inlineStr">
        <is>
          <t>/</t>
        </is>
      </c>
      <c r="Z10" s="461" t="inlineStr">
        <is>
          <t>/</t>
        </is>
      </c>
      <c r="AA10" s="349" t="inlineStr">
        <is>
          <t>/</t>
        </is>
      </c>
      <c r="AB10" s="652" t="inlineStr">
        <is>
          <t>/</t>
        </is>
      </c>
      <c r="AC10" s="652" t="inlineStr">
        <is>
          <t>/</t>
        </is>
      </c>
      <c r="AD10"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10" s="25" t="n"/>
      <c r="AF10" s="232" t="inlineStr">
        <is>
          <t>1、会议纪要中约定了各项费用比例，但实际账务处理中未按照各费用比例分别收取；
建议：项目收支明细表按会议纪要签订的要求进行统计；</t>
        </is>
      </c>
    </row>
    <row r="11" ht="72" customFormat="1" customHeight="1" s="209">
      <c r="A11" s="219" t="n">
        <v>9</v>
      </c>
      <c r="B11" s="14" t="inlineStr">
        <is>
          <t>KQCY0009</t>
        </is>
      </c>
      <c r="C11" s="221" t="inlineStr">
        <is>
          <t>餐饮一分部</t>
        </is>
      </c>
      <c r="D11" s="221" t="inlineStr">
        <is>
          <t>CF474</t>
        </is>
      </c>
      <c r="E11" s="221" t="inlineStr">
        <is>
          <t>安工大七食堂</t>
        </is>
      </c>
      <c r="F11" s="219" t="inlineStr">
        <is>
          <t>强责</t>
        </is>
      </c>
      <c r="G11" s="222" t="inlineStr">
        <is>
          <t>卫屹</t>
        </is>
      </c>
      <c r="H11" s="222" t="inlineStr">
        <is>
          <t>第四班组</t>
        </is>
      </c>
      <c r="I11" s="232" t="inlineStr">
        <is>
          <t>拌饭系列（肉夹馍、紫菜包饭）</t>
        </is>
      </c>
      <c r="J11" s="503" t="inlineStr">
        <is>
          <t>魏祖华</t>
        </is>
      </c>
      <c r="K11" s="224" t="inlineStr">
        <is>
          <t>/</t>
        </is>
      </c>
      <c r="L11" s="651" t="n">
        <v>700000</v>
      </c>
      <c r="M11" s="224" t="n">
        <v>0.07000000000000001</v>
      </c>
      <c r="N11" s="224" t="n">
        <v>0.01</v>
      </c>
      <c r="O11" s="224" t="inlineStr">
        <is>
          <t>/</t>
        </is>
      </c>
      <c r="P11" s="224" t="n">
        <v>0.03</v>
      </c>
      <c r="Q11" s="224" t="n">
        <v>0.03</v>
      </c>
      <c r="R11" s="224" t="n">
        <v>0.01</v>
      </c>
      <c r="S11" s="224" t="n">
        <v>0.02</v>
      </c>
      <c r="T11" s="224" t="n">
        <v>0.04</v>
      </c>
      <c r="U11" s="224" t="n">
        <v>0.05</v>
      </c>
      <c r="V11" s="224" t="inlineStr">
        <is>
          <t>/</t>
        </is>
      </c>
      <c r="W11" s="224" t="n">
        <v>0.4</v>
      </c>
      <c r="X11" s="349" t="inlineStr">
        <is>
          <t>/</t>
        </is>
      </c>
      <c r="Y11" s="461" t="inlineStr">
        <is>
          <t>/</t>
        </is>
      </c>
      <c r="Z11" s="461" t="inlineStr">
        <is>
          <t>/</t>
        </is>
      </c>
      <c r="AA11" s="349" t="inlineStr">
        <is>
          <t>/</t>
        </is>
      </c>
      <c r="AB11" s="652" t="inlineStr">
        <is>
          <t>/</t>
        </is>
      </c>
      <c r="AC11" s="652" t="inlineStr">
        <is>
          <t>/</t>
        </is>
      </c>
      <c r="AD11"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11" s="25" t="n"/>
      <c r="AF11" s="232" t="inlineStr">
        <is>
          <t>1、会议纪要中约定了各项费用比例，但实际账务处理中未按照各费用比例分别收取；
建议：项目收支明细表按会议纪要签订的要求进行统计；</t>
        </is>
      </c>
    </row>
    <row r="12" ht="12" customFormat="1" customHeight="1" s="209">
      <c r="A12" s="219" t="n">
        <v>10</v>
      </c>
      <c r="B12" s="14" t="inlineStr">
        <is>
          <t>KQCY0010</t>
        </is>
      </c>
      <c r="C12" s="221" t="inlineStr">
        <is>
          <t>餐饮一分部</t>
        </is>
      </c>
      <c r="D12" s="221" t="inlineStr">
        <is>
          <t>CF477</t>
        </is>
      </c>
      <c r="E12" s="221" t="inlineStr">
        <is>
          <t>上海民航第一食堂</t>
        </is>
      </c>
      <c r="F12" s="219" t="inlineStr">
        <is>
          <t>自营</t>
        </is>
      </c>
      <c r="G12" s="222" t="inlineStr">
        <is>
          <t>卫屹</t>
        </is>
      </c>
      <c r="H12" s="222" t="inlineStr">
        <is>
          <t>/</t>
        </is>
      </c>
      <c r="I12" s="355" t="inlineStr">
        <is>
          <t>/</t>
        </is>
      </c>
      <c r="J12" s="222" t="inlineStr">
        <is>
          <t>/</t>
        </is>
      </c>
      <c r="K12" s="224" t="inlineStr">
        <is>
          <t>/</t>
        </is>
      </c>
      <c r="L12" s="651" t="inlineStr">
        <is>
          <t>/</t>
        </is>
      </c>
      <c r="M12" s="224" t="inlineStr">
        <is>
          <t>/</t>
        </is>
      </c>
      <c r="N12" s="224" t="inlineStr">
        <is>
          <t>/</t>
        </is>
      </c>
      <c r="O12" s="224" t="inlineStr">
        <is>
          <t>/</t>
        </is>
      </c>
      <c r="P12" s="224" t="inlineStr">
        <is>
          <t>/</t>
        </is>
      </c>
      <c r="Q12" s="224" t="inlineStr">
        <is>
          <t>/</t>
        </is>
      </c>
      <c r="R12" s="224" t="inlineStr">
        <is>
          <t>/</t>
        </is>
      </c>
      <c r="S12" s="224" t="inlineStr">
        <is>
          <t>/</t>
        </is>
      </c>
      <c r="T12" s="224" t="inlineStr">
        <is>
          <t>/</t>
        </is>
      </c>
      <c r="U12" s="224" t="inlineStr">
        <is>
          <t>/</t>
        </is>
      </c>
      <c r="V12" s="224" t="inlineStr">
        <is>
          <t>/</t>
        </is>
      </c>
      <c r="W12" s="44" t="n"/>
      <c r="X12" s="461" t="inlineStr">
        <is>
          <t>/</t>
        </is>
      </c>
      <c r="Y12" s="461" t="inlineStr">
        <is>
          <t>/</t>
        </is>
      </c>
      <c r="Z12" s="461" t="inlineStr">
        <is>
          <t>/</t>
        </is>
      </c>
      <c r="AA12" s="461" t="inlineStr">
        <is>
          <t>/</t>
        </is>
      </c>
      <c r="AB12" s="54" t="n">
        <v>0.03</v>
      </c>
      <c r="AC12" s="652" t="inlineStr">
        <is>
          <t>/</t>
        </is>
      </c>
      <c r="AD12" s="232" t="n"/>
      <c r="AE12" s="25" t="n"/>
      <c r="AF12" s="232" t="n"/>
    </row>
    <row r="13" ht="36" customFormat="1" customHeight="1" s="209">
      <c r="A13" s="219" t="n">
        <v>11</v>
      </c>
      <c r="B13" s="14" t="inlineStr">
        <is>
          <t>KQCY0011</t>
        </is>
      </c>
      <c r="C13" s="221" t="inlineStr">
        <is>
          <t>餐饮一分部</t>
        </is>
      </c>
      <c r="D13" s="221" t="inlineStr">
        <is>
          <t>CF477</t>
        </is>
      </c>
      <c r="E13" s="221" t="inlineStr">
        <is>
          <t>上海民航第一食堂</t>
        </is>
      </c>
      <c r="F13" s="219" t="inlineStr">
        <is>
          <t>分组作业</t>
        </is>
      </c>
      <c r="G13" s="222" t="inlineStr">
        <is>
          <t>卫屹</t>
        </is>
      </c>
      <c r="H13" s="222" t="inlineStr">
        <is>
          <t>第二班组</t>
        </is>
      </c>
      <c r="I13" s="355" t="inlineStr">
        <is>
          <t>山东煎饼</t>
        </is>
      </c>
      <c r="J13" s="222" t="inlineStr">
        <is>
          <t>姚群</t>
        </is>
      </c>
      <c r="K13" s="224" t="inlineStr">
        <is>
          <t>/</t>
        </is>
      </c>
      <c r="L13" s="651" t="n">
        <v>570000</v>
      </c>
      <c r="M13" s="224" t="n">
        <v>0.1</v>
      </c>
      <c r="N13" s="224" t="n">
        <v>0.03</v>
      </c>
      <c r="O13" s="224" t="inlineStr">
        <is>
          <t>/</t>
        </is>
      </c>
      <c r="P13" s="224" t="n">
        <v>0.05</v>
      </c>
      <c r="Q13" s="224" t="n">
        <v>0.02</v>
      </c>
      <c r="R13" s="224" t="inlineStr">
        <is>
          <t>/</t>
        </is>
      </c>
      <c r="S13" s="224" t="n">
        <v>0.03</v>
      </c>
      <c r="T13" s="349" t="inlineStr">
        <is>
          <t>/</t>
        </is>
      </c>
      <c r="U13" s="224" t="n">
        <v>0.04</v>
      </c>
      <c r="V13" s="224" t="inlineStr">
        <is>
          <t>/</t>
        </is>
      </c>
      <c r="W13" s="44" t="n"/>
      <c r="X13" s="461" t="inlineStr">
        <is>
          <t>/</t>
        </is>
      </c>
      <c r="Y13" s="461" t="inlineStr">
        <is>
          <t>/</t>
        </is>
      </c>
      <c r="Z13" s="461" t="inlineStr">
        <is>
          <t>/</t>
        </is>
      </c>
      <c r="AA13" s="461" t="inlineStr">
        <is>
          <t>/</t>
        </is>
      </c>
      <c r="AB13" s="652" t="inlineStr">
        <is>
          <t>/</t>
        </is>
      </c>
      <c r="AC13" s="652" t="inlineStr">
        <is>
          <t>/</t>
        </is>
      </c>
      <c r="AD13" s="48" t="inlineStr">
        <is>
          <t>1、服务费：包含卫生费，不单独分摊</t>
        </is>
      </c>
      <c r="AE13" s="25" t="n"/>
      <c r="AF13" s="232" t="inlineStr">
        <is>
          <t>1、会议纪要中约定了各项费用比例，但实际账务处理中未按照各费用比例分别收取；
建议：项目收支明细表按会议纪要签订的要求进行统计；</t>
        </is>
      </c>
    </row>
    <row r="14" ht="12" customFormat="1" customHeight="1" s="209">
      <c r="A14" s="219" t="n">
        <v>12</v>
      </c>
      <c r="B14" s="14" t="inlineStr">
        <is>
          <t>KQCY0012</t>
        </is>
      </c>
      <c r="C14" s="221" t="inlineStr">
        <is>
          <t>餐饮一分部</t>
        </is>
      </c>
      <c r="D14" s="221" t="inlineStr">
        <is>
          <t>CF477</t>
        </is>
      </c>
      <c r="E14" s="221" t="inlineStr">
        <is>
          <t>上海民航第一食堂</t>
        </is>
      </c>
      <c r="F14" s="219" t="inlineStr">
        <is>
          <t>分组作业</t>
        </is>
      </c>
      <c r="G14" s="222" t="inlineStr">
        <is>
          <t>卫屹</t>
        </is>
      </c>
      <c r="H14" s="222" t="inlineStr">
        <is>
          <t>第六班组</t>
        </is>
      </c>
      <c r="I14" s="355" t="inlineStr">
        <is>
          <t>蜜雪冰城</t>
        </is>
      </c>
      <c r="J14" s="222" t="inlineStr">
        <is>
          <t>任黎明</t>
        </is>
      </c>
      <c r="K14" s="224" t="inlineStr">
        <is>
          <t>/</t>
        </is>
      </c>
      <c r="L14" s="651" t="n">
        <v>899800</v>
      </c>
      <c r="M14" s="224" t="inlineStr">
        <is>
          <t>/</t>
        </is>
      </c>
      <c r="N14" s="224" t="inlineStr">
        <is>
          <t>/</t>
        </is>
      </c>
      <c r="O14" s="224" t="inlineStr">
        <is>
          <t>/</t>
        </is>
      </c>
      <c r="P14" s="224" t="inlineStr">
        <is>
          <t>/</t>
        </is>
      </c>
      <c r="Q14" s="224" t="inlineStr">
        <is>
          <t>/</t>
        </is>
      </c>
      <c r="R14" s="224" t="inlineStr">
        <is>
          <t>/</t>
        </is>
      </c>
      <c r="S14" s="224" t="inlineStr">
        <is>
          <t>/</t>
        </is>
      </c>
      <c r="T14" s="224" t="inlineStr">
        <is>
          <t>/</t>
        </is>
      </c>
      <c r="U14" s="224" t="inlineStr">
        <is>
          <t>/</t>
        </is>
      </c>
      <c r="V14" s="653" t="n">
        <v>160000</v>
      </c>
      <c r="W14" s="461" t="inlineStr">
        <is>
          <t>/</t>
        </is>
      </c>
      <c r="X14" s="461" t="inlineStr">
        <is>
          <t>/</t>
        </is>
      </c>
      <c r="Y14" s="461" t="inlineStr">
        <is>
          <t>/</t>
        </is>
      </c>
      <c r="Z14" s="461" t="inlineStr">
        <is>
          <t>/</t>
        </is>
      </c>
      <c r="AA14" s="461" t="inlineStr">
        <is>
          <t>/</t>
        </is>
      </c>
      <c r="AB14" s="652" t="inlineStr">
        <is>
          <t>/</t>
        </is>
      </c>
      <c r="AC14" s="652" t="inlineStr">
        <is>
          <t>/</t>
        </is>
      </c>
      <c r="AD14" s="232" t="inlineStr">
        <is>
          <t>1、其他：固定资金16万元/年</t>
        </is>
      </c>
      <c r="AE14" s="25" t="n"/>
      <c r="AF14" s="232" t="n"/>
    </row>
    <row r="15" ht="36" customFormat="1" customHeight="1" s="209">
      <c r="A15" s="219" t="n">
        <v>13</v>
      </c>
      <c r="B15" s="14" t="inlineStr">
        <is>
          <t>KQCY0013</t>
        </is>
      </c>
      <c r="C15" s="221" t="inlineStr">
        <is>
          <t>餐饮一分部</t>
        </is>
      </c>
      <c r="D15" s="221" t="inlineStr">
        <is>
          <t>CF477</t>
        </is>
      </c>
      <c r="E15" s="221" t="inlineStr">
        <is>
          <t>上海民航第一食堂</t>
        </is>
      </c>
      <c r="F15" s="219" t="inlineStr">
        <is>
          <t>分组作业</t>
        </is>
      </c>
      <c r="G15" s="222" t="inlineStr">
        <is>
          <t>卫屹</t>
        </is>
      </c>
      <c r="H15" s="222" t="inlineStr">
        <is>
          <t>第三班组</t>
        </is>
      </c>
      <c r="I15" s="355" t="inlineStr">
        <is>
          <t>糖水粥铺</t>
        </is>
      </c>
      <c r="J15" s="222" t="inlineStr">
        <is>
          <t>孙青青</t>
        </is>
      </c>
      <c r="K15" s="224" t="inlineStr">
        <is>
          <t>/</t>
        </is>
      </c>
      <c r="L15" s="651" t="n">
        <v>449900</v>
      </c>
      <c r="M15" s="224" t="n">
        <v>0.1</v>
      </c>
      <c r="N15" s="224" t="n">
        <v>0.03</v>
      </c>
      <c r="O15" s="224" t="inlineStr">
        <is>
          <t>/</t>
        </is>
      </c>
      <c r="P15" s="224" t="n">
        <v>0.05</v>
      </c>
      <c r="Q15" s="224" t="n">
        <v>0.02</v>
      </c>
      <c r="R15" s="224" t="inlineStr">
        <is>
          <t>/</t>
        </is>
      </c>
      <c r="S15" s="224" t="n">
        <v>0.03</v>
      </c>
      <c r="T15" s="349" t="inlineStr">
        <is>
          <t>/</t>
        </is>
      </c>
      <c r="U15" s="224" t="n">
        <v>0.04</v>
      </c>
      <c r="V15" s="224" t="inlineStr">
        <is>
          <t>/</t>
        </is>
      </c>
      <c r="W15" s="44" t="n"/>
      <c r="X15" s="461" t="inlineStr">
        <is>
          <t>/</t>
        </is>
      </c>
      <c r="Y15" s="461" t="inlineStr">
        <is>
          <t>/</t>
        </is>
      </c>
      <c r="Z15" s="461" t="inlineStr">
        <is>
          <t>/</t>
        </is>
      </c>
      <c r="AA15" s="461" t="inlineStr">
        <is>
          <t>/</t>
        </is>
      </c>
      <c r="AB15" s="652" t="inlineStr">
        <is>
          <t>/</t>
        </is>
      </c>
      <c r="AC15" s="652" t="inlineStr">
        <is>
          <t>/</t>
        </is>
      </c>
      <c r="AD15" s="48" t="inlineStr">
        <is>
          <t>1、服务费：包含卫生费，不单独分摊</t>
        </is>
      </c>
      <c r="AE15" s="25" t="n"/>
      <c r="AF15" s="232" t="inlineStr">
        <is>
          <t>1、会议纪要中约定了各项费用比例，但实际账务处理中未按照各费用比例分别收取；
建议：项目收支明细表按会议纪要签订的要求进行统计；</t>
        </is>
      </c>
    </row>
    <row r="16" ht="84" customFormat="1" customHeight="1" s="209">
      <c r="A16" s="219" t="n">
        <v>14</v>
      </c>
      <c r="B16" s="14" t="inlineStr">
        <is>
          <t>KQCY0014</t>
        </is>
      </c>
      <c r="C16" s="221" t="inlineStr">
        <is>
          <t>餐饮一分部</t>
        </is>
      </c>
      <c r="D16" s="221" t="inlineStr">
        <is>
          <t>CF477</t>
        </is>
      </c>
      <c r="E16" s="221" t="inlineStr">
        <is>
          <t>上海民航第一食堂</t>
        </is>
      </c>
      <c r="F16" s="219" t="inlineStr">
        <is>
          <t>分组作业</t>
        </is>
      </c>
      <c r="G16" s="222" t="inlineStr">
        <is>
          <t>卫屹</t>
        </is>
      </c>
      <c r="H16" s="222" t="inlineStr">
        <is>
          <t>第四班组</t>
        </is>
      </c>
      <c r="I16" s="355" t="inlineStr">
        <is>
          <t>大碗面</t>
        </is>
      </c>
      <c r="J16" s="222" t="inlineStr">
        <is>
          <t>景帅帅</t>
        </is>
      </c>
      <c r="K16" s="224" t="inlineStr">
        <is>
          <t>/</t>
        </is>
      </c>
      <c r="L16" s="651" t="n">
        <v>486500</v>
      </c>
      <c r="M16" s="224" t="n">
        <v>0.1</v>
      </c>
      <c r="N16" s="224" t="n">
        <v>0.03</v>
      </c>
      <c r="O16" s="224" t="inlineStr">
        <is>
          <t>/</t>
        </is>
      </c>
      <c r="P16" s="224" t="n">
        <v>0.05</v>
      </c>
      <c r="Q16" s="224" t="n">
        <v>0.02</v>
      </c>
      <c r="R16" s="224" t="inlineStr">
        <is>
          <t>/</t>
        </is>
      </c>
      <c r="S16" s="224" t="n">
        <v>0.03</v>
      </c>
      <c r="T16" s="349" t="inlineStr">
        <is>
          <t>/</t>
        </is>
      </c>
      <c r="U16" s="224" t="n">
        <v>0.04</v>
      </c>
      <c r="V16" s="224" t="inlineStr">
        <is>
          <t>/</t>
        </is>
      </c>
      <c r="W16" s="44" t="n"/>
      <c r="X16" s="461" t="inlineStr">
        <is>
          <t>/</t>
        </is>
      </c>
      <c r="Y16" s="461" t="inlineStr">
        <is>
          <t>/</t>
        </is>
      </c>
      <c r="Z16" s="461" t="inlineStr">
        <is>
          <t>/</t>
        </is>
      </c>
      <c r="AA16" s="461" t="inlineStr">
        <is>
          <t>/</t>
        </is>
      </c>
      <c r="AB16" s="652" t="inlineStr">
        <is>
          <t>/</t>
        </is>
      </c>
      <c r="AC16" s="652" t="inlineStr">
        <is>
          <t>/</t>
        </is>
      </c>
      <c r="AD16" s="48" t="inlineStr">
        <is>
          <t>1、服务费：包含卫生费，不单独分摊</t>
        </is>
      </c>
      <c r="AE16" s="25" t="n"/>
      <c r="AF16"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t>
        </is>
      </c>
    </row>
    <row r="17" ht="84" customFormat="1" customHeight="1" s="209">
      <c r="A17" s="219" t="n">
        <v>15</v>
      </c>
      <c r="B17" s="14" t="inlineStr">
        <is>
          <t>KQCY0015</t>
        </is>
      </c>
      <c r="C17" s="221" t="inlineStr">
        <is>
          <t>餐饮一分部</t>
        </is>
      </c>
      <c r="D17" s="221" t="inlineStr">
        <is>
          <t>CF477</t>
        </is>
      </c>
      <c r="E17" s="221" t="inlineStr">
        <is>
          <t>上海民航第一食堂</t>
        </is>
      </c>
      <c r="F17" s="219" t="inlineStr">
        <is>
          <t>分组作业</t>
        </is>
      </c>
      <c r="G17" s="222" t="inlineStr">
        <is>
          <t>卫屹</t>
        </is>
      </c>
      <c r="H17" s="222" t="inlineStr">
        <is>
          <t>第一班组</t>
        </is>
      </c>
      <c r="I17" s="355" t="inlineStr">
        <is>
          <t>早餐</t>
        </is>
      </c>
      <c r="J17" s="222" t="inlineStr">
        <is>
          <t>芦磊</t>
        </is>
      </c>
      <c r="K17" s="224" t="inlineStr">
        <is>
          <t>/</t>
        </is>
      </c>
      <c r="L17" s="651" t="n">
        <v>628600</v>
      </c>
      <c r="M17" s="224" t="n">
        <v>0.1</v>
      </c>
      <c r="N17" s="224" t="n">
        <v>0.03</v>
      </c>
      <c r="O17" s="224" t="inlineStr">
        <is>
          <t>/</t>
        </is>
      </c>
      <c r="P17" s="224" t="n">
        <v>0.05</v>
      </c>
      <c r="Q17" s="224" t="n">
        <v>0.02</v>
      </c>
      <c r="R17" s="224" t="inlineStr">
        <is>
          <t>/</t>
        </is>
      </c>
      <c r="S17" s="224" t="n">
        <v>0.03</v>
      </c>
      <c r="T17" s="349" t="inlineStr">
        <is>
          <t>/</t>
        </is>
      </c>
      <c r="U17" s="349" t="inlineStr">
        <is>
          <t>/</t>
        </is>
      </c>
      <c r="V17" s="224" t="inlineStr">
        <is>
          <t>/</t>
        </is>
      </c>
      <c r="W17" s="44" t="n"/>
      <c r="X17" s="461" t="inlineStr">
        <is>
          <t>/</t>
        </is>
      </c>
      <c r="Y17" s="461" t="inlineStr">
        <is>
          <t>/</t>
        </is>
      </c>
      <c r="Z17" s="461" t="inlineStr">
        <is>
          <t>/</t>
        </is>
      </c>
      <c r="AA17" s="461" t="inlineStr">
        <is>
          <t>/</t>
        </is>
      </c>
      <c r="AB17" s="652" t="inlineStr">
        <is>
          <t>/</t>
        </is>
      </c>
      <c r="AC17" s="652" t="inlineStr">
        <is>
          <t>/</t>
        </is>
      </c>
      <c r="AD17" s="48" t="inlineStr">
        <is>
          <t>1、服务费：包含卫生费、能源费，不单独分摊</t>
        </is>
      </c>
      <c r="AE17" s="25" t="n"/>
      <c r="AF17"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t>
        </is>
      </c>
    </row>
    <row r="18" ht="12" customFormat="1" customHeight="1" s="209">
      <c r="A18" s="219" t="n">
        <v>16</v>
      </c>
      <c r="B18" s="535" t="n"/>
      <c r="C18" s="221" t="inlineStr">
        <is>
          <t>餐饮一分部</t>
        </is>
      </c>
      <c r="D18" s="221" t="inlineStr">
        <is>
          <t>CF272</t>
        </is>
      </c>
      <c r="E18" s="221" t="inlineStr">
        <is>
          <t>苏州工学院南一食堂</t>
        </is>
      </c>
      <c r="F18" s="219" t="inlineStr">
        <is>
          <t>强责</t>
        </is>
      </c>
      <c r="G18" s="222" t="inlineStr">
        <is>
          <t>位军浩</t>
        </is>
      </c>
      <c r="H18" s="503" t="inlineStr">
        <is>
          <t>/</t>
        </is>
      </c>
      <c r="I18" s="503" t="inlineStr">
        <is>
          <t>/</t>
        </is>
      </c>
      <c r="J18" s="503" t="inlineStr">
        <is>
          <t>/</t>
        </is>
      </c>
      <c r="K18" s="349" t="inlineStr">
        <is>
          <t>/</t>
        </is>
      </c>
      <c r="L18" s="651" t="inlineStr">
        <is>
          <t>/</t>
        </is>
      </c>
      <c r="M18" s="224" t="inlineStr">
        <is>
          <t>/</t>
        </is>
      </c>
      <c r="N18" s="47" t="n"/>
      <c r="O18" s="47" t="n"/>
      <c r="P18" s="47" t="n"/>
      <c r="Q18" s="349" t="inlineStr">
        <is>
          <t>/</t>
        </is>
      </c>
      <c r="R18" s="349" t="inlineStr">
        <is>
          <t>/</t>
        </is>
      </c>
      <c r="S18" s="349" t="inlineStr">
        <is>
          <t>/</t>
        </is>
      </c>
      <c r="T18" s="47" t="n"/>
      <c r="U18" s="47" t="n"/>
      <c r="V18" s="47" t="n"/>
      <c r="W18" s="47" t="n"/>
      <c r="X18" s="349" t="inlineStr">
        <is>
          <t>/</t>
        </is>
      </c>
      <c r="Y18" s="480" t="inlineStr">
        <is>
          <t>/</t>
        </is>
      </c>
      <c r="Z18" s="480" t="inlineStr">
        <is>
          <t>/</t>
        </is>
      </c>
      <c r="AA18" s="44" t="n">
        <v>350000</v>
      </c>
      <c r="AB18" s="54" t="n">
        <v>0.02</v>
      </c>
      <c r="AC18" s="654" t="inlineStr">
        <is>
          <t>/</t>
        </is>
      </c>
      <c r="AD18" s="48" t="inlineStr">
        <is>
          <t>1、自营未实际经营；</t>
        </is>
      </c>
      <c r="AE18" s="25" t="n"/>
      <c r="AF18" s="232" t="n"/>
    </row>
    <row r="19" ht="48" customFormat="1" customHeight="1" s="209">
      <c r="A19" s="219" t="n">
        <v>17</v>
      </c>
      <c r="B19" s="14" t="inlineStr">
        <is>
          <t>KQCY0016</t>
        </is>
      </c>
      <c r="C19" s="221" t="inlineStr">
        <is>
          <t>餐饮一分部</t>
        </is>
      </c>
      <c r="D19" s="221" t="inlineStr">
        <is>
          <t>CF272</t>
        </is>
      </c>
      <c r="E19" s="221" t="inlineStr">
        <is>
          <t>苏州工学院南一食堂</t>
        </is>
      </c>
      <c r="F19" s="219" t="inlineStr">
        <is>
          <t>强责</t>
        </is>
      </c>
      <c r="G19" s="222" t="inlineStr">
        <is>
          <t>位军浩</t>
        </is>
      </c>
      <c r="H19" s="503" t="inlineStr">
        <is>
          <t>/</t>
        </is>
      </c>
      <c r="I19" s="355" t="inlineStr">
        <is>
          <t>饼铺</t>
        </is>
      </c>
      <c r="J19" s="503" t="inlineStr">
        <is>
          <t>纪洪强</t>
        </is>
      </c>
      <c r="K19" s="224" t="inlineStr">
        <is>
          <t>/</t>
        </is>
      </c>
      <c r="L19" s="651" t="n">
        <v>460000</v>
      </c>
      <c r="M19" s="22" t="n">
        <v>0.08</v>
      </c>
      <c r="N19" s="224" t="inlineStr">
        <is>
          <t>/</t>
        </is>
      </c>
      <c r="O19" s="349" t="inlineStr">
        <is>
          <t>/</t>
        </is>
      </c>
      <c r="P19" s="22" t="n">
        <v>0.065</v>
      </c>
      <c r="Q19" s="22" t="n">
        <v>0.02</v>
      </c>
      <c r="R19" s="22" t="n">
        <v>0.035</v>
      </c>
      <c r="S19" s="224" t="inlineStr">
        <is>
          <t>/</t>
        </is>
      </c>
      <c r="T19" s="224" t="n">
        <v>0.03</v>
      </c>
      <c r="U19" s="224" t="n">
        <v>0.06</v>
      </c>
      <c r="V19" s="502" t="inlineStr">
        <is>
          <t>/</t>
        </is>
      </c>
      <c r="W19" s="47" t="n"/>
      <c r="X19" s="502" t="inlineStr">
        <is>
          <t>/</t>
        </is>
      </c>
      <c r="Y19" s="502" t="inlineStr">
        <is>
          <t>/</t>
        </is>
      </c>
      <c r="Z19" s="502" t="inlineStr">
        <is>
          <t>/</t>
        </is>
      </c>
      <c r="AA19" s="349" t="inlineStr">
        <is>
          <t>/</t>
        </is>
      </c>
      <c r="AB19" s="22" t="inlineStr">
        <is>
          <t>/</t>
        </is>
      </c>
      <c r="AC19" s="224" t="inlineStr">
        <is>
          <t>/</t>
        </is>
      </c>
      <c r="AD19" s="57" t="inlineStr">
        <is>
          <t>1、甲方捐赠：35万/年，分组作业未分摊，服务费已包含；
2、采购费：1.35万/年，分组作业未分摊，服务费已包含；</t>
        </is>
      </c>
      <c r="AE19" s="25" t="inlineStr">
        <is>
          <t xml:space="preserve">
1、签订期间：2026.2.25-2026.7.19；
2、指标按照全年换算；
</t>
        </is>
      </c>
      <c r="AF19" s="232" t="inlineStr">
        <is>
          <t>1、会议纪要中约定了各项费用比例，但实际账务处理中未按照各费用比例分别收取；
建议：项目收支明细表按会议纪要签订的要求进行统计；</t>
        </is>
      </c>
    </row>
    <row r="20" ht="48" customFormat="1" customHeight="1" s="209">
      <c r="A20" s="219" t="n">
        <v>18</v>
      </c>
      <c r="B20" s="14" t="inlineStr">
        <is>
          <t>KQCY0017</t>
        </is>
      </c>
      <c r="C20" s="221" t="inlineStr">
        <is>
          <t>餐饮一分部</t>
        </is>
      </c>
      <c r="D20" s="221" t="inlineStr">
        <is>
          <t>CF272</t>
        </is>
      </c>
      <c r="E20" s="221" t="inlineStr">
        <is>
          <t>苏州工学院南一食堂</t>
        </is>
      </c>
      <c r="F20" s="219" t="inlineStr">
        <is>
          <t>强责</t>
        </is>
      </c>
      <c r="G20" s="222" t="inlineStr">
        <is>
          <t>位军浩</t>
        </is>
      </c>
      <c r="H20" s="503" t="inlineStr">
        <is>
          <t>/</t>
        </is>
      </c>
      <c r="I20" s="355" t="inlineStr">
        <is>
          <t>粥铺</t>
        </is>
      </c>
      <c r="J20" s="503" t="inlineStr">
        <is>
          <t>贺明</t>
        </is>
      </c>
      <c r="K20" s="224" t="inlineStr">
        <is>
          <t>/</t>
        </is>
      </c>
      <c r="L20" s="651" t="n">
        <v>384000</v>
      </c>
      <c r="M20" s="22" t="n">
        <v>0.08</v>
      </c>
      <c r="N20" s="224" t="inlineStr">
        <is>
          <t>/</t>
        </is>
      </c>
      <c r="O20" s="349" t="inlineStr">
        <is>
          <t>/</t>
        </is>
      </c>
      <c r="P20" s="22" t="n">
        <v>0.065</v>
      </c>
      <c r="Q20" s="22" t="n">
        <v>0.02</v>
      </c>
      <c r="R20" s="22" t="n">
        <v>0.035</v>
      </c>
      <c r="S20" s="224" t="inlineStr">
        <is>
          <t>/</t>
        </is>
      </c>
      <c r="T20" s="224" t="n">
        <v>0.03</v>
      </c>
      <c r="U20" s="224" t="n">
        <v>0.06</v>
      </c>
      <c r="V20" s="502" t="inlineStr">
        <is>
          <t>/</t>
        </is>
      </c>
      <c r="W20" s="47" t="n"/>
      <c r="X20" s="502" t="inlineStr">
        <is>
          <t>/</t>
        </is>
      </c>
      <c r="Y20" s="502" t="inlineStr">
        <is>
          <t>/</t>
        </is>
      </c>
      <c r="Z20" s="502" t="inlineStr">
        <is>
          <t>/</t>
        </is>
      </c>
      <c r="AA20" s="349" t="inlineStr">
        <is>
          <t>/</t>
        </is>
      </c>
      <c r="AB20" s="22" t="inlineStr">
        <is>
          <t>/</t>
        </is>
      </c>
      <c r="AC20" s="224" t="inlineStr">
        <is>
          <t>/</t>
        </is>
      </c>
      <c r="AD20" s="57" t="inlineStr">
        <is>
          <t>1、甲方捐赠：35万/年，分组作业未分摊，服务费已包含；
2、采购费：1.35万/年，分组作业未分摊，服务费已包含；</t>
        </is>
      </c>
      <c r="AE20" s="25" t="inlineStr">
        <is>
          <t xml:space="preserve">
1、签订期间：2026.2.25-2026.7.19；
2、指标按照全年换算；
</t>
        </is>
      </c>
      <c r="AF20" s="232" t="inlineStr">
        <is>
          <t>1、会议纪要中约定了各项费用比例，但实际账务处理中未按照各费用比例分别收取；
建议：项目收支明细表按会议纪要签订的要求进行统计；</t>
        </is>
      </c>
    </row>
    <row r="21" ht="48" customFormat="1" customHeight="1" s="209">
      <c r="A21" s="219" t="n">
        <v>19</v>
      </c>
      <c r="B21" s="14" t="inlineStr">
        <is>
          <t>KQCY0018</t>
        </is>
      </c>
      <c r="C21" s="221" t="inlineStr">
        <is>
          <t>餐饮一分部</t>
        </is>
      </c>
      <c r="D21" s="221" t="inlineStr">
        <is>
          <t>CF272</t>
        </is>
      </c>
      <c r="E21" s="221" t="inlineStr">
        <is>
          <t>苏州工学院南一食堂</t>
        </is>
      </c>
      <c r="F21" s="219" t="inlineStr">
        <is>
          <t>强责</t>
        </is>
      </c>
      <c r="G21" s="222" t="inlineStr">
        <is>
          <t>位军浩</t>
        </is>
      </c>
      <c r="H21" s="503" t="inlineStr">
        <is>
          <t>/</t>
        </is>
      </c>
      <c r="I21" s="355" t="inlineStr">
        <is>
          <t>老乡邨</t>
        </is>
      </c>
      <c r="J21" s="503" t="inlineStr">
        <is>
          <t>刘少军</t>
        </is>
      </c>
      <c r="K21" s="224" t="inlineStr">
        <is>
          <t>/</t>
        </is>
      </c>
      <c r="L21" s="651" t="n">
        <v>930000</v>
      </c>
      <c r="M21" s="22" t="n">
        <v>0.08</v>
      </c>
      <c r="N21" s="224" t="inlineStr">
        <is>
          <t>/</t>
        </is>
      </c>
      <c r="O21" s="349" t="inlineStr">
        <is>
          <t>/</t>
        </is>
      </c>
      <c r="P21" s="22" t="n">
        <v>0.065</v>
      </c>
      <c r="Q21" s="22" t="n">
        <v>0.02</v>
      </c>
      <c r="R21" s="22" t="n">
        <v>0.035</v>
      </c>
      <c r="S21" s="224" t="inlineStr">
        <is>
          <t>/</t>
        </is>
      </c>
      <c r="T21" s="224" t="n">
        <v>0.03</v>
      </c>
      <c r="U21" s="224" t="n">
        <v>0.06</v>
      </c>
      <c r="V21" s="502" t="inlineStr">
        <is>
          <t>/</t>
        </is>
      </c>
      <c r="W21" s="47" t="n"/>
      <c r="X21" s="502" t="inlineStr">
        <is>
          <t>/</t>
        </is>
      </c>
      <c r="Y21" s="502" t="inlineStr">
        <is>
          <t>/</t>
        </is>
      </c>
      <c r="Z21" s="502" t="inlineStr">
        <is>
          <t>/</t>
        </is>
      </c>
      <c r="AA21" s="349" t="inlineStr">
        <is>
          <t>/</t>
        </is>
      </c>
      <c r="AB21" s="22" t="inlineStr">
        <is>
          <t>/</t>
        </is>
      </c>
      <c r="AC21" s="224" t="inlineStr">
        <is>
          <t>/</t>
        </is>
      </c>
      <c r="AD21" s="57" t="inlineStr">
        <is>
          <t>1、甲方捐赠：35万/年，分组作业未分摊，服务费已包含；
2、采购费：1.35万/年，分组作业未分摊，服务费已包含；</t>
        </is>
      </c>
      <c r="AE21" s="25" t="inlineStr">
        <is>
          <t xml:space="preserve">
1、签订期间：2026.2.25-2026.7.19；
2、指标按照全年换算；
</t>
        </is>
      </c>
      <c r="AF21" s="232" t="inlineStr">
        <is>
          <t>1、会议纪要中约定了各项费用比例，但实际账务处理中未按照各费用比例分别收取；
建议：项目收支明细表按会议纪要签订的要求进行统计；</t>
        </is>
      </c>
    </row>
    <row r="22" ht="48" customFormat="1" customHeight="1" s="209">
      <c r="A22" s="219" t="n">
        <v>20</v>
      </c>
      <c r="B22" s="14" t="inlineStr">
        <is>
          <t>KQCY0019</t>
        </is>
      </c>
      <c r="C22" s="221" t="inlineStr">
        <is>
          <t>餐饮一分部</t>
        </is>
      </c>
      <c r="D22" s="221" t="inlineStr">
        <is>
          <t>CF272</t>
        </is>
      </c>
      <c r="E22" s="221" t="inlineStr">
        <is>
          <t>苏州工学院南一食堂</t>
        </is>
      </c>
      <c r="F22" s="219" t="inlineStr">
        <is>
          <t>强责</t>
        </is>
      </c>
      <c r="G22" s="222" t="inlineStr">
        <is>
          <t>位军浩</t>
        </is>
      </c>
      <c r="H22" s="503" t="inlineStr">
        <is>
          <t>/</t>
        </is>
      </c>
      <c r="I22" s="355" t="inlineStr">
        <is>
          <t>科桥小厨</t>
        </is>
      </c>
      <c r="J22" s="503" t="inlineStr">
        <is>
          <t>吴浩</t>
        </is>
      </c>
      <c r="K22" s="224" t="inlineStr">
        <is>
          <t>/</t>
        </is>
      </c>
      <c r="L22" s="651" t="n">
        <v>1280000</v>
      </c>
      <c r="M22" s="22" t="n">
        <v>0.06</v>
      </c>
      <c r="N22" s="224" t="inlineStr">
        <is>
          <t>/</t>
        </is>
      </c>
      <c r="O22" s="349" t="inlineStr">
        <is>
          <t>/</t>
        </is>
      </c>
      <c r="P22" s="22" t="n">
        <v>0.055</v>
      </c>
      <c r="Q22" s="22" t="n">
        <v>0.02</v>
      </c>
      <c r="R22" s="22" t="n">
        <v>0.025</v>
      </c>
      <c r="S22" s="224" t="inlineStr">
        <is>
          <t>/</t>
        </is>
      </c>
      <c r="T22" s="224" t="n">
        <v>0.03</v>
      </c>
      <c r="U22" s="224" t="n">
        <v>0.06</v>
      </c>
      <c r="V22" s="502" t="inlineStr">
        <is>
          <t>/</t>
        </is>
      </c>
      <c r="W22" s="47" t="n"/>
      <c r="X22" s="502" t="inlineStr">
        <is>
          <t>/</t>
        </is>
      </c>
      <c r="Y22" s="502" t="inlineStr">
        <is>
          <t>/</t>
        </is>
      </c>
      <c r="Z22" s="502" t="inlineStr">
        <is>
          <t>/</t>
        </is>
      </c>
      <c r="AA22" s="349" t="inlineStr">
        <is>
          <t>/</t>
        </is>
      </c>
      <c r="AB22" s="22" t="inlineStr">
        <is>
          <t>/</t>
        </is>
      </c>
      <c r="AC22" s="224" t="inlineStr">
        <is>
          <t>/</t>
        </is>
      </c>
      <c r="AD22" s="57" t="inlineStr">
        <is>
          <t>1、甲方捐赠：35万/年，分组作业未分摊，服务费已包含；
2、采购费：1.35万/年，分组作业未分摊，服务费已包含；</t>
        </is>
      </c>
      <c r="AE22" s="25" t="inlineStr">
        <is>
          <t xml:space="preserve">
1、签订期间：2026.2.25-2026.7.19；
2、指标按照全年换算；
</t>
        </is>
      </c>
      <c r="AF22" s="232" t="inlineStr">
        <is>
          <t>1、会议纪要中约定了各项费用比例，但实际账务处理中未按照各费用比例分别收取；
建议：项目收支明细表按会议纪要签订的要求进行统计；</t>
        </is>
      </c>
    </row>
    <row r="23" ht="48" customFormat="1" customHeight="1" s="209">
      <c r="A23" s="219" t="n">
        <v>21</v>
      </c>
      <c r="B23" s="14" t="inlineStr">
        <is>
          <t>KQCY0020</t>
        </is>
      </c>
      <c r="C23" s="221" t="inlineStr">
        <is>
          <t>餐饮一分部</t>
        </is>
      </c>
      <c r="D23" s="221" t="inlineStr">
        <is>
          <t>CF272</t>
        </is>
      </c>
      <c r="E23" s="221" t="inlineStr">
        <is>
          <t>苏州工学院南一食堂</t>
        </is>
      </c>
      <c r="F23" s="219" t="inlineStr">
        <is>
          <t>强责</t>
        </is>
      </c>
      <c r="G23" s="222" t="inlineStr">
        <is>
          <t>位军浩</t>
        </is>
      </c>
      <c r="H23" s="503" t="inlineStr">
        <is>
          <t>/</t>
        </is>
      </c>
      <c r="I23" s="355" t="inlineStr">
        <is>
          <t>清汤米线</t>
        </is>
      </c>
      <c r="J23" s="503" t="inlineStr">
        <is>
          <t>张郁磊</t>
        </is>
      </c>
      <c r="K23" s="224" t="inlineStr">
        <is>
          <t>/</t>
        </is>
      </c>
      <c r="L23" s="651" t="n">
        <v>264000</v>
      </c>
      <c r="M23" s="22" t="n">
        <v>0.08</v>
      </c>
      <c r="N23" s="224" t="inlineStr">
        <is>
          <t>/</t>
        </is>
      </c>
      <c r="O23" s="349" t="inlineStr">
        <is>
          <t>/</t>
        </is>
      </c>
      <c r="P23" s="22" t="n">
        <v>0.065</v>
      </c>
      <c r="Q23" s="22" t="n">
        <v>0.02</v>
      </c>
      <c r="R23" s="22" t="n">
        <v>0.035</v>
      </c>
      <c r="S23" s="224" t="inlineStr">
        <is>
          <t>/</t>
        </is>
      </c>
      <c r="T23" s="224" t="n">
        <v>0.03</v>
      </c>
      <c r="U23" s="224" t="n">
        <v>0.06</v>
      </c>
      <c r="V23" s="502" t="inlineStr">
        <is>
          <t>/</t>
        </is>
      </c>
      <c r="W23" s="47" t="n"/>
      <c r="X23" s="502" t="inlineStr">
        <is>
          <t>/</t>
        </is>
      </c>
      <c r="Y23" s="502" t="inlineStr">
        <is>
          <t>/</t>
        </is>
      </c>
      <c r="Z23" s="502" t="inlineStr">
        <is>
          <t>/</t>
        </is>
      </c>
      <c r="AA23" s="349" t="inlineStr">
        <is>
          <t>/</t>
        </is>
      </c>
      <c r="AB23" s="22" t="inlineStr">
        <is>
          <t>/</t>
        </is>
      </c>
      <c r="AC23" s="224" t="inlineStr">
        <is>
          <t>/</t>
        </is>
      </c>
      <c r="AD23" s="57" t="inlineStr">
        <is>
          <t>1、甲方捐赠：35万/年，分组作业未分摊，服务费已包含；
2、采购费：1.35万/年，分组作业未分摊，服务费已包含；</t>
        </is>
      </c>
      <c r="AE23" s="25" t="inlineStr">
        <is>
          <t xml:space="preserve">
1、签订期间：2026.2.25-2026.7.19；
2、指标按照全年换算；
</t>
        </is>
      </c>
      <c r="AF23" s="232" t="inlineStr">
        <is>
          <t>1、会议纪要中约定了各项费用比例，但实际账务处理中未按照各费用比例分别收取；
建议：项目收支明细表按会议纪要签订的要求进行统计；</t>
        </is>
      </c>
    </row>
    <row r="24" ht="48" customFormat="1" customHeight="1" s="209">
      <c r="A24" s="219" t="n">
        <v>22</v>
      </c>
      <c r="B24" s="14" t="inlineStr">
        <is>
          <t>KQCY0021</t>
        </is>
      </c>
      <c r="C24" s="221" t="inlineStr">
        <is>
          <t>餐饮一分部</t>
        </is>
      </c>
      <c r="D24" s="221" t="inlineStr">
        <is>
          <t>CF272</t>
        </is>
      </c>
      <c r="E24" s="221" t="inlineStr">
        <is>
          <t>苏州工学院南一食堂</t>
        </is>
      </c>
      <c r="F24" s="219" t="inlineStr">
        <is>
          <t>强责</t>
        </is>
      </c>
      <c r="G24" s="222" t="inlineStr">
        <is>
          <t>位军浩</t>
        </is>
      </c>
      <c r="H24" s="503" t="inlineStr">
        <is>
          <t>/</t>
        </is>
      </c>
      <c r="I24" s="355" t="inlineStr">
        <is>
          <t>黑鸭堡</t>
        </is>
      </c>
      <c r="J24" s="503" t="inlineStr">
        <is>
          <t>张郁磊</t>
        </is>
      </c>
      <c r="K24" s="224" t="inlineStr">
        <is>
          <t>/</t>
        </is>
      </c>
      <c r="L24" s="651" t="n">
        <v>290000</v>
      </c>
      <c r="M24" s="22" t="n">
        <v>0.08</v>
      </c>
      <c r="N24" s="224" t="inlineStr">
        <is>
          <t>/</t>
        </is>
      </c>
      <c r="O24" s="349" t="inlineStr">
        <is>
          <t>/</t>
        </is>
      </c>
      <c r="P24" s="22" t="n">
        <v>0.065</v>
      </c>
      <c r="Q24" s="22" t="n">
        <v>0.02</v>
      </c>
      <c r="R24" s="22" t="n">
        <v>0.035</v>
      </c>
      <c r="S24" s="224" t="inlineStr">
        <is>
          <t>/</t>
        </is>
      </c>
      <c r="T24" s="224" t="n">
        <v>0.03</v>
      </c>
      <c r="U24" s="224" t="n">
        <v>0.06</v>
      </c>
      <c r="V24" s="502" t="inlineStr">
        <is>
          <t>/</t>
        </is>
      </c>
      <c r="W24" s="47" t="n"/>
      <c r="X24" s="502" t="inlineStr">
        <is>
          <t>/</t>
        </is>
      </c>
      <c r="Y24" s="502" t="inlineStr">
        <is>
          <t>/</t>
        </is>
      </c>
      <c r="Z24" s="502" t="inlineStr">
        <is>
          <t>/</t>
        </is>
      </c>
      <c r="AA24" s="349" t="inlineStr">
        <is>
          <t>/</t>
        </is>
      </c>
      <c r="AB24" s="22" t="inlineStr">
        <is>
          <t>/</t>
        </is>
      </c>
      <c r="AC24" s="224" t="inlineStr">
        <is>
          <t>/</t>
        </is>
      </c>
      <c r="AD24" s="57" t="inlineStr">
        <is>
          <t>1、甲方捐赠：35万/年，分组作业未分摊，服务费已包含；
2、采购费：1.35万/年，分组作业未分摊，服务费已包含；</t>
        </is>
      </c>
      <c r="AE24" s="25" t="inlineStr">
        <is>
          <t xml:space="preserve">
1、签订期间：2026.2.25-2026.7.19；
2、指标按照全年换算；
</t>
        </is>
      </c>
      <c r="AF24" s="232" t="inlineStr">
        <is>
          <t>1、会议纪要中约定了各项费用比例，但实际账务处理中未按照各费用比例分别收取；
建议：项目收支明细表按会议纪要签订的要求进行统计；</t>
        </is>
      </c>
    </row>
    <row r="25" ht="48" customFormat="1" customHeight="1" s="209">
      <c r="A25" s="219" t="n">
        <v>23</v>
      </c>
      <c r="B25" s="14" t="inlineStr">
        <is>
          <t>KQCY0022</t>
        </is>
      </c>
      <c r="C25" s="221" t="inlineStr">
        <is>
          <t>餐饮一分部</t>
        </is>
      </c>
      <c r="D25" s="221" t="inlineStr">
        <is>
          <t>CF272</t>
        </is>
      </c>
      <c r="E25" s="221" t="inlineStr">
        <is>
          <t>苏州工学院南一食堂</t>
        </is>
      </c>
      <c r="F25" s="219" t="inlineStr">
        <is>
          <t>强责</t>
        </is>
      </c>
      <c r="G25" s="222" t="inlineStr">
        <is>
          <t>位军浩</t>
        </is>
      </c>
      <c r="H25" s="503" t="inlineStr">
        <is>
          <t>/</t>
        </is>
      </c>
      <c r="I25" s="355" t="inlineStr">
        <is>
          <t>7分甜</t>
        </is>
      </c>
      <c r="J25" s="503" t="inlineStr">
        <is>
          <t>纪洪强</t>
        </is>
      </c>
      <c r="K25" s="224" t="inlineStr">
        <is>
          <t>/</t>
        </is>
      </c>
      <c r="L25" s="651" t="n">
        <v>222000</v>
      </c>
      <c r="M25" s="224" t="inlineStr">
        <is>
          <t>/</t>
        </is>
      </c>
      <c r="N25" s="224" t="inlineStr">
        <is>
          <t>/</t>
        </is>
      </c>
      <c r="O25" s="349" t="inlineStr">
        <is>
          <t>/</t>
        </is>
      </c>
      <c r="P25" s="224" t="inlineStr">
        <is>
          <t>/</t>
        </is>
      </c>
      <c r="Q25" s="224" t="inlineStr">
        <is>
          <t>/</t>
        </is>
      </c>
      <c r="R25" s="224" t="inlineStr">
        <is>
          <t>/</t>
        </is>
      </c>
      <c r="S25" s="224" t="inlineStr">
        <is>
          <t>/</t>
        </is>
      </c>
      <c r="T25" s="224" t="inlineStr">
        <is>
          <t>/</t>
        </is>
      </c>
      <c r="U25" s="653" t="n"/>
      <c r="V25" s="502" t="inlineStr">
        <is>
          <t>/</t>
        </is>
      </c>
      <c r="W25" s="47" t="n"/>
      <c r="X25" s="502" t="inlineStr">
        <is>
          <t>/</t>
        </is>
      </c>
      <c r="Y25" s="502" t="inlineStr">
        <is>
          <t>/</t>
        </is>
      </c>
      <c r="Z25" s="502" t="inlineStr">
        <is>
          <t>/</t>
        </is>
      </c>
      <c r="AA25" s="349" t="inlineStr">
        <is>
          <t>/</t>
        </is>
      </c>
      <c r="AB25" s="22" t="inlineStr">
        <is>
          <t>/</t>
        </is>
      </c>
      <c r="AC25" s="224" t="inlineStr">
        <is>
          <t>/</t>
        </is>
      </c>
      <c r="AD25" s="57" t="inlineStr">
        <is>
          <t>1、甲方捐赠：35万/年，分组作业未分摊，服务费已包含；
2、采购费：1.35万/年，分组作业未分摊，服务费已包含；</t>
        </is>
      </c>
      <c r="AE25" s="25" t="inlineStr">
        <is>
          <t xml:space="preserve">
1、签订期间：2026.2.25-2026.7.19；
2、指标按照全年换算；
</t>
        </is>
      </c>
      <c r="AF25" s="232" t="n"/>
    </row>
    <row r="26" ht="48" customFormat="1" customHeight="1" s="209">
      <c r="A26" s="219" t="n">
        <v>24</v>
      </c>
      <c r="B26" s="14" t="inlineStr">
        <is>
          <t>KQCY0023</t>
        </is>
      </c>
      <c r="C26" s="221" t="inlineStr">
        <is>
          <t>餐饮一分部</t>
        </is>
      </c>
      <c r="D26" s="221" t="inlineStr">
        <is>
          <t>CF272</t>
        </is>
      </c>
      <c r="E26" s="221" t="inlineStr">
        <is>
          <t>苏州工学院南一食堂</t>
        </is>
      </c>
      <c r="F26" s="219" t="inlineStr">
        <is>
          <t>强责</t>
        </is>
      </c>
      <c r="G26" s="222" t="inlineStr">
        <is>
          <t>位军浩</t>
        </is>
      </c>
      <c r="H26" s="503" t="inlineStr">
        <is>
          <t>/</t>
        </is>
      </c>
      <c r="I26" s="355" t="inlineStr">
        <is>
          <t>药膳鸡</t>
        </is>
      </c>
      <c r="J26" s="503" t="inlineStr">
        <is>
          <t>匡正娟</t>
        </is>
      </c>
      <c r="K26" s="224" t="inlineStr">
        <is>
          <t>/</t>
        </is>
      </c>
      <c r="L26" s="651" t="n">
        <v>234000</v>
      </c>
      <c r="M26" s="224" t="inlineStr">
        <is>
          <t>/</t>
        </is>
      </c>
      <c r="N26" s="224" t="inlineStr">
        <is>
          <t>/</t>
        </is>
      </c>
      <c r="O26" s="349" t="inlineStr">
        <is>
          <t>/</t>
        </is>
      </c>
      <c r="P26" s="224" t="inlineStr">
        <is>
          <t>/</t>
        </is>
      </c>
      <c r="Q26" s="224" t="inlineStr">
        <is>
          <t>/</t>
        </is>
      </c>
      <c r="R26" s="224" t="inlineStr">
        <is>
          <t>/</t>
        </is>
      </c>
      <c r="S26" s="224" t="inlineStr">
        <is>
          <t>/</t>
        </is>
      </c>
      <c r="T26" s="655" t="n">
        <v>0.025</v>
      </c>
      <c r="U26" s="655" t="n">
        <v>0.055</v>
      </c>
      <c r="V26" s="502" t="inlineStr">
        <is>
          <t>/</t>
        </is>
      </c>
      <c r="W26" s="47" t="n"/>
      <c r="X26" s="502" t="inlineStr">
        <is>
          <t>/</t>
        </is>
      </c>
      <c r="Y26" s="502" t="inlineStr">
        <is>
          <t>/</t>
        </is>
      </c>
      <c r="Z26" s="502" t="inlineStr">
        <is>
          <t>/</t>
        </is>
      </c>
      <c r="AA26" s="349" t="inlineStr">
        <is>
          <t>/</t>
        </is>
      </c>
      <c r="AB26" s="22" t="inlineStr">
        <is>
          <t>/</t>
        </is>
      </c>
      <c r="AC26" s="224" t="inlineStr">
        <is>
          <t>/</t>
        </is>
      </c>
      <c r="AD26" s="57" t="inlineStr">
        <is>
          <t>1、甲方捐赠：35万/年，分组作业未分摊，服务费已包含；
2、采购费：1.35万/年，分组作业未分摊，服务费已包含；</t>
        </is>
      </c>
      <c r="AE26" s="25" t="inlineStr">
        <is>
          <t xml:space="preserve">
1、签订期间：2026.2.25-2026.7.19；
2、指标按照全年换算；
</t>
        </is>
      </c>
      <c r="AF26" s="232" t="inlineStr">
        <is>
          <t>1、会议纪要中约定了各项费用比例，但实际账务处理中未按照各费用比例分别收取；
建议：项目收支明细表按会议纪要签订的要求进行统计；</t>
        </is>
      </c>
    </row>
    <row r="27" ht="48" customFormat="1" customHeight="1" s="209">
      <c r="A27" s="219" t="n">
        <v>25</v>
      </c>
      <c r="B27" s="14" t="inlineStr">
        <is>
          <t>KQCY0024</t>
        </is>
      </c>
      <c r="C27" s="221" t="inlineStr">
        <is>
          <t>餐饮一分部</t>
        </is>
      </c>
      <c r="D27" s="221" t="inlineStr">
        <is>
          <t>CF272</t>
        </is>
      </c>
      <c r="E27" s="221" t="inlineStr">
        <is>
          <t>苏州工学院南一食堂</t>
        </is>
      </c>
      <c r="F27" s="219" t="inlineStr">
        <is>
          <t>强责</t>
        </is>
      </c>
      <c r="G27" s="222" t="inlineStr">
        <is>
          <t>位军浩</t>
        </is>
      </c>
      <c r="H27" s="503" t="inlineStr">
        <is>
          <t>/</t>
        </is>
      </c>
      <c r="I27" s="355" t="inlineStr">
        <is>
          <t>麻辣香锅</t>
        </is>
      </c>
      <c r="J27" s="503" t="inlineStr">
        <is>
          <t>纪洪强</t>
        </is>
      </c>
      <c r="K27" s="224" t="inlineStr">
        <is>
          <t>/</t>
        </is>
      </c>
      <c r="L27" s="651" t="n">
        <v>514000</v>
      </c>
      <c r="M27" s="22" t="n">
        <v>0.08</v>
      </c>
      <c r="N27" s="224" t="inlineStr">
        <is>
          <t>/</t>
        </is>
      </c>
      <c r="O27" s="349" t="inlineStr">
        <is>
          <t>/</t>
        </is>
      </c>
      <c r="P27" s="22" t="n">
        <v>0.065</v>
      </c>
      <c r="Q27" s="22" t="n">
        <v>0.02</v>
      </c>
      <c r="R27" s="22" t="n">
        <v>0.035</v>
      </c>
      <c r="S27" s="224" t="inlineStr">
        <is>
          <t>/</t>
        </is>
      </c>
      <c r="T27" s="22" t="n">
        <v>0.03</v>
      </c>
      <c r="U27" s="22" t="n">
        <v>0.06</v>
      </c>
      <c r="V27" s="502" t="inlineStr">
        <is>
          <t>/</t>
        </is>
      </c>
      <c r="W27" s="47" t="n"/>
      <c r="X27" s="502" t="inlineStr">
        <is>
          <t>/</t>
        </is>
      </c>
      <c r="Y27" s="502" t="inlineStr">
        <is>
          <t>/</t>
        </is>
      </c>
      <c r="Z27" s="502" t="inlineStr">
        <is>
          <t>/</t>
        </is>
      </c>
      <c r="AA27" s="349" t="inlineStr">
        <is>
          <t>/</t>
        </is>
      </c>
      <c r="AB27" s="22" t="inlineStr">
        <is>
          <t>/</t>
        </is>
      </c>
      <c r="AC27" s="224" t="inlineStr">
        <is>
          <t>/</t>
        </is>
      </c>
      <c r="AD27" s="57" t="inlineStr">
        <is>
          <t>1、甲方捐赠：35万/年，分组作业未分摊，服务费已包含；
2、采购费：1.35万/年，分组作业未分摊，服务费已包含；</t>
        </is>
      </c>
      <c r="AE27" s="25" t="inlineStr">
        <is>
          <t xml:space="preserve">
1、签订期间：2026.2.25-2026.7.19；
2、指标按照全年换算；
</t>
        </is>
      </c>
      <c r="AF27" s="232" t="inlineStr">
        <is>
          <t>1、会议纪要中约定了各项费用比例，但实际账务处理中未按照各费用比例分别收取；
建议：项目收支明细表按会议纪要签订的要求进行统计；</t>
        </is>
      </c>
    </row>
    <row r="28" ht="48" customFormat="1" customHeight="1" s="209">
      <c r="A28" s="219" t="n">
        <v>26</v>
      </c>
      <c r="B28" s="14" t="inlineStr">
        <is>
          <t>KQCY0025</t>
        </is>
      </c>
      <c r="C28" s="221" t="inlineStr">
        <is>
          <t>餐饮一分部</t>
        </is>
      </c>
      <c r="D28" s="221" t="inlineStr">
        <is>
          <t>CF272</t>
        </is>
      </c>
      <c r="E28" s="221" t="inlineStr">
        <is>
          <t>苏州工学院南一食堂</t>
        </is>
      </c>
      <c r="F28" s="219" t="inlineStr">
        <is>
          <t>强责</t>
        </is>
      </c>
      <c r="G28" s="222" t="inlineStr">
        <is>
          <t>位军浩</t>
        </is>
      </c>
      <c r="H28" s="503" t="inlineStr">
        <is>
          <t>/</t>
        </is>
      </c>
      <c r="I28" s="355" t="inlineStr">
        <is>
          <t>生煎牛肉汤</t>
        </is>
      </c>
      <c r="J28" s="503" t="inlineStr">
        <is>
          <t>徐雪晗</t>
        </is>
      </c>
      <c r="K28" s="224" t="inlineStr">
        <is>
          <t>/</t>
        </is>
      </c>
      <c r="L28" s="651" t="n">
        <v>316000</v>
      </c>
      <c r="M28" s="22" t="n">
        <v>0.08</v>
      </c>
      <c r="N28" s="224" t="inlineStr">
        <is>
          <t>/</t>
        </is>
      </c>
      <c r="O28" s="349" t="inlineStr">
        <is>
          <t>/</t>
        </is>
      </c>
      <c r="P28" s="22" t="n">
        <v>0.065</v>
      </c>
      <c r="Q28" s="22" t="n">
        <v>0.02</v>
      </c>
      <c r="R28" s="22" t="n">
        <v>0.035</v>
      </c>
      <c r="S28" s="224" t="inlineStr">
        <is>
          <t>/</t>
        </is>
      </c>
      <c r="T28" s="22" t="n">
        <v>0.03</v>
      </c>
      <c r="U28" s="22" t="n">
        <v>0.06</v>
      </c>
      <c r="V28" s="502" t="inlineStr">
        <is>
          <t>/</t>
        </is>
      </c>
      <c r="W28" s="47" t="n"/>
      <c r="X28" s="502" t="inlineStr">
        <is>
          <t>/</t>
        </is>
      </c>
      <c r="Y28" s="502" t="inlineStr">
        <is>
          <t>/</t>
        </is>
      </c>
      <c r="Z28" s="502" t="inlineStr">
        <is>
          <t>/</t>
        </is>
      </c>
      <c r="AA28" s="349" t="inlineStr">
        <is>
          <t>/</t>
        </is>
      </c>
      <c r="AB28" s="22" t="inlineStr">
        <is>
          <t>/</t>
        </is>
      </c>
      <c r="AC28" s="224" t="inlineStr">
        <is>
          <t>/</t>
        </is>
      </c>
      <c r="AD28" s="57" t="inlineStr">
        <is>
          <t>1、甲方捐赠：35万/年，分组作业未分摊，服务费已包含；
2、采购费：1.35万/年，分组作业未分摊，服务费已包含；</t>
        </is>
      </c>
      <c r="AE28" s="25" t="inlineStr">
        <is>
          <t xml:space="preserve">
1、签订期间：2026.2.25-2026.7.19；
2、指标按照全年换算；
</t>
        </is>
      </c>
      <c r="AF28" s="232" t="inlineStr">
        <is>
          <t>1、会议纪要中约定了各项费用比例，但实际账务处理中未按照各费用比例分别收取；
建议：项目收支明细表按会议纪要签订的要求进行统计；</t>
        </is>
      </c>
    </row>
    <row r="29" ht="48" customFormat="1" customHeight="1" s="209">
      <c r="A29" s="219" t="n">
        <v>27</v>
      </c>
      <c r="B29" s="14" t="inlineStr">
        <is>
          <t>KQCY0026</t>
        </is>
      </c>
      <c r="C29" s="221" t="inlineStr">
        <is>
          <t>餐饮一分部</t>
        </is>
      </c>
      <c r="D29" s="221" t="inlineStr">
        <is>
          <t>CF272</t>
        </is>
      </c>
      <c r="E29" s="221" t="inlineStr">
        <is>
          <t>苏州工学院南一食堂</t>
        </is>
      </c>
      <c r="F29" s="219" t="inlineStr">
        <is>
          <t>强责</t>
        </is>
      </c>
      <c r="G29" s="222" t="inlineStr">
        <is>
          <t>位军浩</t>
        </is>
      </c>
      <c r="H29" s="503" t="inlineStr">
        <is>
          <t>/</t>
        </is>
      </c>
      <c r="I29" s="355" t="inlineStr">
        <is>
          <t>西式简餐</t>
        </is>
      </c>
      <c r="J29" s="503" t="inlineStr">
        <is>
          <t>李明发</t>
        </is>
      </c>
      <c r="K29" s="224" t="inlineStr">
        <is>
          <t>/</t>
        </is>
      </c>
      <c r="L29" s="651" t="n">
        <v>310000</v>
      </c>
      <c r="M29" s="22" t="n">
        <v>0.08</v>
      </c>
      <c r="N29" s="224" t="inlineStr">
        <is>
          <t>/</t>
        </is>
      </c>
      <c r="O29" s="349" t="inlineStr">
        <is>
          <t>/</t>
        </is>
      </c>
      <c r="P29" s="22" t="n">
        <v>0.065</v>
      </c>
      <c r="Q29" s="22" t="n">
        <v>0.02</v>
      </c>
      <c r="R29" s="22" t="n">
        <v>0.035</v>
      </c>
      <c r="S29" s="224" t="inlineStr">
        <is>
          <t>/</t>
        </is>
      </c>
      <c r="T29" s="22" t="n">
        <v>0.03</v>
      </c>
      <c r="U29" s="22" t="n">
        <v>0.06</v>
      </c>
      <c r="V29" s="502" t="inlineStr">
        <is>
          <t>/</t>
        </is>
      </c>
      <c r="W29" s="47" t="n"/>
      <c r="X29" s="502" t="inlineStr">
        <is>
          <t>/</t>
        </is>
      </c>
      <c r="Y29" s="502" t="inlineStr">
        <is>
          <t>/</t>
        </is>
      </c>
      <c r="Z29" s="502" t="inlineStr">
        <is>
          <t>/</t>
        </is>
      </c>
      <c r="AA29" s="349" t="inlineStr">
        <is>
          <t>/</t>
        </is>
      </c>
      <c r="AB29" s="22" t="inlineStr">
        <is>
          <t>/</t>
        </is>
      </c>
      <c r="AC29" s="224" t="inlineStr">
        <is>
          <t>/</t>
        </is>
      </c>
      <c r="AD29" s="57" t="inlineStr">
        <is>
          <t>1、甲方捐赠：35万/年，分组作业未分摊，服务费已包含；
2、采购费：1.35万/年，分组作业未分摊，服务费已包含；</t>
        </is>
      </c>
      <c r="AE29" s="25" t="inlineStr">
        <is>
          <t xml:space="preserve">
1、签订期间：2026.2.25-2026.7.19；
2、指标按照全年换算；
</t>
        </is>
      </c>
      <c r="AF29" s="232" t="inlineStr">
        <is>
          <t>1、会议纪要中约定了各项费用比例，但实际账务处理中未按照各费用比例分别收取；
建议：项目收支明细表按会议纪要签订的要求进行统计；</t>
        </is>
      </c>
    </row>
    <row r="30" ht="48" customFormat="1" customHeight="1" s="209">
      <c r="A30" s="219" t="n">
        <v>28</v>
      </c>
      <c r="B30" s="14" t="inlineStr">
        <is>
          <t>KQCY0027</t>
        </is>
      </c>
      <c r="C30" s="221" t="inlineStr">
        <is>
          <t>餐饮一分部</t>
        </is>
      </c>
      <c r="D30" s="221" t="inlineStr">
        <is>
          <t>CF272</t>
        </is>
      </c>
      <c r="E30" s="221" t="inlineStr">
        <is>
          <t>苏州工学院南一食堂</t>
        </is>
      </c>
      <c r="F30" s="219" t="inlineStr">
        <is>
          <t>强责</t>
        </is>
      </c>
      <c r="G30" s="222" t="inlineStr">
        <is>
          <t>位军浩</t>
        </is>
      </c>
      <c r="H30" s="503" t="inlineStr">
        <is>
          <t>/</t>
        </is>
      </c>
      <c r="I30" s="355" t="inlineStr">
        <is>
          <t>苏式面</t>
        </is>
      </c>
      <c r="J30" s="503" t="inlineStr">
        <is>
          <t>许正芳</t>
        </is>
      </c>
      <c r="K30" s="224" t="inlineStr">
        <is>
          <t>/</t>
        </is>
      </c>
      <c r="L30" s="651" t="n">
        <v>530000</v>
      </c>
      <c r="M30" s="22" t="n">
        <v>0.08</v>
      </c>
      <c r="N30" s="224" t="inlineStr">
        <is>
          <t>/</t>
        </is>
      </c>
      <c r="O30" s="349" t="inlineStr">
        <is>
          <t>/</t>
        </is>
      </c>
      <c r="P30" s="22" t="n">
        <v>0.065</v>
      </c>
      <c r="Q30" s="22" t="n">
        <v>0.02</v>
      </c>
      <c r="R30" s="22" t="n">
        <v>0.035</v>
      </c>
      <c r="S30" s="224" t="inlineStr">
        <is>
          <t>/</t>
        </is>
      </c>
      <c r="T30" s="22" t="n">
        <v>0.03</v>
      </c>
      <c r="U30" s="22" t="n">
        <v>0.06</v>
      </c>
      <c r="V30" s="502" t="inlineStr">
        <is>
          <t>/</t>
        </is>
      </c>
      <c r="W30" s="47" t="n"/>
      <c r="X30" s="502" t="inlineStr">
        <is>
          <t>/</t>
        </is>
      </c>
      <c r="Y30" s="502" t="inlineStr">
        <is>
          <t>/</t>
        </is>
      </c>
      <c r="Z30" s="502" t="inlineStr">
        <is>
          <t>/</t>
        </is>
      </c>
      <c r="AA30" s="349" t="inlineStr">
        <is>
          <t>/</t>
        </is>
      </c>
      <c r="AB30" s="22" t="inlineStr">
        <is>
          <t>/</t>
        </is>
      </c>
      <c r="AC30" s="224" t="inlineStr">
        <is>
          <t>/</t>
        </is>
      </c>
      <c r="AD30" s="57" t="inlineStr">
        <is>
          <t>1、甲方捐赠：35万/年，分组作业未分摊，服务费已包含；
2、采购费：1.35万/年，分组作业未分摊，服务费已包含；</t>
        </is>
      </c>
      <c r="AE30" s="25" t="inlineStr">
        <is>
          <t xml:space="preserve">
1、签订期间：2026.2.25-2026.7.19；
2、指标按照全年换算；
</t>
        </is>
      </c>
      <c r="AF30" s="232" t="inlineStr">
        <is>
          <t>1、会议纪要中约定了各项费用比例，但实际账务处理中未按照各费用比例分别收取；
建议：项目收支明细表按会议纪要签订的要求进行统计；</t>
        </is>
      </c>
    </row>
    <row r="31" ht="48" customFormat="1" customHeight="1" s="209">
      <c r="A31" s="219" t="n">
        <v>29</v>
      </c>
      <c r="B31" s="14" t="inlineStr">
        <is>
          <t>KQCY0028</t>
        </is>
      </c>
      <c r="C31" s="221" t="inlineStr">
        <is>
          <t>餐饮一分部</t>
        </is>
      </c>
      <c r="D31" s="221" t="inlineStr">
        <is>
          <t>CF272</t>
        </is>
      </c>
      <c r="E31" s="221" t="inlineStr">
        <is>
          <t>苏州工学院南一食堂</t>
        </is>
      </c>
      <c r="F31" s="219" t="inlineStr">
        <is>
          <t>强责</t>
        </is>
      </c>
      <c r="G31" s="222" t="inlineStr">
        <is>
          <t>位军浩</t>
        </is>
      </c>
      <c r="H31" s="503" t="inlineStr">
        <is>
          <t>/</t>
        </is>
      </c>
      <c r="I31" s="355" t="inlineStr">
        <is>
          <t>王记炒饭</t>
        </is>
      </c>
      <c r="J31" s="503" t="inlineStr">
        <is>
          <t>王梓骏</t>
        </is>
      </c>
      <c r="K31" s="224" t="inlineStr">
        <is>
          <t>/</t>
        </is>
      </c>
      <c r="L31" s="651" t="n">
        <v>526000</v>
      </c>
      <c r="M31" s="22" t="n">
        <v>0.08</v>
      </c>
      <c r="N31" s="224" t="inlineStr">
        <is>
          <t>/</t>
        </is>
      </c>
      <c r="O31" s="349" t="inlineStr">
        <is>
          <t>/</t>
        </is>
      </c>
      <c r="P31" s="22" t="n">
        <v>0.065</v>
      </c>
      <c r="Q31" s="22" t="n">
        <v>0.02</v>
      </c>
      <c r="R31" s="22" t="n">
        <v>0.035</v>
      </c>
      <c r="S31" s="224" t="inlineStr">
        <is>
          <t>/</t>
        </is>
      </c>
      <c r="T31" s="22" t="n">
        <v>0.03</v>
      </c>
      <c r="U31" s="22" t="n">
        <v>0.06</v>
      </c>
      <c r="V31" s="502" t="inlineStr">
        <is>
          <t>/</t>
        </is>
      </c>
      <c r="W31" s="47" t="n"/>
      <c r="X31" s="502" t="inlineStr">
        <is>
          <t>/</t>
        </is>
      </c>
      <c r="Y31" s="502" t="inlineStr">
        <is>
          <t>/</t>
        </is>
      </c>
      <c r="Z31" s="502" t="inlineStr">
        <is>
          <t>/</t>
        </is>
      </c>
      <c r="AA31" s="349" t="inlineStr">
        <is>
          <t>/</t>
        </is>
      </c>
      <c r="AB31" s="22" t="inlineStr">
        <is>
          <t>/</t>
        </is>
      </c>
      <c r="AC31" s="224" t="inlineStr">
        <is>
          <t>/</t>
        </is>
      </c>
      <c r="AD31" s="57" t="inlineStr">
        <is>
          <t>1、甲方捐赠：35万/年，分组作业未分摊，服务费已包含；
2、采购费：1.35万/年，分组作业未分摊，服务费已包含；</t>
        </is>
      </c>
      <c r="AE31" s="25" t="inlineStr">
        <is>
          <t xml:space="preserve">
1、签订期间：2026.2.25-2026.7.19；
2、指标按照全年换算；
</t>
        </is>
      </c>
      <c r="AF31" s="232" t="inlineStr">
        <is>
          <t>1、会议纪要中约定了各项费用比例，但实际账务处理中未按照各费用比例分别收取；
建议：项目收支明细表按会议纪要签订的要求进行统计；</t>
        </is>
      </c>
    </row>
    <row r="32" ht="48" customFormat="1" customHeight="1" s="209">
      <c r="A32" s="219" t="n">
        <v>30</v>
      </c>
      <c r="B32" s="14" t="inlineStr">
        <is>
          <t>KQCY0029</t>
        </is>
      </c>
      <c r="C32" s="221" t="inlineStr">
        <is>
          <t>餐饮一分部</t>
        </is>
      </c>
      <c r="D32" s="221" t="inlineStr">
        <is>
          <t>CF272</t>
        </is>
      </c>
      <c r="E32" s="221" t="inlineStr">
        <is>
          <t>苏州工学院南一食堂</t>
        </is>
      </c>
      <c r="F32" s="219" t="inlineStr">
        <is>
          <t>强责</t>
        </is>
      </c>
      <c r="G32" s="222" t="inlineStr">
        <is>
          <t>位军浩</t>
        </is>
      </c>
      <c r="H32" s="503" t="inlineStr">
        <is>
          <t>/</t>
        </is>
      </c>
      <c r="I32" s="355" t="inlineStr">
        <is>
          <t>烤鸭</t>
        </is>
      </c>
      <c r="J32" s="503" t="inlineStr">
        <is>
          <t>王鑫</t>
        </is>
      </c>
      <c r="K32" s="224" t="inlineStr">
        <is>
          <t>/</t>
        </is>
      </c>
      <c r="L32" s="651" t="n">
        <v>530000</v>
      </c>
      <c r="M32" s="22" t="n">
        <v>0.08</v>
      </c>
      <c r="N32" s="224" t="inlineStr">
        <is>
          <t>/</t>
        </is>
      </c>
      <c r="O32" s="349" t="inlineStr">
        <is>
          <t>/</t>
        </is>
      </c>
      <c r="P32" s="22" t="n">
        <v>0.065</v>
      </c>
      <c r="Q32" s="22" t="n">
        <v>0.02</v>
      </c>
      <c r="R32" s="22" t="n">
        <v>0.035</v>
      </c>
      <c r="S32" s="224" t="inlineStr">
        <is>
          <t>/</t>
        </is>
      </c>
      <c r="T32" s="22" t="n">
        <v>0.03</v>
      </c>
      <c r="U32" s="22" t="n">
        <v>0.06</v>
      </c>
      <c r="V32" s="502" t="inlineStr">
        <is>
          <t>/</t>
        </is>
      </c>
      <c r="W32" s="47" t="n"/>
      <c r="X32" s="502" t="inlineStr">
        <is>
          <t>/</t>
        </is>
      </c>
      <c r="Y32" s="502" t="inlineStr">
        <is>
          <t>/</t>
        </is>
      </c>
      <c r="Z32" s="502" t="inlineStr">
        <is>
          <t>/</t>
        </is>
      </c>
      <c r="AA32" s="349" t="inlineStr">
        <is>
          <t>/</t>
        </is>
      </c>
      <c r="AB32" s="22" t="inlineStr">
        <is>
          <t>/</t>
        </is>
      </c>
      <c r="AC32" s="224" t="inlineStr">
        <is>
          <t>/</t>
        </is>
      </c>
      <c r="AD32" s="57" t="inlineStr">
        <is>
          <t>1、甲方捐赠：35万/年，分组作业未分摊，服务费已包含；
2、采购费：1.35万/年，分组作业未分摊，服务费已包含；</t>
        </is>
      </c>
      <c r="AE32" s="25" t="inlineStr">
        <is>
          <t xml:space="preserve">
1、签订期间：2026.2.25-2026.7.19；
2、指标按照全年换算；
</t>
        </is>
      </c>
      <c r="AF32" s="232" t="inlineStr">
        <is>
          <t>1、会议纪要中约定了各项费用比例，但实际账务处理中未按照各费用比例分别收取；
建议：项目收支明细表按会议纪要签订的要求进行统计；</t>
        </is>
      </c>
    </row>
    <row r="33" ht="48" customFormat="1" customHeight="1" s="209">
      <c r="A33" s="219" t="n">
        <v>31</v>
      </c>
      <c r="B33" s="14" t="inlineStr">
        <is>
          <t>KQCY0030</t>
        </is>
      </c>
      <c r="C33" s="221" t="inlineStr">
        <is>
          <t>餐饮一分部</t>
        </is>
      </c>
      <c r="D33" s="221" t="inlineStr">
        <is>
          <t>CF272</t>
        </is>
      </c>
      <c r="E33" s="221" t="inlineStr">
        <is>
          <t>苏州工学院南一食堂</t>
        </is>
      </c>
      <c r="F33" s="219" t="inlineStr">
        <is>
          <t>强责</t>
        </is>
      </c>
      <c r="G33" s="222" t="inlineStr">
        <is>
          <t>位军浩</t>
        </is>
      </c>
      <c r="H33" s="503" t="inlineStr">
        <is>
          <t>/</t>
        </is>
      </c>
      <c r="I33" s="355" t="inlineStr">
        <is>
          <t>小街胡同牛杂面</t>
        </is>
      </c>
      <c r="J33" s="503" t="inlineStr">
        <is>
          <t>黄雨</t>
        </is>
      </c>
      <c r="K33" s="224" t="inlineStr">
        <is>
          <t>/</t>
        </is>
      </c>
      <c r="L33" s="651" t="n">
        <v>360000</v>
      </c>
      <c r="M33" s="22" t="n">
        <v>0.08</v>
      </c>
      <c r="N33" s="224" t="inlineStr">
        <is>
          <t>/</t>
        </is>
      </c>
      <c r="O33" s="349" t="inlineStr">
        <is>
          <t>/</t>
        </is>
      </c>
      <c r="P33" s="22" t="n">
        <v>0.065</v>
      </c>
      <c r="Q33" s="22" t="n">
        <v>0.02</v>
      </c>
      <c r="R33" s="22" t="n">
        <v>0.035</v>
      </c>
      <c r="S33" s="224" t="inlineStr">
        <is>
          <t>/</t>
        </is>
      </c>
      <c r="T33" s="22" t="n">
        <v>0.03</v>
      </c>
      <c r="U33" s="22" t="n">
        <v>0.06</v>
      </c>
      <c r="V33" s="502" t="inlineStr">
        <is>
          <t>/</t>
        </is>
      </c>
      <c r="W33" s="47" t="n"/>
      <c r="X33" s="502" t="inlineStr">
        <is>
          <t>/</t>
        </is>
      </c>
      <c r="Y33" s="502" t="inlineStr">
        <is>
          <t>/</t>
        </is>
      </c>
      <c r="Z33" s="502" t="inlineStr">
        <is>
          <t>/</t>
        </is>
      </c>
      <c r="AA33" s="349" t="inlineStr">
        <is>
          <t>/</t>
        </is>
      </c>
      <c r="AB33" s="22" t="inlineStr">
        <is>
          <t>/</t>
        </is>
      </c>
      <c r="AC33" s="224" t="inlineStr">
        <is>
          <t>/</t>
        </is>
      </c>
      <c r="AD33" s="57" t="inlineStr">
        <is>
          <t>1、甲方捐赠：35万/年，分组作业未分摊，服务费已包含；
2、采购费：1.35万/年，分组作业未分摊，服务费已包含；</t>
        </is>
      </c>
      <c r="AE33" s="25" t="inlineStr">
        <is>
          <t xml:space="preserve">
1、签订期间：2026.2.25-2026.7.19；
2、指标按照全年换算；
</t>
        </is>
      </c>
      <c r="AF33" s="232" t="inlineStr">
        <is>
          <t>1、会议纪要中约定了各项费用比例，但实际账务处理中未按照各费用比例分别收取；
建议：项目收支明细表按会议纪要签订的要求进行统计；</t>
        </is>
      </c>
    </row>
    <row r="34" ht="48" customFormat="1" customHeight="1" s="209">
      <c r="A34" s="219" t="n">
        <v>32</v>
      </c>
      <c r="B34" s="14" t="inlineStr">
        <is>
          <t>KQCY0031</t>
        </is>
      </c>
      <c r="C34" s="221" t="inlineStr">
        <is>
          <t>餐饮一分部</t>
        </is>
      </c>
      <c r="D34" s="221" t="inlineStr">
        <is>
          <t>CF272</t>
        </is>
      </c>
      <c r="E34" s="221" t="inlineStr">
        <is>
          <t>苏州工学院南一食堂</t>
        </is>
      </c>
      <c r="F34" s="219" t="inlineStr">
        <is>
          <t>强责</t>
        </is>
      </c>
      <c r="G34" s="222" t="inlineStr">
        <is>
          <t>位军浩</t>
        </is>
      </c>
      <c r="H34" s="503" t="inlineStr">
        <is>
          <t>/</t>
        </is>
      </c>
      <c r="I34" s="355" t="inlineStr">
        <is>
          <t>汉堡炸鸡</t>
        </is>
      </c>
      <c r="J34" s="503" t="inlineStr">
        <is>
          <t>陆林峰</t>
        </is>
      </c>
      <c r="K34" s="224" t="inlineStr">
        <is>
          <t>/</t>
        </is>
      </c>
      <c r="L34" s="651" t="n">
        <v>366000</v>
      </c>
      <c r="M34" s="22" t="n">
        <v>0.08</v>
      </c>
      <c r="N34" s="224" t="inlineStr">
        <is>
          <t>/</t>
        </is>
      </c>
      <c r="O34" s="349" t="inlineStr">
        <is>
          <t>/</t>
        </is>
      </c>
      <c r="P34" s="22" t="n">
        <v>0.065</v>
      </c>
      <c r="Q34" s="22" t="n">
        <v>0.02</v>
      </c>
      <c r="R34" s="22" t="n">
        <v>0.035</v>
      </c>
      <c r="S34" s="224" t="inlineStr">
        <is>
          <t>/</t>
        </is>
      </c>
      <c r="T34" s="22" t="n">
        <v>0.03</v>
      </c>
      <c r="U34" s="22" t="n">
        <v>0.06</v>
      </c>
      <c r="V34" s="502" t="inlineStr">
        <is>
          <t>/</t>
        </is>
      </c>
      <c r="W34" s="47" t="n"/>
      <c r="X34" s="502" t="inlineStr">
        <is>
          <t>/</t>
        </is>
      </c>
      <c r="Y34" s="502" t="inlineStr">
        <is>
          <t>/</t>
        </is>
      </c>
      <c r="Z34" s="502" t="inlineStr">
        <is>
          <t>/</t>
        </is>
      </c>
      <c r="AA34" s="349" t="inlineStr">
        <is>
          <t>/</t>
        </is>
      </c>
      <c r="AB34" s="22" t="inlineStr">
        <is>
          <t>/</t>
        </is>
      </c>
      <c r="AC34" s="224" t="inlineStr">
        <is>
          <t>/</t>
        </is>
      </c>
      <c r="AD34" s="57" t="inlineStr">
        <is>
          <t>1、甲方捐赠：35万/年，分组作业未分摊，服务费已包含；
2、采购费：1.35万/年，分组作业未分摊，服务费已包含；</t>
        </is>
      </c>
      <c r="AE34" s="25" t="inlineStr">
        <is>
          <t xml:space="preserve">
1、签订期间：2026.2.25-2026.7.19；
2、指标按照全年换算；
</t>
        </is>
      </c>
      <c r="AF34" s="232" t="inlineStr">
        <is>
          <t>1、会议纪要中约定了各项费用比例，但实际账务处理中未按照各费用比例分别收取；
建议：项目收支明细表按会议纪要签订的要求进行统计；</t>
        </is>
      </c>
    </row>
    <row r="35" ht="48" customFormat="1" customHeight="1" s="209">
      <c r="A35" s="219" t="n">
        <v>33</v>
      </c>
      <c r="B35" s="14" t="inlineStr">
        <is>
          <t>KQCY0032</t>
        </is>
      </c>
      <c r="C35" s="221" t="inlineStr">
        <is>
          <t>餐饮一分部</t>
        </is>
      </c>
      <c r="D35" s="221" t="inlineStr">
        <is>
          <t>CF272</t>
        </is>
      </c>
      <c r="E35" s="221" t="inlineStr">
        <is>
          <t>苏州工学院南一食堂</t>
        </is>
      </c>
      <c r="F35" s="219" t="inlineStr">
        <is>
          <t>强责</t>
        </is>
      </c>
      <c r="G35" s="222" t="inlineStr">
        <is>
          <t>位军浩</t>
        </is>
      </c>
      <c r="H35" s="503" t="inlineStr">
        <is>
          <t>/</t>
        </is>
      </c>
      <c r="I35" s="355" t="inlineStr">
        <is>
          <t>旋转小火锅</t>
        </is>
      </c>
      <c r="J35" s="503" t="inlineStr">
        <is>
          <t>潘祥</t>
        </is>
      </c>
      <c r="K35" s="224" t="inlineStr">
        <is>
          <t>/</t>
        </is>
      </c>
      <c r="L35" s="651" t="n">
        <v>284000</v>
      </c>
      <c r="M35" s="22" t="n">
        <v>0.06</v>
      </c>
      <c r="N35" s="22" t="inlineStr">
        <is>
          <t>/</t>
        </is>
      </c>
      <c r="O35" s="59" t="inlineStr">
        <is>
          <t>/</t>
        </is>
      </c>
      <c r="P35" s="22" t="n">
        <v>0.065</v>
      </c>
      <c r="Q35" s="22" t="n">
        <v>0.02</v>
      </c>
      <c r="R35" s="22" t="n">
        <v>0.025</v>
      </c>
      <c r="S35" s="22" t="inlineStr">
        <is>
          <t>/</t>
        </is>
      </c>
      <c r="T35" s="22" t="n">
        <v>0.03</v>
      </c>
      <c r="U35" s="22" t="n">
        <v>0.06</v>
      </c>
      <c r="V35" s="502" t="inlineStr">
        <is>
          <t>/</t>
        </is>
      </c>
      <c r="W35" s="47" t="n"/>
      <c r="X35" s="502" t="inlineStr">
        <is>
          <t>/</t>
        </is>
      </c>
      <c r="Y35" s="502" t="inlineStr">
        <is>
          <t>/</t>
        </is>
      </c>
      <c r="Z35" s="502" t="inlineStr">
        <is>
          <t>/</t>
        </is>
      </c>
      <c r="AA35" s="480" t="inlineStr">
        <is>
          <t>/</t>
        </is>
      </c>
      <c r="AB35" s="22" t="inlineStr">
        <is>
          <t>/</t>
        </is>
      </c>
      <c r="AC35" s="224" t="inlineStr">
        <is>
          <t>/</t>
        </is>
      </c>
      <c r="AD35" s="57" t="inlineStr">
        <is>
          <t>1、甲方捐赠：35万/年，分组作业未分摊，服务费已包含；
2、采购费：1.35万/年，分组作业未分摊，服务费已包含；</t>
        </is>
      </c>
      <c r="AE35" s="53" t="inlineStr">
        <is>
          <t>1、签订期间：2026.2.25-2026.7.19；
2、指标按照全年换算；
3、已撤场（2026年3月）；</t>
        </is>
      </c>
      <c r="AF35" s="232" t="inlineStr">
        <is>
          <t>1、会议纪要中约定了各项费用比例，但实际账务处理中未按照各费用比例分别收取；
建议：项目收支明细表按会议纪要签订的要求进行统计；</t>
        </is>
      </c>
    </row>
    <row r="36" ht="12" customFormat="1" customHeight="1" s="209">
      <c r="A36" s="219" t="n">
        <v>34</v>
      </c>
      <c r="B36" s="14" t="inlineStr">
        <is>
          <t>KQCY0033</t>
        </is>
      </c>
      <c r="C36" s="221" t="inlineStr">
        <is>
          <t>餐饮一分部</t>
        </is>
      </c>
      <c r="D36" s="221" t="inlineStr">
        <is>
          <t>CF127-1</t>
        </is>
      </c>
      <c r="E36" s="221" t="inlineStr">
        <is>
          <t>泰科老厂餐厅</t>
        </is>
      </c>
      <c r="F36" s="219" t="inlineStr">
        <is>
          <t>自营</t>
        </is>
      </c>
      <c r="G36" s="222" t="inlineStr">
        <is>
          <t>位军浩</t>
        </is>
      </c>
      <c r="H36" s="222" t="inlineStr">
        <is>
          <t>/</t>
        </is>
      </c>
      <c r="I36" s="355" t="inlineStr">
        <is>
          <t>/</t>
        </is>
      </c>
      <c r="J36" s="503" t="inlineStr">
        <is>
          <t>/</t>
        </is>
      </c>
      <c r="K36" s="224" t="inlineStr">
        <is>
          <t>/</t>
        </is>
      </c>
      <c r="L36" s="651" t="n">
        <v>20350000</v>
      </c>
      <c r="M36" s="655" t="inlineStr">
        <is>
          <t>/</t>
        </is>
      </c>
      <c r="N36" s="224" t="inlineStr">
        <is>
          <t>/</t>
        </is>
      </c>
      <c r="O36" s="23" t="n">
        <v>0.02</v>
      </c>
      <c r="P36" s="224" t="inlineStr">
        <is>
          <t>/</t>
        </is>
      </c>
      <c r="Q36" s="224" t="inlineStr">
        <is>
          <t>/</t>
        </is>
      </c>
      <c r="R36" s="224" t="inlineStr">
        <is>
          <t>/</t>
        </is>
      </c>
      <c r="S36" s="224" t="inlineStr">
        <is>
          <t>/</t>
        </is>
      </c>
      <c r="T36" s="224" t="inlineStr">
        <is>
          <t>/</t>
        </is>
      </c>
      <c r="U36" s="224" t="inlineStr">
        <is>
          <t>/</t>
        </is>
      </c>
      <c r="V36" s="224" t="inlineStr">
        <is>
          <t>/</t>
        </is>
      </c>
      <c r="W36" s="47" t="n"/>
      <c r="X36" s="502" t="inlineStr">
        <is>
          <t>/</t>
        </is>
      </c>
      <c r="Y36" s="502" t="inlineStr">
        <is>
          <t>/</t>
        </is>
      </c>
      <c r="Z36" s="502" t="inlineStr">
        <is>
          <t>/</t>
        </is>
      </c>
      <c r="AA36" s="502" t="inlineStr">
        <is>
          <t>/</t>
        </is>
      </c>
      <c r="AB36" s="46" t="n">
        <v>0.05</v>
      </c>
      <c r="AC36" s="46" t="inlineStr">
        <is>
          <t>/</t>
        </is>
      </c>
      <c r="AD36" s="60" t="n"/>
      <c r="AE36" s="25" t="n"/>
      <c r="AF36" s="206" t="n"/>
    </row>
    <row r="37" ht="12" customFormat="1" customHeight="1" s="209">
      <c r="A37" s="219" t="n">
        <v>35</v>
      </c>
      <c r="B37" s="14" t="inlineStr">
        <is>
          <t>KQCY0034</t>
        </is>
      </c>
      <c r="C37" s="221" t="inlineStr">
        <is>
          <t>餐饮一分部</t>
        </is>
      </c>
      <c r="D37" s="221" t="inlineStr">
        <is>
          <t>CF127-3</t>
        </is>
      </c>
      <c r="E37" s="221" t="inlineStr">
        <is>
          <t>泰科新厂餐厅</t>
        </is>
      </c>
      <c r="F37" s="219" t="inlineStr">
        <is>
          <t>自营</t>
        </is>
      </c>
      <c r="G37" s="222" t="inlineStr">
        <is>
          <t>位军浩</t>
        </is>
      </c>
      <c r="H37" s="222" t="inlineStr">
        <is>
          <t>/</t>
        </is>
      </c>
      <c r="I37" s="355" t="inlineStr">
        <is>
          <t>/</t>
        </is>
      </c>
      <c r="J37" s="503" t="inlineStr">
        <is>
          <t>/</t>
        </is>
      </c>
      <c r="K37" s="224" t="inlineStr">
        <is>
          <t>/</t>
        </is>
      </c>
      <c r="L37" s="651" t="n">
        <v>25000000</v>
      </c>
      <c r="M37" s="655" t="inlineStr">
        <is>
          <t>/</t>
        </is>
      </c>
      <c r="N37" s="224" t="inlineStr">
        <is>
          <t>/</t>
        </is>
      </c>
      <c r="O37" s="23" t="n">
        <v>0.02</v>
      </c>
      <c r="P37" s="224" t="inlineStr">
        <is>
          <t>/</t>
        </is>
      </c>
      <c r="Q37" s="224" t="inlineStr">
        <is>
          <t>/</t>
        </is>
      </c>
      <c r="R37" s="224" t="inlineStr">
        <is>
          <t>/</t>
        </is>
      </c>
      <c r="S37" s="224" t="inlineStr">
        <is>
          <t>/</t>
        </is>
      </c>
      <c r="T37" s="224" t="inlineStr">
        <is>
          <t>/</t>
        </is>
      </c>
      <c r="U37" s="224" t="inlineStr">
        <is>
          <t>/</t>
        </is>
      </c>
      <c r="V37" s="224" t="inlineStr">
        <is>
          <t>/</t>
        </is>
      </c>
      <c r="W37" s="47" t="n"/>
      <c r="X37" s="502" t="inlineStr">
        <is>
          <t>/</t>
        </is>
      </c>
      <c r="Y37" s="502" t="inlineStr">
        <is>
          <t>/</t>
        </is>
      </c>
      <c r="Z37" s="502" t="inlineStr">
        <is>
          <t>/</t>
        </is>
      </c>
      <c r="AA37" s="502" t="inlineStr">
        <is>
          <t>/</t>
        </is>
      </c>
      <c r="AB37" s="46" t="n">
        <v>0.05</v>
      </c>
      <c r="AC37" s="46" t="inlineStr">
        <is>
          <t>/</t>
        </is>
      </c>
      <c r="AD37" s="60" t="n"/>
      <c r="AE37" s="25" t="n"/>
      <c r="AF37" s="206" t="n"/>
    </row>
    <row r="38" ht="12" customFormat="1" customHeight="1" s="209">
      <c r="A38" s="219" t="n">
        <v>36</v>
      </c>
      <c r="B38" s="14" t="inlineStr">
        <is>
          <t>KQCY0035</t>
        </is>
      </c>
      <c r="C38" s="221" t="inlineStr">
        <is>
          <t>餐饮一分部</t>
        </is>
      </c>
      <c r="D38" s="221" t="inlineStr">
        <is>
          <t>CF141</t>
        </is>
      </c>
      <c r="E38" s="221" t="inlineStr">
        <is>
          <t>泰科阳澄湖工厂</t>
        </is>
      </c>
      <c r="F38" s="219" t="inlineStr">
        <is>
          <t>自营</t>
        </is>
      </c>
      <c r="G38" s="222" t="inlineStr">
        <is>
          <t>位军浩</t>
        </is>
      </c>
      <c r="H38" s="222" t="inlineStr">
        <is>
          <t>/</t>
        </is>
      </c>
      <c r="I38" s="355" t="inlineStr">
        <is>
          <t>/</t>
        </is>
      </c>
      <c r="J38" s="503" t="inlineStr">
        <is>
          <t>/</t>
        </is>
      </c>
      <c r="K38" s="224" t="inlineStr">
        <is>
          <t>/</t>
        </is>
      </c>
      <c r="L38" s="651" t="n">
        <v>9507000</v>
      </c>
      <c r="M38" s="655" t="inlineStr">
        <is>
          <t>/</t>
        </is>
      </c>
      <c r="N38" s="224" t="inlineStr">
        <is>
          <t>/</t>
        </is>
      </c>
      <c r="O38" s="23" t="n">
        <v>0.02</v>
      </c>
      <c r="P38" s="224" t="inlineStr">
        <is>
          <t>/</t>
        </is>
      </c>
      <c r="Q38" s="224" t="inlineStr">
        <is>
          <t>/</t>
        </is>
      </c>
      <c r="R38" s="224" t="inlineStr">
        <is>
          <t>/</t>
        </is>
      </c>
      <c r="S38" s="224" t="inlineStr">
        <is>
          <t>/</t>
        </is>
      </c>
      <c r="T38" s="224" t="inlineStr">
        <is>
          <t>/</t>
        </is>
      </c>
      <c r="U38" s="224" t="inlineStr">
        <is>
          <t>/</t>
        </is>
      </c>
      <c r="V38" s="224" t="inlineStr">
        <is>
          <t>/</t>
        </is>
      </c>
      <c r="W38" s="47" t="n"/>
      <c r="X38" s="502" t="inlineStr">
        <is>
          <t>/</t>
        </is>
      </c>
      <c r="Y38" s="502" t="inlineStr">
        <is>
          <t>/</t>
        </is>
      </c>
      <c r="Z38" s="502" t="inlineStr">
        <is>
          <t>/</t>
        </is>
      </c>
      <c r="AA38" s="502" t="inlineStr">
        <is>
          <t>/</t>
        </is>
      </c>
      <c r="AB38" s="46" t="n">
        <v>0.05</v>
      </c>
      <c r="AC38" s="46" t="inlineStr">
        <is>
          <t>/</t>
        </is>
      </c>
      <c r="AD38" s="60" t="n"/>
      <c r="AE38" s="25" t="n"/>
      <c r="AF38" s="206" t="n"/>
    </row>
    <row r="39" ht="12" customFormat="1" customHeight="1" s="209">
      <c r="A39" s="219" t="n">
        <v>37</v>
      </c>
      <c r="B39" s="14" t="inlineStr">
        <is>
          <t>KQCY0036</t>
        </is>
      </c>
      <c r="C39" s="221" t="inlineStr">
        <is>
          <t>餐饮一分部</t>
        </is>
      </c>
      <c r="D39" s="221" t="inlineStr">
        <is>
          <t>CF129-1</t>
        </is>
      </c>
      <c r="E39" s="221" t="inlineStr">
        <is>
          <t>中央厨房（加工服务部）</t>
        </is>
      </c>
      <c r="F39" s="219" t="inlineStr">
        <is>
          <t>自营</t>
        </is>
      </c>
      <c r="G39" s="222" t="inlineStr">
        <is>
          <t>位军浩</t>
        </is>
      </c>
      <c r="H39" s="222" t="inlineStr">
        <is>
          <t>/</t>
        </is>
      </c>
      <c r="I39" s="355" t="inlineStr">
        <is>
          <t>/</t>
        </is>
      </c>
      <c r="J39" s="503" t="inlineStr">
        <is>
          <t>/</t>
        </is>
      </c>
      <c r="K39" s="224" t="inlineStr">
        <is>
          <t>/</t>
        </is>
      </c>
      <c r="L39" s="651" t="inlineStr">
        <is>
          <t>/</t>
        </is>
      </c>
      <c r="M39" s="655" t="inlineStr">
        <is>
          <t>/</t>
        </is>
      </c>
      <c r="N39" s="224" t="inlineStr">
        <is>
          <t>/</t>
        </is>
      </c>
      <c r="O39" s="23" t="n">
        <v>0.02</v>
      </c>
      <c r="P39" s="224" t="inlineStr">
        <is>
          <t>/</t>
        </is>
      </c>
      <c r="Q39" s="224" t="inlineStr">
        <is>
          <t>/</t>
        </is>
      </c>
      <c r="R39" s="224" t="inlineStr">
        <is>
          <t>/</t>
        </is>
      </c>
      <c r="S39" s="224" t="inlineStr">
        <is>
          <t>/</t>
        </is>
      </c>
      <c r="T39" s="224" t="inlineStr">
        <is>
          <t>/</t>
        </is>
      </c>
      <c r="U39" s="224" t="inlineStr">
        <is>
          <t>/</t>
        </is>
      </c>
      <c r="V39" s="224" t="inlineStr">
        <is>
          <t>/</t>
        </is>
      </c>
      <c r="W39" s="47" t="n"/>
      <c r="X39" s="502" t="inlineStr">
        <is>
          <t>/</t>
        </is>
      </c>
      <c r="Y39" s="502" t="inlineStr">
        <is>
          <t>/</t>
        </is>
      </c>
      <c r="Z39" s="502" t="inlineStr">
        <is>
          <t>/</t>
        </is>
      </c>
      <c r="AA39" s="502" t="inlineStr">
        <is>
          <t>/</t>
        </is>
      </c>
      <c r="AB39" s="54" t="inlineStr">
        <is>
          <t>/</t>
        </is>
      </c>
      <c r="AC39" s="46" t="inlineStr">
        <is>
          <t>/</t>
        </is>
      </c>
      <c r="AD39" s="60" t="n"/>
      <c r="AE39" s="25" t="n"/>
      <c r="AF39" s="206" t="n"/>
    </row>
    <row r="40" ht="12" customFormat="1" customHeight="1" s="209">
      <c r="A40" s="219" t="n">
        <v>38</v>
      </c>
      <c r="B40" s="14" t="inlineStr">
        <is>
          <t>KQCY0037</t>
        </is>
      </c>
      <c r="C40" s="221" t="inlineStr">
        <is>
          <t>餐饮一分部</t>
        </is>
      </c>
      <c r="D40" s="221" t="inlineStr">
        <is>
          <t>CF142</t>
        </is>
      </c>
      <c r="E40" s="221" t="inlineStr">
        <is>
          <t>卡特彼勒（吴江）餐厅</t>
        </is>
      </c>
      <c r="F40" s="219" t="inlineStr">
        <is>
          <t>自营</t>
        </is>
      </c>
      <c r="G40" s="222" t="inlineStr">
        <is>
          <t>位军浩</t>
        </is>
      </c>
      <c r="H40" s="222" t="inlineStr">
        <is>
          <t>/</t>
        </is>
      </c>
      <c r="I40" s="355" t="inlineStr">
        <is>
          <t>/</t>
        </is>
      </c>
      <c r="J40" s="503" t="inlineStr">
        <is>
          <t>/</t>
        </is>
      </c>
      <c r="K40" s="224" t="inlineStr">
        <is>
          <t>/</t>
        </is>
      </c>
      <c r="L40" s="651" t="n">
        <v>3960000</v>
      </c>
      <c r="M40" s="655" t="inlineStr">
        <is>
          <t>/</t>
        </is>
      </c>
      <c r="N40" s="224" t="inlineStr">
        <is>
          <t>/</t>
        </is>
      </c>
      <c r="O40" s="23" t="n">
        <v>0.02</v>
      </c>
      <c r="P40" s="224" t="inlineStr">
        <is>
          <t>/</t>
        </is>
      </c>
      <c r="Q40" s="224" t="inlineStr">
        <is>
          <t>/</t>
        </is>
      </c>
      <c r="R40" s="224" t="inlineStr">
        <is>
          <t>/</t>
        </is>
      </c>
      <c r="S40" s="224" t="inlineStr">
        <is>
          <t>/</t>
        </is>
      </c>
      <c r="T40" s="224" t="inlineStr">
        <is>
          <t>/</t>
        </is>
      </c>
      <c r="U40" s="224" t="inlineStr">
        <is>
          <t>/</t>
        </is>
      </c>
      <c r="V40" s="224" t="inlineStr">
        <is>
          <t>/</t>
        </is>
      </c>
      <c r="W40" s="47" t="n"/>
      <c r="X40" s="502" t="inlineStr">
        <is>
          <t>/</t>
        </is>
      </c>
      <c r="Y40" s="502" t="inlineStr">
        <is>
          <t>/</t>
        </is>
      </c>
      <c r="Z40" s="502" t="inlineStr">
        <is>
          <t>/</t>
        </is>
      </c>
      <c r="AA40" s="502" t="inlineStr">
        <is>
          <t>/</t>
        </is>
      </c>
      <c r="AB40" s="46" t="n">
        <v>0.05</v>
      </c>
      <c r="AC40" s="46" t="inlineStr">
        <is>
          <t>/</t>
        </is>
      </c>
      <c r="AD40" s="60" t="n"/>
      <c r="AE40" s="25" t="n"/>
      <c r="AF40" s="206" t="n"/>
    </row>
    <row r="41" ht="12" customFormat="1" customHeight="1" s="209">
      <c r="A41" s="219" t="n">
        <v>39</v>
      </c>
      <c r="B41" s="14" t="inlineStr">
        <is>
          <t>KQCY0038</t>
        </is>
      </c>
      <c r="C41" s="221" t="inlineStr">
        <is>
          <t>餐饮一分部</t>
        </is>
      </c>
      <c r="D41" s="221" t="inlineStr">
        <is>
          <t>CF138</t>
        </is>
      </c>
      <c r="E41" s="221" t="inlineStr">
        <is>
          <t>苏州生物产业园三期餐厅</t>
        </is>
      </c>
      <c r="F41" s="219" t="inlineStr">
        <is>
          <t>自营</t>
        </is>
      </c>
      <c r="G41" s="222" t="inlineStr">
        <is>
          <t>位军浩</t>
        </is>
      </c>
      <c r="H41" s="222" t="inlineStr">
        <is>
          <t>/</t>
        </is>
      </c>
      <c r="I41" s="355" t="inlineStr">
        <is>
          <t>/</t>
        </is>
      </c>
      <c r="J41" s="503" t="inlineStr">
        <is>
          <t>/</t>
        </is>
      </c>
      <c r="K41" s="224" t="inlineStr">
        <is>
          <t>/</t>
        </is>
      </c>
      <c r="L41" s="651" t="n">
        <v>2350000</v>
      </c>
      <c r="M41" s="655" t="inlineStr">
        <is>
          <t>/</t>
        </is>
      </c>
      <c r="N41" s="224" t="inlineStr">
        <is>
          <t>/</t>
        </is>
      </c>
      <c r="O41" s="23" t="n">
        <v>0.02</v>
      </c>
      <c r="P41" s="224" t="inlineStr">
        <is>
          <t>/</t>
        </is>
      </c>
      <c r="Q41" s="224" t="inlineStr">
        <is>
          <t>/</t>
        </is>
      </c>
      <c r="R41" s="224" t="inlineStr">
        <is>
          <t>/</t>
        </is>
      </c>
      <c r="S41" s="224" t="inlineStr">
        <is>
          <t>/</t>
        </is>
      </c>
      <c r="T41" s="224" t="inlineStr">
        <is>
          <t>/</t>
        </is>
      </c>
      <c r="U41" s="224" t="inlineStr">
        <is>
          <t>/</t>
        </is>
      </c>
      <c r="V41" s="224" t="inlineStr">
        <is>
          <t>/</t>
        </is>
      </c>
      <c r="W41" s="47" t="n"/>
      <c r="X41" s="502" t="inlineStr">
        <is>
          <t>/</t>
        </is>
      </c>
      <c r="Y41" s="502" t="inlineStr">
        <is>
          <t>/</t>
        </is>
      </c>
      <c r="Z41" s="502" t="inlineStr">
        <is>
          <t>/</t>
        </is>
      </c>
      <c r="AA41" s="502" t="inlineStr">
        <is>
          <t>/</t>
        </is>
      </c>
      <c r="AB41" s="46" t="n">
        <v>0.06</v>
      </c>
      <c r="AC41" s="46" t="inlineStr">
        <is>
          <t>/</t>
        </is>
      </c>
      <c r="AD41" s="60" t="n"/>
      <c r="AE41" s="25" t="n"/>
      <c r="AF41" s="206" t="n"/>
    </row>
    <row r="42" ht="12" customFormat="1" customHeight="1" s="209">
      <c r="A42" s="219" t="n">
        <v>40</v>
      </c>
      <c r="B42" s="14" t="inlineStr">
        <is>
          <t>KQCY0039</t>
        </is>
      </c>
      <c r="C42" s="221" t="inlineStr">
        <is>
          <t>餐饮二分部</t>
        </is>
      </c>
      <c r="D42" s="221" t="inlineStr">
        <is>
          <t>CF181</t>
        </is>
      </c>
      <c r="E42" s="221" t="inlineStr">
        <is>
          <t>中科大苏州研究院食堂</t>
        </is>
      </c>
      <c r="F42" s="219" t="inlineStr">
        <is>
          <t>自营</t>
        </is>
      </c>
      <c r="G42" s="222" t="inlineStr">
        <is>
          <t>吉沐牛</t>
        </is>
      </c>
      <c r="H42" s="222" t="inlineStr">
        <is>
          <t>/</t>
        </is>
      </c>
      <c r="I42" s="355" t="inlineStr">
        <is>
          <t>/</t>
        </is>
      </c>
      <c r="J42" s="222" t="inlineStr">
        <is>
          <t>/</t>
        </is>
      </c>
      <c r="K42" s="224" t="inlineStr">
        <is>
          <t>/</t>
        </is>
      </c>
      <c r="L42" s="651" t="n">
        <v>1570000</v>
      </c>
      <c r="M42" s="224" t="inlineStr">
        <is>
          <t>/</t>
        </is>
      </c>
      <c r="N42" s="224" t="inlineStr">
        <is>
          <t>/</t>
        </is>
      </c>
      <c r="O42" s="224" t="inlineStr">
        <is>
          <t>/</t>
        </is>
      </c>
      <c r="P42" s="224" t="inlineStr">
        <is>
          <t>/</t>
        </is>
      </c>
      <c r="Q42" s="224" t="inlineStr">
        <is>
          <t>/</t>
        </is>
      </c>
      <c r="R42" s="224" t="inlineStr">
        <is>
          <t>/</t>
        </is>
      </c>
      <c r="S42" s="224" t="inlineStr">
        <is>
          <t>/</t>
        </is>
      </c>
      <c r="T42" s="224" t="inlineStr">
        <is>
          <t>/</t>
        </is>
      </c>
      <c r="U42" s="224" t="inlineStr">
        <is>
          <t>/</t>
        </is>
      </c>
      <c r="V42" s="224" t="inlineStr">
        <is>
          <t>/</t>
        </is>
      </c>
      <c r="W42" s="461" t="inlineStr">
        <is>
          <t>/</t>
        </is>
      </c>
      <c r="X42" s="461" t="inlineStr">
        <is>
          <t>/</t>
        </is>
      </c>
      <c r="Y42" s="461" t="inlineStr">
        <is>
          <t>/</t>
        </is>
      </c>
      <c r="Z42" s="461" t="inlineStr">
        <is>
          <t>/</t>
        </is>
      </c>
      <c r="AA42" s="503" t="inlineStr">
        <is>
          <t>/</t>
        </is>
      </c>
      <c r="AB42" s="51" t="n">
        <v>0.03</v>
      </c>
      <c r="AC42" s="46" t="inlineStr">
        <is>
          <t>/</t>
        </is>
      </c>
      <c r="AD42" s="232" t="n"/>
      <c r="AE42" s="25" t="n"/>
      <c r="AF42" s="206" t="n"/>
    </row>
    <row r="43" ht="12" customFormat="1" customHeight="1" s="209">
      <c r="A43" s="219" t="n">
        <v>41</v>
      </c>
      <c r="B43" s="14" t="inlineStr">
        <is>
          <t>KQCY0040</t>
        </is>
      </c>
      <c r="C43" s="221" t="inlineStr">
        <is>
          <t>餐饮二分部</t>
        </is>
      </c>
      <c r="D43" s="221" t="inlineStr">
        <is>
          <t>CF124</t>
        </is>
      </c>
      <c r="E43" s="221" t="inlineStr">
        <is>
          <t>苏州评弹学院食堂</t>
        </is>
      </c>
      <c r="F43" s="219" t="inlineStr">
        <is>
          <t>自营</t>
        </is>
      </c>
      <c r="G43" s="222" t="inlineStr">
        <is>
          <t>吉沐牛</t>
        </is>
      </c>
      <c r="H43" s="222" t="inlineStr">
        <is>
          <t>/</t>
        </is>
      </c>
      <c r="I43" s="355" t="inlineStr">
        <is>
          <t>/</t>
        </is>
      </c>
      <c r="J43" s="222" t="inlineStr">
        <is>
          <t>/</t>
        </is>
      </c>
      <c r="K43" s="224" t="inlineStr">
        <is>
          <t>/</t>
        </is>
      </c>
      <c r="L43" s="651" t="n">
        <v>2850000</v>
      </c>
      <c r="M43" s="224" t="inlineStr">
        <is>
          <t>/</t>
        </is>
      </c>
      <c r="N43" s="224" t="inlineStr">
        <is>
          <t>/</t>
        </is>
      </c>
      <c r="O43" s="224" t="inlineStr">
        <is>
          <t>/</t>
        </is>
      </c>
      <c r="P43" s="224" t="inlineStr">
        <is>
          <t>/</t>
        </is>
      </c>
      <c r="Q43" s="224" t="inlineStr">
        <is>
          <t>/</t>
        </is>
      </c>
      <c r="R43" s="224" t="inlineStr">
        <is>
          <t>/</t>
        </is>
      </c>
      <c r="S43" s="224" t="inlineStr">
        <is>
          <t>/</t>
        </is>
      </c>
      <c r="T43" s="224" t="inlineStr">
        <is>
          <t>/</t>
        </is>
      </c>
      <c r="U43" s="224" t="inlineStr">
        <is>
          <t>/</t>
        </is>
      </c>
      <c r="V43" s="224" t="inlineStr">
        <is>
          <t>/</t>
        </is>
      </c>
      <c r="W43" s="461" t="inlineStr">
        <is>
          <t>/</t>
        </is>
      </c>
      <c r="X43" s="461" t="inlineStr">
        <is>
          <t>/</t>
        </is>
      </c>
      <c r="Y43" s="461" t="inlineStr">
        <is>
          <t>/</t>
        </is>
      </c>
      <c r="Z43" s="461" t="inlineStr">
        <is>
          <t>/</t>
        </is>
      </c>
      <c r="AA43" s="503" t="inlineStr">
        <is>
          <t>/</t>
        </is>
      </c>
      <c r="AB43" s="51" t="n">
        <v>0.16</v>
      </c>
      <c r="AC43" s="46" t="inlineStr">
        <is>
          <t>/</t>
        </is>
      </c>
      <c r="AD43" s="232" t="n"/>
      <c r="AE43" s="25" t="n"/>
      <c r="AF43" s="206" t="n"/>
    </row>
    <row r="44" ht="12" customFormat="1" customHeight="1" s="209">
      <c r="A44" s="219" t="n">
        <v>42</v>
      </c>
      <c r="B44" s="14" t="inlineStr">
        <is>
          <t>KQCY0041</t>
        </is>
      </c>
      <c r="C44" s="221" t="inlineStr">
        <is>
          <t>餐饮二分部</t>
        </is>
      </c>
      <c r="D44" s="221" t="inlineStr">
        <is>
          <t>CF125</t>
        </is>
      </c>
      <c r="E44" s="221" t="inlineStr">
        <is>
          <t>西浦大学宏愿食堂（南）</t>
        </is>
      </c>
      <c r="F44" s="219" t="inlineStr">
        <is>
          <t>自营</t>
        </is>
      </c>
      <c r="G44" s="222" t="inlineStr">
        <is>
          <t>吉沐牛</t>
        </is>
      </c>
      <c r="H44" s="222" t="inlineStr">
        <is>
          <t>/</t>
        </is>
      </c>
      <c r="I44" s="355" t="inlineStr">
        <is>
          <t>/</t>
        </is>
      </c>
      <c r="J44" s="222" t="inlineStr">
        <is>
          <t>/</t>
        </is>
      </c>
      <c r="K44" s="224" t="inlineStr">
        <is>
          <t>/</t>
        </is>
      </c>
      <c r="L44" s="651" t="inlineStr">
        <is>
          <t>/</t>
        </is>
      </c>
      <c r="M44" s="224" t="inlineStr">
        <is>
          <t>/</t>
        </is>
      </c>
      <c r="N44" s="47" t="n"/>
      <c r="O44" s="23" t="n">
        <v>0.02</v>
      </c>
      <c r="P44" s="47" t="n"/>
      <c r="Q44" s="224" t="inlineStr">
        <is>
          <t>/</t>
        </is>
      </c>
      <c r="R44" s="224" t="inlineStr">
        <is>
          <t>/</t>
        </is>
      </c>
      <c r="S44" s="224" t="inlineStr">
        <is>
          <t>/</t>
        </is>
      </c>
      <c r="T44" s="47" t="n"/>
      <c r="U44" s="47" t="n"/>
      <c r="V44" s="224" t="inlineStr">
        <is>
          <t>/</t>
        </is>
      </c>
      <c r="W44" s="44" t="n"/>
      <c r="X44" s="62" t="n">
        <v>0.035</v>
      </c>
      <c r="Y44" s="461" t="inlineStr">
        <is>
          <t>/</t>
        </is>
      </c>
      <c r="Z44" s="461" t="inlineStr">
        <is>
          <t>/</t>
        </is>
      </c>
      <c r="AA44" s="503" t="inlineStr">
        <is>
          <t>/</t>
        </is>
      </c>
      <c r="AB44" s="51" t="n">
        <v>0.08</v>
      </c>
      <c r="AC44" s="46" t="inlineStr">
        <is>
          <t>/</t>
        </is>
      </c>
      <c r="AD44" s="232" t="n"/>
      <c r="AE44" s="25" t="n"/>
      <c r="AF44" s="206" t="n"/>
    </row>
    <row r="45" ht="24" customFormat="1" customHeight="1" s="209">
      <c r="A45" s="219" t="n">
        <v>43</v>
      </c>
      <c r="B45" s="14" t="inlineStr">
        <is>
          <t>KQCY0042</t>
        </is>
      </c>
      <c r="C45" s="221" t="inlineStr">
        <is>
          <t>餐饮二分部</t>
        </is>
      </c>
      <c r="D45" s="221" t="inlineStr">
        <is>
          <t>CF125</t>
        </is>
      </c>
      <c r="E45" s="221" t="inlineStr">
        <is>
          <t>西浦大学宏愿食堂（南）</t>
        </is>
      </c>
      <c r="F45" s="219" t="inlineStr">
        <is>
          <t>分组作业</t>
        </is>
      </c>
      <c r="G45" s="222" t="inlineStr">
        <is>
          <t>吉沐牛</t>
        </is>
      </c>
      <c r="H45" s="503" t="inlineStr">
        <is>
          <t>/</t>
        </is>
      </c>
      <c r="I45" s="355" t="inlineStr">
        <is>
          <t>麻辣烫</t>
        </is>
      </c>
      <c r="J45" s="222" t="inlineStr">
        <is>
          <t>何军军</t>
        </is>
      </c>
      <c r="K45" s="224" t="inlineStr">
        <is>
          <t>/</t>
        </is>
      </c>
      <c r="L45" s="651" t="n">
        <v>850000</v>
      </c>
      <c r="M45" s="63" t="n">
        <v>0.12</v>
      </c>
      <c r="N45" s="395" t="n"/>
      <c r="O45" s="63" t="n">
        <v>0.02</v>
      </c>
      <c r="P45" s="395" t="inlineStr">
        <is>
          <t>/</t>
        </is>
      </c>
      <c r="Q45" s="395" t="inlineStr">
        <is>
          <t>/</t>
        </is>
      </c>
      <c r="R45" s="395" t="inlineStr">
        <is>
          <t>/</t>
        </is>
      </c>
      <c r="S45" s="395" t="inlineStr">
        <is>
          <t>/</t>
        </is>
      </c>
      <c r="T45" s="397" t="n"/>
      <c r="U45" s="656" t="n"/>
      <c r="V45" s="395" t="inlineStr">
        <is>
          <t>/</t>
        </is>
      </c>
      <c r="W45" s="67" t="n">
        <v>0.2</v>
      </c>
      <c r="X45" s="68" t="n">
        <v>0.035</v>
      </c>
      <c r="Y45" s="397" t="inlineStr">
        <is>
          <t>/</t>
        </is>
      </c>
      <c r="Z45" s="397" t="inlineStr">
        <is>
          <t>/</t>
        </is>
      </c>
      <c r="AA45" s="397" t="inlineStr">
        <is>
          <t>/</t>
        </is>
      </c>
      <c r="AB45" s="51" t="inlineStr">
        <is>
          <t>/</t>
        </is>
      </c>
      <c r="AC45" s="46" t="inlineStr">
        <is>
          <t>/</t>
        </is>
      </c>
      <c r="AD45" s="69" t="inlineStr">
        <is>
          <t>1、装修折旧费：项目反馈不收取，包含在服务费中；</t>
        </is>
      </c>
      <c r="AE45" s="25" t="inlineStr">
        <is>
          <t>1、签订期间：2025.9-2026.8；
2、指标按照全年换算；</t>
        </is>
      </c>
      <c r="AF45" s="232" t="inlineStr">
        <is>
          <t>1、会议纪要中未提及收取甲方管理费，实际是收取的，待明确；
建议：会议纪要中明确该条款；</t>
        </is>
      </c>
    </row>
    <row r="46" ht="24" customFormat="1" customHeight="1" s="209">
      <c r="A46" s="219" t="n">
        <v>44</v>
      </c>
      <c r="B46" s="14" t="inlineStr">
        <is>
          <t>KQCY0043</t>
        </is>
      </c>
      <c r="C46" s="221" t="inlineStr">
        <is>
          <t>餐饮二分部</t>
        </is>
      </c>
      <c r="D46" s="221" t="inlineStr">
        <is>
          <t>CF125</t>
        </is>
      </c>
      <c r="E46" s="221" t="inlineStr">
        <is>
          <t>西浦大学宏愿食堂（南）</t>
        </is>
      </c>
      <c r="F46" s="219" t="inlineStr">
        <is>
          <t>分组作业</t>
        </is>
      </c>
      <c r="G46" s="222" t="inlineStr">
        <is>
          <t>吉沐牛</t>
        </is>
      </c>
      <c r="H46" s="503" t="inlineStr">
        <is>
          <t>/</t>
        </is>
      </c>
      <c r="I46" s="355" t="inlineStr">
        <is>
          <t>小炒</t>
        </is>
      </c>
      <c r="J46" s="222" t="inlineStr">
        <is>
          <t>王成龙</t>
        </is>
      </c>
      <c r="K46" s="224" t="inlineStr">
        <is>
          <t>/</t>
        </is>
      </c>
      <c r="L46" s="651" t="n">
        <v>1500000</v>
      </c>
      <c r="M46" s="70" t="n">
        <v>0.12</v>
      </c>
      <c r="N46" s="71" t="n"/>
      <c r="O46" s="70" t="n">
        <v>0.02</v>
      </c>
      <c r="P46" s="71" t="inlineStr">
        <is>
          <t>/</t>
        </is>
      </c>
      <c r="Q46" s="71" t="inlineStr">
        <is>
          <t>/</t>
        </is>
      </c>
      <c r="R46" s="71" t="inlineStr">
        <is>
          <t>/</t>
        </is>
      </c>
      <c r="S46" s="71" t="inlineStr">
        <is>
          <t>/</t>
        </is>
      </c>
      <c r="T46" s="72" t="n"/>
      <c r="U46" s="573" t="n"/>
      <c r="V46" s="71" t="inlineStr">
        <is>
          <t>/</t>
        </is>
      </c>
      <c r="W46" s="74" t="n"/>
      <c r="X46" s="75" t="n">
        <v>0.035</v>
      </c>
      <c r="Y46" s="72" t="inlineStr">
        <is>
          <t>/</t>
        </is>
      </c>
      <c r="Z46" s="72" t="inlineStr">
        <is>
          <t>/</t>
        </is>
      </c>
      <c r="AA46" s="72" t="inlineStr">
        <is>
          <t>/</t>
        </is>
      </c>
      <c r="AB46" s="51" t="inlineStr">
        <is>
          <t>/</t>
        </is>
      </c>
      <c r="AC46" s="46" t="inlineStr">
        <is>
          <t>/</t>
        </is>
      </c>
      <c r="AD46" s="76" t="inlineStr">
        <is>
          <t>1、装修折旧费：项目反馈不收取，包含在服务费中；</t>
        </is>
      </c>
      <c r="AE46" s="25" t="inlineStr">
        <is>
          <t>1、签订期间：2025.9-2026.8；
2、指标按照全年换算；</t>
        </is>
      </c>
      <c r="AF46" s="232" t="inlineStr">
        <is>
          <t>1、会议纪要中未提及收取甲方管理费，实际是收取的，待明确；
建议：会议纪要中明确该条款；</t>
        </is>
      </c>
    </row>
    <row r="47" ht="24" customFormat="1" customHeight="1" s="209">
      <c r="A47" s="219" t="n">
        <v>45</v>
      </c>
      <c r="B47" s="14" t="inlineStr">
        <is>
          <t>KQCY0044</t>
        </is>
      </c>
      <c r="C47" s="221" t="inlineStr">
        <is>
          <t>餐饮二分部</t>
        </is>
      </c>
      <c r="D47" s="221" t="inlineStr">
        <is>
          <t>CF125</t>
        </is>
      </c>
      <c r="E47" s="221" t="inlineStr">
        <is>
          <t>西浦大学宏愿食堂（南）</t>
        </is>
      </c>
      <c r="F47" s="219" t="inlineStr">
        <is>
          <t>分组作业</t>
        </is>
      </c>
      <c r="G47" s="222" t="inlineStr">
        <is>
          <t>吉沐牛</t>
        </is>
      </c>
      <c r="H47" s="503" t="inlineStr">
        <is>
          <t>/</t>
        </is>
      </c>
      <c r="I47" s="355" t="inlineStr">
        <is>
          <t>枣糕</t>
        </is>
      </c>
      <c r="J47" s="222" t="inlineStr">
        <is>
          <t>杜松松</t>
        </is>
      </c>
      <c r="K47" s="224" t="inlineStr">
        <is>
          <t>/</t>
        </is>
      </c>
      <c r="L47" s="651" t="n">
        <v>340000</v>
      </c>
      <c r="M47" s="70" t="n">
        <v>0.12</v>
      </c>
      <c r="N47" s="71" t="n"/>
      <c r="O47" s="70" t="n">
        <v>0.02</v>
      </c>
      <c r="P47" s="71" t="inlineStr">
        <is>
          <t>/</t>
        </is>
      </c>
      <c r="Q47" s="71" t="inlineStr">
        <is>
          <t>/</t>
        </is>
      </c>
      <c r="R47" s="71" t="inlineStr">
        <is>
          <t>/</t>
        </is>
      </c>
      <c r="S47" s="71" t="inlineStr">
        <is>
          <t>/</t>
        </is>
      </c>
      <c r="T47" s="72" t="n"/>
      <c r="U47" s="573" t="n"/>
      <c r="V47" s="71" t="inlineStr">
        <is>
          <t>/</t>
        </is>
      </c>
      <c r="W47" s="77" t="n">
        <v>0.2</v>
      </c>
      <c r="X47" s="75" t="n">
        <v>0.035</v>
      </c>
      <c r="Y47" s="72" t="inlineStr">
        <is>
          <t>/</t>
        </is>
      </c>
      <c r="Z47" s="72" t="inlineStr">
        <is>
          <t>/</t>
        </is>
      </c>
      <c r="AA47" s="72" t="inlineStr">
        <is>
          <t>/</t>
        </is>
      </c>
      <c r="AB47" s="51" t="inlineStr">
        <is>
          <t>/</t>
        </is>
      </c>
      <c r="AC47" s="46" t="inlineStr">
        <is>
          <t>/</t>
        </is>
      </c>
      <c r="AD47" s="76" t="inlineStr">
        <is>
          <t>1、装修折旧费：项目反馈不收取，包含在服务费中；</t>
        </is>
      </c>
      <c r="AE47" s="25" t="inlineStr">
        <is>
          <t>1、签订期间：2025.9-2026.8；
2、指标按照全年换算；</t>
        </is>
      </c>
      <c r="AF47" s="232" t="inlineStr">
        <is>
          <t>1、会议纪要中未提及收取甲方管理费，实际是收取的，待明确；
建议：会议纪要中明确该条款；</t>
        </is>
      </c>
    </row>
    <row r="48" ht="24" customFormat="1" customHeight="1" s="209">
      <c r="A48" s="219" t="n">
        <v>46</v>
      </c>
      <c r="B48" s="14" t="inlineStr">
        <is>
          <t>KQCY0045</t>
        </is>
      </c>
      <c r="C48" s="221" t="inlineStr">
        <is>
          <t>餐饮二分部</t>
        </is>
      </c>
      <c r="D48" s="221" t="inlineStr">
        <is>
          <t>CF125</t>
        </is>
      </c>
      <c r="E48" s="221" t="inlineStr">
        <is>
          <t>西浦大学宏愿食堂（南）</t>
        </is>
      </c>
      <c r="F48" s="219" t="inlineStr">
        <is>
          <t>分组作业</t>
        </is>
      </c>
      <c r="G48" s="222" t="inlineStr">
        <is>
          <t>吉沐牛</t>
        </is>
      </c>
      <c r="H48" s="503" t="inlineStr">
        <is>
          <t>/</t>
        </is>
      </c>
      <c r="I48" s="355" t="inlineStr">
        <is>
          <t>面条</t>
        </is>
      </c>
      <c r="J48" s="222" t="inlineStr">
        <is>
          <t>葛文静</t>
        </is>
      </c>
      <c r="K48" s="224" t="inlineStr">
        <is>
          <t>/</t>
        </is>
      </c>
      <c r="L48" s="651" t="n">
        <v>365000</v>
      </c>
      <c r="M48" s="70" t="n">
        <v>0.12</v>
      </c>
      <c r="N48" s="71" t="n"/>
      <c r="O48" s="70" t="n">
        <v>0.02</v>
      </c>
      <c r="P48" s="71" t="inlineStr">
        <is>
          <t>/</t>
        </is>
      </c>
      <c r="Q48" s="71" t="inlineStr">
        <is>
          <t>/</t>
        </is>
      </c>
      <c r="R48" s="71" t="inlineStr">
        <is>
          <t>/</t>
        </is>
      </c>
      <c r="S48" s="71" t="inlineStr">
        <is>
          <t>/</t>
        </is>
      </c>
      <c r="T48" s="72" t="n"/>
      <c r="U48" s="573" t="n"/>
      <c r="V48" s="71" t="inlineStr">
        <is>
          <t>/</t>
        </is>
      </c>
      <c r="W48" s="77" t="n">
        <v>0.2</v>
      </c>
      <c r="X48" s="75" t="n">
        <v>0.035</v>
      </c>
      <c r="Y48" s="72" t="inlineStr">
        <is>
          <t>/</t>
        </is>
      </c>
      <c r="Z48" s="72" t="inlineStr">
        <is>
          <t>/</t>
        </is>
      </c>
      <c r="AA48" s="72" t="inlineStr">
        <is>
          <t>/</t>
        </is>
      </c>
      <c r="AB48" s="51" t="inlineStr">
        <is>
          <t>/</t>
        </is>
      </c>
      <c r="AC48" s="46" t="inlineStr">
        <is>
          <t>/</t>
        </is>
      </c>
      <c r="AD48" s="76" t="inlineStr">
        <is>
          <t>1、装修折旧费：项目反馈不收取，包含在服务费中；</t>
        </is>
      </c>
      <c r="AE48" s="25" t="inlineStr">
        <is>
          <t>1、签订期间：2025.9-2026.8；
2、指标按照全年换算；</t>
        </is>
      </c>
      <c r="AF48" s="232" t="inlineStr">
        <is>
          <t>1、会议纪要中未提及收取甲方管理费，实际是收取的，待明确；
建议：会议纪要中明确该条款；</t>
        </is>
      </c>
    </row>
    <row r="49" ht="24" customFormat="1" customHeight="1" s="209">
      <c r="A49" s="219" t="n">
        <v>47</v>
      </c>
      <c r="B49" s="14" t="inlineStr">
        <is>
          <t>KQCY0046</t>
        </is>
      </c>
      <c r="C49" s="221" t="inlineStr">
        <is>
          <t>餐饮二分部</t>
        </is>
      </c>
      <c r="D49" s="221" t="inlineStr">
        <is>
          <t>CF125</t>
        </is>
      </c>
      <c r="E49" s="221" t="inlineStr">
        <is>
          <t>西浦大学宏愿食堂（南）</t>
        </is>
      </c>
      <c r="F49" s="219" t="inlineStr">
        <is>
          <t>分组作业</t>
        </is>
      </c>
      <c r="G49" s="222" t="inlineStr">
        <is>
          <t>吉沐牛</t>
        </is>
      </c>
      <c r="H49" s="503" t="inlineStr">
        <is>
          <t>/</t>
        </is>
      </c>
      <c r="I49" s="355" t="inlineStr">
        <is>
          <t>烤肉</t>
        </is>
      </c>
      <c r="J49" s="222" t="inlineStr">
        <is>
          <t>杜松松</t>
        </is>
      </c>
      <c r="K49" s="224" t="inlineStr">
        <is>
          <t>/</t>
        </is>
      </c>
      <c r="L49" s="651" t="n">
        <v>370000</v>
      </c>
      <c r="M49" s="70" t="n">
        <v>0.12</v>
      </c>
      <c r="N49" s="71" t="n"/>
      <c r="O49" s="70" t="n">
        <v>0.02</v>
      </c>
      <c r="P49" s="71" t="inlineStr">
        <is>
          <t>/</t>
        </is>
      </c>
      <c r="Q49" s="71" t="inlineStr">
        <is>
          <t>/</t>
        </is>
      </c>
      <c r="R49" s="71" t="inlineStr">
        <is>
          <t>/</t>
        </is>
      </c>
      <c r="S49" s="71" t="inlineStr">
        <is>
          <t>/</t>
        </is>
      </c>
      <c r="T49" s="72" t="n"/>
      <c r="U49" s="573" t="n"/>
      <c r="V49" s="71" t="inlineStr">
        <is>
          <t>/</t>
        </is>
      </c>
      <c r="W49" s="77" t="n">
        <v>0.2</v>
      </c>
      <c r="X49" s="75" t="n">
        <v>0.035</v>
      </c>
      <c r="Y49" s="72" t="inlineStr">
        <is>
          <t>/</t>
        </is>
      </c>
      <c r="Z49" s="72" t="inlineStr">
        <is>
          <t>/</t>
        </is>
      </c>
      <c r="AA49" s="72" t="inlineStr">
        <is>
          <t>/</t>
        </is>
      </c>
      <c r="AB49" s="51" t="inlineStr">
        <is>
          <t>/</t>
        </is>
      </c>
      <c r="AC49" s="46" t="inlineStr">
        <is>
          <t>/</t>
        </is>
      </c>
      <c r="AD49" s="76" t="inlineStr">
        <is>
          <t>1、装修折旧费：项目反馈不收取，包含在服务费中；</t>
        </is>
      </c>
      <c r="AE49" s="25" t="inlineStr">
        <is>
          <t>1、签订期间：2025.9-2026.8；
2、指标按照全年换算；</t>
        </is>
      </c>
      <c r="AF49" s="232" t="inlineStr">
        <is>
          <t>1、会议纪要中未提及收取甲方管理费，实际是收取的，待明确；
建议：会议纪要中明确该条款；</t>
        </is>
      </c>
    </row>
    <row r="50" ht="24" customFormat="1" customHeight="1" s="209">
      <c r="A50" s="219" t="n">
        <v>48</v>
      </c>
      <c r="B50" s="14" t="inlineStr">
        <is>
          <t>KQCY0047</t>
        </is>
      </c>
      <c r="C50" s="221" t="inlineStr">
        <is>
          <t>餐饮二分部</t>
        </is>
      </c>
      <c r="D50" s="221" t="inlineStr">
        <is>
          <t>CF125</t>
        </is>
      </c>
      <c r="E50" s="221" t="inlineStr">
        <is>
          <t>西浦大学宏愿食堂（南）</t>
        </is>
      </c>
      <c r="F50" s="219" t="inlineStr">
        <is>
          <t>分组作业</t>
        </is>
      </c>
      <c r="G50" s="222" t="inlineStr">
        <is>
          <t>吉沐牛</t>
        </is>
      </c>
      <c r="H50" s="503" t="inlineStr">
        <is>
          <t>/</t>
        </is>
      </c>
      <c r="I50" s="355" t="inlineStr">
        <is>
          <t>粉丝汤</t>
        </is>
      </c>
      <c r="J50" s="222" t="inlineStr">
        <is>
          <t>李鑫</t>
        </is>
      </c>
      <c r="K50" s="224" t="inlineStr">
        <is>
          <t>/</t>
        </is>
      </c>
      <c r="L50" s="651" t="n">
        <v>440000</v>
      </c>
      <c r="M50" s="70" t="n">
        <v>0.12</v>
      </c>
      <c r="N50" s="71" t="n"/>
      <c r="O50" s="70" t="n">
        <v>0.02</v>
      </c>
      <c r="P50" s="71" t="inlineStr">
        <is>
          <t>/</t>
        </is>
      </c>
      <c r="Q50" s="71" t="inlineStr">
        <is>
          <t>/</t>
        </is>
      </c>
      <c r="R50" s="71" t="inlineStr">
        <is>
          <t>/</t>
        </is>
      </c>
      <c r="S50" s="71" t="inlineStr">
        <is>
          <t>/</t>
        </is>
      </c>
      <c r="T50" s="72" t="n"/>
      <c r="U50" s="573" t="n"/>
      <c r="V50" s="71" t="inlineStr">
        <is>
          <t>/</t>
        </is>
      </c>
      <c r="W50" s="77" t="n">
        <v>0.2</v>
      </c>
      <c r="X50" s="75" t="n">
        <v>0.035</v>
      </c>
      <c r="Y50" s="72" t="inlineStr">
        <is>
          <t>/</t>
        </is>
      </c>
      <c r="Z50" s="72" t="inlineStr">
        <is>
          <t>/</t>
        </is>
      </c>
      <c r="AA50" s="72" t="inlineStr">
        <is>
          <t>/</t>
        </is>
      </c>
      <c r="AB50" s="51" t="inlineStr">
        <is>
          <t>/</t>
        </is>
      </c>
      <c r="AC50" s="46" t="inlineStr">
        <is>
          <t>/</t>
        </is>
      </c>
      <c r="AD50" s="76" t="inlineStr">
        <is>
          <t>1、装修折旧费：项目反馈不收取，包含在服务费中；</t>
        </is>
      </c>
      <c r="AE50" s="25" t="inlineStr">
        <is>
          <t>1、签订期间：2025.9-2026.8；
2、指标按照全年换算；</t>
        </is>
      </c>
      <c r="AF50" s="232" t="inlineStr">
        <is>
          <t>1、会议纪要中未提及收取甲方管理费，实际是收取的，待明确；
建议：会议纪要中明确该条款；</t>
        </is>
      </c>
    </row>
    <row r="51" ht="12" customFormat="1" customHeight="1" s="209">
      <c r="A51" s="219" t="n">
        <v>49</v>
      </c>
      <c r="B51" s="14" t="inlineStr">
        <is>
          <t>KQCY0048</t>
        </is>
      </c>
      <c r="C51" s="221" t="inlineStr">
        <is>
          <t>餐饮二分部</t>
        </is>
      </c>
      <c r="D51" s="221" t="inlineStr">
        <is>
          <t>CF137</t>
        </is>
      </c>
      <c r="E51" s="221" t="inlineStr">
        <is>
          <t>西浦大学宏愿食堂（北）</t>
        </is>
      </c>
      <c r="F51" s="219" t="inlineStr">
        <is>
          <t>自营</t>
        </is>
      </c>
      <c r="G51" s="222" t="inlineStr">
        <is>
          <t>吉沐牛</t>
        </is>
      </c>
      <c r="H51" s="222" t="inlineStr">
        <is>
          <t>/</t>
        </is>
      </c>
      <c r="I51" s="355" t="inlineStr">
        <is>
          <t>/</t>
        </is>
      </c>
      <c r="J51" s="222" t="inlineStr">
        <is>
          <t>/</t>
        </is>
      </c>
      <c r="K51" s="224" t="inlineStr">
        <is>
          <t>/</t>
        </is>
      </c>
      <c r="L51" s="651" t="inlineStr">
        <is>
          <t>/</t>
        </is>
      </c>
      <c r="M51" s="77" t="inlineStr">
        <is>
          <t>/</t>
        </is>
      </c>
      <c r="N51" s="78" t="n"/>
      <c r="O51" s="79" t="n">
        <v>0.02</v>
      </c>
      <c r="P51" s="78" t="n"/>
      <c r="Q51" s="77" t="inlineStr">
        <is>
          <t>/</t>
        </is>
      </c>
      <c r="R51" s="77" t="inlineStr">
        <is>
          <t>/</t>
        </is>
      </c>
      <c r="S51" s="77" t="inlineStr">
        <is>
          <t>/</t>
        </is>
      </c>
      <c r="T51" s="78" t="n"/>
      <c r="U51" s="78" t="n"/>
      <c r="V51" s="77" t="inlineStr">
        <is>
          <t>/</t>
        </is>
      </c>
      <c r="W51" s="80" t="n"/>
      <c r="X51" s="72" t="inlineStr">
        <is>
          <t>/</t>
        </is>
      </c>
      <c r="Y51" s="80" t="n"/>
      <c r="Z51" s="72" t="inlineStr">
        <is>
          <t>/</t>
        </is>
      </c>
      <c r="AA51" s="72" t="inlineStr">
        <is>
          <t>/</t>
        </is>
      </c>
      <c r="AB51" s="51" t="n">
        <v>0.06</v>
      </c>
      <c r="AC51" s="46" t="inlineStr">
        <is>
          <t>/</t>
        </is>
      </c>
      <c r="AD51" s="76" t="n"/>
      <c r="AE51" s="25" t="n"/>
      <c r="AF51" s="206" t="n"/>
    </row>
    <row r="52" ht="24" customFormat="1" customHeight="1" s="209">
      <c r="A52" s="219" t="n">
        <v>50</v>
      </c>
      <c r="B52" s="14" t="inlineStr">
        <is>
          <t>KQCY0049</t>
        </is>
      </c>
      <c r="C52" s="221" t="inlineStr">
        <is>
          <t>餐饮二分部</t>
        </is>
      </c>
      <c r="D52" s="221" t="inlineStr">
        <is>
          <t>CF137</t>
        </is>
      </c>
      <c r="E52" s="221" t="inlineStr">
        <is>
          <t>西浦大学宏愿食堂（北）</t>
        </is>
      </c>
      <c r="F52" s="219" t="inlineStr">
        <is>
          <t>分组作业</t>
        </is>
      </c>
      <c r="G52" s="222" t="inlineStr">
        <is>
          <t>吉沐牛</t>
        </is>
      </c>
      <c r="H52" s="503" t="inlineStr">
        <is>
          <t>/</t>
        </is>
      </c>
      <c r="I52" s="355" t="inlineStr">
        <is>
          <t>滑蛋饭</t>
        </is>
      </c>
      <c r="J52" s="503" t="inlineStr">
        <is>
          <t>赵广伟</t>
        </is>
      </c>
      <c r="K52" s="224" t="inlineStr">
        <is>
          <t>/</t>
        </is>
      </c>
      <c r="L52" s="651" t="n">
        <v>345000</v>
      </c>
      <c r="M52" s="70" t="n">
        <v>0.14</v>
      </c>
      <c r="N52" s="71" t="inlineStr">
        <is>
          <t>/</t>
        </is>
      </c>
      <c r="O52" s="70" t="n">
        <v>0.02</v>
      </c>
      <c r="P52" s="71" t="inlineStr">
        <is>
          <t>/</t>
        </is>
      </c>
      <c r="Q52" s="71" t="inlineStr">
        <is>
          <t>/</t>
        </is>
      </c>
      <c r="R52" s="71" t="inlineStr">
        <is>
          <t>/</t>
        </is>
      </c>
      <c r="S52" s="71" t="inlineStr">
        <is>
          <t>/</t>
        </is>
      </c>
      <c r="T52" s="81" t="n">
        <v>0.05</v>
      </c>
      <c r="U52" s="70" t="n">
        <v>0.06</v>
      </c>
      <c r="V52" s="70" t="n">
        <v>0.01</v>
      </c>
      <c r="W52" s="77" t="n">
        <v>0.2</v>
      </c>
      <c r="X52" s="77" t="inlineStr">
        <is>
          <t>/</t>
        </is>
      </c>
      <c r="Y52" s="72" t="inlineStr">
        <is>
          <t>/</t>
        </is>
      </c>
      <c r="Z52" s="72" t="inlineStr">
        <is>
          <t>/</t>
        </is>
      </c>
      <c r="AA52" s="72" t="inlineStr">
        <is>
          <t>/</t>
        </is>
      </c>
      <c r="AB52" s="51" t="inlineStr">
        <is>
          <t>/</t>
        </is>
      </c>
      <c r="AC52" s="46" t="inlineStr">
        <is>
          <t>/</t>
        </is>
      </c>
      <c r="AD52" s="82" t="inlineStr">
        <is>
          <t>1、装修折旧费：项目反馈不收取，包含在服务费中；
2、甲方房租：项目反馈不收取，包含在服务费中；</t>
        </is>
      </c>
      <c r="AE52" s="25" t="inlineStr">
        <is>
          <t>1、签订期间：2025.10-2026.9；
2、指标按照全年换算；</t>
        </is>
      </c>
      <c r="AF52" s="232" t="n"/>
    </row>
    <row r="53" ht="24" customFormat="1" customHeight="1" s="209">
      <c r="A53" s="219" t="n">
        <v>51</v>
      </c>
      <c r="B53" s="14" t="inlineStr">
        <is>
          <t>KQCY0050</t>
        </is>
      </c>
      <c r="C53" s="221" t="inlineStr">
        <is>
          <t>餐饮二分部</t>
        </is>
      </c>
      <c r="D53" s="221" t="inlineStr">
        <is>
          <t>CF137</t>
        </is>
      </c>
      <c r="E53" s="221" t="inlineStr">
        <is>
          <t>西浦大学宏愿食堂（北）</t>
        </is>
      </c>
      <c r="F53" s="219" t="inlineStr">
        <is>
          <t>分组作业</t>
        </is>
      </c>
      <c r="G53" s="222" t="inlineStr">
        <is>
          <t>吉沐牛</t>
        </is>
      </c>
      <c r="H53" s="503" t="inlineStr">
        <is>
          <t>/</t>
        </is>
      </c>
      <c r="I53" s="355" t="inlineStr">
        <is>
          <t>手工水饺</t>
        </is>
      </c>
      <c r="J53" s="503" t="inlineStr">
        <is>
          <t>赵玉才</t>
        </is>
      </c>
      <c r="K53" s="224" t="inlineStr">
        <is>
          <t>/</t>
        </is>
      </c>
      <c r="L53" s="651" t="n">
        <v>475000</v>
      </c>
      <c r="M53" s="70" t="n">
        <v>0.14</v>
      </c>
      <c r="N53" s="71" t="inlineStr">
        <is>
          <t>/</t>
        </is>
      </c>
      <c r="O53" s="70" t="n">
        <v>0.02</v>
      </c>
      <c r="P53" s="71" t="inlineStr">
        <is>
          <t>/</t>
        </is>
      </c>
      <c r="Q53" s="71" t="inlineStr">
        <is>
          <t>/</t>
        </is>
      </c>
      <c r="R53" s="71" t="inlineStr">
        <is>
          <t>/</t>
        </is>
      </c>
      <c r="S53" s="71" t="inlineStr">
        <is>
          <t>/</t>
        </is>
      </c>
      <c r="T53" s="81" t="n">
        <v>0.05</v>
      </c>
      <c r="U53" s="70" t="n">
        <v>0.06</v>
      </c>
      <c r="V53" s="70" t="n">
        <v>0.01</v>
      </c>
      <c r="W53" s="77" t="n">
        <v>0.2</v>
      </c>
      <c r="X53" s="77" t="inlineStr">
        <is>
          <t>/</t>
        </is>
      </c>
      <c r="Y53" s="72" t="inlineStr">
        <is>
          <t>/</t>
        </is>
      </c>
      <c r="Z53" s="72" t="inlineStr">
        <is>
          <t>/</t>
        </is>
      </c>
      <c r="AA53" s="72" t="inlineStr">
        <is>
          <t>/</t>
        </is>
      </c>
      <c r="AB53" s="51" t="inlineStr">
        <is>
          <t>/</t>
        </is>
      </c>
      <c r="AC53" s="46" t="inlineStr">
        <is>
          <t>/</t>
        </is>
      </c>
      <c r="AD53" s="76" t="inlineStr">
        <is>
          <t>1、装修折旧费：项目反馈不收取，包含在服务费中；
2、甲方房租：项目反馈不收取，包含在服务费中；</t>
        </is>
      </c>
      <c r="AE53" s="25" t="inlineStr">
        <is>
          <t>1、签订期间：2025.10-2026.9；
2、指标按照全年换算；</t>
        </is>
      </c>
      <c r="AF53" s="232" t="n"/>
    </row>
    <row r="54" ht="24" customFormat="1" customHeight="1" s="209">
      <c r="A54" s="219" t="n">
        <v>52</v>
      </c>
      <c r="B54" s="14" t="inlineStr">
        <is>
          <t>KQCY0051</t>
        </is>
      </c>
      <c r="C54" s="221" t="inlineStr">
        <is>
          <t>餐饮二分部</t>
        </is>
      </c>
      <c r="D54" s="221" t="inlineStr">
        <is>
          <t>CF137</t>
        </is>
      </c>
      <c r="E54" s="221" t="inlineStr">
        <is>
          <t>西浦大学宏愿食堂（北）</t>
        </is>
      </c>
      <c r="F54" s="219" t="inlineStr">
        <is>
          <t>分组作业</t>
        </is>
      </c>
      <c r="G54" s="222" t="inlineStr">
        <is>
          <t>吉沐牛</t>
        </is>
      </c>
      <c r="H54" s="503" t="inlineStr">
        <is>
          <t>/</t>
        </is>
      </c>
      <c r="I54" s="355" t="inlineStr">
        <is>
          <t>烤盘饭</t>
        </is>
      </c>
      <c r="J54" s="503" t="inlineStr">
        <is>
          <t>付昌杰</t>
        </is>
      </c>
      <c r="K54" s="224" t="inlineStr">
        <is>
          <t>/</t>
        </is>
      </c>
      <c r="L54" s="651" t="n">
        <v>875000</v>
      </c>
      <c r="M54" s="70" t="n">
        <v>0.14</v>
      </c>
      <c r="N54" s="71" t="inlineStr">
        <is>
          <t>/</t>
        </is>
      </c>
      <c r="O54" s="70" t="n">
        <v>0.02</v>
      </c>
      <c r="P54" s="71" t="inlineStr">
        <is>
          <t>/</t>
        </is>
      </c>
      <c r="Q54" s="71" t="inlineStr">
        <is>
          <t>/</t>
        </is>
      </c>
      <c r="R54" s="71" t="inlineStr">
        <is>
          <t>/</t>
        </is>
      </c>
      <c r="S54" s="71" t="inlineStr">
        <is>
          <t>/</t>
        </is>
      </c>
      <c r="T54" s="81" t="n">
        <v>0.05</v>
      </c>
      <c r="U54" s="70" t="n">
        <v>0.06</v>
      </c>
      <c r="V54" s="70" t="n">
        <v>0.01</v>
      </c>
      <c r="W54" s="77" t="n">
        <v>0.2</v>
      </c>
      <c r="X54" s="77" t="inlineStr">
        <is>
          <t>/</t>
        </is>
      </c>
      <c r="Y54" s="72" t="inlineStr">
        <is>
          <t>/</t>
        </is>
      </c>
      <c r="Z54" s="72" t="inlineStr">
        <is>
          <t>/</t>
        </is>
      </c>
      <c r="AA54" s="72" t="inlineStr">
        <is>
          <t>/</t>
        </is>
      </c>
      <c r="AB54" s="51" t="inlineStr">
        <is>
          <t>/</t>
        </is>
      </c>
      <c r="AC54" s="46" t="inlineStr">
        <is>
          <t>/</t>
        </is>
      </c>
      <c r="AD54" s="76" t="inlineStr">
        <is>
          <t>1、装修折旧费：项目反馈不收取，包含在服务费中；
2、甲方房租：项目反馈不收取，包含在服务费中；</t>
        </is>
      </c>
      <c r="AE54" s="25" t="inlineStr">
        <is>
          <t>1、签订期间：2025.10-2026.9；
2、指标按照全年换算；</t>
        </is>
      </c>
      <c r="AF54" s="232" t="n"/>
    </row>
    <row r="55" ht="24" customFormat="1" customHeight="1" s="209">
      <c r="A55" s="219" t="n">
        <v>53</v>
      </c>
      <c r="B55" s="14" t="inlineStr">
        <is>
          <t>KQCY0052</t>
        </is>
      </c>
      <c r="C55" s="221" t="inlineStr">
        <is>
          <t>餐饮二分部</t>
        </is>
      </c>
      <c r="D55" s="221" t="inlineStr">
        <is>
          <t>CF137</t>
        </is>
      </c>
      <c r="E55" s="221" t="inlineStr">
        <is>
          <t>西浦大学宏愿食堂（北）</t>
        </is>
      </c>
      <c r="F55" s="219" t="inlineStr">
        <is>
          <t>分组作业</t>
        </is>
      </c>
      <c r="G55" s="222" t="inlineStr">
        <is>
          <t>吉沐牛</t>
        </is>
      </c>
      <c r="H55" s="503" t="inlineStr">
        <is>
          <t>/</t>
        </is>
      </c>
      <c r="I55" s="355" t="inlineStr">
        <is>
          <t>大花米线</t>
        </is>
      </c>
      <c r="J55" s="503" t="inlineStr">
        <is>
          <t>钱卫军</t>
        </is>
      </c>
      <c r="K55" s="224" t="inlineStr">
        <is>
          <t>/</t>
        </is>
      </c>
      <c r="L55" s="651" t="n">
        <v>485000</v>
      </c>
      <c r="M55" s="70" t="n">
        <v>0.14</v>
      </c>
      <c r="N55" s="71" t="inlineStr">
        <is>
          <t>/</t>
        </is>
      </c>
      <c r="O55" s="70" t="n">
        <v>0.02</v>
      </c>
      <c r="P55" s="71" t="inlineStr">
        <is>
          <t>/</t>
        </is>
      </c>
      <c r="Q55" s="71" t="inlineStr">
        <is>
          <t>/</t>
        </is>
      </c>
      <c r="R55" s="71" t="inlineStr">
        <is>
          <t>/</t>
        </is>
      </c>
      <c r="S55" s="71" t="inlineStr">
        <is>
          <t>/</t>
        </is>
      </c>
      <c r="T55" s="81" t="n">
        <v>0.05</v>
      </c>
      <c r="U55" s="70" t="n">
        <v>0.06</v>
      </c>
      <c r="V55" s="70" t="n">
        <v>0.01</v>
      </c>
      <c r="W55" s="77" t="n">
        <v>0.2</v>
      </c>
      <c r="X55" s="77" t="inlineStr">
        <is>
          <t>/</t>
        </is>
      </c>
      <c r="Y55" s="72" t="inlineStr">
        <is>
          <t>/</t>
        </is>
      </c>
      <c r="Z55" s="72" t="inlineStr">
        <is>
          <t>/</t>
        </is>
      </c>
      <c r="AA55" s="72" t="inlineStr">
        <is>
          <t>/</t>
        </is>
      </c>
      <c r="AB55" s="51" t="inlineStr">
        <is>
          <t>/</t>
        </is>
      </c>
      <c r="AC55" s="46" t="inlineStr">
        <is>
          <t>/</t>
        </is>
      </c>
      <c r="AD55" s="76" t="inlineStr">
        <is>
          <t>1、装修折旧费：项目反馈不收取，包含在服务费中；
2、甲方房租：项目反馈不收取，包含在服务费中；</t>
        </is>
      </c>
      <c r="AE55" s="25" t="inlineStr">
        <is>
          <t>1、签订期间：2025.10-2026.9；
2、指标按照全年换算；</t>
        </is>
      </c>
      <c r="AF55" s="232" t="n"/>
    </row>
    <row r="56" ht="24" customFormat="1" customHeight="1" s="209">
      <c r="A56" s="219" t="n">
        <v>54</v>
      </c>
      <c r="B56" s="14" t="inlineStr">
        <is>
          <t>KQCY0053</t>
        </is>
      </c>
      <c r="C56" s="221" t="inlineStr">
        <is>
          <t>餐饮二分部</t>
        </is>
      </c>
      <c r="D56" s="221" t="inlineStr">
        <is>
          <t>CF137</t>
        </is>
      </c>
      <c r="E56" s="221" t="inlineStr">
        <is>
          <t>西浦大学宏愿食堂（北）</t>
        </is>
      </c>
      <c r="F56" s="219" t="inlineStr">
        <is>
          <t>分组作业</t>
        </is>
      </c>
      <c r="G56" s="222" t="inlineStr">
        <is>
          <t>吉沐牛</t>
        </is>
      </c>
      <c r="H56" s="503" t="inlineStr">
        <is>
          <t>/</t>
        </is>
      </c>
      <c r="I56" s="355" t="inlineStr">
        <is>
          <t>石锅饭</t>
        </is>
      </c>
      <c r="J56" s="503" t="inlineStr">
        <is>
          <t>葛颖</t>
        </is>
      </c>
      <c r="K56" s="224" t="inlineStr">
        <is>
          <t>/</t>
        </is>
      </c>
      <c r="L56" s="651" t="n">
        <v>600000</v>
      </c>
      <c r="M56" s="70" t="n">
        <v>0.14</v>
      </c>
      <c r="N56" s="71" t="inlineStr">
        <is>
          <t>/</t>
        </is>
      </c>
      <c r="O56" s="70" t="n">
        <v>0.02</v>
      </c>
      <c r="P56" s="71" t="inlineStr">
        <is>
          <t>/</t>
        </is>
      </c>
      <c r="Q56" s="71" t="inlineStr">
        <is>
          <t>/</t>
        </is>
      </c>
      <c r="R56" s="71" t="inlineStr">
        <is>
          <t>/</t>
        </is>
      </c>
      <c r="S56" s="71" t="inlineStr">
        <is>
          <t>/</t>
        </is>
      </c>
      <c r="T56" s="81" t="n">
        <v>0.05</v>
      </c>
      <c r="U56" s="70" t="n">
        <v>0.06</v>
      </c>
      <c r="V56" s="70" t="n">
        <v>0.01</v>
      </c>
      <c r="W56" s="77" t="n">
        <v>0.2</v>
      </c>
      <c r="X56" s="77" t="inlineStr">
        <is>
          <t>/</t>
        </is>
      </c>
      <c r="Y56" s="72" t="inlineStr">
        <is>
          <t>/</t>
        </is>
      </c>
      <c r="Z56" s="72" t="inlineStr">
        <is>
          <t>/</t>
        </is>
      </c>
      <c r="AA56" s="72" t="inlineStr">
        <is>
          <t>/</t>
        </is>
      </c>
      <c r="AB56" s="51" t="inlineStr">
        <is>
          <t>/</t>
        </is>
      </c>
      <c r="AC56" s="46" t="inlineStr">
        <is>
          <t>/</t>
        </is>
      </c>
      <c r="AD56" s="76" t="inlineStr">
        <is>
          <t>1、装修折旧费：项目反馈不收取，包含在服务费中；
2、甲方房租：项目反馈不收取，包含在服务费中；</t>
        </is>
      </c>
      <c r="AE56" s="25" t="inlineStr">
        <is>
          <t>1、签订期间：2025.10-2026.9；
2、指标按照全年换算；</t>
        </is>
      </c>
      <c r="AF56" s="232" t="n"/>
    </row>
    <row r="57" ht="48" customFormat="1" customHeight="1" s="209">
      <c r="A57" s="219" t="n">
        <v>55</v>
      </c>
      <c r="B57" s="14" t="inlineStr">
        <is>
          <t>KQCY0054</t>
        </is>
      </c>
      <c r="C57" s="221" t="inlineStr">
        <is>
          <t>餐饮二分部</t>
        </is>
      </c>
      <c r="D57" s="221" t="inlineStr">
        <is>
          <t>CF137</t>
        </is>
      </c>
      <c r="E57" s="221" t="inlineStr">
        <is>
          <t>西浦大学宏愿食堂（北）</t>
        </is>
      </c>
      <c r="F57" s="219" t="inlineStr">
        <is>
          <t>分组作业</t>
        </is>
      </c>
      <c r="G57" s="222" t="inlineStr">
        <is>
          <t>吉沐牛</t>
        </is>
      </c>
      <c r="H57" s="503" t="inlineStr">
        <is>
          <t>/</t>
        </is>
      </c>
      <c r="I57" s="355" t="inlineStr">
        <is>
          <t>一鸣鲜奶吧</t>
        </is>
      </c>
      <c r="J57" s="503" t="inlineStr">
        <is>
          <t>黎欢</t>
        </is>
      </c>
      <c r="K57" s="224" t="inlineStr">
        <is>
          <t>/</t>
        </is>
      </c>
      <c r="L57" s="651" t="n">
        <v>615000</v>
      </c>
      <c r="M57" s="71" t="n">
        <v>120000</v>
      </c>
      <c r="N57" s="71" t="inlineStr">
        <is>
          <t>/</t>
        </is>
      </c>
      <c r="O57" s="70" t="inlineStr">
        <is>
          <t>/</t>
        </is>
      </c>
      <c r="P57" s="71" t="inlineStr">
        <is>
          <t>/</t>
        </is>
      </c>
      <c r="Q57" s="71" t="inlineStr">
        <is>
          <t>/</t>
        </is>
      </c>
      <c r="R57" s="71" t="inlineStr">
        <is>
          <t>/</t>
        </is>
      </c>
      <c r="S57" s="71" t="inlineStr">
        <is>
          <t>/</t>
        </is>
      </c>
      <c r="T57" s="81" t="n">
        <v>0.03</v>
      </c>
      <c r="U57" s="70" t="n">
        <v>0.05</v>
      </c>
      <c r="V57" s="70" t="n">
        <v>0.005</v>
      </c>
      <c r="W57" s="74" t="n"/>
      <c r="X57" s="72" t="inlineStr">
        <is>
          <t>/</t>
        </is>
      </c>
      <c r="Y57" s="72" t="inlineStr">
        <is>
          <t>/</t>
        </is>
      </c>
      <c r="Z57" s="72" t="inlineStr">
        <is>
          <t>/</t>
        </is>
      </c>
      <c r="AA57" s="72" t="inlineStr">
        <is>
          <t>/</t>
        </is>
      </c>
      <c r="AB57" s="51" t="inlineStr">
        <is>
          <t>/</t>
        </is>
      </c>
      <c r="AC57" s="46" t="inlineStr">
        <is>
          <t>/</t>
        </is>
      </c>
      <c r="AD57" s="76" t="inlineStr">
        <is>
          <t>1、服务费：12万/年；
2、采购费：项目反馈不收取，包含在服务费中；
3、装修折旧费：项目反馈不收取，包含在服务费中；
4、甲方房租：项目反馈不收取，包含在服务费中；</t>
        </is>
      </c>
      <c r="AE57" s="25" t="inlineStr">
        <is>
          <t>1、签订期间：2025.10-2026.9；
2、指标按照全年换算；</t>
        </is>
      </c>
      <c r="AF57" s="232" t="n"/>
    </row>
    <row r="58" ht="12" customFormat="1" customHeight="1" s="209">
      <c r="A58" s="219" t="n">
        <v>56</v>
      </c>
      <c r="B58" s="14" t="inlineStr">
        <is>
          <t>KQCY0055</t>
        </is>
      </c>
      <c r="C58" s="221" t="inlineStr">
        <is>
          <t>餐饮二分部</t>
        </is>
      </c>
      <c r="D58" s="221" t="inlineStr">
        <is>
          <t>CF140</t>
        </is>
      </c>
      <c r="E58" s="221" t="inlineStr">
        <is>
          <t>西浦大学太仓校区食堂</t>
        </is>
      </c>
      <c r="F58" s="219" t="inlineStr">
        <is>
          <t>自营</t>
        </is>
      </c>
      <c r="G58" s="222" t="inlineStr">
        <is>
          <t>吉沐牛</t>
        </is>
      </c>
      <c r="H58" s="222" t="inlineStr">
        <is>
          <t>/</t>
        </is>
      </c>
      <c r="I58" s="355" t="inlineStr">
        <is>
          <t>/</t>
        </is>
      </c>
      <c r="J58" s="222" t="inlineStr">
        <is>
          <t>/</t>
        </is>
      </c>
      <c r="K58" s="224" t="inlineStr">
        <is>
          <t>/</t>
        </is>
      </c>
      <c r="L58" s="651" t="inlineStr">
        <is>
          <t>/</t>
        </is>
      </c>
      <c r="M58" s="77" t="inlineStr">
        <is>
          <t>/</t>
        </is>
      </c>
      <c r="N58" s="78" t="n"/>
      <c r="O58" s="83" t="n">
        <v>0.02</v>
      </c>
      <c r="P58" s="77" t="inlineStr">
        <is>
          <t>/</t>
        </is>
      </c>
      <c r="Q58" s="77" t="inlineStr">
        <is>
          <t>/</t>
        </is>
      </c>
      <c r="R58" s="77" t="inlineStr">
        <is>
          <t>/</t>
        </is>
      </c>
      <c r="S58" s="77" t="inlineStr">
        <is>
          <t>/</t>
        </is>
      </c>
      <c r="T58" s="78" t="n"/>
      <c r="U58" s="77" t="inlineStr">
        <is>
          <t>/</t>
        </is>
      </c>
      <c r="V58" s="77" t="inlineStr">
        <is>
          <t>/</t>
        </is>
      </c>
      <c r="W58" s="80" t="n"/>
      <c r="X58" s="72" t="inlineStr">
        <is>
          <t>/</t>
        </is>
      </c>
      <c r="Y58" s="72" t="inlineStr">
        <is>
          <t>/</t>
        </is>
      </c>
      <c r="Z58" s="72" t="inlineStr">
        <is>
          <t>/</t>
        </is>
      </c>
      <c r="AA58" s="72" t="inlineStr">
        <is>
          <t>/</t>
        </is>
      </c>
      <c r="AB58" s="51" t="n">
        <v>0.04</v>
      </c>
      <c r="AC58" s="46" t="inlineStr">
        <is>
          <t>/</t>
        </is>
      </c>
      <c r="AD58" s="82" t="n"/>
      <c r="AE58" s="25" t="n"/>
      <c r="AF58" s="206" t="n"/>
    </row>
    <row r="59" ht="24" customFormat="1" customHeight="1" s="209">
      <c r="A59" s="219" t="n">
        <v>57</v>
      </c>
      <c r="B59" s="14" t="inlineStr">
        <is>
          <t>KQCY0056</t>
        </is>
      </c>
      <c r="C59" s="221" t="inlineStr">
        <is>
          <t>餐饮二分部</t>
        </is>
      </c>
      <c r="D59" s="221" t="inlineStr">
        <is>
          <t>CF140</t>
        </is>
      </c>
      <c r="E59" s="221" t="inlineStr">
        <is>
          <t>西浦大学太仓校区食堂</t>
        </is>
      </c>
      <c r="F59" s="219" t="inlineStr">
        <is>
          <t>分组作业</t>
        </is>
      </c>
      <c r="G59" s="222" t="inlineStr">
        <is>
          <t>吉沐牛</t>
        </is>
      </c>
      <c r="H59" s="222" t="inlineStr">
        <is>
          <t>第一班组</t>
        </is>
      </c>
      <c r="I59" s="232" t="inlineStr">
        <is>
          <t>蛋包饭(肥牛米线、水饺、烤盘饭)</t>
        </is>
      </c>
      <c r="J59" s="502" t="inlineStr">
        <is>
          <t>赵广伟</t>
        </is>
      </c>
      <c r="K59" s="224" t="inlineStr">
        <is>
          <t>/</t>
        </is>
      </c>
      <c r="L59" s="651" t="n">
        <v>450000</v>
      </c>
      <c r="M59" s="70" t="n">
        <v>0.03</v>
      </c>
      <c r="N59" s="71" t="inlineStr">
        <is>
          <t>/</t>
        </is>
      </c>
      <c r="O59" s="63" t="n">
        <v>0.02</v>
      </c>
      <c r="P59" s="71" t="inlineStr">
        <is>
          <t>/</t>
        </is>
      </c>
      <c r="Q59" s="84" t="n">
        <v>0.03</v>
      </c>
      <c r="R59" s="71" t="inlineStr">
        <is>
          <t>/</t>
        </is>
      </c>
      <c r="S59" s="71" t="inlineStr">
        <is>
          <t>/</t>
        </is>
      </c>
      <c r="T59" s="81" t="inlineStr">
        <is>
          <t>/</t>
        </is>
      </c>
      <c r="U59" s="70" t="inlineStr">
        <is>
          <t>/</t>
        </is>
      </c>
      <c r="V59" s="70" t="inlineStr">
        <is>
          <t>/</t>
        </is>
      </c>
      <c r="W59" s="79" t="n">
        <v>0.2</v>
      </c>
      <c r="X59" s="72" t="inlineStr">
        <is>
          <t>/</t>
        </is>
      </c>
      <c r="Y59" s="72" t="inlineStr">
        <is>
          <t>/</t>
        </is>
      </c>
      <c r="Z59" s="72" t="inlineStr">
        <is>
          <t>/</t>
        </is>
      </c>
      <c r="AA59" s="72" t="inlineStr">
        <is>
          <t>/</t>
        </is>
      </c>
      <c r="AB59" s="51" t="inlineStr">
        <is>
          <t>/</t>
        </is>
      </c>
      <c r="AC59" s="46" t="inlineStr">
        <is>
          <t>/</t>
        </is>
      </c>
      <c r="AD59" s="82" t="inlineStr">
        <is>
          <t>1、虫害消杀：项目反馈不收取，包含在服务费中；
2、卫生费：项目反馈不收取，包含在服务费中；</t>
        </is>
      </c>
      <c r="AE59" s="25" t="inlineStr">
        <is>
          <t>1、签订期间：2025.9-2026.8；
2、指标按照全年换算；</t>
        </is>
      </c>
      <c r="AF59" s="232" t="n"/>
    </row>
    <row r="60" ht="24" customFormat="1" customHeight="1" s="209">
      <c r="A60" s="219" t="n">
        <v>58</v>
      </c>
      <c r="B60" s="14" t="inlineStr">
        <is>
          <t>KQCY0057</t>
        </is>
      </c>
      <c r="C60" s="221" t="inlineStr">
        <is>
          <t>餐饮二分部</t>
        </is>
      </c>
      <c r="D60" s="221" t="inlineStr">
        <is>
          <t>CF140</t>
        </is>
      </c>
      <c r="E60" s="221" t="inlineStr">
        <is>
          <t>西浦大学太仓校区食堂</t>
        </is>
      </c>
      <c r="F60" s="219" t="inlineStr">
        <is>
          <t>分组作业</t>
        </is>
      </c>
      <c r="G60" s="222" t="inlineStr">
        <is>
          <t>吉沐牛</t>
        </is>
      </c>
      <c r="H60" s="222" t="inlineStr">
        <is>
          <t>第二班组</t>
        </is>
      </c>
      <c r="I60" s="232" t="inlineStr">
        <is>
          <t>枣糕&amp;热饮(韩式拌饭)</t>
        </is>
      </c>
      <c r="J60" s="512" t="inlineStr">
        <is>
          <t>杜松松</t>
        </is>
      </c>
      <c r="K60" s="224" t="inlineStr">
        <is>
          <t>/</t>
        </is>
      </c>
      <c r="L60" s="651" t="n">
        <v>145000</v>
      </c>
      <c r="M60" s="70" t="n">
        <v>0.03</v>
      </c>
      <c r="N60" s="71" t="inlineStr">
        <is>
          <t>/</t>
        </is>
      </c>
      <c r="O60" s="70" t="n">
        <v>0.02</v>
      </c>
      <c r="P60" s="71" t="inlineStr">
        <is>
          <t>/</t>
        </is>
      </c>
      <c r="Q60" s="84" t="n">
        <v>0.03</v>
      </c>
      <c r="R60" s="71" t="inlineStr">
        <is>
          <t>/</t>
        </is>
      </c>
      <c r="S60" s="71" t="inlineStr">
        <is>
          <t>/</t>
        </is>
      </c>
      <c r="T60" s="81" t="inlineStr">
        <is>
          <t>/</t>
        </is>
      </c>
      <c r="U60" s="70" t="inlineStr">
        <is>
          <t>/</t>
        </is>
      </c>
      <c r="V60" s="70" t="inlineStr">
        <is>
          <t>/</t>
        </is>
      </c>
      <c r="W60" s="79" t="n">
        <v>0.2</v>
      </c>
      <c r="X60" s="72" t="inlineStr">
        <is>
          <t>/</t>
        </is>
      </c>
      <c r="Y60" s="72" t="inlineStr">
        <is>
          <t>/</t>
        </is>
      </c>
      <c r="Z60" s="72" t="inlineStr">
        <is>
          <t>/</t>
        </is>
      </c>
      <c r="AA60" s="72" t="inlineStr">
        <is>
          <t>/</t>
        </is>
      </c>
      <c r="AB60" s="51" t="inlineStr">
        <is>
          <t>/</t>
        </is>
      </c>
      <c r="AC60" s="46" t="inlineStr">
        <is>
          <t>/</t>
        </is>
      </c>
      <c r="AD60" s="82" t="inlineStr">
        <is>
          <t>1、虫害消杀：项目反馈不收取，包含在服务费中；
2、卫生费：项目反馈不收取，包含在服务费中；</t>
        </is>
      </c>
      <c r="AE60" s="25" t="inlineStr">
        <is>
          <t>1、签订期间：2025.9-2026.8；
2、指标按照全年换算；</t>
        </is>
      </c>
      <c r="AF60" s="232" t="n"/>
    </row>
    <row r="61" ht="12" customFormat="1" customHeight="1" s="209">
      <c r="A61" s="219" t="n">
        <v>59</v>
      </c>
      <c r="B61" s="535" t="n"/>
      <c r="C61" s="86" t="inlineStr">
        <is>
          <t>餐饮二分部</t>
        </is>
      </c>
      <c r="D61" s="86" t="inlineStr">
        <is>
          <t>CF182</t>
        </is>
      </c>
      <c r="E61" s="86" t="inlineStr">
        <is>
          <t>无锡工艺第二食堂</t>
        </is>
      </c>
      <c r="F61" s="335" t="inlineStr">
        <is>
          <t>自营</t>
        </is>
      </c>
      <c r="G61" s="243" t="inlineStr">
        <is>
          <t>吉沐牛</t>
        </is>
      </c>
      <c r="H61" s="243" t="inlineStr">
        <is>
          <t>/</t>
        </is>
      </c>
      <c r="I61" s="480" t="inlineStr">
        <is>
          <t>/</t>
        </is>
      </c>
      <c r="J61" s="462" t="inlineStr">
        <is>
          <t>/</t>
        </is>
      </c>
      <c r="K61" s="349" t="inlineStr">
        <is>
          <t>/</t>
        </is>
      </c>
      <c r="L61" s="651" t="inlineStr">
        <is>
          <t>/</t>
        </is>
      </c>
      <c r="M61" s="91" t="inlineStr">
        <is>
          <t>/</t>
        </is>
      </c>
      <c r="N61" s="462" t="inlineStr">
        <is>
          <t>/</t>
        </is>
      </c>
      <c r="O61" s="91" t="inlineStr">
        <is>
          <t>/</t>
        </is>
      </c>
      <c r="P61" s="462" t="inlineStr">
        <is>
          <t>/</t>
        </is>
      </c>
      <c r="Q61" s="92" t="inlineStr">
        <is>
          <t>/</t>
        </is>
      </c>
      <c r="R61" s="462" t="inlineStr">
        <is>
          <t>/</t>
        </is>
      </c>
      <c r="S61" s="462" t="inlineStr">
        <is>
          <t>/</t>
        </is>
      </c>
      <c r="T61" s="59" t="inlineStr">
        <is>
          <t>/</t>
        </is>
      </c>
      <c r="U61" s="91" t="inlineStr">
        <is>
          <t>/</t>
        </is>
      </c>
      <c r="V61" s="91" t="inlineStr">
        <is>
          <t>/</t>
        </is>
      </c>
      <c r="W61" s="480" t="inlineStr">
        <is>
          <t>/</t>
        </is>
      </c>
      <c r="X61" s="480" t="inlineStr">
        <is>
          <t>/</t>
        </is>
      </c>
      <c r="Y61" s="480" t="inlineStr">
        <is>
          <t>/</t>
        </is>
      </c>
      <c r="Z61" s="480" t="inlineStr">
        <is>
          <t>/</t>
        </is>
      </c>
      <c r="AA61" s="480" t="inlineStr">
        <is>
          <t>/</t>
        </is>
      </c>
      <c r="AB61" s="46" t="n">
        <v>0.035</v>
      </c>
      <c r="AC61" s="46" t="n">
        <v>0.005</v>
      </c>
      <c r="AD61" s="48" t="inlineStr">
        <is>
          <t>1、自营未实际经营；</t>
        </is>
      </c>
      <c r="AE61" s="25" t="n"/>
      <c r="AF61" s="232" t="n"/>
    </row>
    <row r="62" ht="24" customFormat="1" customHeight="1" s="209">
      <c r="A62" s="219" t="n">
        <v>60</v>
      </c>
      <c r="B62" s="14" t="inlineStr">
        <is>
          <t>KQCY0058</t>
        </is>
      </c>
      <c r="C62" s="221" t="inlineStr">
        <is>
          <t>餐饮二分部</t>
        </is>
      </c>
      <c r="D62" s="221" t="inlineStr">
        <is>
          <t>CF182</t>
        </is>
      </c>
      <c r="E62" s="221" t="inlineStr">
        <is>
          <t>无锡工艺第二食堂</t>
        </is>
      </c>
      <c r="F62" s="219" t="inlineStr">
        <is>
          <t>分组作业</t>
        </is>
      </c>
      <c r="G62" s="222" t="inlineStr">
        <is>
          <t>吉沐牛</t>
        </is>
      </c>
      <c r="H62" s="503" t="inlineStr">
        <is>
          <t>/</t>
        </is>
      </c>
      <c r="I62" s="232" t="inlineStr">
        <is>
          <t>快餐</t>
        </is>
      </c>
      <c r="J62" s="494" t="inlineStr">
        <is>
          <t>林建峰</t>
        </is>
      </c>
      <c r="K62" s="224" t="inlineStr">
        <is>
          <t>/</t>
        </is>
      </c>
      <c r="L62" s="651" t="n">
        <v>6000000</v>
      </c>
      <c r="M62" s="70" t="n">
        <v>0.035</v>
      </c>
      <c r="N62" s="79" t="n"/>
      <c r="O62" s="70" t="inlineStr">
        <is>
          <t>/</t>
        </is>
      </c>
      <c r="P62" s="94" t="n"/>
      <c r="Q62" s="71" t="inlineStr">
        <is>
          <t>/</t>
        </is>
      </c>
      <c r="R62" s="71" t="inlineStr">
        <is>
          <t>/</t>
        </is>
      </c>
      <c r="S62" s="71" t="inlineStr">
        <is>
          <t>/</t>
        </is>
      </c>
      <c r="T62" s="75" t="n"/>
      <c r="U62" s="95" t="n"/>
      <c r="V62" s="70" t="inlineStr">
        <is>
          <t>/</t>
        </is>
      </c>
      <c r="W62" s="72" t="inlineStr">
        <is>
          <t>47-53%</t>
        </is>
      </c>
      <c r="X62" s="573" t="inlineStr">
        <is>
          <t>/</t>
        </is>
      </c>
      <c r="Y62" s="72" t="inlineStr">
        <is>
          <t>/</t>
        </is>
      </c>
      <c r="Z62" s="72" t="inlineStr">
        <is>
          <t>/</t>
        </is>
      </c>
      <c r="AA62" s="72" t="inlineStr">
        <is>
          <t>/</t>
        </is>
      </c>
      <c r="AB62" s="46" t="inlineStr">
        <is>
          <t>/</t>
        </is>
      </c>
      <c r="AC62" s="46" t="inlineStr">
        <is>
          <t>/</t>
        </is>
      </c>
      <c r="AD62" s="82" t="inlineStr">
        <is>
          <t>1、装修折旧费：按165万，分三年期限分摊，多退少补</t>
        </is>
      </c>
      <c r="AE62" s="25" t="inlineStr">
        <is>
          <t>1、签订期间：2026.1-2026.12；
2、指标按照全年换算；</t>
        </is>
      </c>
      <c r="AF62" s="232" t="n"/>
    </row>
    <row r="63" ht="12" customFormat="1" customHeight="1" s="209">
      <c r="A63" s="219" t="n">
        <v>61</v>
      </c>
      <c r="B63" s="14" t="inlineStr">
        <is>
          <t>KQCY0059</t>
        </is>
      </c>
      <c r="C63" s="221" t="inlineStr">
        <is>
          <t>餐饮二分部</t>
        </is>
      </c>
      <c r="D63" s="221" t="inlineStr">
        <is>
          <t>CF360</t>
        </is>
      </c>
      <c r="E63" s="221" t="inlineStr">
        <is>
          <t>南通师专新校区食堂</t>
        </is>
      </c>
      <c r="F63" s="219" t="inlineStr">
        <is>
          <t>自营</t>
        </is>
      </c>
      <c r="G63" s="222" t="inlineStr">
        <is>
          <t>位军浩</t>
        </is>
      </c>
      <c r="H63" s="222" t="inlineStr">
        <is>
          <t>/</t>
        </is>
      </c>
      <c r="I63" s="355" t="inlineStr">
        <is>
          <t>/</t>
        </is>
      </c>
      <c r="J63" s="222" t="inlineStr">
        <is>
          <t>/</t>
        </is>
      </c>
      <c r="K63" s="224" t="inlineStr">
        <is>
          <t>/</t>
        </is>
      </c>
      <c r="L63" s="651" t="inlineStr">
        <is>
          <t>/</t>
        </is>
      </c>
      <c r="M63" s="97" t="inlineStr">
        <is>
          <t>/</t>
        </is>
      </c>
      <c r="N63" s="97" t="inlineStr">
        <is>
          <t>/</t>
        </is>
      </c>
      <c r="O63" s="97" t="inlineStr">
        <is>
          <t>/</t>
        </is>
      </c>
      <c r="P63" s="97" t="inlineStr">
        <is>
          <t>/</t>
        </is>
      </c>
      <c r="Q63" s="97" t="inlineStr">
        <is>
          <t>/</t>
        </is>
      </c>
      <c r="R63" s="97" t="inlineStr">
        <is>
          <t>/</t>
        </is>
      </c>
      <c r="S63" s="97" t="inlineStr">
        <is>
          <t>/</t>
        </is>
      </c>
      <c r="T63" s="97" t="inlineStr">
        <is>
          <t>/</t>
        </is>
      </c>
      <c r="U63" s="97" t="inlineStr">
        <is>
          <t>/</t>
        </is>
      </c>
      <c r="V63" s="97" t="inlineStr">
        <is>
          <t>/</t>
        </is>
      </c>
      <c r="W63" s="78" t="n"/>
      <c r="X63" s="512" t="inlineStr">
        <is>
          <t>/</t>
        </is>
      </c>
      <c r="Y63" s="512" t="inlineStr">
        <is>
          <t>/</t>
        </is>
      </c>
      <c r="Z63" s="512" t="inlineStr">
        <is>
          <t>/</t>
        </is>
      </c>
      <c r="AA63" s="512" t="inlineStr">
        <is>
          <t>/</t>
        </is>
      </c>
      <c r="AB63" s="22" t="n">
        <v>0.1</v>
      </c>
      <c r="AC63" s="224" t="inlineStr">
        <is>
          <t>/</t>
        </is>
      </c>
      <c r="AD63" s="98" t="n"/>
      <c r="AE63" s="25" t="n"/>
      <c r="AF63" s="232" t="n"/>
    </row>
    <row r="64" ht="48" customFormat="1" customHeight="1" s="209">
      <c r="A64" s="219" t="n">
        <v>62</v>
      </c>
      <c r="B64" s="14" t="inlineStr">
        <is>
          <t>KQCY0060</t>
        </is>
      </c>
      <c r="C64" s="221" t="inlineStr">
        <is>
          <t>餐饮二分部</t>
        </is>
      </c>
      <c r="D64" s="221" t="inlineStr">
        <is>
          <t>CF360</t>
        </is>
      </c>
      <c r="E64" s="221" t="inlineStr">
        <is>
          <t>南通师专新校区食堂</t>
        </is>
      </c>
      <c r="F64" s="219" t="inlineStr">
        <is>
          <t>分组作业</t>
        </is>
      </c>
      <c r="G64" s="222" t="inlineStr">
        <is>
          <t>位军浩</t>
        </is>
      </c>
      <c r="H64" s="222" t="inlineStr">
        <is>
          <t>第一班组</t>
        </is>
      </c>
      <c r="I64" s="232" t="inlineStr">
        <is>
          <t>琳榆炸鸡腿</t>
        </is>
      </c>
      <c r="J64" s="503" t="inlineStr">
        <is>
          <t>王友强</t>
        </is>
      </c>
      <c r="K64" s="224" t="inlineStr">
        <is>
          <t>/</t>
        </is>
      </c>
      <c r="L64" s="651" t="n">
        <v>800000</v>
      </c>
      <c r="M64" s="102" t="n">
        <v>0.2</v>
      </c>
      <c r="N64" s="97" t="inlineStr">
        <is>
          <t>/</t>
        </is>
      </c>
      <c r="O64" s="97" t="inlineStr">
        <is>
          <t>/</t>
        </is>
      </c>
      <c r="P64" s="103" t="inlineStr">
        <is>
          <t>/</t>
        </is>
      </c>
      <c r="Q64" s="102" t="inlineStr">
        <is>
          <t>/</t>
        </is>
      </c>
      <c r="R64" s="102" t="inlineStr">
        <is>
          <t>/</t>
        </is>
      </c>
      <c r="S64" s="97" t="inlineStr">
        <is>
          <t>/</t>
        </is>
      </c>
      <c r="T64" s="102" t="n">
        <v>0.03</v>
      </c>
      <c r="U64" s="102" t="n">
        <v>0.04</v>
      </c>
      <c r="V64" s="512" t="inlineStr">
        <is>
          <t>/</t>
        </is>
      </c>
      <c r="W64" s="97" t="inlineStr">
        <is>
          <t>50%±3%</t>
        </is>
      </c>
      <c r="X64" s="512" t="inlineStr">
        <is>
          <t>/</t>
        </is>
      </c>
      <c r="Y64" s="512" t="inlineStr">
        <is>
          <t>/</t>
        </is>
      </c>
      <c r="Z64" s="512" t="inlineStr">
        <is>
          <t>/</t>
        </is>
      </c>
      <c r="AA64" s="512" t="inlineStr">
        <is>
          <t>/</t>
        </is>
      </c>
      <c r="AB64" s="22" t="inlineStr">
        <is>
          <t>/</t>
        </is>
      </c>
      <c r="AC64" s="224" t="inlineStr">
        <is>
          <t>/</t>
        </is>
      </c>
      <c r="AD64" s="104" t="inlineStr">
        <is>
          <t>1、装修折旧费：25万/年，分组作业未分摊，服务费已包含</t>
        </is>
      </c>
      <c r="AE64" s="25" t="inlineStr">
        <is>
          <t xml:space="preserve">1、签订期间：2026.3.1-2026.7.31；
2、指标按照全年换算；
</t>
        </is>
      </c>
      <c r="AF64"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65" ht="48" customFormat="1" customHeight="1" s="209">
      <c r="A65" s="219" t="n">
        <v>63</v>
      </c>
      <c r="B65" s="14" t="inlineStr">
        <is>
          <t>KQCY0061</t>
        </is>
      </c>
      <c r="C65" s="221" t="inlineStr">
        <is>
          <t>餐饮二分部</t>
        </is>
      </c>
      <c r="D65" s="221" t="inlineStr">
        <is>
          <t>CF360</t>
        </is>
      </c>
      <c r="E65" s="221" t="inlineStr">
        <is>
          <t>南通师专新校区食堂</t>
        </is>
      </c>
      <c r="F65" s="219" t="inlineStr">
        <is>
          <t>分组作业</t>
        </is>
      </c>
      <c r="G65" s="222" t="inlineStr">
        <is>
          <t>位军浩</t>
        </is>
      </c>
      <c r="H65" s="222" t="inlineStr">
        <is>
          <t>第二班组</t>
        </is>
      </c>
      <c r="I65" s="232" t="inlineStr">
        <is>
          <t>中式早点</t>
        </is>
      </c>
      <c r="J65" s="503" t="inlineStr">
        <is>
          <t>何小杏</t>
        </is>
      </c>
      <c r="K65" s="224" t="inlineStr">
        <is>
          <t>/</t>
        </is>
      </c>
      <c r="L65" s="651" t="n">
        <v>880000</v>
      </c>
      <c r="M65" s="22" t="n">
        <v>0.18</v>
      </c>
      <c r="N65" s="224" t="inlineStr">
        <is>
          <t>/</t>
        </is>
      </c>
      <c r="O65" s="224" t="inlineStr">
        <is>
          <t>/</t>
        </is>
      </c>
      <c r="P65" s="59" t="inlineStr">
        <is>
          <t>/</t>
        </is>
      </c>
      <c r="Q65" s="22" t="inlineStr">
        <is>
          <t>/</t>
        </is>
      </c>
      <c r="R65" s="22" t="inlineStr">
        <is>
          <t>/</t>
        </is>
      </c>
      <c r="S65" s="224" t="inlineStr">
        <is>
          <t>/</t>
        </is>
      </c>
      <c r="T65" s="22" t="n">
        <v>0.02</v>
      </c>
      <c r="U65" s="22" t="n">
        <v>0.03</v>
      </c>
      <c r="V65" s="502" t="inlineStr">
        <is>
          <t>/</t>
        </is>
      </c>
      <c r="W65" s="224" t="inlineStr">
        <is>
          <t>50%±3%</t>
        </is>
      </c>
      <c r="X65" s="502" t="inlineStr">
        <is>
          <t>/</t>
        </is>
      </c>
      <c r="Y65" s="502" t="inlineStr">
        <is>
          <t>/</t>
        </is>
      </c>
      <c r="Z65" s="502" t="inlineStr">
        <is>
          <t>/</t>
        </is>
      </c>
      <c r="AA65" s="502" t="inlineStr">
        <is>
          <t>/</t>
        </is>
      </c>
      <c r="AB65" s="22" t="inlineStr">
        <is>
          <t>/</t>
        </is>
      </c>
      <c r="AC65" s="224" t="inlineStr">
        <is>
          <t>/</t>
        </is>
      </c>
      <c r="AD65" s="57" t="inlineStr">
        <is>
          <t>1、装修折旧费：25万/年，分组作业未分摊，服务费已包含</t>
        </is>
      </c>
      <c r="AE65" s="25" t="inlineStr">
        <is>
          <t xml:space="preserve">1、签订期间：2026.3.1-2026.7.31；
2、指标按照全年换算；
</t>
        </is>
      </c>
      <c r="AF65"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66" ht="48" customFormat="1" customHeight="1" s="209">
      <c r="A66" s="219" t="n">
        <v>64</v>
      </c>
      <c r="B66" s="14" t="inlineStr">
        <is>
          <t>KQCY0062</t>
        </is>
      </c>
      <c r="C66" s="221" t="inlineStr">
        <is>
          <t>餐饮二分部</t>
        </is>
      </c>
      <c r="D66" s="221" t="inlineStr">
        <is>
          <t>CF360</t>
        </is>
      </c>
      <c r="E66" s="221" t="inlineStr">
        <is>
          <t>南通师专新校区食堂</t>
        </is>
      </c>
      <c r="F66" s="219" t="inlineStr">
        <is>
          <t>分组作业</t>
        </is>
      </c>
      <c r="G66" s="222" t="inlineStr">
        <is>
          <t>位军浩</t>
        </is>
      </c>
      <c r="H66" s="222" t="inlineStr">
        <is>
          <t>第三班组</t>
        </is>
      </c>
      <c r="I66" s="232" t="inlineStr">
        <is>
          <t>土耳其烤肉饭</t>
        </is>
      </c>
      <c r="J66" s="503" t="inlineStr">
        <is>
          <t>薛小勇</t>
        </is>
      </c>
      <c r="K66" s="224" t="inlineStr">
        <is>
          <t>/</t>
        </is>
      </c>
      <c r="L66" s="651" t="n">
        <v>800000</v>
      </c>
      <c r="M66" s="22" t="n">
        <v>0.18</v>
      </c>
      <c r="N66" s="224" t="inlineStr">
        <is>
          <t>/</t>
        </is>
      </c>
      <c r="O66" s="224" t="inlineStr">
        <is>
          <t>/</t>
        </is>
      </c>
      <c r="P66" s="59" t="inlineStr">
        <is>
          <t>/</t>
        </is>
      </c>
      <c r="Q66" s="22" t="inlineStr">
        <is>
          <t>/</t>
        </is>
      </c>
      <c r="R66" s="22" t="inlineStr">
        <is>
          <t>/</t>
        </is>
      </c>
      <c r="S66" s="224" t="inlineStr">
        <is>
          <t>/</t>
        </is>
      </c>
      <c r="T66" s="22" t="n">
        <v>0.03</v>
      </c>
      <c r="U66" s="22" t="n">
        <v>0.03</v>
      </c>
      <c r="V66" s="502" t="inlineStr">
        <is>
          <t>/</t>
        </is>
      </c>
      <c r="W66" s="224" t="inlineStr">
        <is>
          <t>50%±3%</t>
        </is>
      </c>
      <c r="X66" s="502" t="inlineStr">
        <is>
          <t>/</t>
        </is>
      </c>
      <c r="Y66" s="502" t="inlineStr">
        <is>
          <t>/</t>
        </is>
      </c>
      <c r="Z66" s="502" t="inlineStr">
        <is>
          <t>/</t>
        </is>
      </c>
      <c r="AA66" s="502" t="inlineStr">
        <is>
          <t>/</t>
        </is>
      </c>
      <c r="AB66" s="22" t="inlineStr">
        <is>
          <t>/</t>
        </is>
      </c>
      <c r="AC66" s="224" t="inlineStr">
        <is>
          <t>/</t>
        </is>
      </c>
      <c r="AD66" s="57" t="inlineStr">
        <is>
          <t>1、装修折旧费：25万/年，分组作业未分摊，服务费已包含</t>
        </is>
      </c>
      <c r="AE66" s="25" t="inlineStr">
        <is>
          <t xml:space="preserve">1、签订期间：2026.3.1-2026.7.31；
2、指标按照全年换算；
</t>
        </is>
      </c>
      <c r="AF66"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67" ht="48" customFormat="1" customHeight="1" s="209">
      <c r="A67" s="219" t="n">
        <v>65</v>
      </c>
      <c r="B67" s="14" t="inlineStr">
        <is>
          <t>KQCY0063</t>
        </is>
      </c>
      <c r="C67" s="221" t="inlineStr">
        <is>
          <t>餐饮二分部</t>
        </is>
      </c>
      <c r="D67" s="221" t="inlineStr">
        <is>
          <t>CF360</t>
        </is>
      </c>
      <c r="E67" s="221" t="inlineStr">
        <is>
          <t>南通师专新校区食堂</t>
        </is>
      </c>
      <c r="F67" s="219" t="inlineStr">
        <is>
          <t>分组作业</t>
        </is>
      </c>
      <c r="G67" s="222" t="inlineStr">
        <is>
          <t>位军浩</t>
        </is>
      </c>
      <c r="H67" s="222" t="inlineStr">
        <is>
          <t>第四班组</t>
        </is>
      </c>
      <c r="I67" s="232" t="inlineStr">
        <is>
          <t>营养粥小笼包</t>
        </is>
      </c>
      <c r="J67" s="503" t="inlineStr">
        <is>
          <t>沈玲</t>
        </is>
      </c>
      <c r="K67" s="224" t="inlineStr">
        <is>
          <t>/</t>
        </is>
      </c>
      <c r="L67" s="651" t="n">
        <v>800000</v>
      </c>
      <c r="M67" s="22" t="n">
        <v>0.2</v>
      </c>
      <c r="N67" s="224" t="inlineStr">
        <is>
          <t>/</t>
        </is>
      </c>
      <c r="O67" s="224" t="inlineStr">
        <is>
          <t>/</t>
        </is>
      </c>
      <c r="P67" s="59" t="inlineStr">
        <is>
          <t>/</t>
        </is>
      </c>
      <c r="Q67" s="22" t="inlineStr">
        <is>
          <t>/</t>
        </is>
      </c>
      <c r="R67" s="22" t="inlineStr">
        <is>
          <t>/</t>
        </is>
      </c>
      <c r="S67" s="224" t="inlineStr">
        <is>
          <t>/</t>
        </is>
      </c>
      <c r="T67" s="22" t="n">
        <v>0.03</v>
      </c>
      <c r="U67" s="22" t="n">
        <v>0.04</v>
      </c>
      <c r="V67" s="502" t="inlineStr">
        <is>
          <t>/</t>
        </is>
      </c>
      <c r="W67" s="224" t="inlineStr">
        <is>
          <t>50%±3%</t>
        </is>
      </c>
      <c r="X67" s="502" t="inlineStr">
        <is>
          <t>/</t>
        </is>
      </c>
      <c r="Y67" s="502" t="inlineStr">
        <is>
          <t>/</t>
        </is>
      </c>
      <c r="Z67" s="502" t="inlineStr">
        <is>
          <t>/</t>
        </is>
      </c>
      <c r="AA67" s="502" t="inlineStr">
        <is>
          <t>/</t>
        </is>
      </c>
      <c r="AB67" s="22" t="inlineStr">
        <is>
          <t>/</t>
        </is>
      </c>
      <c r="AC67" s="224" t="inlineStr">
        <is>
          <t>/</t>
        </is>
      </c>
      <c r="AD67" s="57" t="inlineStr">
        <is>
          <t>1、装修折旧费：25万/年，分组作业未分摊，服务费已包含</t>
        </is>
      </c>
      <c r="AE67" s="25" t="inlineStr">
        <is>
          <t xml:space="preserve">1、签订期间：2026.3.1-2026.7.31；
2、指标按照全年换算；
</t>
        </is>
      </c>
      <c r="AF67"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68" ht="48" customFormat="1" customHeight="1" s="209">
      <c r="A68" s="219" t="n">
        <v>66</v>
      </c>
      <c r="B68" s="14" t="inlineStr">
        <is>
          <t>KQCY0064</t>
        </is>
      </c>
      <c r="C68" s="221" t="inlineStr">
        <is>
          <t>餐饮二分部</t>
        </is>
      </c>
      <c r="D68" s="221" t="inlineStr">
        <is>
          <t>CF360</t>
        </is>
      </c>
      <c r="E68" s="221" t="inlineStr">
        <is>
          <t>南通师专新校区食堂</t>
        </is>
      </c>
      <c r="F68" s="219" t="inlineStr">
        <is>
          <t>分组作业</t>
        </is>
      </c>
      <c r="G68" s="222" t="inlineStr">
        <is>
          <t>位军浩</t>
        </is>
      </c>
      <c r="H68" s="222" t="inlineStr">
        <is>
          <t>第五班组</t>
        </is>
      </c>
      <c r="I68" s="232" t="inlineStr">
        <is>
          <t>生烫牛肉米线</t>
        </is>
      </c>
      <c r="J68" s="503" t="inlineStr">
        <is>
          <t>刘海霞</t>
        </is>
      </c>
      <c r="K68" s="224" t="inlineStr">
        <is>
          <t>/</t>
        </is>
      </c>
      <c r="L68" s="651" t="n">
        <v>800000</v>
      </c>
      <c r="M68" s="22" t="n">
        <v>0.2</v>
      </c>
      <c r="N68" s="224" t="inlineStr">
        <is>
          <t>/</t>
        </is>
      </c>
      <c r="O68" s="224" t="inlineStr">
        <is>
          <t>/</t>
        </is>
      </c>
      <c r="P68" s="59" t="inlineStr">
        <is>
          <t>/</t>
        </is>
      </c>
      <c r="Q68" s="22" t="inlineStr">
        <is>
          <t>/</t>
        </is>
      </c>
      <c r="R68" s="22" t="inlineStr">
        <is>
          <t>/</t>
        </is>
      </c>
      <c r="S68" s="224" t="inlineStr">
        <is>
          <t>/</t>
        </is>
      </c>
      <c r="T68" s="22" t="n">
        <v>0.03</v>
      </c>
      <c r="U68" s="22" t="n">
        <v>0.04</v>
      </c>
      <c r="V68" s="502" t="inlineStr">
        <is>
          <t>/</t>
        </is>
      </c>
      <c r="W68" s="224" t="inlineStr">
        <is>
          <t>50%±3%</t>
        </is>
      </c>
      <c r="X68" s="502" t="inlineStr">
        <is>
          <t>/</t>
        </is>
      </c>
      <c r="Y68" s="502" t="inlineStr">
        <is>
          <t>/</t>
        </is>
      </c>
      <c r="Z68" s="502" t="inlineStr">
        <is>
          <t>/</t>
        </is>
      </c>
      <c r="AA68" s="502" t="inlineStr">
        <is>
          <t>/</t>
        </is>
      </c>
      <c r="AB68" s="22" t="inlineStr">
        <is>
          <t>/</t>
        </is>
      </c>
      <c r="AC68" s="224" t="inlineStr">
        <is>
          <t>/</t>
        </is>
      </c>
      <c r="AD68" s="57" t="inlineStr">
        <is>
          <t>1、装修折旧费：25万/年，分组作业未分摊，服务费已包含</t>
        </is>
      </c>
      <c r="AE68" s="25" t="inlineStr">
        <is>
          <t xml:space="preserve">1、签订期间：2026.3.1-2026.7.31；
2、指标按照全年换算；
</t>
        </is>
      </c>
      <c r="AF68"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69" ht="48" customFormat="1" customHeight="1" s="209">
      <c r="A69" s="219" t="n">
        <v>67</v>
      </c>
      <c r="B69" s="14" t="inlineStr">
        <is>
          <t>KQCY0065</t>
        </is>
      </c>
      <c r="C69" s="221" t="inlineStr">
        <is>
          <t>餐饮二分部</t>
        </is>
      </c>
      <c r="D69" s="221" t="inlineStr">
        <is>
          <t>CF360</t>
        </is>
      </c>
      <c r="E69" s="221" t="inlineStr">
        <is>
          <t>南通师专新校区食堂</t>
        </is>
      </c>
      <c r="F69" s="219" t="inlineStr">
        <is>
          <t>分组作业</t>
        </is>
      </c>
      <c r="G69" s="222" t="inlineStr">
        <is>
          <t>位军浩</t>
        </is>
      </c>
      <c r="H69" s="222" t="inlineStr">
        <is>
          <t>第六班组</t>
        </is>
      </c>
      <c r="I69" s="232" t="inlineStr">
        <is>
          <t>咖喱蛋包饭</t>
        </is>
      </c>
      <c r="J69" s="503" t="inlineStr">
        <is>
          <t>余娇</t>
        </is>
      </c>
      <c r="K69" s="224" t="inlineStr">
        <is>
          <t>/</t>
        </is>
      </c>
      <c r="L69" s="651" t="n">
        <v>800000</v>
      </c>
      <c r="M69" s="22" t="n">
        <v>0.2</v>
      </c>
      <c r="N69" s="224" t="inlineStr">
        <is>
          <t>/</t>
        </is>
      </c>
      <c r="O69" s="224" t="inlineStr">
        <is>
          <t>/</t>
        </is>
      </c>
      <c r="P69" s="59" t="inlineStr">
        <is>
          <t>/</t>
        </is>
      </c>
      <c r="Q69" s="22" t="inlineStr">
        <is>
          <t>/</t>
        </is>
      </c>
      <c r="R69" s="22" t="inlineStr">
        <is>
          <t>/</t>
        </is>
      </c>
      <c r="S69" s="224" t="inlineStr">
        <is>
          <t>/</t>
        </is>
      </c>
      <c r="T69" s="22" t="n">
        <v>0.03</v>
      </c>
      <c r="U69" s="22" t="n">
        <v>0.04</v>
      </c>
      <c r="V69" s="502" t="inlineStr">
        <is>
          <t>/</t>
        </is>
      </c>
      <c r="W69" s="224" t="inlineStr">
        <is>
          <t>50%±3%</t>
        </is>
      </c>
      <c r="X69" s="502" t="inlineStr">
        <is>
          <t>/</t>
        </is>
      </c>
      <c r="Y69" s="502" t="inlineStr">
        <is>
          <t>/</t>
        </is>
      </c>
      <c r="Z69" s="502" t="inlineStr">
        <is>
          <t>/</t>
        </is>
      </c>
      <c r="AA69" s="502" t="inlineStr">
        <is>
          <t>/</t>
        </is>
      </c>
      <c r="AB69" s="22" t="inlineStr">
        <is>
          <t>/</t>
        </is>
      </c>
      <c r="AC69" s="224" t="inlineStr">
        <is>
          <t>/</t>
        </is>
      </c>
      <c r="AD69" s="57" t="inlineStr">
        <is>
          <t>1、装修折旧费：25万/年，分组作业未分摊，服务费已包含</t>
        </is>
      </c>
      <c r="AE69" s="25" t="inlineStr">
        <is>
          <t xml:space="preserve">1、签订期间：2026.3.1-2026.7.31；
2、指标按照全年换算；
</t>
        </is>
      </c>
      <c r="AF69"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70" ht="48" customFormat="1" customHeight="1" s="209">
      <c r="A70" s="219" t="n">
        <v>68</v>
      </c>
      <c r="B70" s="14" t="inlineStr">
        <is>
          <t>KQCY0066</t>
        </is>
      </c>
      <c r="C70" s="221" t="inlineStr">
        <is>
          <t>餐饮二分部</t>
        </is>
      </c>
      <c r="D70" s="221" t="inlineStr">
        <is>
          <t>CF360</t>
        </is>
      </c>
      <c r="E70" s="221" t="inlineStr">
        <is>
          <t>南通师专新校区食堂</t>
        </is>
      </c>
      <c r="F70" s="219" t="inlineStr">
        <is>
          <t>分组作业</t>
        </is>
      </c>
      <c r="G70" s="222" t="inlineStr">
        <is>
          <t>位军浩</t>
        </is>
      </c>
      <c r="H70" s="222" t="inlineStr">
        <is>
          <t>第七班组</t>
        </is>
      </c>
      <c r="I70" s="232" t="inlineStr">
        <is>
          <t>麻辣烫麻辣拌</t>
        </is>
      </c>
      <c r="J70" s="503" t="inlineStr">
        <is>
          <t>虞冬梅</t>
        </is>
      </c>
      <c r="K70" s="224" t="inlineStr">
        <is>
          <t>/</t>
        </is>
      </c>
      <c r="L70" s="651" t="n">
        <v>800000</v>
      </c>
      <c r="M70" s="22" t="n">
        <v>0.18</v>
      </c>
      <c r="N70" s="224" t="inlineStr">
        <is>
          <t>/</t>
        </is>
      </c>
      <c r="O70" s="224" t="inlineStr">
        <is>
          <t>/</t>
        </is>
      </c>
      <c r="P70" s="59" t="inlineStr">
        <is>
          <t>/</t>
        </is>
      </c>
      <c r="Q70" s="22" t="inlineStr">
        <is>
          <t>/</t>
        </is>
      </c>
      <c r="R70" s="22" t="inlineStr">
        <is>
          <t>/</t>
        </is>
      </c>
      <c r="S70" s="224" t="inlineStr">
        <is>
          <t>/</t>
        </is>
      </c>
      <c r="T70" s="22" t="n">
        <v>0.03</v>
      </c>
      <c r="U70" s="22" t="n">
        <v>0.03</v>
      </c>
      <c r="V70" s="502" t="inlineStr">
        <is>
          <t>/</t>
        </is>
      </c>
      <c r="W70" s="224" t="inlineStr">
        <is>
          <t>50%±3%</t>
        </is>
      </c>
      <c r="X70" s="502" t="inlineStr">
        <is>
          <t>/</t>
        </is>
      </c>
      <c r="Y70" s="502" t="inlineStr">
        <is>
          <t>/</t>
        </is>
      </c>
      <c r="Z70" s="502" t="inlineStr">
        <is>
          <t>/</t>
        </is>
      </c>
      <c r="AA70" s="502" t="inlineStr">
        <is>
          <t>/</t>
        </is>
      </c>
      <c r="AB70" s="22" t="inlineStr">
        <is>
          <t>/</t>
        </is>
      </c>
      <c r="AC70" s="224" t="inlineStr">
        <is>
          <t>/</t>
        </is>
      </c>
      <c r="AD70" s="57" t="inlineStr">
        <is>
          <t>1、装修折旧费：25万/年，分组作业未分摊，服务费已包含</t>
        </is>
      </c>
      <c r="AE70" s="25" t="inlineStr">
        <is>
          <t xml:space="preserve">1、签订期间：2026.3.1-2026.7.31；
2、指标按照全年换算；
</t>
        </is>
      </c>
      <c r="AF70"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71" ht="48" customFormat="1" customHeight="1" s="209">
      <c r="A71" s="219" t="n">
        <v>69</v>
      </c>
      <c r="B71" s="14" t="inlineStr">
        <is>
          <t>KQCY0067</t>
        </is>
      </c>
      <c r="C71" s="221" t="inlineStr">
        <is>
          <t>餐饮二分部</t>
        </is>
      </c>
      <c r="D71" s="221" t="inlineStr">
        <is>
          <t>CF360</t>
        </is>
      </c>
      <c r="E71" s="221" t="inlineStr">
        <is>
          <t>南通师专新校区食堂</t>
        </is>
      </c>
      <c r="F71" s="219" t="inlineStr">
        <is>
          <t>分组作业</t>
        </is>
      </c>
      <c r="G71" s="222" t="inlineStr">
        <is>
          <t>位军浩</t>
        </is>
      </c>
      <c r="H71" s="222" t="inlineStr">
        <is>
          <t>第八班组</t>
        </is>
      </c>
      <c r="I71" s="232" t="inlineStr">
        <is>
          <t>真老大手工云吞</t>
        </is>
      </c>
      <c r="J71" s="503" t="inlineStr">
        <is>
          <t>彭晴</t>
        </is>
      </c>
      <c r="K71" s="224" t="inlineStr">
        <is>
          <t>/</t>
        </is>
      </c>
      <c r="L71" s="651" t="n">
        <v>800000</v>
      </c>
      <c r="M71" s="22" t="n">
        <v>0.2</v>
      </c>
      <c r="N71" s="224" t="inlineStr">
        <is>
          <t>/</t>
        </is>
      </c>
      <c r="O71" s="224" t="inlineStr">
        <is>
          <t>/</t>
        </is>
      </c>
      <c r="P71" s="59" t="inlineStr">
        <is>
          <t>/</t>
        </is>
      </c>
      <c r="Q71" s="22" t="inlineStr">
        <is>
          <t>/</t>
        </is>
      </c>
      <c r="R71" s="22" t="inlineStr">
        <is>
          <t>/</t>
        </is>
      </c>
      <c r="S71" s="224" t="inlineStr">
        <is>
          <t>/</t>
        </is>
      </c>
      <c r="T71" s="22" t="n">
        <v>0.03</v>
      </c>
      <c r="U71" s="22" t="n">
        <v>0.04</v>
      </c>
      <c r="V71" s="502" t="inlineStr">
        <is>
          <t>/</t>
        </is>
      </c>
      <c r="W71" s="224" t="inlineStr">
        <is>
          <t>50%±3%</t>
        </is>
      </c>
      <c r="X71" s="502" t="inlineStr">
        <is>
          <t>/</t>
        </is>
      </c>
      <c r="Y71" s="502" t="inlineStr">
        <is>
          <t>/</t>
        </is>
      </c>
      <c r="Z71" s="502" t="inlineStr">
        <is>
          <t>/</t>
        </is>
      </c>
      <c r="AA71" s="502" t="inlineStr">
        <is>
          <t>/</t>
        </is>
      </c>
      <c r="AB71" s="22" t="inlineStr">
        <is>
          <t>/</t>
        </is>
      </c>
      <c r="AC71" s="224" t="inlineStr">
        <is>
          <t>/</t>
        </is>
      </c>
      <c r="AD71" s="57" t="inlineStr">
        <is>
          <t>1、装修折旧费：25万/年，分组作业未分摊，服务费已包含</t>
        </is>
      </c>
      <c r="AE71" s="25" t="inlineStr">
        <is>
          <t xml:space="preserve">1、签订期间：2026.3.1-2026.7.31；
2、指标按照全年换算；
</t>
        </is>
      </c>
      <c r="AF71"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72" ht="48" customFormat="1" customHeight="1" s="209">
      <c r="A72" s="219" t="n">
        <v>70</v>
      </c>
      <c r="B72" s="14" t="inlineStr">
        <is>
          <t>KQCY0068</t>
        </is>
      </c>
      <c r="C72" s="221" t="inlineStr">
        <is>
          <t>餐饮二分部</t>
        </is>
      </c>
      <c r="D72" s="221" t="inlineStr">
        <is>
          <t>CF360</t>
        </is>
      </c>
      <c r="E72" s="221" t="inlineStr">
        <is>
          <t>南通师专新校区食堂</t>
        </is>
      </c>
      <c r="F72" s="219" t="inlineStr">
        <is>
          <t>分组作业</t>
        </is>
      </c>
      <c r="G72" s="222" t="inlineStr">
        <is>
          <t>位军浩</t>
        </is>
      </c>
      <c r="H72" s="222" t="inlineStr">
        <is>
          <t>第九班组</t>
        </is>
      </c>
      <c r="I72" s="232" t="inlineStr">
        <is>
          <t>朱家小馆羊杂面</t>
        </is>
      </c>
      <c r="J72" s="503" t="inlineStr">
        <is>
          <t>薛桂中</t>
        </is>
      </c>
      <c r="K72" s="224" t="inlineStr">
        <is>
          <t>/</t>
        </is>
      </c>
      <c r="L72" s="651" t="n">
        <v>960000</v>
      </c>
      <c r="M72" s="22" t="n">
        <v>0.2</v>
      </c>
      <c r="N72" s="224" t="inlineStr">
        <is>
          <t>/</t>
        </is>
      </c>
      <c r="O72" s="224" t="inlineStr">
        <is>
          <t>/</t>
        </is>
      </c>
      <c r="P72" s="59" t="inlineStr">
        <is>
          <t>/</t>
        </is>
      </c>
      <c r="Q72" s="22" t="inlineStr">
        <is>
          <t>/</t>
        </is>
      </c>
      <c r="R72" s="22" t="inlineStr">
        <is>
          <t>/</t>
        </is>
      </c>
      <c r="S72" s="224" t="inlineStr">
        <is>
          <t>/</t>
        </is>
      </c>
      <c r="T72" s="22" t="n">
        <v>0.03</v>
      </c>
      <c r="U72" s="22" t="n">
        <v>0.04</v>
      </c>
      <c r="V72" s="502" t="inlineStr">
        <is>
          <t>/</t>
        </is>
      </c>
      <c r="W72" s="224" t="inlineStr">
        <is>
          <t>50%±3%</t>
        </is>
      </c>
      <c r="X72" s="502" t="inlineStr">
        <is>
          <t>/</t>
        </is>
      </c>
      <c r="Y72" s="502" t="inlineStr">
        <is>
          <t>/</t>
        </is>
      </c>
      <c r="Z72" s="502" t="inlineStr">
        <is>
          <t>/</t>
        </is>
      </c>
      <c r="AA72" s="502" t="inlineStr">
        <is>
          <t>/</t>
        </is>
      </c>
      <c r="AB72" s="22" t="inlineStr">
        <is>
          <t>/</t>
        </is>
      </c>
      <c r="AC72" s="224" t="inlineStr">
        <is>
          <t>/</t>
        </is>
      </c>
      <c r="AD72" s="57" t="inlineStr">
        <is>
          <t>1、装修折旧费：25万/年，分组作业未分摊，服务费已包含</t>
        </is>
      </c>
      <c r="AE72" s="25" t="inlineStr">
        <is>
          <t xml:space="preserve">1、签订期间：2026.3.1-2026.7.31；
2、指标按照全年换算；
</t>
        </is>
      </c>
      <c r="AF72"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73" ht="48" customFormat="1" customHeight="1" s="209">
      <c r="A73" s="219" t="n">
        <v>71</v>
      </c>
      <c r="B73" s="14" t="inlineStr">
        <is>
          <t>KQCY0069</t>
        </is>
      </c>
      <c r="C73" s="221" t="inlineStr">
        <is>
          <t>餐饮二分部</t>
        </is>
      </c>
      <c r="D73" s="221" t="inlineStr">
        <is>
          <t>CF360</t>
        </is>
      </c>
      <c r="E73" s="221" t="inlineStr">
        <is>
          <t>南通师专新校区食堂</t>
        </is>
      </c>
      <c r="F73" s="219" t="inlineStr">
        <is>
          <t>分组作业</t>
        </is>
      </c>
      <c r="G73" s="222" t="inlineStr">
        <is>
          <t>位军浩</t>
        </is>
      </c>
      <c r="H73" s="222" t="inlineStr">
        <is>
          <t>第十班组</t>
        </is>
      </c>
      <c r="I73" s="232" t="inlineStr">
        <is>
          <t>奶茶</t>
        </is>
      </c>
      <c r="J73" s="503" t="inlineStr">
        <is>
          <t>王艳</t>
        </is>
      </c>
      <c r="K73" s="224" t="inlineStr">
        <is>
          <t>/</t>
        </is>
      </c>
      <c r="L73" s="651" t="n">
        <v>480000</v>
      </c>
      <c r="M73" s="22" t="n">
        <v>0.18</v>
      </c>
      <c r="N73" s="224" t="inlineStr">
        <is>
          <t>/</t>
        </is>
      </c>
      <c r="O73" s="224" t="inlineStr">
        <is>
          <t>/</t>
        </is>
      </c>
      <c r="P73" s="59" t="inlineStr">
        <is>
          <t>/</t>
        </is>
      </c>
      <c r="Q73" s="22" t="inlineStr">
        <is>
          <t>/</t>
        </is>
      </c>
      <c r="R73" s="22" t="inlineStr">
        <is>
          <t>/</t>
        </is>
      </c>
      <c r="S73" s="224" t="inlineStr">
        <is>
          <t>/</t>
        </is>
      </c>
      <c r="T73" s="59" t="inlineStr">
        <is>
          <t>/</t>
        </is>
      </c>
      <c r="U73" s="653" t="n"/>
      <c r="V73" s="502" t="inlineStr">
        <is>
          <t>/</t>
        </is>
      </c>
      <c r="W73" s="224" t="inlineStr">
        <is>
          <t>50%±3%</t>
        </is>
      </c>
      <c r="X73" s="502" t="inlineStr">
        <is>
          <t>/</t>
        </is>
      </c>
      <c r="Y73" s="502" t="inlineStr">
        <is>
          <t>/</t>
        </is>
      </c>
      <c r="Z73" s="502" t="inlineStr">
        <is>
          <t>/</t>
        </is>
      </c>
      <c r="AA73" s="502" t="inlineStr">
        <is>
          <t>/</t>
        </is>
      </c>
      <c r="AB73" s="22" t="inlineStr">
        <is>
          <t>/</t>
        </is>
      </c>
      <c r="AC73" s="224" t="inlineStr">
        <is>
          <t>/</t>
        </is>
      </c>
      <c r="AD73" s="57" t="inlineStr">
        <is>
          <t>1、装修折旧费：25万/年，分组作业未分摊，服务费已包含；
2、卫生费：分组作业不在食堂内，未分摊，服务费已包含；</t>
        </is>
      </c>
      <c r="AE73" s="25" t="inlineStr">
        <is>
          <t>1、签订期间：2026.3.1-2026.7.31；
2、指标按照全年换算；</t>
        </is>
      </c>
      <c r="AF73"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74" ht="12" customFormat="1" customHeight="1" s="209">
      <c r="A74" s="219" t="n">
        <v>72</v>
      </c>
      <c r="B74" s="14" t="inlineStr">
        <is>
          <t>KQCY0070</t>
        </is>
      </c>
      <c r="C74" s="221" t="inlineStr">
        <is>
          <t>餐饮二分部</t>
        </is>
      </c>
      <c r="D74" s="221" t="inlineStr">
        <is>
          <t>CF364</t>
        </is>
      </c>
      <c r="E74" s="221" t="inlineStr">
        <is>
          <t>江苏航运思本轩食堂</t>
        </is>
      </c>
      <c r="F74" s="219" t="inlineStr">
        <is>
          <t>自营</t>
        </is>
      </c>
      <c r="G74" s="222" t="inlineStr">
        <is>
          <t>位军浩</t>
        </is>
      </c>
      <c r="H74" s="222" t="inlineStr">
        <is>
          <t>/</t>
        </is>
      </c>
      <c r="I74" s="355" t="inlineStr">
        <is>
          <t>/</t>
        </is>
      </c>
      <c r="J74" s="222" t="inlineStr">
        <is>
          <t>/</t>
        </is>
      </c>
      <c r="K74" s="224" t="inlineStr">
        <is>
          <t>/</t>
        </is>
      </c>
      <c r="L74" s="651" t="inlineStr">
        <is>
          <t>/</t>
        </is>
      </c>
      <c r="M74" s="224" t="inlineStr">
        <is>
          <t>/</t>
        </is>
      </c>
      <c r="N74" s="224" t="inlineStr">
        <is>
          <t>/</t>
        </is>
      </c>
      <c r="O74" s="224" t="inlineStr">
        <is>
          <t>/</t>
        </is>
      </c>
      <c r="P74" s="224" t="inlineStr">
        <is>
          <t>/</t>
        </is>
      </c>
      <c r="Q74" s="224" t="inlineStr">
        <is>
          <t>/</t>
        </is>
      </c>
      <c r="R74" s="224" t="inlineStr">
        <is>
          <t>/</t>
        </is>
      </c>
      <c r="S74" s="224" t="inlineStr">
        <is>
          <t>/</t>
        </is>
      </c>
      <c r="T74" s="224" t="inlineStr">
        <is>
          <t>/</t>
        </is>
      </c>
      <c r="U74" s="224" t="inlineStr">
        <is>
          <t>/</t>
        </is>
      </c>
      <c r="V74" s="224" t="inlineStr">
        <is>
          <t>/</t>
        </is>
      </c>
      <c r="W74" s="44" t="n"/>
      <c r="X74" s="502" t="inlineStr">
        <is>
          <t>/</t>
        </is>
      </c>
      <c r="Y74" s="502" t="inlineStr">
        <is>
          <t>/</t>
        </is>
      </c>
      <c r="Z74" s="502" t="inlineStr">
        <is>
          <t>/</t>
        </is>
      </c>
      <c r="AA74" s="502" t="inlineStr">
        <is>
          <t>/</t>
        </is>
      </c>
      <c r="AB74" s="22" t="n">
        <v>0.05</v>
      </c>
      <c r="AC74" s="224" t="inlineStr">
        <is>
          <t>/</t>
        </is>
      </c>
      <c r="AD74" s="232" t="n"/>
      <c r="AE74" s="25" t="n"/>
      <c r="AF74" s="206" t="n"/>
    </row>
    <row r="75" ht="60" customFormat="1" customHeight="1" s="209">
      <c r="A75" s="219" t="n">
        <v>73</v>
      </c>
      <c r="B75" s="14" t="inlineStr">
        <is>
          <t>KQCY0071</t>
        </is>
      </c>
      <c r="C75" s="221" t="inlineStr">
        <is>
          <t>餐饮二分部</t>
        </is>
      </c>
      <c r="D75" s="221" t="inlineStr">
        <is>
          <t>CF364</t>
        </is>
      </c>
      <c r="E75" s="221" t="inlineStr">
        <is>
          <t>江苏航运思本轩食堂</t>
        </is>
      </c>
      <c r="F75" s="219" t="inlineStr">
        <is>
          <t>分组作业</t>
        </is>
      </c>
      <c r="G75" s="222" t="inlineStr">
        <is>
          <t>位军浩</t>
        </is>
      </c>
      <c r="H75" s="222" t="inlineStr">
        <is>
          <t>第一班组</t>
        </is>
      </c>
      <c r="I75" s="232" t="inlineStr">
        <is>
          <t>快餐</t>
        </is>
      </c>
      <c r="J75" s="503" t="inlineStr">
        <is>
          <t>王瑞连</t>
        </is>
      </c>
      <c r="K75" s="224" t="inlineStr">
        <is>
          <t>/</t>
        </is>
      </c>
      <c r="L75" s="651" t="n">
        <v>1330000</v>
      </c>
      <c r="M75" s="22" t="n">
        <v>0.12</v>
      </c>
      <c r="N75" s="22" t="n">
        <v>0.01</v>
      </c>
      <c r="O75" s="22" t="n"/>
      <c r="P75" s="22" t="n">
        <v>0.01</v>
      </c>
      <c r="Q75" s="22" t="n">
        <v>0.01</v>
      </c>
      <c r="R75" s="22" t="n">
        <v>0.01</v>
      </c>
      <c r="S75" s="22" t="n">
        <v>0.02</v>
      </c>
      <c r="T75" s="22" t="n">
        <v>0.02</v>
      </c>
      <c r="U75" s="22" t="n">
        <v>0.02</v>
      </c>
      <c r="V75" s="224" t="inlineStr">
        <is>
          <t>/</t>
        </is>
      </c>
      <c r="W75" s="224" t="n"/>
      <c r="X75" s="23" t="n">
        <v>0.03</v>
      </c>
      <c r="Y75" s="502" t="inlineStr">
        <is>
          <t>/</t>
        </is>
      </c>
      <c r="Z75" s="224" t="n"/>
      <c r="AA75" s="349" t="inlineStr">
        <is>
          <t>/</t>
        </is>
      </c>
      <c r="AB75" s="22" t="inlineStr">
        <is>
          <t>/</t>
        </is>
      </c>
      <c r="AC75" s="224" t="inlineStr">
        <is>
          <t>/</t>
        </is>
      </c>
      <c r="AD75" s="57"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75" s="25" t="inlineStr">
        <is>
          <t>1、签订期间：2025.9.1-2026.8.31；
2、指标按照全年换算；
3、已撤场（2025年10月）；</t>
        </is>
      </c>
      <c r="AF75" s="206" t="n"/>
    </row>
    <row r="76" ht="60" customFormat="1" customHeight="1" s="209">
      <c r="A76" s="219" t="n">
        <v>74</v>
      </c>
      <c r="B76" s="14" t="inlineStr">
        <is>
          <t>KQCY0072</t>
        </is>
      </c>
      <c r="C76" s="221" t="inlineStr">
        <is>
          <t>餐饮二分部</t>
        </is>
      </c>
      <c r="D76" s="221" t="inlineStr">
        <is>
          <t>CF364</t>
        </is>
      </c>
      <c r="E76" s="221" t="inlineStr">
        <is>
          <t>江苏航运思本轩食堂</t>
        </is>
      </c>
      <c r="F76" s="219" t="inlineStr">
        <is>
          <t>分组作业</t>
        </is>
      </c>
      <c r="G76" s="222" t="inlineStr">
        <is>
          <t>位军浩</t>
        </is>
      </c>
      <c r="H76" s="222" t="inlineStr">
        <is>
          <t>第二班组</t>
        </is>
      </c>
      <c r="I76" s="232" t="inlineStr">
        <is>
          <t>粉丝汤（牛肉、老母鸡、牛杂、拆骨）</t>
        </is>
      </c>
      <c r="J76" s="503" t="inlineStr">
        <is>
          <t>满超</t>
        </is>
      </c>
      <c r="K76" s="224" t="inlineStr">
        <is>
          <t>/</t>
        </is>
      </c>
      <c r="L76" s="651" t="n">
        <v>590000</v>
      </c>
      <c r="M76" s="22" t="n">
        <v>0.12</v>
      </c>
      <c r="N76" s="22" t="n">
        <v>0.01</v>
      </c>
      <c r="O76" s="22" t="n"/>
      <c r="P76" s="22" t="n">
        <v>0.01</v>
      </c>
      <c r="Q76" s="22" t="n">
        <v>0.01</v>
      </c>
      <c r="R76" s="22" t="n">
        <v>0.01</v>
      </c>
      <c r="S76" s="22" t="n">
        <v>0.02</v>
      </c>
      <c r="T76" s="22" t="n"/>
      <c r="U76" s="653" t="n"/>
      <c r="V76" s="224" t="inlineStr">
        <is>
          <t>/</t>
        </is>
      </c>
      <c r="W76" s="224" t="n"/>
      <c r="X76" s="23" t="n">
        <v>0.03</v>
      </c>
      <c r="Y76" s="502" t="inlineStr">
        <is>
          <t>/</t>
        </is>
      </c>
      <c r="Z76" s="224" t="n"/>
      <c r="AA76" s="349" t="inlineStr">
        <is>
          <t>/</t>
        </is>
      </c>
      <c r="AB76" s="22" t="inlineStr">
        <is>
          <t>/</t>
        </is>
      </c>
      <c r="AC76" s="224" t="inlineStr">
        <is>
          <t>/</t>
        </is>
      </c>
      <c r="AD76" s="57"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76" s="25" t="inlineStr">
        <is>
          <t>1、签订期间：2025.9.1-2026.8.31；
2、指标按照全年换算；</t>
        </is>
      </c>
      <c r="AF76" s="206" t="n"/>
    </row>
    <row r="77" ht="60" customFormat="1" customHeight="1" s="209">
      <c r="A77" s="219" t="n">
        <v>75</v>
      </c>
      <c r="B77" s="14" t="inlineStr">
        <is>
          <t>KQCY0073</t>
        </is>
      </c>
      <c r="C77" s="221" t="inlineStr">
        <is>
          <t>餐饮二分部</t>
        </is>
      </c>
      <c r="D77" s="221" t="inlineStr">
        <is>
          <t>CF364</t>
        </is>
      </c>
      <c r="E77" s="221" t="inlineStr">
        <is>
          <t>江苏航运思本轩食堂</t>
        </is>
      </c>
      <c r="F77" s="219" t="inlineStr">
        <is>
          <t>分组作业</t>
        </is>
      </c>
      <c r="G77" s="222" t="inlineStr">
        <is>
          <t>位军浩</t>
        </is>
      </c>
      <c r="H77" s="222" t="inlineStr">
        <is>
          <t>第三班组</t>
        </is>
      </c>
      <c r="I77" s="232" t="inlineStr">
        <is>
          <t>拌饭（鸡腿饭、酸梅鸭饭）</t>
        </is>
      </c>
      <c r="J77" s="503" t="inlineStr">
        <is>
          <t>唐德生</t>
        </is>
      </c>
      <c r="K77" s="224" t="inlineStr">
        <is>
          <t>/</t>
        </is>
      </c>
      <c r="L77" s="651" t="n">
        <v>400000</v>
      </c>
      <c r="M77" s="22" t="n">
        <v>0.12</v>
      </c>
      <c r="N77" s="22" t="n">
        <v>0.01</v>
      </c>
      <c r="O77" s="22" t="n"/>
      <c r="P77" s="22" t="n">
        <v>0.01</v>
      </c>
      <c r="Q77" s="22" t="n">
        <v>0.01</v>
      </c>
      <c r="R77" s="22" t="n">
        <v>0.01</v>
      </c>
      <c r="S77" s="22" t="n">
        <v>0.02</v>
      </c>
      <c r="T77" s="22" t="n">
        <v>0.03</v>
      </c>
      <c r="U77" s="22" t="n">
        <v>0.03</v>
      </c>
      <c r="V77" s="224" t="inlineStr">
        <is>
          <t>/</t>
        </is>
      </c>
      <c r="W77" s="224" t="n"/>
      <c r="X77" s="23" t="n">
        <v>0.03</v>
      </c>
      <c r="Y77" s="502" t="inlineStr">
        <is>
          <t>/</t>
        </is>
      </c>
      <c r="Z77" s="224" t="n"/>
      <c r="AA77" s="349" t="inlineStr">
        <is>
          <t>/</t>
        </is>
      </c>
      <c r="AB77" s="22" t="inlineStr">
        <is>
          <t>/</t>
        </is>
      </c>
      <c r="AC77" s="224" t="inlineStr">
        <is>
          <t>/</t>
        </is>
      </c>
      <c r="AD77"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77" s="25" t="inlineStr">
        <is>
          <t>1、签订期间：2025.9.1-2026.8.31；
2、指标按照全年换算；</t>
        </is>
      </c>
      <c r="AF77" s="206" t="n"/>
    </row>
    <row r="78" ht="60" customFormat="1" customHeight="1" s="209">
      <c r="A78" s="219" t="n">
        <v>76</v>
      </c>
      <c r="B78" s="14" t="inlineStr">
        <is>
          <t>KQCY0074</t>
        </is>
      </c>
      <c r="C78" s="221" t="inlineStr">
        <is>
          <t>餐饮二分部</t>
        </is>
      </c>
      <c r="D78" s="221" t="inlineStr">
        <is>
          <t>CF364</t>
        </is>
      </c>
      <c r="E78" s="221" t="inlineStr">
        <is>
          <t>江苏航运思本轩食堂</t>
        </is>
      </c>
      <c r="F78" s="219" t="inlineStr">
        <is>
          <t>分组作业</t>
        </is>
      </c>
      <c r="G78" s="222" t="inlineStr">
        <is>
          <t>位军浩</t>
        </is>
      </c>
      <c r="H78" s="222" t="inlineStr">
        <is>
          <t>第五班组</t>
        </is>
      </c>
      <c r="I78" s="232" t="inlineStr">
        <is>
          <t>早餐</t>
        </is>
      </c>
      <c r="J78" s="503" t="inlineStr">
        <is>
          <t>潘捷</t>
        </is>
      </c>
      <c r="K78" s="224" t="inlineStr">
        <is>
          <t>/</t>
        </is>
      </c>
      <c r="L78" s="651" t="n">
        <v>240000</v>
      </c>
      <c r="M78" s="22" t="n">
        <v>0.05</v>
      </c>
      <c r="N78" s="22" t="n">
        <v>0.01</v>
      </c>
      <c r="O78" s="22" t="n"/>
      <c r="P78" s="22" t="n">
        <v>0.01</v>
      </c>
      <c r="Q78" s="22" t="n">
        <v>0.01</v>
      </c>
      <c r="R78" s="22" t="n">
        <v>0.01</v>
      </c>
      <c r="S78" s="22" t="n">
        <v>0.01</v>
      </c>
      <c r="T78" s="22" t="n"/>
      <c r="U78" s="653" t="n"/>
      <c r="V78" s="224" t="inlineStr">
        <is>
          <t>/</t>
        </is>
      </c>
      <c r="W78" s="224" t="n"/>
      <c r="X78" s="23" t="n">
        <v>0.03</v>
      </c>
      <c r="Y78" s="502" t="inlineStr">
        <is>
          <t>/</t>
        </is>
      </c>
      <c r="Z78" s="224" t="n"/>
      <c r="AA78" s="349" t="inlineStr">
        <is>
          <t>/</t>
        </is>
      </c>
      <c r="AB78" s="22" t="inlineStr">
        <is>
          <t>/</t>
        </is>
      </c>
      <c r="AC78" s="224" t="inlineStr">
        <is>
          <t>/</t>
        </is>
      </c>
      <c r="AD78"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78" s="25" t="inlineStr">
        <is>
          <t>1、签订期间：2025.9.1-2026.8.31；
2、指标按照全年换算；</t>
        </is>
      </c>
      <c r="AF78" s="206" t="n"/>
    </row>
    <row r="79" ht="60" customFormat="1" customHeight="1" s="209">
      <c r="A79" s="219" t="n">
        <v>77</v>
      </c>
      <c r="B79" s="14" t="inlineStr">
        <is>
          <t>KQCY0075</t>
        </is>
      </c>
      <c r="C79" s="221" t="inlineStr">
        <is>
          <t>餐饮二分部</t>
        </is>
      </c>
      <c r="D79" s="221" t="inlineStr">
        <is>
          <t>CF364</t>
        </is>
      </c>
      <c r="E79" s="221" t="inlineStr">
        <is>
          <t>江苏航运思本轩食堂</t>
        </is>
      </c>
      <c r="F79" s="219" t="inlineStr">
        <is>
          <t>分组作业</t>
        </is>
      </c>
      <c r="G79" s="222" t="inlineStr">
        <is>
          <t>位军浩</t>
        </is>
      </c>
      <c r="H79" s="222" t="inlineStr">
        <is>
          <t>第六班组</t>
        </is>
      </c>
      <c r="I79" s="232" t="inlineStr">
        <is>
          <t>咖喱饭</t>
        </is>
      </c>
      <c r="J79" s="503" t="inlineStr">
        <is>
          <t>余娇</t>
        </is>
      </c>
      <c r="K79" s="224" t="inlineStr">
        <is>
          <t>/</t>
        </is>
      </c>
      <c r="L79" s="651" t="n">
        <v>325000</v>
      </c>
      <c r="M79" s="22" t="n">
        <v>0.12</v>
      </c>
      <c r="N79" s="22" t="n">
        <v>0.01</v>
      </c>
      <c r="O79" s="22" t="n"/>
      <c r="P79" s="22" t="n">
        <v>0.01</v>
      </c>
      <c r="Q79" s="22" t="n">
        <v>0.01</v>
      </c>
      <c r="R79" s="22" t="n">
        <v>0.01</v>
      </c>
      <c r="S79" s="22" t="n">
        <v>0.02</v>
      </c>
      <c r="T79" s="22" t="n"/>
      <c r="U79" s="653" t="n"/>
      <c r="V79" s="224" t="inlineStr">
        <is>
          <t>/</t>
        </is>
      </c>
      <c r="W79" s="224" t="n"/>
      <c r="X79" s="23" t="n">
        <v>0.03</v>
      </c>
      <c r="Y79" s="502" t="inlineStr">
        <is>
          <t>/</t>
        </is>
      </c>
      <c r="Z79" s="224" t="n"/>
      <c r="AA79" s="349" t="inlineStr">
        <is>
          <t>/</t>
        </is>
      </c>
      <c r="AB79" s="22" t="inlineStr">
        <is>
          <t>/</t>
        </is>
      </c>
      <c r="AC79" s="224" t="inlineStr">
        <is>
          <t>/</t>
        </is>
      </c>
      <c r="AD79"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79" s="25" t="inlineStr">
        <is>
          <t>1、签订期间：2025.9.1-2026.8.31；
2、指标按照全年换算；
3、已撤场（2025年12月）；</t>
        </is>
      </c>
      <c r="AF79" s="206" t="n"/>
    </row>
    <row r="80" ht="60" customFormat="1" customHeight="1" s="209">
      <c r="A80" s="219" t="n">
        <v>78</v>
      </c>
      <c r="B80" s="14" t="inlineStr">
        <is>
          <t>KQCY0076</t>
        </is>
      </c>
      <c r="C80" s="221" t="inlineStr">
        <is>
          <t>餐饮二分部</t>
        </is>
      </c>
      <c r="D80" s="221" t="inlineStr">
        <is>
          <t>CF364</t>
        </is>
      </c>
      <c r="E80" s="221" t="inlineStr">
        <is>
          <t>江苏航运思本轩食堂</t>
        </is>
      </c>
      <c r="F80" s="219" t="inlineStr">
        <is>
          <t>分组作业</t>
        </is>
      </c>
      <c r="G80" s="222" t="inlineStr">
        <is>
          <t>位军浩</t>
        </is>
      </c>
      <c r="H80" s="222" t="inlineStr">
        <is>
          <t>第七班组</t>
        </is>
      </c>
      <c r="I80" s="232" t="inlineStr">
        <is>
          <t>锡纸饭</t>
        </is>
      </c>
      <c r="J80" s="503" t="inlineStr">
        <is>
          <t>陈芳</t>
        </is>
      </c>
      <c r="K80" s="224" t="inlineStr">
        <is>
          <t>/</t>
        </is>
      </c>
      <c r="L80" s="651" t="n">
        <v>365000</v>
      </c>
      <c r="M80" s="22" t="n">
        <v>0.12</v>
      </c>
      <c r="N80" s="22" t="n">
        <v>0.01</v>
      </c>
      <c r="O80" s="22" t="n"/>
      <c r="P80" s="22" t="n">
        <v>0.01</v>
      </c>
      <c r="Q80" s="22" t="n">
        <v>0.01</v>
      </c>
      <c r="R80" s="22" t="n">
        <v>0.01</v>
      </c>
      <c r="S80" s="22" t="n">
        <v>0.02</v>
      </c>
      <c r="T80" s="22" t="n"/>
      <c r="U80" s="653" t="n"/>
      <c r="V80" s="224" t="inlineStr">
        <is>
          <t>/</t>
        </is>
      </c>
      <c r="W80" s="224" t="n"/>
      <c r="X80" s="23" t="n">
        <v>0.03</v>
      </c>
      <c r="Y80" s="502" t="inlineStr">
        <is>
          <t>/</t>
        </is>
      </c>
      <c r="Z80" s="224" t="n"/>
      <c r="AA80" s="349" t="inlineStr">
        <is>
          <t>/</t>
        </is>
      </c>
      <c r="AB80" s="22" t="inlineStr">
        <is>
          <t>/</t>
        </is>
      </c>
      <c r="AC80" s="224" t="inlineStr">
        <is>
          <t>/</t>
        </is>
      </c>
      <c r="AD80"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0" s="25" t="inlineStr">
        <is>
          <t>1、签订期间：2025.9.1-2026.8.31；
2、指标按照全年换算；</t>
        </is>
      </c>
      <c r="AF80" s="206" t="n"/>
    </row>
    <row r="81" ht="60" customFormat="1" customHeight="1" s="209">
      <c r="A81" s="219" t="n">
        <v>79</v>
      </c>
      <c r="B81" s="14" t="inlineStr">
        <is>
          <t>KQCY0077</t>
        </is>
      </c>
      <c r="C81" s="221" t="inlineStr">
        <is>
          <t>餐饮二分部</t>
        </is>
      </c>
      <c r="D81" s="221" t="inlineStr">
        <is>
          <t>CF364</t>
        </is>
      </c>
      <c r="E81" s="221" t="inlineStr">
        <is>
          <t>江苏航运思本轩食堂</t>
        </is>
      </c>
      <c r="F81" s="219" t="inlineStr">
        <is>
          <t>分组作业</t>
        </is>
      </c>
      <c r="G81" s="222" t="inlineStr">
        <is>
          <t>位军浩</t>
        </is>
      </c>
      <c r="H81" s="222" t="inlineStr">
        <is>
          <t>第八班组</t>
        </is>
      </c>
      <c r="I81" s="232" t="inlineStr">
        <is>
          <t>生烫米线</t>
        </is>
      </c>
      <c r="J81" s="503" t="inlineStr">
        <is>
          <t>吴建军</t>
        </is>
      </c>
      <c r="K81" s="224" t="inlineStr">
        <is>
          <t>/</t>
        </is>
      </c>
      <c r="L81" s="651" t="n">
        <v>420000</v>
      </c>
      <c r="M81" s="22" t="n">
        <v>0.12</v>
      </c>
      <c r="N81" s="22" t="n">
        <v>0.01</v>
      </c>
      <c r="O81" s="22" t="n"/>
      <c r="P81" s="22" t="n">
        <v>0.01</v>
      </c>
      <c r="Q81" s="22" t="n">
        <v>0.01</v>
      </c>
      <c r="R81" s="22" t="n">
        <v>0.01</v>
      </c>
      <c r="S81" s="22" t="n">
        <v>0.02</v>
      </c>
      <c r="T81" s="22" t="n"/>
      <c r="U81" s="653" t="n"/>
      <c r="V81" s="224" t="inlineStr">
        <is>
          <t>/</t>
        </is>
      </c>
      <c r="W81" s="224" t="n"/>
      <c r="X81" s="23" t="n">
        <v>0.03</v>
      </c>
      <c r="Y81" s="502" t="inlineStr">
        <is>
          <t>/</t>
        </is>
      </c>
      <c r="Z81" s="224" t="n"/>
      <c r="AA81" s="349" t="inlineStr">
        <is>
          <t>/</t>
        </is>
      </c>
      <c r="AB81" s="22" t="inlineStr">
        <is>
          <t>/</t>
        </is>
      </c>
      <c r="AC81" s="224" t="inlineStr">
        <is>
          <t>/</t>
        </is>
      </c>
      <c r="AD81"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1" s="25" t="inlineStr">
        <is>
          <t>1、签订期间：2025.9.1-2026.8.31；
2、指标按照全年换算；
3、已撤场（2025年11月）；</t>
        </is>
      </c>
      <c r="AF81" s="206" t="n"/>
    </row>
    <row r="82" ht="60" customFormat="1" customHeight="1" s="209">
      <c r="A82" s="219" t="n">
        <v>80</v>
      </c>
      <c r="B82" s="14" t="inlineStr">
        <is>
          <t>KQCY0078</t>
        </is>
      </c>
      <c r="C82" s="221" t="inlineStr">
        <is>
          <t>餐饮二分部</t>
        </is>
      </c>
      <c r="D82" s="221" t="inlineStr">
        <is>
          <t>CF364</t>
        </is>
      </c>
      <c r="E82" s="221" t="inlineStr">
        <is>
          <t>江苏航运思本轩食堂</t>
        </is>
      </c>
      <c r="F82" s="219" t="inlineStr">
        <is>
          <t>分组作业</t>
        </is>
      </c>
      <c r="G82" s="222" t="inlineStr">
        <is>
          <t>位军浩</t>
        </is>
      </c>
      <c r="H82" s="222" t="inlineStr">
        <is>
          <t>第九班组</t>
        </is>
      </c>
      <c r="I82" s="232" t="inlineStr">
        <is>
          <t>水饺</t>
        </is>
      </c>
      <c r="J82" s="503" t="inlineStr">
        <is>
          <t>肖阿色</t>
        </is>
      </c>
      <c r="K82" s="224" t="inlineStr">
        <is>
          <t>/</t>
        </is>
      </c>
      <c r="L82" s="651" t="n">
        <v>375000</v>
      </c>
      <c r="M82" s="22" t="n">
        <v>0.12</v>
      </c>
      <c r="N82" s="22" t="n">
        <v>0.01</v>
      </c>
      <c r="O82" s="22" t="n"/>
      <c r="P82" s="22" t="n">
        <v>0.01</v>
      </c>
      <c r="Q82" s="22" t="n">
        <v>0.01</v>
      </c>
      <c r="R82" s="22" t="n">
        <v>0.01</v>
      </c>
      <c r="S82" s="22" t="n">
        <v>0.02</v>
      </c>
      <c r="T82" s="22" t="n"/>
      <c r="U82" s="653" t="n"/>
      <c r="V82" s="224" t="inlineStr">
        <is>
          <t>/</t>
        </is>
      </c>
      <c r="W82" s="224" t="n"/>
      <c r="X82" s="23" t="n">
        <v>0.03</v>
      </c>
      <c r="Y82" s="502" t="inlineStr">
        <is>
          <t>/</t>
        </is>
      </c>
      <c r="Z82" s="224" t="n"/>
      <c r="AA82" s="349" t="inlineStr">
        <is>
          <t>/</t>
        </is>
      </c>
      <c r="AB82" s="22" t="inlineStr">
        <is>
          <t>/</t>
        </is>
      </c>
      <c r="AC82" s="224" t="inlineStr">
        <is>
          <t>/</t>
        </is>
      </c>
      <c r="AD82"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2" s="25" t="inlineStr">
        <is>
          <t>1、签订期间：2025.9.1-2026.8.31；
2、指标按照全年换算；
3、已撤场（2025年10月）；</t>
        </is>
      </c>
      <c r="AF82" s="206" t="n"/>
    </row>
    <row r="83" ht="60" customFormat="1" customHeight="1" s="209">
      <c r="A83" s="219" t="n">
        <v>81</v>
      </c>
      <c r="B83" s="14" t="inlineStr">
        <is>
          <t>KQCY0079</t>
        </is>
      </c>
      <c r="C83" s="221" t="inlineStr">
        <is>
          <t>餐饮二分部</t>
        </is>
      </c>
      <c r="D83" s="221" t="inlineStr">
        <is>
          <t>CF364</t>
        </is>
      </c>
      <c r="E83" s="221" t="inlineStr">
        <is>
          <t>江苏航运思本轩食堂</t>
        </is>
      </c>
      <c r="F83" s="219" t="inlineStr">
        <is>
          <t>分组作业</t>
        </is>
      </c>
      <c r="G83" s="222" t="inlineStr">
        <is>
          <t>位军浩</t>
        </is>
      </c>
      <c r="H83" s="222" t="inlineStr">
        <is>
          <t>第十班组</t>
        </is>
      </c>
      <c r="I83" s="232" t="inlineStr">
        <is>
          <t>烤鸭饭</t>
        </is>
      </c>
      <c r="J83" s="503" t="inlineStr">
        <is>
          <t>蒋继承</t>
        </is>
      </c>
      <c r="K83" s="224" t="inlineStr">
        <is>
          <t>/</t>
        </is>
      </c>
      <c r="L83" s="651" t="n">
        <v>1440000</v>
      </c>
      <c r="M83" s="22" t="n">
        <v>0.12</v>
      </c>
      <c r="N83" s="22" t="n">
        <v>0.01</v>
      </c>
      <c r="O83" s="22" t="n"/>
      <c r="P83" s="22" t="n">
        <v>0.01</v>
      </c>
      <c r="Q83" s="22" t="n">
        <v>0.01</v>
      </c>
      <c r="R83" s="22" t="n">
        <v>0.01</v>
      </c>
      <c r="S83" s="22" t="n">
        <v>0.02</v>
      </c>
      <c r="T83" s="22" t="n">
        <v>0.03</v>
      </c>
      <c r="U83" s="22" t="n">
        <v>0.02</v>
      </c>
      <c r="V83" s="224" t="inlineStr">
        <is>
          <t>/</t>
        </is>
      </c>
      <c r="W83" s="224" t="n"/>
      <c r="X83" s="23" t="n">
        <v>0.03</v>
      </c>
      <c r="Y83" s="502" t="inlineStr">
        <is>
          <t>/</t>
        </is>
      </c>
      <c r="Z83" s="224" t="n"/>
      <c r="AA83" s="349" t="inlineStr">
        <is>
          <t>/</t>
        </is>
      </c>
      <c r="AB83" s="22" t="inlineStr">
        <is>
          <t>/</t>
        </is>
      </c>
      <c r="AC83" s="224" t="inlineStr">
        <is>
          <t>/</t>
        </is>
      </c>
      <c r="AD83"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3" s="25" t="inlineStr">
        <is>
          <t>1、签订期间：2025.9.1-2026.8.31；
2、指标按照全年换算；</t>
        </is>
      </c>
      <c r="AF83" s="206" t="n"/>
    </row>
    <row r="84" ht="60" customFormat="1" customHeight="1" s="209">
      <c r="A84" s="219" t="n">
        <v>82</v>
      </c>
      <c r="B84" s="14" t="inlineStr">
        <is>
          <t>KQCY0080</t>
        </is>
      </c>
      <c r="C84" s="221" t="inlineStr">
        <is>
          <t>餐饮二分部</t>
        </is>
      </c>
      <c r="D84" s="221" t="inlineStr">
        <is>
          <t>CF364</t>
        </is>
      </c>
      <c r="E84" s="221" t="inlineStr">
        <is>
          <t>江苏航运思本轩食堂</t>
        </is>
      </c>
      <c r="F84" s="219" t="inlineStr">
        <is>
          <t>分组作业</t>
        </is>
      </c>
      <c r="G84" s="222" t="inlineStr">
        <is>
          <t>位军浩</t>
        </is>
      </c>
      <c r="H84" s="222" t="inlineStr">
        <is>
          <t>第十一班组</t>
        </is>
      </c>
      <c r="I84" s="232" t="inlineStr">
        <is>
          <t>朱家小馆</t>
        </is>
      </c>
      <c r="J84" s="503" t="inlineStr">
        <is>
          <t>张慧南</t>
        </is>
      </c>
      <c r="K84" s="224" t="inlineStr">
        <is>
          <t>/</t>
        </is>
      </c>
      <c r="L84" s="651" t="n">
        <v>560000</v>
      </c>
      <c r="M84" s="22" t="n">
        <v>0.12</v>
      </c>
      <c r="N84" s="22" t="n">
        <v>0.01</v>
      </c>
      <c r="O84" s="22" t="n"/>
      <c r="P84" s="22" t="n">
        <v>0.01</v>
      </c>
      <c r="Q84" s="22" t="n">
        <v>0.01</v>
      </c>
      <c r="R84" s="22" t="n">
        <v>0.01</v>
      </c>
      <c r="S84" s="22" t="n">
        <v>0.02</v>
      </c>
      <c r="T84" s="22" t="n">
        <v>0.04</v>
      </c>
      <c r="U84" s="22" t="n">
        <v>0.04</v>
      </c>
      <c r="V84" s="224" t="inlineStr">
        <is>
          <t>/</t>
        </is>
      </c>
      <c r="W84" s="224" t="n"/>
      <c r="X84" s="23" t="n">
        <v>0.03</v>
      </c>
      <c r="Y84" s="502" t="inlineStr">
        <is>
          <t>/</t>
        </is>
      </c>
      <c r="Z84" s="224" t="n"/>
      <c r="AA84" s="349" t="inlineStr">
        <is>
          <t>/</t>
        </is>
      </c>
      <c r="AB84" s="22" t="inlineStr">
        <is>
          <t>/</t>
        </is>
      </c>
      <c r="AC84" s="224" t="inlineStr">
        <is>
          <t>/</t>
        </is>
      </c>
      <c r="AD84"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4" s="25" t="inlineStr">
        <is>
          <t>1、签订期间：2025.9.1-2026.8.31；
2、指标按照全年换算；</t>
        </is>
      </c>
      <c r="AF84" s="206" t="n"/>
    </row>
    <row r="85" ht="60" customFormat="1" customHeight="1" s="209">
      <c r="A85" s="219" t="n">
        <v>83</v>
      </c>
      <c r="B85" s="14" t="inlineStr">
        <is>
          <t>KQCY0081</t>
        </is>
      </c>
      <c r="C85" s="221" t="inlineStr">
        <is>
          <t>餐饮二分部</t>
        </is>
      </c>
      <c r="D85" s="221" t="inlineStr">
        <is>
          <t>CF364</t>
        </is>
      </c>
      <c r="E85" s="221" t="inlineStr">
        <is>
          <t>江苏航运思本轩食堂</t>
        </is>
      </c>
      <c r="F85" s="219" t="inlineStr">
        <is>
          <t>分组作业</t>
        </is>
      </c>
      <c r="G85" s="222" t="inlineStr">
        <is>
          <t>位军浩</t>
        </is>
      </c>
      <c r="H85" s="222" t="inlineStr">
        <is>
          <t>第十一班组</t>
        </is>
      </c>
      <c r="I85" s="232" t="inlineStr">
        <is>
          <t>大碗面</t>
        </is>
      </c>
      <c r="J85" s="503" t="inlineStr">
        <is>
          <t>张义丛</t>
        </is>
      </c>
      <c r="K85" s="224" t="inlineStr">
        <is>
          <t>/</t>
        </is>
      </c>
      <c r="L85" s="651" t="n">
        <v>545000</v>
      </c>
      <c r="M85" s="22" t="n">
        <v>0.12</v>
      </c>
      <c r="N85" s="22" t="n">
        <v>0.01</v>
      </c>
      <c r="O85" s="22" t="n"/>
      <c r="P85" s="22" t="n">
        <v>0.01</v>
      </c>
      <c r="Q85" s="22" t="n">
        <v>0.01</v>
      </c>
      <c r="R85" s="22" t="n">
        <v>0.01</v>
      </c>
      <c r="S85" s="22" t="n">
        <v>0.02</v>
      </c>
      <c r="T85" s="22" t="n"/>
      <c r="U85" s="653" t="n"/>
      <c r="V85" s="224" t="inlineStr">
        <is>
          <t>/</t>
        </is>
      </c>
      <c r="W85" s="224" t="n"/>
      <c r="X85" s="23" t="n">
        <v>0.03</v>
      </c>
      <c r="Y85" s="502" t="inlineStr">
        <is>
          <t>/</t>
        </is>
      </c>
      <c r="Z85" s="224" t="n"/>
      <c r="AA85" s="349" t="inlineStr">
        <is>
          <t>/</t>
        </is>
      </c>
      <c r="AB85" s="22" t="inlineStr">
        <is>
          <t>/</t>
        </is>
      </c>
      <c r="AC85" s="224" t="inlineStr">
        <is>
          <t>/</t>
        </is>
      </c>
      <c r="AD85"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5" s="25" t="inlineStr">
        <is>
          <t>1、签订期间：2025.9.1-2026.8.31；
2、指标按照全年换算；
3、已撤场（2026年1月）；</t>
        </is>
      </c>
      <c r="AF85" s="206" t="n"/>
    </row>
    <row r="86" ht="60" customFormat="1" customHeight="1" s="209">
      <c r="A86" s="219" t="n">
        <v>84</v>
      </c>
      <c r="B86" s="14" t="inlineStr">
        <is>
          <t>KQCY0082</t>
        </is>
      </c>
      <c r="C86" s="221" t="inlineStr">
        <is>
          <t>餐饮二分部</t>
        </is>
      </c>
      <c r="D86" s="221" t="inlineStr">
        <is>
          <t>CF364</t>
        </is>
      </c>
      <c r="E86" s="221" t="inlineStr">
        <is>
          <t>江苏航运思本轩食堂</t>
        </is>
      </c>
      <c r="F86" s="219" t="inlineStr">
        <is>
          <t>分组作业</t>
        </is>
      </c>
      <c r="G86" s="222" t="inlineStr">
        <is>
          <t>位军浩</t>
        </is>
      </c>
      <c r="H86" s="222" t="inlineStr">
        <is>
          <t>第十二班组</t>
        </is>
      </c>
      <c r="I86" s="232" t="inlineStr">
        <is>
          <t>闽韩咸饭</t>
        </is>
      </c>
      <c r="J86" s="503" t="inlineStr">
        <is>
          <t>王冬</t>
        </is>
      </c>
      <c r="K86" s="224" t="inlineStr">
        <is>
          <t>/</t>
        </is>
      </c>
      <c r="L86" s="651" t="n">
        <v>395000</v>
      </c>
      <c r="M86" s="22" t="n">
        <v>0.12</v>
      </c>
      <c r="N86" s="22" t="n">
        <v>0.01</v>
      </c>
      <c r="O86" s="22" t="n"/>
      <c r="P86" s="22" t="n">
        <v>0.01</v>
      </c>
      <c r="Q86" s="22" t="n">
        <v>0.01</v>
      </c>
      <c r="R86" s="22" t="n">
        <v>0.01</v>
      </c>
      <c r="S86" s="22" t="n">
        <v>0.02</v>
      </c>
      <c r="T86" s="22" t="n"/>
      <c r="U86" s="653" t="n"/>
      <c r="V86" s="224" t="inlineStr">
        <is>
          <t>/</t>
        </is>
      </c>
      <c r="W86" s="224" t="n"/>
      <c r="X86" s="23" t="n">
        <v>0.03</v>
      </c>
      <c r="Y86" s="502" t="inlineStr">
        <is>
          <t>/</t>
        </is>
      </c>
      <c r="Z86" s="224" t="n"/>
      <c r="AA86" s="349" t="inlineStr">
        <is>
          <t>/</t>
        </is>
      </c>
      <c r="AB86" s="22" t="inlineStr">
        <is>
          <t>/</t>
        </is>
      </c>
      <c r="AC86" s="224" t="inlineStr">
        <is>
          <t>/</t>
        </is>
      </c>
      <c r="AD86"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6" s="25" t="inlineStr">
        <is>
          <t>1、签订期间：2025.9.1-2026.8.31；
2、指标按照全年换算；
3、已撤场（2025年11月）；</t>
        </is>
      </c>
      <c r="AF86" s="206" t="n"/>
    </row>
    <row r="87" ht="60" customFormat="1" customHeight="1" s="209">
      <c r="A87" s="219" t="n">
        <v>85</v>
      </c>
      <c r="B87" s="14" t="inlineStr">
        <is>
          <t>KQCY0083</t>
        </is>
      </c>
      <c r="C87" s="221" t="inlineStr">
        <is>
          <t>餐饮二分部</t>
        </is>
      </c>
      <c r="D87" s="221" t="inlineStr">
        <is>
          <t>CF364</t>
        </is>
      </c>
      <c r="E87" s="221" t="inlineStr">
        <is>
          <t>江苏航运思本轩食堂</t>
        </is>
      </c>
      <c r="F87" s="219" t="inlineStr">
        <is>
          <t>分组作业</t>
        </is>
      </c>
      <c r="G87" s="222" t="inlineStr">
        <is>
          <t>位军浩</t>
        </is>
      </c>
      <c r="H87" s="222" t="inlineStr">
        <is>
          <t>第十三班组</t>
        </is>
      </c>
      <c r="I87" s="232" t="inlineStr">
        <is>
          <t>张亮麻辣烫</t>
        </is>
      </c>
      <c r="J87" s="503" t="inlineStr">
        <is>
          <t>杨爱兵</t>
        </is>
      </c>
      <c r="K87" s="224" t="inlineStr">
        <is>
          <t>/</t>
        </is>
      </c>
      <c r="L87" s="651" t="n">
        <v>585000</v>
      </c>
      <c r="M87" s="22" t="n">
        <v>0.12</v>
      </c>
      <c r="N87" s="22" t="n">
        <v>0.01</v>
      </c>
      <c r="O87" s="22" t="n"/>
      <c r="P87" s="22" t="n">
        <v>0.01</v>
      </c>
      <c r="Q87" s="22" t="n">
        <v>0.01</v>
      </c>
      <c r="R87" s="22" t="n">
        <v>0.01</v>
      </c>
      <c r="S87" s="22" t="n">
        <v>0.02</v>
      </c>
      <c r="T87" s="22" t="n"/>
      <c r="U87" s="653" t="n"/>
      <c r="V87" s="224" t="inlineStr">
        <is>
          <t>/</t>
        </is>
      </c>
      <c r="W87" s="224" t="n"/>
      <c r="X87" s="23" t="n">
        <v>0.03</v>
      </c>
      <c r="Y87" s="502" t="inlineStr">
        <is>
          <t>/</t>
        </is>
      </c>
      <c r="Z87" s="224" t="n"/>
      <c r="AA87" s="349" t="inlineStr">
        <is>
          <t>/</t>
        </is>
      </c>
      <c r="AB87" s="22" t="inlineStr">
        <is>
          <t>/</t>
        </is>
      </c>
      <c r="AC87" s="224" t="inlineStr">
        <is>
          <t>/</t>
        </is>
      </c>
      <c r="AD87"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7" s="25" t="inlineStr">
        <is>
          <t>1、签订期间：2025.9.1-2026.8.31；
2、指标按照全年换算；
3、已撤场（2025年10月）；</t>
        </is>
      </c>
      <c r="AF87" s="206" t="n"/>
    </row>
    <row r="88" ht="12" customFormat="1" customHeight="1" s="209">
      <c r="A88" s="219" t="n">
        <v>86</v>
      </c>
      <c r="B88" s="535" t="n"/>
      <c r="C88" s="221" t="inlineStr">
        <is>
          <t>餐饮二分部</t>
        </is>
      </c>
      <c r="D88" s="221" t="inlineStr">
        <is>
          <t>CF363</t>
        </is>
      </c>
      <c r="E88" s="221" t="inlineStr">
        <is>
          <t>南通大学启东校区</t>
        </is>
      </c>
      <c r="F88" s="335" t="inlineStr">
        <is>
          <t>自营</t>
        </is>
      </c>
      <c r="G88" s="222" t="inlineStr">
        <is>
          <t>位军浩</t>
        </is>
      </c>
      <c r="H88" s="243" t="inlineStr">
        <is>
          <t>/</t>
        </is>
      </c>
      <c r="I88" s="243" t="inlineStr">
        <is>
          <t>/</t>
        </is>
      </c>
      <c r="J88" s="243" t="inlineStr">
        <is>
          <t>/</t>
        </is>
      </c>
      <c r="K88" s="349" t="inlineStr">
        <is>
          <t>/</t>
        </is>
      </c>
      <c r="L88" s="651" t="inlineStr">
        <is>
          <t>/</t>
        </is>
      </c>
      <c r="M88" s="657" t="inlineStr">
        <is>
          <t>/</t>
        </is>
      </c>
      <c r="N88" s="47" t="n"/>
      <c r="O88" s="349" t="inlineStr">
        <is>
          <t>/</t>
        </is>
      </c>
      <c r="P88" s="349" t="inlineStr">
        <is>
          <t>/</t>
        </is>
      </c>
      <c r="Q88" s="349" t="inlineStr">
        <is>
          <t>/</t>
        </is>
      </c>
      <c r="R88" s="47" t="n"/>
      <c r="S88" s="47" t="n"/>
      <c r="T88" s="47" t="n"/>
      <c r="U88" s="47" t="n"/>
      <c r="V88" s="47" t="n"/>
      <c r="W88" s="47" t="n"/>
      <c r="X88" s="23" t="n">
        <v>0.13</v>
      </c>
      <c r="Y88" s="106" t="n"/>
      <c r="Z88" s="349" t="inlineStr">
        <is>
          <t>/</t>
        </is>
      </c>
      <c r="AA88" s="349" t="inlineStr">
        <is>
          <t>/</t>
        </is>
      </c>
      <c r="AB88" s="107" t="n">
        <v>0.05</v>
      </c>
      <c r="AC88" s="349" t="inlineStr">
        <is>
          <t>/</t>
        </is>
      </c>
      <c r="AD88" s="57" t="inlineStr">
        <is>
          <t>1、自营未实际经营；</t>
        </is>
      </c>
      <c r="AE88" s="25" t="n"/>
      <c r="AF88" s="206" t="n"/>
    </row>
    <row r="89" ht="36" customFormat="1" customHeight="1" s="209">
      <c r="A89" s="219" t="n">
        <v>87</v>
      </c>
      <c r="B89" s="14" t="inlineStr">
        <is>
          <t>KQCY0084</t>
        </is>
      </c>
      <c r="C89" s="221" t="inlineStr">
        <is>
          <t>餐饮二分部</t>
        </is>
      </c>
      <c r="D89" s="221" t="inlineStr">
        <is>
          <t>CF363</t>
        </is>
      </c>
      <c r="E89" s="221" t="inlineStr">
        <is>
          <t>南通大学启东校区</t>
        </is>
      </c>
      <c r="F89" s="219" t="inlineStr">
        <is>
          <t>分组作业</t>
        </is>
      </c>
      <c r="G89" s="222" t="inlineStr">
        <is>
          <t>位军浩</t>
        </is>
      </c>
      <c r="H89" s="222" t="inlineStr">
        <is>
          <t>第一班组</t>
        </is>
      </c>
      <c r="I89" s="355" t="inlineStr">
        <is>
          <t>基本大伙</t>
        </is>
      </c>
      <c r="J89" s="503" t="inlineStr">
        <is>
          <t>朱寿凤</t>
        </is>
      </c>
      <c r="K89" s="224" t="inlineStr">
        <is>
          <t>/</t>
        </is>
      </c>
      <c r="L89" s="651" t="n">
        <v>2400000</v>
      </c>
      <c r="M89" s="22" t="n">
        <v>0.18</v>
      </c>
      <c r="N89" s="224" t="inlineStr">
        <is>
          <t>/</t>
        </is>
      </c>
      <c r="O89" s="224" t="inlineStr">
        <is>
          <t>/</t>
        </is>
      </c>
      <c r="P89" s="22" t="inlineStr">
        <is>
          <t>/</t>
        </is>
      </c>
      <c r="Q89" s="22" t="inlineStr">
        <is>
          <t>/</t>
        </is>
      </c>
      <c r="R89" s="22" t="n"/>
      <c r="S89" s="658" t="n">
        <v>500</v>
      </c>
      <c r="T89" s="22" t="n">
        <v>0.03</v>
      </c>
      <c r="U89" s="22" t="n">
        <v>0.04</v>
      </c>
      <c r="V89" s="224" t="inlineStr">
        <is>
          <t>/</t>
        </is>
      </c>
      <c r="W89" s="224" t="n">
        <v>0.5</v>
      </c>
      <c r="X89" s="23" t="n">
        <v>0.13</v>
      </c>
      <c r="Y89" s="502" t="inlineStr">
        <is>
          <t>/</t>
        </is>
      </c>
      <c r="Z89" s="502" t="inlineStr">
        <is>
          <t>/</t>
        </is>
      </c>
      <c r="AA89" s="502" t="inlineStr">
        <is>
          <t>/</t>
        </is>
      </c>
      <c r="AB89" s="22" t="inlineStr">
        <is>
          <t>/</t>
        </is>
      </c>
      <c r="AC89" s="224" t="inlineStr">
        <is>
          <t>/</t>
        </is>
      </c>
      <c r="AD89" s="104" t="inlineStr">
        <is>
          <t>1、甲方管理费：校方按营业额比例13%收取，分组作业应分摊未分摊，已补分摊，服务费比例应做相应调整；</t>
        </is>
      </c>
      <c r="AE89" s="25" t="inlineStr">
        <is>
          <t>1、签订期间：2025.9.1-2026.8.31；
2、指标按照全年换算；</t>
        </is>
      </c>
      <c r="AF89" s="232" t="inlineStr">
        <is>
          <t>1、条款：班组严格按照所报备的原料比例执行，具体如下:50%营业额，月度结算时若未达到所报比例，按以上比例结算。
问题：目前未按约定执行，待明确；</t>
        </is>
      </c>
    </row>
    <row r="90" ht="36" customFormat="1" customHeight="1" s="209">
      <c r="A90" s="219" t="n">
        <v>88</v>
      </c>
      <c r="B90" s="14" t="inlineStr">
        <is>
          <t>KQCY0085</t>
        </is>
      </c>
      <c r="C90" s="221" t="inlineStr">
        <is>
          <t>餐饮二分部</t>
        </is>
      </c>
      <c r="D90" s="221" t="inlineStr">
        <is>
          <t>CF363</t>
        </is>
      </c>
      <c r="E90" s="221" t="inlineStr">
        <is>
          <t>南通大学启东校区</t>
        </is>
      </c>
      <c r="F90" s="219" t="inlineStr">
        <is>
          <t>分组作业</t>
        </is>
      </c>
      <c r="G90" s="222" t="inlineStr">
        <is>
          <t>位军浩</t>
        </is>
      </c>
      <c r="H90" s="222" t="inlineStr">
        <is>
          <t>第二班组</t>
        </is>
      </c>
      <c r="I90" s="355" t="inlineStr">
        <is>
          <t>自选称重</t>
        </is>
      </c>
      <c r="J90" s="503" t="inlineStr">
        <is>
          <t>朱寿凤</t>
        </is>
      </c>
      <c r="K90" s="224" t="inlineStr">
        <is>
          <t>/</t>
        </is>
      </c>
      <c r="L90" s="651" t="n">
        <v>1400000</v>
      </c>
      <c r="M90" s="22" t="n">
        <v>0.19</v>
      </c>
      <c r="N90" s="224" t="inlineStr">
        <is>
          <t>/</t>
        </is>
      </c>
      <c r="O90" s="224" t="inlineStr">
        <is>
          <t>/</t>
        </is>
      </c>
      <c r="P90" s="22" t="inlineStr">
        <is>
          <t>/</t>
        </is>
      </c>
      <c r="Q90" s="22" t="inlineStr">
        <is>
          <t>/</t>
        </is>
      </c>
      <c r="R90" s="22" t="n"/>
      <c r="S90" s="658" t="n">
        <v>500</v>
      </c>
      <c r="T90" s="22" t="n">
        <v>0.03</v>
      </c>
      <c r="U90" s="22" t="n">
        <v>0.04</v>
      </c>
      <c r="V90" s="224" t="inlineStr">
        <is>
          <t>/</t>
        </is>
      </c>
      <c r="W90" s="224" t="n">
        <v>0.5</v>
      </c>
      <c r="X90" s="23" t="n">
        <v>0.13</v>
      </c>
      <c r="Y90" s="502" t="inlineStr">
        <is>
          <t>/</t>
        </is>
      </c>
      <c r="Z90" s="502" t="inlineStr">
        <is>
          <t>/</t>
        </is>
      </c>
      <c r="AA90" s="502" t="inlineStr">
        <is>
          <t>/</t>
        </is>
      </c>
      <c r="AB90" s="109" t="inlineStr">
        <is>
          <t>/</t>
        </is>
      </c>
      <c r="AC90" s="224" t="inlineStr">
        <is>
          <t>/</t>
        </is>
      </c>
      <c r="AD90" s="104" t="inlineStr">
        <is>
          <t>1、甲方管理费：校方按营业额比例13%收取，分组作业应分摊未分摊，已补分摊，服务费比例应做相应调整；</t>
        </is>
      </c>
      <c r="AE90" s="25" t="inlineStr">
        <is>
          <t>1、签订期间：2025.9.1-2026.8.31；
2、指标按照全年换算；</t>
        </is>
      </c>
      <c r="AF90" s="232" t="inlineStr">
        <is>
          <t>1、条款：班组严格按照所报备的原料比例执行，具体如下:50%营业额，月度结算时若未达到所报比例，按以上比例结算。
问题：目前未按约定执行，待明确；</t>
        </is>
      </c>
    </row>
    <row r="91" ht="36" customFormat="1" customHeight="1" s="209">
      <c r="A91" s="219" t="n">
        <v>89</v>
      </c>
      <c r="B91" s="14" t="inlineStr">
        <is>
          <t>KQCY0086</t>
        </is>
      </c>
      <c r="C91" s="221" t="inlineStr">
        <is>
          <t>餐饮二分部</t>
        </is>
      </c>
      <c r="D91" s="221" t="inlineStr">
        <is>
          <t>CF363</t>
        </is>
      </c>
      <c r="E91" s="221" t="inlineStr">
        <is>
          <t>南通大学启东校区</t>
        </is>
      </c>
      <c r="F91" s="219" t="inlineStr">
        <is>
          <t>分组作业</t>
        </is>
      </c>
      <c r="G91" s="222" t="inlineStr">
        <is>
          <t>位军浩</t>
        </is>
      </c>
      <c r="H91" s="222" t="inlineStr">
        <is>
          <t>第三班组</t>
        </is>
      </c>
      <c r="I91" s="355" t="inlineStr">
        <is>
          <t>中式早点</t>
        </is>
      </c>
      <c r="J91" s="503" t="inlineStr">
        <is>
          <t>王正明</t>
        </is>
      </c>
      <c r="K91" s="224" t="inlineStr">
        <is>
          <t>/</t>
        </is>
      </c>
      <c r="L91" s="651" t="n">
        <v>2000000</v>
      </c>
      <c r="M91" s="22" t="n">
        <v>0.21</v>
      </c>
      <c r="N91" s="224" t="inlineStr">
        <is>
          <t>/</t>
        </is>
      </c>
      <c r="O91" s="224" t="inlineStr">
        <is>
          <t>/</t>
        </is>
      </c>
      <c r="P91" s="22" t="inlineStr">
        <is>
          <t>/</t>
        </is>
      </c>
      <c r="Q91" s="22" t="inlineStr">
        <is>
          <t>/</t>
        </is>
      </c>
      <c r="R91" s="22" t="n"/>
      <c r="S91" s="658" t="n">
        <v>500</v>
      </c>
      <c r="T91" s="22" t="n">
        <v>0.03</v>
      </c>
      <c r="U91" s="22" t="n">
        <v>0.04</v>
      </c>
      <c r="V91" s="224" t="inlineStr">
        <is>
          <t>/</t>
        </is>
      </c>
      <c r="W91" s="224" t="n">
        <v>0.5</v>
      </c>
      <c r="X91" s="23" t="n">
        <v>0.13</v>
      </c>
      <c r="Y91" s="502" t="inlineStr">
        <is>
          <t>/</t>
        </is>
      </c>
      <c r="Z91" s="502" t="inlineStr">
        <is>
          <t>/</t>
        </is>
      </c>
      <c r="AA91" s="492" t="inlineStr">
        <is>
          <t>/</t>
        </is>
      </c>
      <c r="AB91" s="102" t="inlineStr">
        <is>
          <t>/</t>
        </is>
      </c>
      <c r="AC91" s="111" t="inlineStr">
        <is>
          <t>/</t>
        </is>
      </c>
      <c r="AD91" s="57" t="inlineStr">
        <is>
          <t>1、甲方管理费：校方按营业额比例13%收取，分组作业应分摊未分摊，已补分摊，服务费比例应做相应调整；</t>
        </is>
      </c>
      <c r="AE91" s="25" t="inlineStr">
        <is>
          <t>1、签订期间：2025.9.1-2026.8.31；
2、指标按照全年换算；</t>
        </is>
      </c>
      <c r="AF91" s="232" t="inlineStr">
        <is>
          <t>1、条款：班组严格按照所报备的原料比例执行，具体如下:50%营业额，月度结算时若未达到所报比例，按以上比例结算。
问题：目前未按约定执行，待明确；</t>
        </is>
      </c>
    </row>
    <row r="92" ht="36" customFormat="1" customHeight="1" s="209">
      <c r="A92" s="219" t="n">
        <v>90</v>
      </c>
      <c r="B92" s="14" t="inlineStr">
        <is>
          <t>KQCY0087</t>
        </is>
      </c>
      <c r="C92" s="221" t="inlineStr">
        <is>
          <t>餐饮二分部</t>
        </is>
      </c>
      <c r="D92" s="221" t="inlineStr">
        <is>
          <t>CF363</t>
        </is>
      </c>
      <c r="E92" s="221" t="inlineStr">
        <is>
          <t>南通大学启东校区</t>
        </is>
      </c>
      <c r="F92" s="219" t="inlineStr">
        <is>
          <t>分组作业</t>
        </is>
      </c>
      <c r="G92" s="222" t="inlineStr">
        <is>
          <t>位军浩</t>
        </is>
      </c>
      <c r="H92" s="222" t="inlineStr">
        <is>
          <t>第四班组</t>
        </is>
      </c>
      <c r="I92" s="355" t="inlineStr">
        <is>
          <t>黄焖鸡酸菜鱼</t>
        </is>
      </c>
      <c r="J92" s="503" t="inlineStr">
        <is>
          <t>金健华</t>
        </is>
      </c>
      <c r="K92" s="224" t="inlineStr">
        <is>
          <t>/</t>
        </is>
      </c>
      <c r="L92" s="651" t="n">
        <v>1080000</v>
      </c>
      <c r="M92" s="22" t="n">
        <v>0.2</v>
      </c>
      <c r="N92" s="224" t="inlineStr">
        <is>
          <t>/</t>
        </is>
      </c>
      <c r="O92" s="224" t="inlineStr">
        <is>
          <t>/</t>
        </is>
      </c>
      <c r="P92" s="22" t="inlineStr">
        <is>
          <t>/</t>
        </is>
      </c>
      <c r="Q92" s="22" t="inlineStr">
        <is>
          <t>/</t>
        </is>
      </c>
      <c r="R92" s="22" t="n"/>
      <c r="S92" s="658" t="n">
        <v>500</v>
      </c>
      <c r="T92" s="22" t="n">
        <v>0.03</v>
      </c>
      <c r="U92" s="22" t="n">
        <v>0.04</v>
      </c>
      <c r="V92" s="224" t="inlineStr">
        <is>
          <t>/</t>
        </is>
      </c>
      <c r="W92" s="224" t="n">
        <v>0.5</v>
      </c>
      <c r="X92" s="23" t="n">
        <v>0.13</v>
      </c>
      <c r="Y92" s="502" t="inlineStr">
        <is>
          <t>/</t>
        </is>
      </c>
      <c r="Z92" s="502" t="inlineStr">
        <is>
          <t>/</t>
        </is>
      </c>
      <c r="AA92" s="502" t="inlineStr">
        <is>
          <t>/</t>
        </is>
      </c>
      <c r="AB92" s="112" t="inlineStr">
        <is>
          <t>/</t>
        </is>
      </c>
      <c r="AC92" s="224" t="inlineStr">
        <is>
          <t>/</t>
        </is>
      </c>
      <c r="AD92" s="57" t="inlineStr">
        <is>
          <t>1、甲方管理费：校方按营业额比例13%收取，分组作业应分摊未分摊，已补分摊，服务费比例应做相应调整；</t>
        </is>
      </c>
      <c r="AE92" s="25" t="inlineStr">
        <is>
          <t>1、签订期间：2025.9.1-2026.8.31；
2、指标按照全年换算；</t>
        </is>
      </c>
      <c r="AF92" s="232" t="inlineStr">
        <is>
          <t>1、条款：班组严格按照所报备的原料比例执行，具体如下:50%营业额，月度结算时若未达到所报比例，按以上比例结算。
问题：目前未按约定执行，待明确；</t>
        </is>
      </c>
    </row>
    <row r="93" ht="36" customFormat="1" customHeight="1" s="209">
      <c r="A93" s="219" t="n">
        <v>91</v>
      </c>
      <c r="B93" s="14" t="inlineStr">
        <is>
          <t>KQCY0088</t>
        </is>
      </c>
      <c r="C93" s="221" t="inlineStr">
        <is>
          <t>餐饮二分部</t>
        </is>
      </c>
      <c r="D93" s="221" t="inlineStr">
        <is>
          <t>CF363</t>
        </is>
      </c>
      <c r="E93" s="221" t="inlineStr">
        <is>
          <t>南通大学启东校区</t>
        </is>
      </c>
      <c r="F93" s="219" t="inlineStr">
        <is>
          <t>分组作业</t>
        </is>
      </c>
      <c r="G93" s="222" t="inlineStr">
        <is>
          <t>位军浩</t>
        </is>
      </c>
      <c r="H93" s="222" t="inlineStr">
        <is>
          <t>第五班组</t>
        </is>
      </c>
      <c r="I93" s="355" t="inlineStr">
        <is>
          <t>卤肉饭套餐</t>
        </is>
      </c>
      <c r="J93" s="503" t="inlineStr">
        <is>
          <t>金健华</t>
        </is>
      </c>
      <c r="K93" s="224" t="inlineStr">
        <is>
          <t>/</t>
        </is>
      </c>
      <c r="L93" s="651" t="n">
        <v>920000</v>
      </c>
      <c r="M93" s="22" t="n">
        <v>0.2</v>
      </c>
      <c r="N93" s="224" t="inlineStr">
        <is>
          <t>/</t>
        </is>
      </c>
      <c r="O93" s="224" t="inlineStr">
        <is>
          <t>/</t>
        </is>
      </c>
      <c r="P93" s="22" t="inlineStr">
        <is>
          <t>/</t>
        </is>
      </c>
      <c r="Q93" s="22" t="inlineStr">
        <is>
          <t>/</t>
        </is>
      </c>
      <c r="R93" s="22" t="n"/>
      <c r="S93" s="658" t="n">
        <v>500</v>
      </c>
      <c r="T93" s="22" t="n">
        <v>0.03</v>
      </c>
      <c r="U93" s="22" t="n">
        <v>0.04</v>
      </c>
      <c r="V93" s="224" t="inlineStr">
        <is>
          <t>/</t>
        </is>
      </c>
      <c r="W93" s="224" t="n">
        <v>0.5</v>
      </c>
      <c r="X93" s="23" t="n">
        <v>0.13</v>
      </c>
      <c r="Y93" s="502" t="inlineStr">
        <is>
          <t>/</t>
        </is>
      </c>
      <c r="Z93" s="502" t="inlineStr">
        <is>
          <t>/</t>
        </is>
      </c>
      <c r="AA93" s="502" t="inlineStr">
        <is>
          <t>/</t>
        </is>
      </c>
      <c r="AB93" s="22" t="inlineStr">
        <is>
          <t>/</t>
        </is>
      </c>
      <c r="AC93" s="224" t="inlineStr">
        <is>
          <t>/</t>
        </is>
      </c>
      <c r="AD93" s="57" t="inlineStr">
        <is>
          <t>1、甲方管理费：校方按营业额比例13%收取，分组作业应分摊未分摊，已补分摊，服务费比例应做相应调整；</t>
        </is>
      </c>
      <c r="AE93" s="25" t="inlineStr">
        <is>
          <t>1、签订期间：2025.9.1-2026.8.31；
2、指标按照全年换算；</t>
        </is>
      </c>
      <c r="AF93" s="232" t="inlineStr">
        <is>
          <t>1、条款：班组严格按照所报备的原料比例执行，具体如下:50%营业额，月度结算时若未达到所报比例，按以上比例结算。
问题：目前未按约定执行，待明确；</t>
        </is>
      </c>
    </row>
    <row r="94" ht="36" customFormat="1" customHeight="1" s="209">
      <c r="A94" s="219" t="n">
        <v>92</v>
      </c>
      <c r="B94" s="14" t="inlineStr">
        <is>
          <t>KQCY0089</t>
        </is>
      </c>
      <c r="C94" s="221" t="inlineStr">
        <is>
          <t>餐饮二分部</t>
        </is>
      </c>
      <c r="D94" s="221" t="inlineStr">
        <is>
          <t>CF363</t>
        </is>
      </c>
      <c r="E94" s="221" t="inlineStr">
        <is>
          <t>南通大学启东校区</t>
        </is>
      </c>
      <c r="F94" s="219" t="inlineStr">
        <is>
          <t>分组作业</t>
        </is>
      </c>
      <c r="G94" s="222" t="inlineStr">
        <is>
          <t>位军浩</t>
        </is>
      </c>
      <c r="H94" s="222" t="inlineStr">
        <is>
          <t>第六班组</t>
        </is>
      </c>
      <c r="I94" s="355" t="inlineStr">
        <is>
          <t>营养粥杂粮煎饼</t>
        </is>
      </c>
      <c r="J94" s="503" t="inlineStr">
        <is>
          <t>邵国才</t>
        </is>
      </c>
      <c r="K94" s="224" t="inlineStr">
        <is>
          <t>/</t>
        </is>
      </c>
      <c r="L94" s="651" t="n">
        <v>720000</v>
      </c>
      <c r="M94" s="22" t="n">
        <v>0.23</v>
      </c>
      <c r="N94" s="224" t="inlineStr">
        <is>
          <t>/</t>
        </is>
      </c>
      <c r="O94" s="224" t="inlineStr">
        <is>
          <t>/</t>
        </is>
      </c>
      <c r="P94" s="22" t="inlineStr">
        <is>
          <t>/</t>
        </is>
      </c>
      <c r="Q94" s="22" t="inlineStr">
        <is>
          <t>/</t>
        </is>
      </c>
      <c r="R94" s="22" t="n"/>
      <c r="S94" s="658" t="n">
        <v>500</v>
      </c>
      <c r="T94" s="22" t="n">
        <v>0.03</v>
      </c>
      <c r="U94" s="22" t="n">
        <v>0.04</v>
      </c>
      <c r="V94" s="224" t="inlineStr">
        <is>
          <t>/</t>
        </is>
      </c>
      <c r="W94" s="224" t="n">
        <v>0.5</v>
      </c>
      <c r="X94" s="23" t="n">
        <v>0.13</v>
      </c>
      <c r="Y94" s="502" t="inlineStr">
        <is>
          <t>/</t>
        </is>
      </c>
      <c r="Z94" s="502" t="inlineStr">
        <is>
          <t>/</t>
        </is>
      </c>
      <c r="AA94" s="502" t="inlineStr">
        <is>
          <t>/</t>
        </is>
      </c>
      <c r="AB94" s="22" t="inlineStr">
        <is>
          <t>/</t>
        </is>
      </c>
      <c r="AC94" s="224" t="inlineStr">
        <is>
          <t>/</t>
        </is>
      </c>
      <c r="AD94" s="57" t="inlineStr">
        <is>
          <t>1、甲方管理费：校方按营业额比例13%收取，分组作业应分摊未分摊，已补分摊，服务费比例应做相应调整；</t>
        </is>
      </c>
      <c r="AE94" s="25" t="inlineStr">
        <is>
          <t>1、签订期间：2025.9.1-2026.8.31；
2、指标按照全年换算；</t>
        </is>
      </c>
      <c r="AF94" s="232" t="inlineStr">
        <is>
          <t>1、条款：班组严格按照所报备的原料比例执行，具体如下:50%营业额，月度结算时若未达到所报比例，按以上比例结算。
问题：目前未按约定执行，待明确；</t>
        </is>
      </c>
    </row>
    <row r="95" ht="36" customFormat="1" customHeight="1" s="209">
      <c r="A95" s="219" t="n">
        <v>93</v>
      </c>
      <c r="B95" s="14" t="inlineStr">
        <is>
          <t>KQCY0090</t>
        </is>
      </c>
      <c r="C95" s="221" t="inlineStr">
        <is>
          <t>餐饮二分部</t>
        </is>
      </c>
      <c r="D95" s="221" t="inlineStr">
        <is>
          <t>CF363</t>
        </is>
      </c>
      <c r="E95" s="221" t="inlineStr">
        <is>
          <t>南通大学启东校区</t>
        </is>
      </c>
      <c r="F95" s="219" t="inlineStr">
        <is>
          <t>分组作业</t>
        </is>
      </c>
      <c r="G95" s="222" t="inlineStr">
        <is>
          <t>位军浩</t>
        </is>
      </c>
      <c r="H95" s="222" t="inlineStr">
        <is>
          <t>第七班组</t>
        </is>
      </c>
      <c r="I95" s="355" t="inlineStr">
        <is>
          <t>面条馄饨</t>
        </is>
      </c>
      <c r="J95" s="503" t="inlineStr">
        <is>
          <t>邵国才</t>
        </is>
      </c>
      <c r="K95" s="224" t="inlineStr">
        <is>
          <t>/</t>
        </is>
      </c>
      <c r="L95" s="651" t="n">
        <v>1080000</v>
      </c>
      <c r="M95" s="22" t="n">
        <v>0.23</v>
      </c>
      <c r="N95" s="224" t="inlineStr">
        <is>
          <t>/</t>
        </is>
      </c>
      <c r="O95" s="224" t="inlineStr">
        <is>
          <t>/</t>
        </is>
      </c>
      <c r="P95" s="22" t="inlineStr">
        <is>
          <t>/</t>
        </is>
      </c>
      <c r="Q95" s="22" t="inlineStr">
        <is>
          <t>/</t>
        </is>
      </c>
      <c r="R95" s="22" t="n"/>
      <c r="S95" s="658" t="n">
        <v>500</v>
      </c>
      <c r="T95" s="22" t="n">
        <v>0.03</v>
      </c>
      <c r="U95" s="22" t="n">
        <v>0.04</v>
      </c>
      <c r="V95" s="224" t="inlineStr">
        <is>
          <t>/</t>
        </is>
      </c>
      <c r="W95" s="224" t="n">
        <v>0.5</v>
      </c>
      <c r="X95" s="23" t="n">
        <v>0.13</v>
      </c>
      <c r="Y95" s="502" t="inlineStr">
        <is>
          <t>/</t>
        </is>
      </c>
      <c r="Z95" s="502" t="inlineStr">
        <is>
          <t>/</t>
        </is>
      </c>
      <c r="AA95" s="502" t="inlineStr">
        <is>
          <t>/</t>
        </is>
      </c>
      <c r="AB95" s="22" t="inlineStr">
        <is>
          <t>/</t>
        </is>
      </c>
      <c r="AC95" s="224" t="inlineStr">
        <is>
          <t>/</t>
        </is>
      </c>
      <c r="AD95" s="57" t="inlineStr">
        <is>
          <t>1、甲方管理费：校方按营业额比例13%收取，分组作业应分摊未分摊，已补分摊，服务费比例应做相应调整；</t>
        </is>
      </c>
      <c r="AE95" s="25" t="inlineStr">
        <is>
          <t>1、签订期间：2025.9.1-2026.8.31；
2、指标按照全年换算；</t>
        </is>
      </c>
      <c r="AF95" s="232" t="inlineStr">
        <is>
          <t>1、条款：班组严格按照所报备的原料比例执行，具体如下:50%营业额，月度结算时若未达到所报比例，按以上比例结算。
问题：目前未按约定执行，待明确；</t>
        </is>
      </c>
    </row>
    <row r="96" ht="36" customFormat="1" customHeight="1" s="209">
      <c r="A96" s="219" t="n">
        <v>94</v>
      </c>
      <c r="B96" s="14" t="inlineStr">
        <is>
          <t>KQCY0091</t>
        </is>
      </c>
      <c r="C96" s="221" t="inlineStr">
        <is>
          <t>餐饮二分部</t>
        </is>
      </c>
      <c r="D96" s="221" t="inlineStr">
        <is>
          <t>CF363</t>
        </is>
      </c>
      <c r="E96" s="221" t="inlineStr">
        <is>
          <t>南通大学启东校区</t>
        </is>
      </c>
      <c r="F96" s="219" t="inlineStr">
        <is>
          <t>分组作业</t>
        </is>
      </c>
      <c r="G96" s="222" t="inlineStr">
        <is>
          <t>位军浩</t>
        </is>
      </c>
      <c r="H96" s="222" t="inlineStr">
        <is>
          <t>第八班组</t>
        </is>
      </c>
      <c r="I96" s="355" t="inlineStr">
        <is>
          <t>米线汤包</t>
        </is>
      </c>
      <c r="J96" s="503" t="inlineStr">
        <is>
          <t>王友强</t>
        </is>
      </c>
      <c r="K96" s="224" t="inlineStr">
        <is>
          <t>/</t>
        </is>
      </c>
      <c r="L96" s="651" t="n">
        <v>880000</v>
      </c>
      <c r="M96" s="22" t="n">
        <v>0.23</v>
      </c>
      <c r="N96" s="224" t="inlineStr">
        <is>
          <t>/</t>
        </is>
      </c>
      <c r="O96" s="224" t="inlineStr">
        <is>
          <t>/</t>
        </is>
      </c>
      <c r="P96" s="22" t="inlineStr">
        <is>
          <t>/</t>
        </is>
      </c>
      <c r="Q96" s="22" t="inlineStr">
        <is>
          <t>/</t>
        </is>
      </c>
      <c r="R96" s="22" t="n"/>
      <c r="S96" s="658" t="n">
        <v>500</v>
      </c>
      <c r="T96" s="22" t="n">
        <v>0.03</v>
      </c>
      <c r="U96" s="22" t="n">
        <v>0.04</v>
      </c>
      <c r="V96" s="224" t="inlineStr">
        <is>
          <t>/</t>
        </is>
      </c>
      <c r="W96" s="224" t="n">
        <v>0.5</v>
      </c>
      <c r="X96" s="23" t="n">
        <v>0.13</v>
      </c>
      <c r="Y96" s="502" t="inlineStr">
        <is>
          <t>/</t>
        </is>
      </c>
      <c r="Z96" s="502" t="inlineStr">
        <is>
          <t>/</t>
        </is>
      </c>
      <c r="AA96" s="502" t="inlineStr">
        <is>
          <t>/</t>
        </is>
      </c>
      <c r="AB96" s="22" t="inlineStr">
        <is>
          <t>/</t>
        </is>
      </c>
      <c r="AC96" s="224" t="inlineStr">
        <is>
          <t>/</t>
        </is>
      </c>
      <c r="AD96" s="57" t="inlineStr">
        <is>
          <t>1、甲方管理费：校方按营业额比例13%收取，分组作业应分摊未分摊，已补分摊，服务费比例应做相应调整；</t>
        </is>
      </c>
      <c r="AE96" s="25" t="inlineStr">
        <is>
          <t>1、签订期间：2025.9.1-2026.8.31；
2、指标按照全年换算；</t>
        </is>
      </c>
      <c r="AF96" s="232" t="inlineStr">
        <is>
          <t>1、条款：班组严格按照所报备的原料比例执行，具体如下:50%营业额，月度结算时若未达到所报比例，按以上比例结算。
问题：目前未按约定执行，待明确；</t>
        </is>
      </c>
    </row>
    <row r="97" ht="36" customFormat="1" customHeight="1" s="209">
      <c r="A97" s="219" t="n">
        <v>95</v>
      </c>
      <c r="B97" s="14" t="inlineStr">
        <is>
          <t>KQCY0092</t>
        </is>
      </c>
      <c r="C97" s="221" t="inlineStr">
        <is>
          <t>餐饮二分部</t>
        </is>
      </c>
      <c r="D97" s="221" t="inlineStr">
        <is>
          <t>CF363</t>
        </is>
      </c>
      <c r="E97" s="221" t="inlineStr">
        <is>
          <t>南通大学启东校区</t>
        </is>
      </c>
      <c r="F97" s="219" t="inlineStr">
        <is>
          <t>分组作业</t>
        </is>
      </c>
      <c r="G97" s="222" t="inlineStr">
        <is>
          <t>位军浩</t>
        </is>
      </c>
      <c r="H97" s="222" t="inlineStr">
        <is>
          <t>第九班组</t>
        </is>
      </c>
      <c r="I97" s="355" t="inlineStr">
        <is>
          <t>香锅焖面</t>
        </is>
      </c>
      <c r="J97" s="503" t="inlineStr">
        <is>
          <t>王正明</t>
        </is>
      </c>
      <c r="K97" s="224" t="inlineStr">
        <is>
          <t>/</t>
        </is>
      </c>
      <c r="L97" s="651" t="n">
        <v>880000</v>
      </c>
      <c r="M97" s="22" t="n">
        <v>0.23</v>
      </c>
      <c r="N97" s="224" t="inlineStr">
        <is>
          <t>/</t>
        </is>
      </c>
      <c r="O97" s="224" t="inlineStr">
        <is>
          <t>/</t>
        </is>
      </c>
      <c r="P97" s="22" t="inlineStr">
        <is>
          <t>/</t>
        </is>
      </c>
      <c r="Q97" s="22" t="inlineStr">
        <is>
          <t>/</t>
        </is>
      </c>
      <c r="R97" s="22" t="n"/>
      <c r="S97" s="658" t="n">
        <v>500</v>
      </c>
      <c r="T97" s="22" t="n">
        <v>0.03</v>
      </c>
      <c r="U97" s="22" t="n">
        <v>0.04</v>
      </c>
      <c r="V97" s="224" t="inlineStr">
        <is>
          <t>/</t>
        </is>
      </c>
      <c r="W97" s="224" t="n">
        <v>0.5</v>
      </c>
      <c r="X97" s="23" t="n">
        <v>0.13</v>
      </c>
      <c r="Y97" s="502" t="inlineStr">
        <is>
          <t>/</t>
        </is>
      </c>
      <c r="Z97" s="502" t="inlineStr">
        <is>
          <t>/</t>
        </is>
      </c>
      <c r="AA97" s="502" t="inlineStr">
        <is>
          <t>/</t>
        </is>
      </c>
      <c r="AB97" s="22" t="inlineStr">
        <is>
          <t>/</t>
        </is>
      </c>
      <c r="AC97" s="224" t="inlineStr">
        <is>
          <t>/</t>
        </is>
      </c>
      <c r="AD97" s="57" t="inlineStr">
        <is>
          <t>1、甲方管理费：校方按营业额比例13%收取，分组作业应分摊未分摊，已补分摊，服务费比例应做相应调整；</t>
        </is>
      </c>
      <c r="AE97" s="25" t="inlineStr">
        <is>
          <t>1、签订期间：2025.9.1-2026.8.31；
2、指标按照全年换算；</t>
        </is>
      </c>
      <c r="AF97" s="232" t="inlineStr">
        <is>
          <t>1、条款：班组严格按照所报备的原料比例执行，具体如下:50%营业额，月度结算时若未达到所报比例，按以上比例结算。
问题：目前未按约定执行，待明确；</t>
        </is>
      </c>
    </row>
    <row r="98" ht="36" customFormat="1" customHeight="1" s="209">
      <c r="A98" s="219" t="n">
        <v>96</v>
      </c>
      <c r="B98" s="14" t="inlineStr">
        <is>
          <t>KQCY0093</t>
        </is>
      </c>
      <c r="C98" s="221" t="inlineStr">
        <is>
          <t>餐饮二分部</t>
        </is>
      </c>
      <c r="D98" s="221" t="inlineStr">
        <is>
          <t>CF363</t>
        </is>
      </c>
      <c r="E98" s="221" t="inlineStr">
        <is>
          <t>南通大学启东校区</t>
        </is>
      </c>
      <c r="F98" s="219" t="inlineStr">
        <is>
          <t>分组作业</t>
        </is>
      </c>
      <c r="G98" s="222" t="inlineStr">
        <is>
          <t>位军浩</t>
        </is>
      </c>
      <c r="H98" s="222" t="inlineStr">
        <is>
          <t>第十班组</t>
        </is>
      </c>
      <c r="I98" s="355" t="inlineStr">
        <is>
          <t>猪肚鸡瓦罐汤套餐</t>
        </is>
      </c>
      <c r="J98" s="503" t="inlineStr">
        <is>
          <t>翟林璐</t>
        </is>
      </c>
      <c r="K98" s="224" t="inlineStr">
        <is>
          <t>/</t>
        </is>
      </c>
      <c r="L98" s="651" t="n">
        <v>1520000</v>
      </c>
      <c r="M98" s="22" t="n">
        <v>0.21</v>
      </c>
      <c r="N98" s="224" t="inlineStr">
        <is>
          <t>/</t>
        </is>
      </c>
      <c r="O98" s="224" t="inlineStr">
        <is>
          <t>/</t>
        </is>
      </c>
      <c r="P98" s="22" t="inlineStr">
        <is>
          <t>/</t>
        </is>
      </c>
      <c r="Q98" s="22" t="inlineStr">
        <is>
          <t>/</t>
        </is>
      </c>
      <c r="R98" s="22" t="n"/>
      <c r="S98" s="658" t="n">
        <v>500</v>
      </c>
      <c r="T98" s="22" t="n">
        <v>0.03</v>
      </c>
      <c r="U98" s="22" t="n">
        <v>0.04</v>
      </c>
      <c r="V98" s="224" t="inlineStr">
        <is>
          <t>/</t>
        </is>
      </c>
      <c r="W98" s="224" t="n">
        <v>0.5</v>
      </c>
      <c r="X98" s="23" t="n">
        <v>0.13</v>
      </c>
      <c r="Y98" s="502" t="inlineStr">
        <is>
          <t>/</t>
        </is>
      </c>
      <c r="Z98" s="502" t="inlineStr">
        <is>
          <t>/</t>
        </is>
      </c>
      <c r="AA98" s="502" t="inlineStr">
        <is>
          <t>/</t>
        </is>
      </c>
      <c r="AB98" s="22" t="inlineStr">
        <is>
          <t>/</t>
        </is>
      </c>
      <c r="AC98" s="224" t="inlineStr">
        <is>
          <t>/</t>
        </is>
      </c>
      <c r="AD98" s="57" t="inlineStr">
        <is>
          <t>1、甲方管理费：校方按营业额比例13%收取，分组作业应分摊未分摊，已补分摊，服务费比例应做相应调整；</t>
        </is>
      </c>
      <c r="AE98" s="25" t="inlineStr">
        <is>
          <t xml:space="preserve">1、签订期间：2025.9.1-2026.8.31；
2、指标按照全年换算；
</t>
        </is>
      </c>
      <c r="AF98" s="232" t="inlineStr">
        <is>
          <t>1、条款：班组严格按照所报备的原料比例执行，具体如下:50%营业额，月度结算时若未达到所报比例，按以上比例结算。
问题：目前未按约定执行，待明确；</t>
        </is>
      </c>
    </row>
    <row r="99" ht="36" customFormat="1" customHeight="1" s="209">
      <c r="A99" s="219" t="n">
        <v>97</v>
      </c>
      <c r="B99" s="14" t="inlineStr">
        <is>
          <t>KQCY0094</t>
        </is>
      </c>
      <c r="C99" s="221" t="inlineStr">
        <is>
          <t>餐饮二分部</t>
        </is>
      </c>
      <c r="D99" s="221" t="inlineStr">
        <is>
          <t>CF363</t>
        </is>
      </c>
      <c r="E99" s="221" t="inlineStr">
        <is>
          <t>南通大学启东校区</t>
        </is>
      </c>
      <c r="F99" s="219" t="inlineStr">
        <is>
          <t>分组作业</t>
        </is>
      </c>
      <c r="G99" s="222" t="inlineStr">
        <is>
          <t>位军浩</t>
        </is>
      </c>
      <c r="H99" s="222" t="inlineStr">
        <is>
          <t>第十一班组</t>
        </is>
      </c>
      <c r="I99" s="355" t="inlineStr">
        <is>
          <t>汉堡小锅现炒</t>
        </is>
      </c>
      <c r="J99" s="503" t="inlineStr">
        <is>
          <t>韩荣荣</t>
        </is>
      </c>
      <c r="K99" s="224" t="inlineStr">
        <is>
          <t>/</t>
        </is>
      </c>
      <c r="L99" s="651" t="n">
        <v>1080000</v>
      </c>
      <c r="M99" s="22" t="n">
        <v>0.22</v>
      </c>
      <c r="N99" s="224" t="inlineStr">
        <is>
          <t>/</t>
        </is>
      </c>
      <c r="O99" s="224" t="inlineStr">
        <is>
          <t>/</t>
        </is>
      </c>
      <c r="P99" s="22" t="inlineStr">
        <is>
          <t>/</t>
        </is>
      </c>
      <c r="Q99" s="22" t="inlineStr">
        <is>
          <t>/</t>
        </is>
      </c>
      <c r="R99" s="22" t="n"/>
      <c r="S99" s="658" t="n">
        <v>500</v>
      </c>
      <c r="T99" s="22" t="n">
        <v>0.03</v>
      </c>
      <c r="U99" s="22" t="n">
        <v>0.04</v>
      </c>
      <c r="V99" s="224" t="inlineStr">
        <is>
          <t>/</t>
        </is>
      </c>
      <c r="W99" s="224" t="n">
        <v>0.5</v>
      </c>
      <c r="X99" s="23" t="n">
        <v>0.13</v>
      </c>
      <c r="Y99" s="502" t="inlineStr">
        <is>
          <t>/</t>
        </is>
      </c>
      <c r="Z99" s="502" t="inlineStr">
        <is>
          <t>/</t>
        </is>
      </c>
      <c r="AA99" s="502" t="inlineStr">
        <is>
          <t>/</t>
        </is>
      </c>
      <c r="AB99" s="22" t="inlineStr">
        <is>
          <t>/</t>
        </is>
      </c>
      <c r="AC99" s="224" t="inlineStr">
        <is>
          <t>/</t>
        </is>
      </c>
      <c r="AD99" s="57" t="inlineStr">
        <is>
          <t>1、甲方管理费：校方按营业额比例13%收取，分组作业应分摊未分摊，已补分摊，服务费比例应做相应调整；</t>
        </is>
      </c>
      <c r="AE99" s="25" t="inlineStr">
        <is>
          <t xml:space="preserve">1、签订期间：2025.9.1-2026.8.31；
2、指标按照全年换算；
</t>
        </is>
      </c>
      <c r="AF99" s="232" t="inlineStr">
        <is>
          <t>1、条款：班组严格按照所报备的原料比例执行，具体如下:50%营业额，月度结算时若未达到所报比例，按以上比例结算。
问题：目前未按约定执行，待明确；</t>
        </is>
      </c>
    </row>
    <row r="100" ht="36" customFormat="1" customHeight="1" s="209">
      <c r="A100" s="219" t="n">
        <v>98</v>
      </c>
      <c r="B100" s="14" t="inlineStr">
        <is>
          <t>KQCY0095</t>
        </is>
      </c>
      <c r="C100" s="221" t="inlineStr">
        <is>
          <t>餐饮二分部</t>
        </is>
      </c>
      <c r="D100" s="221" t="inlineStr">
        <is>
          <t>CF363</t>
        </is>
      </c>
      <c r="E100" s="221" t="inlineStr">
        <is>
          <t>南通大学启东校区</t>
        </is>
      </c>
      <c r="F100" s="219" t="inlineStr">
        <is>
          <t>分组作业</t>
        </is>
      </c>
      <c r="G100" s="222" t="inlineStr">
        <is>
          <t>位军浩</t>
        </is>
      </c>
      <c r="H100" s="222" t="inlineStr">
        <is>
          <t>第十二班组</t>
        </is>
      </c>
      <c r="I100" s="355" t="inlineStr">
        <is>
          <t>铁板炒饭</t>
        </is>
      </c>
      <c r="J100" s="503" t="inlineStr">
        <is>
          <t>王志河</t>
        </is>
      </c>
      <c r="K100" s="224" t="inlineStr">
        <is>
          <t>/</t>
        </is>
      </c>
      <c r="L100" s="651" t="n">
        <v>880000</v>
      </c>
      <c r="M100" s="22" t="n">
        <v>0.23</v>
      </c>
      <c r="N100" s="224" t="inlineStr">
        <is>
          <t>/</t>
        </is>
      </c>
      <c r="O100" s="224" t="inlineStr">
        <is>
          <t>/</t>
        </is>
      </c>
      <c r="P100" s="22" t="inlineStr">
        <is>
          <t>/</t>
        </is>
      </c>
      <c r="Q100" s="22" t="inlineStr">
        <is>
          <t>/</t>
        </is>
      </c>
      <c r="R100" s="22" t="n"/>
      <c r="S100" s="658" t="n">
        <v>500</v>
      </c>
      <c r="T100" s="22" t="n">
        <v>0.03</v>
      </c>
      <c r="U100" s="22" t="n">
        <v>0.04</v>
      </c>
      <c r="V100" s="224" t="inlineStr">
        <is>
          <t>/</t>
        </is>
      </c>
      <c r="W100" s="224" t="n">
        <v>0.5</v>
      </c>
      <c r="X100" s="23" t="n">
        <v>0.13</v>
      </c>
      <c r="Y100" s="502" t="inlineStr">
        <is>
          <t>/</t>
        </is>
      </c>
      <c r="Z100" s="502" t="inlineStr">
        <is>
          <t>/</t>
        </is>
      </c>
      <c r="AA100" s="502" t="inlineStr">
        <is>
          <t>/</t>
        </is>
      </c>
      <c r="AB100" s="22" t="inlineStr">
        <is>
          <t>/</t>
        </is>
      </c>
      <c r="AC100" s="224" t="inlineStr">
        <is>
          <t>/</t>
        </is>
      </c>
      <c r="AD100" s="57" t="inlineStr">
        <is>
          <t>1、甲方管理费：校方按营业额比例13%收取，分组作业应分摊未分摊，已补分摊，服务费比例应做相应调整；</t>
        </is>
      </c>
      <c r="AE100" s="25" t="inlineStr">
        <is>
          <t xml:space="preserve">1、签订期间：2025.9.1-2026.8.31；
2、指标按照全年换算；
</t>
        </is>
      </c>
      <c r="AF100" s="232" t="inlineStr">
        <is>
          <t>1、条款：班组严格按照所报备的原料比例执行，具体如下:50%营业额，月度结算时若未达到所报比例，按以上比例结算。
问题：目前未按约定执行，待明确；</t>
        </is>
      </c>
    </row>
    <row r="101" ht="12" customFormat="1" customHeight="1" s="209">
      <c r="A101" s="219" t="n">
        <v>99</v>
      </c>
      <c r="B101" s="14" t="inlineStr">
        <is>
          <t>KQCY0096</t>
        </is>
      </c>
      <c r="C101" s="221" t="inlineStr">
        <is>
          <t>餐饮二分部</t>
        </is>
      </c>
      <c r="D101" s="221" t="inlineStr">
        <is>
          <t>CF160</t>
        </is>
      </c>
      <c r="E101" s="221" t="inlineStr">
        <is>
          <t>高新区实验高中食堂(金山路校区)</t>
        </is>
      </c>
      <c r="F101" s="219" t="inlineStr">
        <is>
          <t>人员服务外包</t>
        </is>
      </c>
      <c r="G101" s="222" t="inlineStr">
        <is>
          <t>徐敏捷</t>
        </is>
      </c>
      <c r="H101" s="222" t="inlineStr">
        <is>
          <t>/</t>
        </is>
      </c>
      <c r="I101" s="232" t="inlineStr">
        <is>
          <t>/</t>
        </is>
      </c>
      <c r="J101" s="503" t="inlineStr">
        <is>
          <t>/</t>
        </is>
      </c>
      <c r="K101" s="224" t="inlineStr">
        <is>
          <t>/</t>
        </is>
      </c>
      <c r="L101" s="651" t="n">
        <v>2462000</v>
      </c>
      <c r="M101" s="655" t="inlineStr">
        <is>
          <t>/</t>
        </is>
      </c>
      <c r="N101" s="502" t="inlineStr">
        <is>
          <t>/</t>
        </is>
      </c>
      <c r="O101" s="502" t="inlineStr">
        <is>
          <t>/</t>
        </is>
      </c>
      <c r="P101" s="502" t="inlineStr">
        <is>
          <t>/</t>
        </is>
      </c>
      <c r="Q101" s="502" t="inlineStr">
        <is>
          <t>/</t>
        </is>
      </c>
      <c r="R101" s="224" t="inlineStr">
        <is>
          <t>/</t>
        </is>
      </c>
      <c r="S101" s="224" t="inlineStr">
        <is>
          <t>/</t>
        </is>
      </c>
      <c r="T101" s="224" t="inlineStr">
        <is>
          <t>/</t>
        </is>
      </c>
      <c r="U101" s="224" t="inlineStr">
        <is>
          <t>/</t>
        </is>
      </c>
      <c r="V101" s="224" t="inlineStr">
        <is>
          <t>/</t>
        </is>
      </c>
      <c r="W101" s="503" t="inlineStr">
        <is>
          <t>/</t>
        </is>
      </c>
      <c r="X101" s="51" t="inlineStr">
        <is>
          <t>/</t>
        </is>
      </c>
      <c r="Y101" s="51" t="inlineStr">
        <is>
          <t>/</t>
        </is>
      </c>
      <c r="Z101" s="51" t="inlineStr">
        <is>
          <t>/</t>
        </is>
      </c>
      <c r="AA101" s="51" t="inlineStr">
        <is>
          <t>/</t>
        </is>
      </c>
      <c r="AB101" s="243" t="n"/>
      <c r="AC101" s="46" t="inlineStr">
        <is>
          <t>/</t>
        </is>
      </c>
      <c r="AD101" s="48" t="inlineStr">
        <is>
          <t>1、分部管理费：卡机营业额的3%，最高限额20万元</t>
        </is>
      </c>
      <c r="AE101" s="25" t="n"/>
      <c r="AF101" s="206" t="n"/>
    </row>
    <row r="102" ht="12" customFormat="1" customHeight="1" s="209">
      <c r="A102" s="219" t="n">
        <v>100</v>
      </c>
      <c r="B102" s="14" t="inlineStr">
        <is>
          <t>KQCY0097</t>
        </is>
      </c>
      <c r="C102" s="221" t="inlineStr">
        <is>
          <t>餐饮二分部</t>
        </is>
      </c>
      <c r="D102" s="221" t="inlineStr">
        <is>
          <t>CF174</t>
        </is>
      </c>
      <c r="E102" s="221" t="inlineStr">
        <is>
          <t>高新区实验高中食堂(科技城校区)</t>
        </is>
      </c>
      <c r="F102" s="219" t="inlineStr">
        <is>
          <t>人员服务外包</t>
        </is>
      </c>
      <c r="G102" s="222" t="inlineStr">
        <is>
          <t>徐敏捷</t>
        </is>
      </c>
      <c r="H102" s="222" t="inlineStr">
        <is>
          <t>/</t>
        </is>
      </c>
      <c r="I102" s="232" t="inlineStr">
        <is>
          <t>/</t>
        </is>
      </c>
      <c r="J102" s="503" t="inlineStr">
        <is>
          <t>/</t>
        </is>
      </c>
      <c r="K102" s="224" t="inlineStr">
        <is>
          <t>/</t>
        </is>
      </c>
      <c r="L102" s="651" t="n">
        <v>2465000</v>
      </c>
      <c r="M102" s="655" t="inlineStr">
        <is>
          <t>/</t>
        </is>
      </c>
      <c r="N102" s="502" t="inlineStr">
        <is>
          <t>/</t>
        </is>
      </c>
      <c r="O102" s="502" t="inlineStr">
        <is>
          <t>/</t>
        </is>
      </c>
      <c r="P102" s="502" t="inlineStr">
        <is>
          <t>/</t>
        </is>
      </c>
      <c r="Q102" s="502" t="inlineStr">
        <is>
          <t>/</t>
        </is>
      </c>
      <c r="R102" s="224" t="inlineStr">
        <is>
          <t>/</t>
        </is>
      </c>
      <c r="S102" s="224" t="inlineStr">
        <is>
          <t>/</t>
        </is>
      </c>
      <c r="T102" s="224" t="inlineStr">
        <is>
          <t>/</t>
        </is>
      </c>
      <c r="U102" s="224" t="inlineStr">
        <is>
          <t>/</t>
        </is>
      </c>
      <c r="V102" s="224" t="inlineStr">
        <is>
          <t>/</t>
        </is>
      </c>
      <c r="W102" s="503" t="inlineStr">
        <is>
          <t>/</t>
        </is>
      </c>
      <c r="X102" s="51" t="inlineStr">
        <is>
          <t>/</t>
        </is>
      </c>
      <c r="Y102" s="51" t="inlineStr">
        <is>
          <t>/</t>
        </is>
      </c>
      <c r="Z102" s="51" t="inlineStr">
        <is>
          <t>/</t>
        </is>
      </c>
      <c r="AA102" s="51" t="inlineStr">
        <is>
          <t>/</t>
        </is>
      </c>
      <c r="AB102" s="243" t="n"/>
      <c r="AC102" s="46" t="inlineStr">
        <is>
          <t>/</t>
        </is>
      </c>
      <c r="AD102" s="48" t="inlineStr">
        <is>
          <t>1、分部管理费：卡机营业额的3%，最高限额20万元</t>
        </is>
      </c>
      <c r="AE102" s="25" t="n"/>
      <c r="AF102" s="206" t="n"/>
    </row>
    <row r="103" ht="12" customFormat="1" customHeight="1" s="209">
      <c r="A103" s="219" t="n">
        <v>101</v>
      </c>
      <c r="B103" s="14" t="inlineStr">
        <is>
          <t>KQCY0098</t>
        </is>
      </c>
      <c r="C103" s="221" t="inlineStr">
        <is>
          <t>餐饮二分部</t>
        </is>
      </c>
      <c r="D103" s="221" t="inlineStr">
        <is>
          <t>CF175</t>
        </is>
      </c>
      <c r="E103" s="221" t="inlineStr">
        <is>
          <t>高新区实验初中食堂(金山路校区)</t>
        </is>
      </c>
      <c r="F103" s="219" t="inlineStr">
        <is>
          <t>人员服务外包</t>
        </is>
      </c>
      <c r="G103" s="222" t="inlineStr">
        <is>
          <t>徐敏捷</t>
        </is>
      </c>
      <c r="H103" s="222" t="inlineStr">
        <is>
          <t>/</t>
        </is>
      </c>
      <c r="I103" s="232" t="inlineStr">
        <is>
          <t>/</t>
        </is>
      </c>
      <c r="J103" s="503" t="inlineStr">
        <is>
          <t>/</t>
        </is>
      </c>
      <c r="K103" s="224" t="inlineStr">
        <is>
          <t>/</t>
        </is>
      </c>
      <c r="L103" s="651" t="n">
        <v>2650000</v>
      </c>
      <c r="M103" s="655" t="inlineStr">
        <is>
          <t>/</t>
        </is>
      </c>
      <c r="N103" s="502" t="inlineStr">
        <is>
          <t>/</t>
        </is>
      </c>
      <c r="O103" s="502" t="inlineStr">
        <is>
          <t>/</t>
        </is>
      </c>
      <c r="P103" s="502" t="inlineStr">
        <is>
          <t>/</t>
        </is>
      </c>
      <c r="Q103" s="502" t="inlineStr">
        <is>
          <t>/</t>
        </is>
      </c>
      <c r="R103" s="224" t="inlineStr">
        <is>
          <t>/</t>
        </is>
      </c>
      <c r="S103" s="224" t="inlineStr">
        <is>
          <t>/</t>
        </is>
      </c>
      <c r="T103" s="224" t="inlineStr">
        <is>
          <t>/</t>
        </is>
      </c>
      <c r="U103" s="224" t="inlineStr">
        <is>
          <t>/</t>
        </is>
      </c>
      <c r="V103" s="224" t="inlineStr">
        <is>
          <t>/</t>
        </is>
      </c>
      <c r="W103" s="503" t="inlineStr">
        <is>
          <t>/</t>
        </is>
      </c>
      <c r="X103" s="51" t="inlineStr">
        <is>
          <t>/</t>
        </is>
      </c>
      <c r="Y103" s="51" t="inlineStr">
        <is>
          <t>/</t>
        </is>
      </c>
      <c r="Z103" s="51" t="inlineStr">
        <is>
          <t>/</t>
        </is>
      </c>
      <c r="AA103" s="51" t="inlineStr">
        <is>
          <t>/</t>
        </is>
      </c>
      <c r="AB103" s="243" t="n"/>
      <c r="AC103" s="46" t="inlineStr">
        <is>
          <t>/</t>
        </is>
      </c>
      <c r="AD103" s="48" t="inlineStr">
        <is>
          <t>1、分部管理费：卡机营业额的3%，最高限额20万元</t>
        </is>
      </c>
      <c r="AE103" s="25" t="n"/>
      <c r="AF103" s="206" t="n"/>
    </row>
    <row r="104" ht="12" customFormat="1" customHeight="1" s="209">
      <c r="A104" s="219" t="n">
        <v>102</v>
      </c>
      <c r="B104" s="14" t="inlineStr">
        <is>
          <t>KQCY0099</t>
        </is>
      </c>
      <c r="C104" s="221" t="inlineStr">
        <is>
          <t>餐饮二分部</t>
        </is>
      </c>
      <c r="D104" s="221" t="inlineStr">
        <is>
          <t>CF177</t>
        </is>
      </c>
      <c r="E104" s="221" t="inlineStr">
        <is>
          <t>高新区实验初中食堂(锦峰路校区)</t>
        </is>
      </c>
      <c r="F104" s="219" t="inlineStr">
        <is>
          <t>人员服务外包</t>
        </is>
      </c>
      <c r="G104" s="222" t="inlineStr">
        <is>
          <t>徐敏捷</t>
        </is>
      </c>
      <c r="H104" s="222" t="inlineStr">
        <is>
          <t>/</t>
        </is>
      </c>
      <c r="I104" s="232" t="inlineStr">
        <is>
          <t>/</t>
        </is>
      </c>
      <c r="J104" s="503" t="inlineStr">
        <is>
          <t>/</t>
        </is>
      </c>
      <c r="K104" s="224" t="inlineStr">
        <is>
          <t>/</t>
        </is>
      </c>
      <c r="L104" s="651" t="n">
        <v>1574000</v>
      </c>
      <c r="M104" s="655" t="inlineStr">
        <is>
          <t>/</t>
        </is>
      </c>
      <c r="N104" s="502" t="inlineStr">
        <is>
          <t>/</t>
        </is>
      </c>
      <c r="O104" s="502" t="inlineStr">
        <is>
          <t>/</t>
        </is>
      </c>
      <c r="P104" s="502" t="inlineStr">
        <is>
          <t>/</t>
        </is>
      </c>
      <c r="Q104" s="502" t="inlineStr">
        <is>
          <t>/</t>
        </is>
      </c>
      <c r="R104" s="224" t="inlineStr">
        <is>
          <t>/</t>
        </is>
      </c>
      <c r="S104" s="224" t="inlineStr">
        <is>
          <t>/</t>
        </is>
      </c>
      <c r="T104" s="224" t="inlineStr">
        <is>
          <t>/</t>
        </is>
      </c>
      <c r="U104" s="224" t="inlineStr">
        <is>
          <t>/</t>
        </is>
      </c>
      <c r="V104" s="224" t="inlineStr">
        <is>
          <t>/</t>
        </is>
      </c>
      <c r="W104" s="503" t="inlineStr">
        <is>
          <t>/</t>
        </is>
      </c>
      <c r="X104" s="51" t="inlineStr">
        <is>
          <t>/</t>
        </is>
      </c>
      <c r="Y104" s="51" t="inlineStr">
        <is>
          <t>/</t>
        </is>
      </c>
      <c r="Z104" s="51" t="inlineStr">
        <is>
          <t>/</t>
        </is>
      </c>
      <c r="AA104" s="51" t="inlineStr">
        <is>
          <t>/</t>
        </is>
      </c>
      <c r="AB104" s="243" t="n"/>
      <c r="AC104" s="46" t="inlineStr">
        <is>
          <t>/</t>
        </is>
      </c>
      <c r="AD104" s="48" t="inlineStr">
        <is>
          <t>1、分部管理费：卡机营业额的3%，最高限额20万元</t>
        </is>
      </c>
      <c r="AE104" s="25" t="n"/>
      <c r="AF104" s="206" t="n"/>
    </row>
    <row r="105" ht="12" customFormat="1" customHeight="1" s="209">
      <c r="A105" s="219" t="n">
        <v>103</v>
      </c>
      <c r="B105" s="14" t="inlineStr">
        <is>
          <t>KQCY0100</t>
        </is>
      </c>
      <c r="C105" s="221" t="inlineStr">
        <is>
          <t>餐饮二分部</t>
        </is>
      </c>
      <c r="D105" s="221" t="inlineStr">
        <is>
          <t>CF173</t>
        </is>
      </c>
      <c r="E105" s="221" t="inlineStr">
        <is>
          <t>高新区一中食堂（汾湖路校区）</t>
        </is>
      </c>
      <c r="F105" s="219" t="inlineStr">
        <is>
          <t>人员服务外包</t>
        </is>
      </c>
      <c r="G105" s="222" t="inlineStr">
        <is>
          <t>徐敏捷</t>
        </is>
      </c>
      <c r="H105" s="222" t="inlineStr">
        <is>
          <t>/</t>
        </is>
      </c>
      <c r="I105" s="232" t="inlineStr">
        <is>
          <t>/</t>
        </is>
      </c>
      <c r="J105" s="503" t="inlineStr">
        <is>
          <t>/</t>
        </is>
      </c>
      <c r="K105" s="224" t="inlineStr">
        <is>
          <t>/</t>
        </is>
      </c>
      <c r="L105" s="651" t="n">
        <v>3130000</v>
      </c>
      <c r="M105" s="655" t="inlineStr">
        <is>
          <t>/</t>
        </is>
      </c>
      <c r="N105" s="502" t="inlineStr">
        <is>
          <t>/</t>
        </is>
      </c>
      <c r="O105" s="502" t="inlineStr">
        <is>
          <t>/</t>
        </is>
      </c>
      <c r="P105" s="502" t="inlineStr">
        <is>
          <t>/</t>
        </is>
      </c>
      <c r="Q105" s="502" t="inlineStr">
        <is>
          <t>/</t>
        </is>
      </c>
      <c r="R105" s="224" t="inlineStr">
        <is>
          <t>/</t>
        </is>
      </c>
      <c r="S105" s="224" t="inlineStr">
        <is>
          <t>/</t>
        </is>
      </c>
      <c r="T105" s="224" t="inlineStr">
        <is>
          <t>/</t>
        </is>
      </c>
      <c r="U105" s="224" t="inlineStr">
        <is>
          <t>/</t>
        </is>
      </c>
      <c r="V105" s="224" t="inlineStr">
        <is>
          <t>/</t>
        </is>
      </c>
      <c r="W105" s="503" t="inlineStr">
        <is>
          <t>/</t>
        </is>
      </c>
      <c r="X105" s="51" t="inlineStr">
        <is>
          <t>/</t>
        </is>
      </c>
      <c r="Y105" s="51" t="inlineStr">
        <is>
          <t>/</t>
        </is>
      </c>
      <c r="Z105" s="51" t="inlineStr">
        <is>
          <t>/</t>
        </is>
      </c>
      <c r="AA105" s="51" t="inlineStr">
        <is>
          <t>/</t>
        </is>
      </c>
      <c r="AB105" s="243" t="n"/>
      <c r="AC105" s="46" t="inlineStr">
        <is>
          <t>/</t>
        </is>
      </c>
      <c r="AD105" s="48" t="inlineStr">
        <is>
          <t>1、分部管理费：卡机营业额的3%，最高限额20万元</t>
        </is>
      </c>
      <c r="AE105" s="25" t="n"/>
      <c r="AF105" s="206" t="n"/>
    </row>
    <row r="106" ht="12" customFormat="1" customHeight="1" s="209">
      <c r="A106" s="219" t="n">
        <v>104</v>
      </c>
      <c r="B106" s="14" t="inlineStr">
        <is>
          <t>KQCY0101</t>
        </is>
      </c>
      <c r="C106" s="221" t="inlineStr">
        <is>
          <t>餐饮二分部</t>
        </is>
      </c>
      <c r="D106" s="221" t="inlineStr">
        <is>
          <t>CF179</t>
        </is>
      </c>
      <c r="E106" s="221" t="inlineStr">
        <is>
          <t>高新区一中食堂（科技城校区）</t>
        </is>
      </c>
      <c r="F106" s="219" t="inlineStr">
        <is>
          <t>人员服务外包</t>
        </is>
      </c>
      <c r="G106" s="222" t="inlineStr">
        <is>
          <t>徐敏捷</t>
        </is>
      </c>
      <c r="H106" s="222" t="inlineStr">
        <is>
          <t>/</t>
        </is>
      </c>
      <c r="I106" s="232" t="inlineStr">
        <is>
          <t>/</t>
        </is>
      </c>
      <c r="J106" s="503" t="inlineStr">
        <is>
          <t>/</t>
        </is>
      </c>
      <c r="K106" s="224" t="inlineStr">
        <is>
          <t>/</t>
        </is>
      </c>
      <c r="L106" s="651" t="n">
        <v>2588000</v>
      </c>
      <c r="M106" s="655" t="inlineStr">
        <is>
          <t>/</t>
        </is>
      </c>
      <c r="N106" s="502" t="inlineStr">
        <is>
          <t>/</t>
        </is>
      </c>
      <c r="O106" s="502" t="inlineStr">
        <is>
          <t>/</t>
        </is>
      </c>
      <c r="P106" s="502" t="inlineStr">
        <is>
          <t>/</t>
        </is>
      </c>
      <c r="Q106" s="502" t="inlineStr">
        <is>
          <t>/</t>
        </is>
      </c>
      <c r="R106" s="224" t="inlineStr">
        <is>
          <t>/</t>
        </is>
      </c>
      <c r="S106" s="224" t="inlineStr">
        <is>
          <t>/</t>
        </is>
      </c>
      <c r="T106" s="224" t="inlineStr">
        <is>
          <t>/</t>
        </is>
      </c>
      <c r="U106" s="224" t="inlineStr">
        <is>
          <t>/</t>
        </is>
      </c>
      <c r="V106" s="224" t="inlineStr">
        <is>
          <t>/</t>
        </is>
      </c>
      <c r="W106" s="503" t="inlineStr">
        <is>
          <t>/</t>
        </is>
      </c>
      <c r="X106" s="51" t="inlineStr">
        <is>
          <t>/</t>
        </is>
      </c>
      <c r="Y106" s="51" t="inlineStr">
        <is>
          <t>/</t>
        </is>
      </c>
      <c r="Z106" s="51" t="inlineStr">
        <is>
          <t>/</t>
        </is>
      </c>
      <c r="AA106" s="51" t="inlineStr">
        <is>
          <t>/</t>
        </is>
      </c>
      <c r="AB106" s="243" t="n"/>
      <c r="AC106" s="46" t="inlineStr">
        <is>
          <t>/</t>
        </is>
      </c>
      <c r="AD106" s="48" t="inlineStr">
        <is>
          <t>1、分部管理费：卡机营业额的3%，最高限额20万元</t>
        </is>
      </c>
      <c r="AE106" s="25" t="n"/>
      <c r="AF106" s="206" t="n"/>
    </row>
    <row r="107" ht="12" customFormat="1" customHeight="1" s="209">
      <c r="A107" s="219" t="n">
        <v>105</v>
      </c>
      <c r="B107" s="14" t="inlineStr">
        <is>
          <t>KQCY0102</t>
        </is>
      </c>
      <c r="C107" s="221" t="inlineStr">
        <is>
          <t>餐饮二分部</t>
        </is>
      </c>
      <c r="D107" s="221" t="inlineStr">
        <is>
          <t>CF180</t>
        </is>
      </c>
      <c r="E107" s="221" t="inlineStr">
        <is>
          <t>高新区一初中食堂（珠江路校区）</t>
        </is>
      </c>
      <c r="F107" s="219" t="inlineStr">
        <is>
          <t>人员服务外包</t>
        </is>
      </c>
      <c r="G107" s="222" t="inlineStr">
        <is>
          <t>徐敏捷</t>
        </is>
      </c>
      <c r="H107" s="222" t="inlineStr">
        <is>
          <t>/</t>
        </is>
      </c>
      <c r="I107" s="232" t="inlineStr">
        <is>
          <t>/</t>
        </is>
      </c>
      <c r="J107" s="503" t="inlineStr">
        <is>
          <t>/</t>
        </is>
      </c>
      <c r="K107" s="224" t="inlineStr">
        <is>
          <t>/</t>
        </is>
      </c>
      <c r="L107" s="651" t="n">
        <v>1249000</v>
      </c>
      <c r="M107" s="655" t="inlineStr">
        <is>
          <t>/</t>
        </is>
      </c>
      <c r="N107" s="502" t="inlineStr">
        <is>
          <t>/</t>
        </is>
      </c>
      <c r="O107" s="502" t="inlineStr">
        <is>
          <t>/</t>
        </is>
      </c>
      <c r="P107" s="502" t="inlineStr">
        <is>
          <t>/</t>
        </is>
      </c>
      <c r="Q107" s="502" t="inlineStr">
        <is>
          <t>/</t>
        </is>
      </c>
      <c r="R107" s="224" t="inlineStr">
        <is>
          <t>/</t>
        </is>
      </c>
      <c r="S107" s="224" t="inlineStr">
        <is>
          <t>/</t>
        </is>
      </c>
      <c r="T107" s="224" t="inlineStr">
        <is>
          <t>/</t>
        </is>
      </c>
      <c r="U107" s="224" t="inlineStr">
        <is>
          <t>/</t>
        </is>
      </c>
      <c r="V107" s="224" t="inlineStr">
        <is>
          <t>/</t>
        </is>
      </c>
      <c r="W107" s="503" t="inlineStr">
        <is>
          <t>/</t>
        </is>
      </c>
      <c r="X107" s="51" t="inlineStr">
        <is>
          <t>/</t>
        </is>
      </c>
      <c r="Y107" s="51" t="inlineStr">
        <is>
          <t>/</t>
        </is>
      </c>
      <c r="Z107" s="51" t="inlineStr">
        <is>
          <t>/</t>
        </is>
      </c>
      <c r="AA107" s="51" t="inlineStr">
        <is>
          <t>/</t>
        </is>
      </c>
      <c r="AB107" s="243" t="n"/>
      <c r="AC107" s="46" t="inlineStr">
        <is>
          <t>/</t>
        </is>
      </c>
      <c r="AD107" s="48" t="inlineStr">
        <is>
          <t>1、分部管理费：卡机营业额的3%，最高限额20万元</t>
        </is>
      </c>
      <c r="AE107" s="25" t="n"/>
      <c r="AF107" s="206" t="n"/>
    </row>
    <row r="108" ht="12" customFormat="1" customHeight="1" s="209">
      <c r="A108" s="219" t="n">
        <v>106</v>
      </c>
      <c r="B108" s="14" t="inlineStr">
        <is>
          <t>KQCY0103</t>
        </is>
      </c>
      <c r="C108" s="221" t="inlineStr">
        <is>
          <t>餐饮二分部</t>
        </is>
      </c>
      <c r="D108" s="221" t="inlineStr">
        <is>
          <t>CF183</t>
        </is>
      </c>
      <c r="E108" s="221" t="inlineStr">
        <is>
          <t>中医科苏州新校区食堂</t>
        </is>
      </c>
      <c r="F108" s="219" t="inlineStr">
        <is>
          <t>人员服务外包</t>
        </is>
      </c>
      <c r="G108" s="222" t="inlineStr">
        <is>
          <t>陆琪</t>
        </is>
      </c>
      <c r="H108" s="222" t="inlineStr">
        <is>
          <t>/</t>
        </is>
      </c>
      <c r="I108" s="232" t="inlineStr">
        <is>
          <t>/</t>
        </is>
      </c>
      <c r="J108" s="503" t="inlineStr">
        <is>
          <t>/</t>
        </is>
      </c>
      <c r="K108" s="224" t="inlineStr">
        <is>
          <t>/</t>
        </is>
      </c>
      <c r="L108" s="651" t="inlineStr">
        <is>
          <t>/</t>
        </is>
      </c>
      <c r="M108" s="502" t="inlineStr">
        <is>
          <t>/</t>
        </is>
      </c>
      <c r="N108" s="502" t="inlineStr">
        <is>
          <t>/</t>
        </is>
      </c>
      <c r="O108" s="502" t="inlineStr">
        <is>
          <t>/</t>
        </is>
      </c>
      <c r="P108" s="502" t="inlineStr">
        <is>
          <t>/</t>
        </is>
      </c>
      <c r="Q108" s="502" t="inlineStr">
        <is>
          <t>/</t>
        </is>
      </c>
      <c r="R108" s="502" t="inlineStr">
        <is>
          <t>/</t>
        </is>
      </c>
      <c r="S108" s="502" t="inlineStr">
        <is>
          <t>/</t>
        </is>
      </c>
      <c r="T108" s="503" t="inlineStr">
        <is>
          <t>/</t>
        </is>
      </c>
      <c r="U108" s="502" t="inlineStr">
        <is>
          <t>/</t>
        </is>
      </c>
      <c r="V108" s="502" t="inlineStr">
        <is>
          <t>/</t>
        </is>
      </c>
      <c r="W108" s="503" t="inlineStr">
        <is>
          <t>/</t>
        </is>
      </c>
      <c r="X108" s="51" t="inlineStr">
        <is>
          <t>/</t>
        </is>
      </c>
      <c r="Y108" s="51" t="inlineStr">
        <is>
          <t>/</t>
        </is>
      </c>
      <c r="Z108" s="51" t="inlineStr">
        <is>
          <t>/</t>
        </is>
      </c>
      <c r="AA108" s="51" t="inlineStr">
        <is>
          <t>/</t>
        </is>
      </c>
      <c r="AB108" s="51" t="n">
        <v>0.08</v>
      </c>
      <c r="AC108" s="46" t="n">
        <v>0.015</v>
      </c>
      <c r="AD108" s="232" t="n"/>
      <c r="AE108" s="25" t="n"/>
      <c r="AF108" s="206" t="n"/>
    </row>
    <row r="109" ht="12" customFormat="1" customHeight="1" s="209">
      <c r="A109" s="219" t="n">
        <v>107</v>
      </c>
      <c r="B109" s="14" t="inlineStr">
        <is>
          <t>KQCY0104</t>
        </is>
      </c>
      <c r="C109" s="221" t="inlineStr">
        <is>
          <t>餐饮二分部</t>
        </is>
      </c>
      <c r="D109" s="221" t="inlineStr">
        <is>
          <t>CF183</t>
        </is>
      </c>
      <c r="E109" s="221" t="inlineStr">
        <is>
          <t>中医科苏州新校区食堂</t>
        </is>
      </c>
      <c r="F109" s="219" t="inlineStr">
        <is>
          <t>自营</t>
        </is>
      </c>
      <c r="G109" s="222" t="inlineStr">
        <is>
          <t>陆琪</t>
        </is>
      </c>
      <c r="H109" s="222" t="inlineStr">
        <is>
          <t>/</t>
        </is>
      </c>
      <c r="I109" s="355" t="inlineStr">
        <is>
          <t>/</t>
        </is>
      </c>
      <c r="J109" s="222" t="inlineStr">
        <is>
          <t>/</t>
        </is>
      </c>
      <c r="K109" s="224" t="inlineStr">
        <is>
          <t>/</t>
        </is>
      </c>
      <c r="L109" s="651" t="inlineStr">
        <is>
          <t>/</t>
        </is>
      </c>
      <c r="M109" s="224" t="inlineStr">
        <is>
          <t>/</t>
        </is>
      </c>
      <c r="N109" s="224" t="inlineStr">
        <is>
          <t>/</t>
        </is>
      </c>
      <c r="O109" s="23" t="n">
        <v>0.02</v>
      </c>
      <c r="P109" s="224" t="inlineStr">
        <is>
          <t>/</t>
        </is>
      </c>
      <c r="Q109" s="224" t="inlineStr">
        <is>
          <t>/</t>
        </is>
      </c>
      <c r="R109" s="224" t="inlineStr">
        <is>
          <t>/</t>
        </is>
      </c>
      <c r="S109" s="224" t="inlineStr">
        <is>
          <t>/</t>
        </is>
      </c>
      <c r="T109" s="224" t="inlineStr">
        <is>
          <t>/</t>
        </is>
      </c>
      <c r="U109" s="224" t="inlineStr">
        <is>
          <t>/</t>
        </is>
      </c>
      <c r="V109" s="224" t="inlineStr">
        <is>
          <t>/</t>
        </is>
      </c>
      <c r="W109" s="480" t="inlineStr">
        <is>
          <t>/</t>
        </is>
      </c>
      <c r="X109" s="51" t="inlineStr">
        <is>
          <t>/</t>
        </is>
      </c>
      <c r="Y109" s="51" t="inlineStr">
        <is>
          <t>/</t>
        </is>
      </c>
      <c r="Z109" s="51" t="inlineStr">
        <is>
          <t>/</t>
        </is>
      </c>
      <c r="AA109" s="51" t="inlineStr">
        <is>
          <t>/</t>
        </is>
      </c>
      <c r="AB109" s="51" t="n">
        <v>0.08</v>
      </c>
      <c r="AC109" s="46" t="n">
        <v>0.015</v>
      </c>
      <c r="AD109" s="232" t="n"/>
      <c r="AE109" s="25" t="n"/>
      <c r="AF109" s="206" t="n"/>
    </row>
    <row r="110" ht="12" customFormat="1" customHeight="1" s="209">
      <c r="A110" s="219" t="n">
        <v>108</v>
      </c>
      <c r="B110" s="14" t="inlineStr">
        <is>
          <t>KQCY0105</t>
        </is>
      </c>
      <c r="C110" s="221" t="inlineStr">
        <is>
          <t>餐饮二分部</t>
        </is>
      </c>
      <c r="D110" s="221" t="inlineStr">
        <is>
          <t>CF450</t>
        </is>
      </c>
      <c r="E110" s="221" t="inlineStr">
        <is>
          <t>天津大学学二食堂</t>
        </is>
      </c>
      <c r="F110" s="219" t="inlineStr">
        <is>
          <t>强责</t>
        </is>
      </c>
      <c r="G110" s="222" t="inlineStr">
        <is>
          <t>陆琪</t>
        </is>
      </c>
      <c r="H110" s="222" t="inlineStr">
        <is>
          <t>/</t>
        </is>
      </c>
      <c r="I110" s="232" t="inlineStr">
        <is>
          <t>/</t>
        </is>
      </c>
      <c r="J110" s="503" t="inlineStr">
        <is>
          <t>张宪</t>
        </is>
      </c>
      <c r="K110" s="224" t="inlineStr">
        <is>
          <t>/</t>
        </is>
      </c>
      <c r="L110" s="651" t="inlineStr">
        <is>
          <t>/</t>
        </is>
      </c>
      <c r="M110" s="502" t="inlineStr">
        <is>
          <t>/</t>
        </is>
      </c>
      <c r="N110" s="502" t="inlineStr">
        <is>
          <t>/</t>
        </is>
      </c>
      <c r="O110" s="502" t="inlineStr">
        <is>
          <t>/</t>
        </is>
      </c>
      <c r="P110" s="502" t="inlineStr">
        <is>
          <t>/</t>
        </is>
      </c>
      <c r="Q110" s="502" t="inlineStr">
        <is>
          <t>/</t>
        </is>
      </c>
      <c r="R110" s="502" t="inlineStr">
        <is>
          <t>/</t>
        </is>
      </c>
      <c r="S110" s="502" t="inlineStr">
        <is>
          <t>/</t>
        </is>
      </c>
      <c r="T110" s="503" t="inlineStr">
        <is>
          <t>/</t>
        </is>
      </c>
      <c r="U110" s="502" t="inlineStr">
        <is>
          <t>/</t>
        </is>
      </c>
      <c r="V110" s="502" t="inlineStr">
        <is>
          <t>/</t>
        </is>
      </c>
      <c r="W110" s="44" t="n"/>
      <c r="X110" s="51" t="inlineStr">
        <is>
          <t>/</t>
        </is>
      </c>
      <c r="Y110" s="51" t="inlineStr">
        <is>
          <t>/</t>
        </is>
      </c>
      <c r="Z110" s="51" t="inlineStr">
        <is>
          <t>/</t>
        </is>
      </c>
      <c r="AA110" s="51" t="inlineStr">
        <is>
          <t>/</t>
        </is>
      </c>
      <c r="AB110" s="113" t="n">
        <v>0.03</v>
      </c>
      <c r="AC110" s="502" t="inlineStr">
        <is>
          <t>/</t>
        </is>
      </c>
      <c r="AD110" s="232" t="n"/>
      <c r="AE110" s="25" t="n"/>
      <c r="AF110" s="206" t="n"/>
    </row>
    <row r="111" ht="72" customFormat="1" customHeight="1" s="209">
      <c r="A111" s="219" t="n">
        <v>109</v>
      </c>
      <c r="B111" s="14" t="inlineStr">
        <is>
          <t>KQCY0106</t>
        </is>
      </c>
      <c r="C111" s="221" t="inlineStr">
        <is>
          <t>餐饮二分部</t>
        </is>
      </c>
      <c r="D111" s="221" t="inlineStr">
        <is>
          <t>CF450</t>
        </is>
      </c>
      <c r="E111" s="221" t="inlineStr">
        <is>
          <t>天津大学学二食堂</t>
        </is>
      </c>
      <c r="F111" s="219" t="inlineStr">
        <is>
          <t>强责</t>
        </is>
      </c>
      <c r="G111" s="222" t="inlineStr">
        <is>
          <t>陆琪</t>
        </is>
      </c>
      <c r="H111" s="503" t="inlineStr">
        <is>
          <t>/</t>
        </is>
      </c>
      <c r="I111" s="232" t="inlineStr">
        <is>
          <t>馄饨（轻食）</t>
        </is>
      </c>
      <c r="J111" s="503" t="inlineStr">
        <is>
          <t>李佳玉</t>
        </is>
      </c>
      <c r="K111" s="224" t="inlineStr">
        <is>
          <t>/</t>
        </is>
      </c>
      <c r="L111" s="651" t="n">
        <v>400000</v>
      </c>
      <c r="M111" s="113" t="n">
        <v>0.17</v>
      </c>
      <c r="N111" s="502" t="inlineStr">
        <is>
          <t>/</t>
        </is>
      </c>
      <c r="O111" s="113" t="n">
        <v>0.02</v>
      </c>
      <c r="P111" s="502" t="inlineStr">
        <is>
          <t>/</t>
        </is>
      </c>
      <c r="Q111" s="502" t="inlineStr">
        <is>
          <t>/</t>
        </is>
      </c>
      <c r="R111" s="502" t="inlineStr">
        <is>
          <t>/</t>
        </is>
      </c>
      <c r="S111" s="502" t="inlineStr">
        <is>
          <t>/</t>
        </is>
      </c>
      <c r="T111" s="224" t="n">
        <v>0.04</v>
      </c>
      <c r="U111" s="224" t="n">
        <v>0.04</v>
      </c>
      <c r="V111" s="502" t="inlineStr">
        <is>
          <t>/</t>
        </is>
      </c>
      <c r="W111" s="114" t="n">
        <v>0.5</v>
      </c>
      <c r="X111" s="51" t="inlineStr">
        <is>
          <t>/</t>
        </is>
      </c>
      <c r="Y111" s="51" t="inlineStr">
        <is>
          <t>/</t>
        </is>
      </c>
      <c r="Z111" s="51" t="inlineStr">
        <is>
          <t>/</t>
        </is>
      </c>
      <c r="AA111" s="51" t="inlineStr">
        <is>
          <t>/</t>
        </is>
      </c>
      <c r="AB111" s="502" t="inlineStr">
        <is>
          <t>/</t>
        </is>
      </c>
      <c r="AC111" s="502" t="inlineStr">
        <is>
          <t>/</t>
        </is>
      </c>
      <c r="AD111" s="232" t="n"/>
      <c r="AE111" s="25" t="inlineStr">
        <is>
          <t xml:space="preserve">
1、签订期间：2026.1.1-2026.8.1；
2、指标按照全年换算；</t>
        </is>
      </c>
      <c r="AF111"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2" ht="72" customFormat="1" customHeight="1" s="209">
      <c r="A112" s="219" t="n">
        <v>110</v>
      </c>
      <c r="B112" s="14" t="inlineStr">
        <is>
          <t>KQCY0107</t>
        </is>
      </c>
      <c r="C112" s="221" t="inlineStr">
        <is>
          <t>餐饮二分部</t>
        </is>
      </c>
      <c r="D112" s="221" t="inlineStr">
        <is>
          <t>CF450</t>
        </is>
      </c>
      <c r="E112" s="221" t="inlineStr">
        <is>
          <t>天津大学学二食堂</t>
        </is>
      </c>
      <c r="F112" s="219" t="inlineStr">
        <is>
          <t>强责</t>
        </is>
      </c>
      <c r="G112" s="222" t="inlineStr">
        <is>
          <t>陆琪</t>
        </is>
      </c>
      <c r="H112" s="503" t="inlineStr">
        <is>
          <t>/</t>
        </is>
      </c>
      <c r="I112" s="355" t="inlineStr">
        <is>
          <t>面夫子</t>
        </is>
      </c>
      <c r="J112" s="503" t="inlineStr">
        <is>
          <t>李平归</t>
        </is>
      </c>
      <c r="K112" s="224" t="inlineStr">
        <is>
          <t>/</t>
        </is>
      </c>
      <c r="L112" s="651" t="n">
        <v>380000</v>
      </c>
      <c r="M112" s="113" t="n">
        <v>0.15</v>
      </c>
      <c r="N112" s="502" t="inlineStr">
        <is>
          <t>/</t>
        </is>
      </c>
      <c r="O112" s="113" t="n">
        <v>0.02</v>
      </c>
      <c r="P112" s="502" t="inlineStr">
        <is>
          <t>/</t>
        </is>
      </c>
      <c r="Q112" s="502" t="inlineStr">
        <is>
          <t>/</t>
        </is>
      </c>
      <c r="R112" s="502" t="inlineStr">
        <is>
          <t>/</t>
        </is>
      </c>
      <c r="S112" s="502" t="inlineStr">
        <is>
          <t>/</t>
        </is>
      </c>
      <c r="T112" s="224" t="n">
        <v>0.04</v>
      </c>
      <c r="U112" s="224" t="n">
        <v>0.04</v>
      </c>
      <c r="V112" s="502" t="inlineStr">
        <is>
          <t>/</t>
        </is>
      </c>
      <c r="W112" s="114" t="n">
        <v>0.5</v>
      </c>
      <c r="X112" s="51" t="inlineStr">
        <is>
          <t>/</t>
        </is>
      </c>
      <c r="Y112" s="51" t="inlineStr">
        <is>
          <t>/</t>
        </is>
      </c>
      <c r="Z112" s="51" t="inlineStr">
        <is>
          <t>/</t>
        </is>
      </c>
      <c r="AA112" s="51" t="inlineStr">
        <is>
          <t>/</t>
        </is>
      </c>
      <c r="AB112" s="502" t="inlineStr">
        <is>
          <t>/</t>
        </is>
      </c>
      <c r="AC112" s="502" t="inlineStr">
        <is>
          <t>/</t>
        </is>
      </c>
      <c r="AD112" s="232" t="n"/>
      <c r="AE112" s="25" t="inlineStr">
        <is>
          <t xml:space="preserve">
1、签订期间：2026.1.1-2026.8.1；
2、指标按照全年换算；</t>
        </is>
      </c>
      <c r="AF112"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3" ht="72" customFormat="1" customHeight="1" s="209">
      <c r="A113" s="219" t="n">
        <v>111</v>
      </c>
      <c r="B113" s="14" t="inlineStr">
        <is>
          <t>KQCY0108</t>
        </is>
      </c>
      <c r="C113" s="221" t="inlineStr">
        <is>
          <t>餐饮二分部</t>
        </is>
      </c>
      <c r="D113" s="221" t="inlineStr">
        <is>
          <t>CF450</t>
        </is>
      </c>
      <c r="E113" s="221" t="inlineStr">
        <is>
          <t>天津大学学二食堂</t>
        </is>
      </c>
      <c r="F113" s="219" t="inlineStr">
        <is>
          <t>强责</t>
        </is>
      </c>
      <c r="G113" s="222" t="inlineStr">
        <is>
          <t>陆琪</t>
        </is>
      </c>
      <c r="H113" s="503" t="inlineStr">
        <is>
          <t>/</t>
        </is>
      </c>
      <c r="I113" s="355" t="inlineStr">
        <is>
          <t>滑蛋饭</t>
        </is>
      </c>
      <c r="J113" s="503" t="inlineStr">
        <is>
          <t>李保</t>
        </is>
      </c>
      <c r="K113" s="224" t="inlineStr">
        <is>
          <t>/</t>
        </is>
      </c>
      <c r="L113" s="651" t="n">
        <v>500000</v>
      </c>
      <c r="M113" s="113" t="n">
        <v>0.18</v>
      </c>
      <c r="N113" s="502" t="inlineStr">
        <is>
          <t>/</t>
        </is>
      </c>
      <c r="O113" s="113" t="n">
        <v>0.02</v>
      </c>
      <c r="P113" s="502" t="inlineStr">
        <is>
          <t>/</t>
        </is>
      </c>
      <c r="Q113" s="502" t="inlineStr">
        <is>
          <t>/</t>
        </is>
      </c>
      <c r="R113" s="502" t="inlineStr">
        <is>
          <t>/</t>
        </is>
      </c>
      <c r="S113" s="502" t="inlineStr">
        <is>
          <t>/</t>
        </is>
      </c>
      <c r="T113" s="224" t="n">
        <v>0.04</v>
      </c>
      <c r="U113" s="224" t="n">
        <v>0.04</v>
      </c>
      <c r="V113" s="502" t="inlineStr">
        <is>
          <t>/</t>
        </is>
      </c>
      <c r="W113" s="114" t="n">
        <v>0.5</v>
      </c>
      <c r="X113" s="51" t="inlineStr">
        <is>
          <t>/</t>
        </is>
      </c>
      <c r="Y113" s="51" t="inlineStr">
        <is>
          <t>/</t>
        </is>
      </c>
      <c r="Z113" s="51" t="inlineStr">
        <is>
          <t>/</t>
        </is>
      </c>
      <c r="AA113" s="51" t="inlineStr">
        <is>
          <t>/</t>
        </is>
      </c>
      <c r="AB113" s="502" t="inlineStr">
        <is>
          <t>/</t>
        </is>
      </c>
      <c r="AC113" s="502" t="inlineStr">
        <is>
          <t>/</t>
        </is>
      </c>
      <c r="AD113" s="232" t="n"/>
      <c r="AE113" s="25" t="inlineStr">
        <is>
          <t xml:space="preserve">
1、签订期间：2026.1.1-2026.8.1；
2、指标按照全年换算；</t>
        </is>
      </c>
      <c r="AF113"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4" ht="72" customFormat="1" customHeight="1" s="209">
      <c r="A114" s="219" t="n">
        <v>112</v>
      </c>
      <c r="B114" s="14" t="inlineStr">
        <is>
          <t>KQCY0109</t>
        </is>
      </c>
      <c r="C114" s="221" t="inlineStr">
        <is>
          <t>餐饮二分部</t>
        </is>
      </c>
      <c r="D114" s="221" t="inlineStr">
        <is>
          <t>CF450</t>
        </is>
      </c>
      <c r="E114" s="221" t="inlineStr">
        <is>
          <t>天津大学学二食堂</t>
        </is>
      </c>
      <c r="F114" s="219" t="inlineStr">
        <is>
          <t>强责</t>
        </is>
      </c>
      <c r="G114" s="222" t="inlineStr">
        <is>
          <t>陆琪</t>
        </is>
      </c>
      <c r="H114" s="503" t="inlineStr">
        <is>
          <t>/</t>
        </is>
      </c>
      <c r="I114" s="355" t="inlineStr">
        <is>
          <t>基本伙窗口</t>
        </is>
      </c>
      <c r="J114" s="503" t="inlineStr">
        <is>
          <t>孟祥东</t>
        </is>
      </c>
      <c r="K114" s="224" t="inlineStr">
        <is>
          <t>/</t>
        </is>
      </c>
      <c r="L114" s="651" t="n">
        <v>800000</v>
      </c>
      <c r="M114" s="113" t="n">
        <v>0.1</v>
      </c>
      <c r="N114" s="502" t="inlineStr">
        <is>
          <t>/</t>
        </is>
      </c>
      <c r="O114" s="502" t="inlineStr">
        <is>
          <t>/</t>
        </is>
      </c>
      <c r="P114" s="502" t="inlineStr">
        <is>
          <t>/</t>
        </is>
      </c>
      <c r="Q114" s="502" t="inlineStr">
        <is>
          <t>/</t>
        </is>
      </c>
      <c r="R114" s="502" t="inlineStr">
        <is>
          <t>/</t>
        </is>
      </c>
      <c r="S114" s="502" t="inlineStr">
        <is>
          <t>/</t>
        </is>
      </c>
      <c r="T114" s="224" t="n">
        <v>0.04</v>
      </c>
      <c r="U114" s="224" t="n">
        <v>0.04</v>
      </c>
      <c r="V114" s="502" t="inlineStr">
        <is>
          <t>/</t>
        </is>
      </c>
      <c r="W114" s="114" t="n">
        <v>0.5</v>
      </c>
      <c r="X114" s="51" t="inlineStr">
        <is>
          <t>/</t>
        </is>
      </c>
      <c r="Y114" s="51" t="inlineStr">
        <is>
          <t>/</t>
        </is>
      </c>
      <c r="Z114" s="51" t="inlineStr">
        <is>
          <t>/</t>
        </is>
      </c>
      <c r="AA114" s="51" t="inlineStr">
        <is>
          <t>/</t>
        </is>
      </c>
      <c r="AB114" s="502" t="inlineStr">
        <is>
          <t>/</t>
        </is>
      </c>
      <c r="AC114" s="502" t="inlineStr">
        <is>
          <t>/</t>
        </is>
      </c>
      <c r="AD114" s="232" t="n"/>
      <c r="AE114" s="25" t="inlineStr">
        <is>
          <t xml:space="preserve">
1、签订期间：2026.1.1-2026.8.1；
2、指标按照全年换算；</t>
        </is>
      </c>
      <c r="AF114"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5" ht="72" customFormat="1" customHeight="1" s="209">
      <c r="A115" s="219" t="n">
        <v>113</v>
      </c>
      <c r="B115" s="14" t="inlineStr">
        <is>
          <t>KQCY0110</t>
        </is>
      </c>
      <c r="C115" s="221" t="inlineStr">
        <is>
          <t>餐饮二分部</t>
        </is>
      </c>
      <c r="D115" s="221" t="inlineStr">
        <is>
          <t>CF450</t>
        </is>
      </c>
      <c r="E115" s="221" t="inlineStr">
        <is>
          <t>天津大学学二食堂</t>
        </is>
      </c>
      <c r="F115" s="219" t="inlineStr">
        <is>
          <t>强责</t>
        </is>
      </c>
      <c r="G115" s="222" t="inlineStr">
        <is>
          <t>陆琪</t>
        </is>
      </c>
      <c r="H115" s="503" t="inlineStr">
        <is>
          <t>/</t>
        </is>
      </c>
      <c r="I115" s="355" t="inlineStr">
        <is>
          <t>小卖部</t>
        </is>
      </c>
      <c r="J115" s="503" t="inlineStr">
        <is>
          <t>张玉珠</t>
        </is>
      </c>
      <c r="K115" s="224" t="inlineStr">
        <is>
          <t>/</t>
        </is>
      </c>
      <c r="L115" s="651" t="n">
        <v>240000</v>
      </c>
      <c r="M115" s="113" t="n">
        <v>0.02</v>
      </c>
      <c r="N115" s="502" t="inlineStr">
        <is>
          <t>/</t>
        </is>
      </c>
      <c r="O115" s="113" t="n">
        <v>0.02</v>
      </c>
      <c r="P115" s="502" t="inlineStr">
        <is>
          <t>/</t>
        </is>
      </c>
      <c r="Q115" s="502" t="inlineStr">
        <is>
          <t>/</t>
        </is>
      </c>
      <c r="R115" s="502" t="inlineStr">
        <is>
          <t>/</t>
        </is>
      </c>
      <c r="S115" s="502" t="inlineStr">
        <is>
          <t>/</t>
        </is>
      </c>
      <c r="T115" s="224" t="n">
        <v>0.04</v>
      </c>
      <c r="U115" s="113" t="n">
        <v>0.01</v>
      </c>
      <c r="V115" s="502" t="inlineStr">
        <is>
          <t>/</t>
        </is>
      </c>
      <c r="W115" s="114" t="n">
        <v>0.5</v>
      </c>
      <c r="X115" s="51" t="inlineStr">
        <is>
          <t>/</t>
        </is>
      </c>
      <c r="Y115" s="51" t="inlineStr">
        <is>
          <t>/</t>
        </is>
      </c>
      <c r="Z115" s="51" t="inlineStr">
        <is>
          <t>/</t>
        </is>
      </c>
      <c r="AA115" s="51" t="inlineStr">
        <is>
          <t>/</t>
        </is>
      </c>
      <c r="AB115" s="502" t="inlineStr">
        <is>
          <t>/</t>
        </is>
      </c>
      <c r="AC115" s="502" t="inlineStr">
        <is>
          <t>/</t>
        </is>
      </c>
      <c r="AD115" s="232" t="n"/>
      <c r="AE115" s="25" t="inlineStr">
        <is>
          <t xml:space="preserve">
1、签订期间：2026.1.1-2026.8.1；
2、指标按照全年换算；</t>
        </is>
      </c>
      <c r="AF115"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6" ht="72" customFormat="1" customHeight="1" s="209">
      <c r="A116" s="219" t="n">
        <v>114</v>
      </c>
      <c r="B116" s="14" t="inlineStr">
        <is>
          <t>KQCY0111</t>
        </is>
      </c>
      <c r="C116" s="221" t="inlineStr">
        <is>
          <t>餐饮二分部</t>
        </is>
      </c>
      <c r="D116" s="221" t="inlineStr">
        <is>
          <t>CF450</t>
        </is>
      </c>
      <c r="E116" s="221" t="inlineStr">
        <is>
          <t>天津大学学二食堂</t>
        </is>
      </c>
      <c r="F116" s="219" t="inlineStr">
        <is>
          <t>强责</t>
        </is>
      </c>
      <c r="G116" s="222" t="inlineStr">
        <is>
          <t>陆琪</t>
        </is>
      </c>
      <c r="H116" s="503" t="inlineStr">
        <is>
          <t>/</t>
        </is>
      </c>
      <c r="I116" s="355" t="inlineStr">
        <is>
          <t>黄焖鸡</t>
        </is>
      </c>
      <c r="J116" s="503" t="inlineStr">
        <is>
          <t>蒋彩云</t>
        </is>
      </c>
      <c r="K116" s="224" t="inlineStr">
        <is>
          <t>/</t>
        </is>
      </c>
      <c r="L116" s="651" t="n">
        <v>480000</v>
      </c>
      <c r="M116" s="113" t="n">
        <v>0.18</v>
      </c>
      <c r="N116" s="502" t="inlineStr">
        <is>
          <t>/</t>
        </is>
      </c>
      <c r="O116" s="113" t="n">
        <v>0.02</v>
      </c>
      <c r="P116" s="502" t="inlineStr">
        <is>
          <t>/</t>
        </is>
      </c>
      <c r="Q116" s="502" t="inlineStr">
        <is>
          <t>/</t>
        </is>
      </c>
      <c r="R116" s="502" t="inlineStr">
        <is>
          <t>/</t>
        </is>
      </c>
      <c r="S116" s="502" t="inlineStr">
        <is>
          <t>/</t>
        </is>
      </c>
      <c r="T116" s="224" t="n">
        <v>0.04</v>
      </c>
      <c r="U116" s="224" t="n">
        <v>0.04</v>
      </c>
      <c r="V116" s="502" t="inlineStr">
        <is>
          <t>/</t>
        </is>
      </c>
      <c r="W116" s="114" t="n">
        <v>0.5</v>
      </c>
      <c r="X116" s="51" t="inlineStr">
        <is>
          <t>/</t>
        </is>
      </c>
      <c r="Y116" s="51" t="inlineStr">
        <is>
          <t>/</t>
        </is>
      </c>
      <c r="Z116" s="51" t="inlineStr">
        <is>
          <t>/</t>
        </is>
      </c>
      <c r="AA116" s="51" t="inlineStr">
        <is>
          <t>/</t>
        </is>
      </c>
      <c r="AB116" s="502" t="inlineStr">
        <is>
          <t>/</t>
        </is>
      </c>
      <c r="AC116" s="502" t="inlineStr">
        <is>
          <t>/</t>
        </is>
      </c>
      <c r="AD116" s="232" t="n"/>
      <c r="AE116" s="25" t="inlineStr">
        <is>
          <t xml:space="preserve">
1、签订期间：2026.1.1-2026.8.1；
2、指标按照全年换算；</t>
        </is>
      </c>
      <c r="AF116"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7" ht="72" customFormat="1" customHeight="1" s="209">
      <c r="A117" s="219" t="n">
        <v>115</v>
      </c>
      <c r="B117" s="14" t="inlineStr">
        <is>
          <t>KQCY0112</t>
        </is>
      </c>
      <c r="C117" s="221" t="inlineStr">
        <is>
          <t>餐饮二分部</t>
        </is>
      </c>
      <c r="D117" s="221" t="inlineStr">
        <is>
          <t>CF450</t>
        </is>
      </c>
      <c r="E117" s="221" t="inlineStr">
        <is>
          <t>天津大学学二食堂</t>
        </is>
      </c>
      <c r="F117" s="219" t="inlineStr">
        <is>
          <t>强责</t>
        </is>
      </c>
      <c r="G117" s="222" t="inlineStr">
        <is>
          <t>陆琪</t>
        </is>
      </c>
      <c r="H117" s="503" t="inlineStr">
        <is>
          <t>/</t>
        </is>
      </c>
      <c r="I117" s="355" t="inlineStr">
        <is>
          <t>南方面条</t>
        </is>
      </c>
      <c r="J117" s="503" t="inlineStr">
        <is>
          <t>孟祥东</t>
        </is>
      </c>
      <c r="K117" s="224" t="inlineStr">
        <is>
          <t>/</t>
        </is>
      </c>
      <c r="L117" s="651" t="n">
        <v>240000</v>
      </c>
      <c r="M117" s="113" t="n">
        <v>0.18</v>
      </c>
      <c r="N117" s="502" t="inlineStr">
        <is>
          <t>/</t>
        </is>
      </c>
      <c r="O117" s="113" t="n">
        <v>0.02</v>
      </c>
      <c r="P117" s="502" t="inlineStr">
        <is>
          <t>/</t>
        </is>
      </c>
      <c r="Q117" s="502" t="inlineStr">
        <is>
          <t>/</t>
        </is>
      </c>
      <c r="R117" s="502" t="inlineStr">
        <is>
          <t>/</t>
        </is>
      </c>
      <c r="S117" s="502" t="inlineStr">
        <is>
          <t>/</t>
        </is>
      </c>
      <c r="T117" s="224" t="n">
        <v>0.04</v>
      </c>
      <c r="U117" s="224" t="n">
        <v>0.04</v>
      </c>
      <c r="V117" s="502" t="inlineStr">
        <is>
          <t>/</t>
        </is>
      </c>
      <c r="W117" s="114" t="n">
        <v>0.5</v>
      </c>
      <c r="X117" s="51" t="inlineStr">
        <is>
          <t>/</t>
        </is>
      </c>
      <c r="Y117" s="51" t="inlineStr">
        <is>
          <t>/</t>
        </is>
      </c>
      <c r="Z117" s="51" t="inlineStr">
        <is>
          <t>/</t>
        </is>
      </c>
      <c r="AA117" s="51" t="inlineStr">
        <is>
          <t>/</t>
        </is>
      </c>
      <c r="AB117" s="502" t="inlineStr">
        <is>
          <t>/</t>
        </is>
      </c>
      <c r="AC117" s="502" t="inlineStr">
        <is>
          <t>/</t>
        </is>
      </c>
      <c r="AD117" s="232" t="n"/>
      <c r="AE117" s="25" t="inlineStr">
        <is>
          <t xml:space="preserve">
1、签订期间：2026.1.1-2026.8.1；
2、指标按照全年换算；</t>
        </is>
      </c>
      <c r="AF117"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8" ht="72" customFormat="1" customHeight="1" s="209">
      <c r="A118" s="219" t="n">
        <v>116</v>
      </c>
      <c r="B118" s="14" t="inlineStr">
        <is>
          <t>KQCY0113</t>
        </is>
      </c>
      <c r="C118" s="221" t="inlineStr">
        <is>
          <t>餐饮二分部</t>
        </is>
      </c>
      <c r="D118" s="221" t="inlineStr">
        <is>
          <t>CF450</t>
        </is>
      </c>
      <c r="E118" s="221" t="inlineStr">
        <is>
          <t>天津大学学二食堂</t>
        </is>
      </c>
      <c r="F118" s="219" t="inlineStr">
        <is>
          <t>强责</t>
        </is>
      </c>
      <c r="G118" s="222" t="inlineStr">
        <is>
          <t>陆琪</t>
        </is>
      </c>
      <c r="H118" s="503" t="inlineStr">
        <is>
          <t>/</t>
        </is>
      </c>
      <c r="I118" s="355" t="inlineStr">
        <is>
          <t>饸饹面</t>
        </is>
      </c>
      <c r="J118" s="503" t="inlineStr">
        <is>
          <t>要志远</t>
        </is>
      </c>
      <c r="K118" s="224" t="inlineStr">
        <is>
          <t>/</t>
        </is>
      </c>
      <c r="L118" s="651" t="n">
        <v>220000</v>
      </c>
      <c r="M118" s="113" t="n">
        <v>0.18</v>
      </c>
      <c r="N118" s="502" t="inlineStr">
        <is>
          <t>/</t>
        </is>
      </c>
      <c r="O118" s="113" t="n">
        <v>0.02</v>
      </c>
      <c r="P118" s="502" t="inlineStr">
        <is>
          <t>/</t>
        </is>
      </c>
      <c r="Q118" s="502" t="inlineStr">
        <is>
          <t>/</t>
        </is>
      </c>
      <c r="R118" s="502" t="inlineStr">
        <is>
          <t>/</t>
        </is>
      </c>
      <c r="S118" s="502" t="inlineStr">
        <is>
          <t>/</t>
        </is>
      </c>
      <c r="T118" s="224" t="n">
        <v>0.04</v>
      </c>
      <c r="U118" s="224" t="n">
        <v>0.04</v>
      </c>
      <c r="V118" s="502" t="inlineStr">
        <is>
          <t>/</t>
        </is>
      </c>
      <c r="W118" s="114" t="n">
        <v>0.5</v>
      </c>
      <c r="X118" s="51" t="inlineStr">
        <is>
          <t>/</t>
        </is>
      </c>
      <c r="Y118" s="51" t="inlineStr">
        <is>
          <t>/</t>
        </is>
      </c>
      <c r="Z118" s="51" t="inlineStr">
        <is>
          <t>/</t>
        </is>
      </c>
      <c r="AA118" s="51" t="inlineStr">
        <is>
          <t>/</t>
        </is>
      </c>
      <c r="AB118" s="502" t="inlineStr">
        <is>
          <t>/</t>
        </is>
      </c>
      <c r="AC118" s="502" t="inlineStr">
        <is>
          <t>/</t>
        </is>
      </c>
      <c r="AD118" s="232" t="n"/>
      <c r="AE118" s="25" t="inlineStr">
        <is>
          <t xml:space="preserve">
1、签订期间：2026.1.1-2026.8.1；
2、指标按照全年换算；</t>
        </is>
      </c>
      <c r="AF118"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9" ht="72" customFormat="1" customHeight="1" s="209">
      <c r="A119" s="219" t="n">
        <v>117</v>
      </c>
      <c r="B119" s="14" t="inlineStr">
        <is>
          <t>KQCY0114</t>
        </is>
      </c>
      <c r="C119" s="221" t="inlineStr">
        <is>
          <t>餐饮二分部</t>
        </is>
      </c>
      <c r="D119" s="221" t="inlineStr">
        <is>
          <t>CF450</t>
        </is>
      </c>
      <c r="E119" s="221" t="inlineStr">
        <is>
          <t>天津大学学二食堂</t>
        </is>
      </c>
      <c r="F119" s="219" t="inlineStr">
        <is>
          <t>强责</t>
        </is>
      </c>
      <c r="G119" s="222" t="inlineStr">
        <is>
          <t>陆琪</t>
        </is>
      </c>
      <c r="H119" s="503" t="inlineStr">
        <is>
          <t>/</t>
        </is>
      </c>
      <c r="I119" s="355" t="inlineStr">
        <is>
          <t>麻辣烫</t>
        </is>
      </c>
      <c r="J119" s="503" t="inlineStr">
        <is>
          <t>孟迪</t>
        </is>
      </c>
      <c r="K119" s="224" t="inlineStr">
        <is>
          <t>/</t>
        </is>
      </c>
      <c r="L119" s="651" t="n">
        <v>300000</v>
      </c>
      <c r="M119" s="113" t="n">
        <v>0.18</v>
      </c>
      <c r="N119" s="502" t="inlineStr">
        <is>
          <t>/</t>
        </is>
      </c>
      <c r="O119" s="113" t="n">
        <v>0.02</v>
      </c>
      <c r="P119" s="502" t="inlineStr">
        <is>
          <t>/</t>
        </is>
      </c>
      <c r="Q119" s="502" t="inlineStr">
        <is>
          <t>/</t>
        </is>
      </c>
      <c r="R119" s="502" t="inlineStr">
        <is>
          <t>/</t>
        </is>
      </c>
      <c r="S119" s="502" t="inlineStr">
        <is>
          <t>/</t>
        </is>
      </c>
      <c r="T119" s="224" t="n">
        <v>0.04</v>
      </c>
      <c r="U119" s="224" t="n">
        <v>0.04</v>
      </c>
      <c r="V119" s="502" t="inlineStr">
        <is>
          <t>/</t>
        </is>
      </c>
      <c r="W119" s="114" t="n">
        <v>0.5</v>
      </c>
      <c r="X119" s="51" t="inlineStr">
        <is>
          <t>/</t>
        </is>
      </c>
      <c r="Y119" s="51" t="inlineStr">
        <is>
          <t>/</t>
        </is>
      </c>
      <c r="Z119" s="51" t="inlineStr">
        <is>
          <t>/</t>
        </is>
      </c>
      <c r="AA119" s="51" t="inlineStr">
        <is>
          <t>/</t>
        </is>
      </c>
      <c r="AB119" s="502" t="inlineStr">
        <is>
          <t>/</t>
        </is>
      </c>
      <c r="AC119" s="502" t="inlineStr">
        <is>
          <t>/</t>
        </is>
      </c>
      <c r="AD119" s="232" t="n"/>
      <c r="AE119" s="25" t="inlineStr">
        <is>
          <t xml:space="preserve">
1、签订期间：2026.1.1-2026.8.1；
2、指标按照全年换算；</t>
        </is>
      </c>
      <c r="AF119"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20" ht="72" customFormat="1" customHeight="1" s="209">
      <c r="A120" s="219" t="n">
        <v>118</v>
      </c>
      <c r="B120" s="14" t="inlineStr">
        <is>
          <t>KQCY0115</t>
        </is>
      </c>
      <c r="C120" s="221" t="inlineStr">
        <is>
          <t>餐饮二分部</t>
        </is>
      </c>
      <c r="D120" s="221" t="inlineStr">
        <is>
          <t>CF450</t>
        </is>
      </c>
      <c r="E120" s="221" t="inlineStr">
        <is>
          <t>天津大学学二食堂</t>
        </is>
      </c>
      <c r="F120" s="219" t="inlineStr">
        <is>
          <t>强责</t>
        </is>
      </c>
      <c r="G120" s="222" t="inlineStr">
        <is>
          <t>陆琪</t>
        </is>
      </c>
      <c r="H120" s="503" t="inlineStr">
        <is>
          <t>/</t>
        </is>
      </c>
      <c r="I120" s="355" t="inlineStr">
        <is>
          <t>烤鸭饭</t>
        </is>
      </c>
      <c r="J120" s="503" t="inlineStr">
        <is>
          <t>董子帅</t>
        </is>
      </c>
      <c r="K120" s="224" t="inlineStr">
        <is>
          <t>/</t>
        </is>
      </c>
      <c r="L120" s="651" t="n">
        <v>400000</v>
      </c>
      <c r="M120" s="113" t="n">
        <v>0.18</v>
      </c>
      <c r="N120" s="502" t="inlineStr">
        <is>
          <t>/</t>
        </is>
      </c>
      <c r="O120" s="113" t="n">
        <v>0.02</v>
      </c>
      <c r="P120" s="502" t="inlineStr">
        <is>
          <t>/</t>
        </is>
      </c>
      <c r="Q120" s="502" t="inlineStr">
        <is>
          <t>/</t>
        </is>
      </c>
      <c r="R120" s="502" t="inlineStr">
        <is>
          <t>/</t>
        </is>
      </c>
      <c r="S120" s="502" t="inlineStr">
        <is>
          <t>/</t>
        </is>
      </c>
      <c r="T120" s="224" t="n">
        <v>0.04</v>
      </c>
      <c r="U120" s="224" t="n">
        <v>0.04</v>
      </c>
      <c r="V120" s="502" t="inlineStr">
        <is>
          <t>/</t>
        </is>
      </c>
      <c r="W120" s="114" t="n">
        <v>0.5</v>
      </c>
      <c r="X120" s="51" t="inlineStr">
        <is>
          <t>/</t>
        </is>
      </c>
      <c r="Y120" s="51" t="inlineStr">
        <is>
          <t>/</t>
        </is>
      </c>
      <c r="Z120" s="51" t="inlineStr">
        <is>
          <t>/</t>
        </is>
      </c>
      <c r="AA120" s="51" t="inlineStr">
        <is>
          <t>/</t>
        </is>
      </c>
      <c r="AB120" s="502" t="inlineStr">
        <is>
          <t>/</t>
        </is>
      </c>
      <c r="AC120" s="502" t="inlineStr">
        <is>
          <t>/</t>
        </is>
      </c>
      <c r="AD120" s="232" t="n"/>
      <c r="AE120" s="25" t="inlineStr">
        <is>
          <t xml:space="preserve">
1、签订期间：2026.1.1-2026.8.1；
2、指标按照全年换算；</t>
        </is>
      </c>
      <c r="AF120"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21" ht="72" customFormat="1" customHeight="1" s="209">
      <c r="A121" s="219" t="n">
        <v>119</v>
      </c>
      <c r="B121" s="14" t="inlineStr">
        <is>
          <t>KQCY0116</t>
        </is>
      </c>
      <c r="C121" s="221" t="inlineStr">
        <is>
          <t>餐饮二分部</t>
        </is>
      </c>
      <c r="D121" s="221" t="inlineStr">
        <is>
          <t>CF450</t>
        </is>
      </c>
      <c r="E121" s="221" t="inlineStr">
        <is>
          <t>天津大学学二食堂</t>
        </is>
      </c>
      <c r="F121" s="219" t="inlineStr">
        <is>
          <t>强责</t>
        </is>
      </c>
      <c r="G121" s="222" t="inlineStr">
        <is>
          <t>陆琪</t>
        </is>
      </c>
      <c r="H121" s="503" t="inlineStr">
        <is>
          <t>/</t>
        </is>
      </c>
      <c r="I121" s="355" t="inlineStr">
        <is>
          <t>真有面</t>
        </is>
      </c>
      <c r="J121" s="503" t="inlineStr">
        <is>
          <t>张星华</t>
        </is>
      </c>
      <c r="K121" s="224" t="inlineStr">
        <is>
          <t>/</t>
        </is>
      </c>
      <c r="L121" s="651" t="n">
        <v>300000</v>
      </c>
      <c r="M121" s="113" t="n">
        <v>0.18</v>
      </c>
      <c r="N121" s="502" t="inlineStr">
        <is>
          <t>/</t>
        </is>
      </c>
      <c r="O121" s="113" t="n">
        <v>0.02</v>
      </c>
      <c r="P121" s="502" t="inlineStr">
        <is>
          <t>/</t>
        </is>
      </c>
      <c r="Q121" s="502" t="inlineStr">
        <is>
          <t>/</t>
        </is>
      </c>
      <c r="R121" s="502" t="inlineStr">
        <is>
          <t>/</t>
        </is>
      </c>
      <c r="S121" s="502" t="inlineStr">
        <is>
          <t>/</t>
        </is>
      </c>
      <c r="T121" s="224" t="n">
        <v>0.04</v>
      </c>
      <c r="U121" s="224" t="n">
        <v>0.04</v>
      </c>
      <c r="V121" s="502" t="inlineStr">
        <is>
          <t>/</t>
        </is>
      </c>
      <c r="W121" s="114" t="n">
        <v>0.5</v>
      </c>
      <c r="X121" s="51" t="inlineStr">
        <is>
          <t>/</t>
        </is>
      </c>
      <c r="Y121" s="51" t="inlineStr">
        <is>
          <t>/</t>
        </is>
      </c>
      <c r="Z121" s="51" t="inlineStr">
        <is>
          <t>/</t>
        </is>
      </c>
      <c r="AA121" s="51" t="inlineStr">
        <is>
          <t>/</t>
        </is>
      </c>
      <c r="AB121" s="502" t="inlineStr">
        <is>
          <t>/</t>
        </is>
      </c>
      <c r="AC121" s="502" t="inlineStr">
        <is>
          <t>/</t>
        </is>
      </c>
      <c r="AD121" s="232" t="n"/>
      <c r="AE121" s="25" t="inlineStr">
        <is>
          <t xml:space="preserve">
1、签订期间：2026.1.1-2026.8.1；
2、指标按照全年换算；</t>
        </is>
      </c>
      <c r="AF121"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22" ht="72" customFormat="1" customHeight="1" s="209">
      <c r="A122" s="219" t="n">
        <v>120</v>
      </c>
      <c r="B122" s="14" t="inlineStr">
        <is>
          <t>KQCY0117</t>
        </is>
      </c>
      <c r="C122" s="221" t="inlineStr">
        <is>
          <t>餐饮二分部</t>
        </is>
      </c>
      <c r="D122" s="221" t="inlineStr">
        <is>
          <t>CF450</t>
        </is>
      </c>
      <c r="E122" s="221" t="inlineStr">
        <is>
          <t>天津大学学二食堂</t>
        </is>
      </c>
      <c r="F122" s="219" t="inlineStr">
        <is>
          <t>强责</t>
        </is>
      </c>
      <c r="G122" s="222" t="inlineStr">
        <is>
          <t>陆琪</t>
        </is>
      </c>
      <c r="H122" s="503" t="inlineStr">
        <is>
          <t>/</t>
        </is>
      </c>
      <c r="I122" s="355" t="inlineStr">
        <is>
          <t>云南生烫米线</t>
        </is>
      </c>
      <c r="J122" s="503" t="inlineStr">
        <is>
          <t>由俊楠</t>
        </is>
      </c>
      <c r="K122" s="224" t="inlineStr">
        <is>
          <t>/</t>
        </is>
      </c>
      <c r="L122" s="651" t="n">
        <v>220000</v>
      </c>
      <c r="M122" s="113" t="n">
        <v>0.18</v>
      </c>
      <c r="N122" s="502" t="inlineStr">
        <is>
          <t>/</t>
        </is>
      </c>
      <c r="O122" s="113" t="n">
        <v>0.02</v>
      </c>
      <c r="P122" s="502" t="inlineStr">
        <is>
          <t>/</t>
        </is>
      </c>
      <c r="Q122" s="502" t="inlineStr">
        <is>
          <t>/</t>
        </is>
      </c>
      <c r="R122" s="502" t="inlineStr">
        <is>
          <t>/</t>
        </is>
      </c>
      <c r="S122" s="502" t="inlineStr">
        <is>
          <t>/</t>
        </is>
      </c>
      <c r="T122" s="224" t="n">
        <v>0.04</v>
      </c>
      <c r="U122" s="224" t="n">
        <v>0.04</v>
      </c>
      <c r="V122" s="502" t="inlineStr">
        <is>
          <t>/</t>
        </is>
      </c>
      <c r="W122" s="114" t="n">
        <v>0.5</v>
      </c>
      <c r="X122" s="51" t="inlineStr">
        <is>
          <t>/</t>
        </is>
      </c>
      <c r="Y122" s="51" t="inlineStr">
        <is>
          <t>/</t>
        </is>
      </c>
      <c r="Z122" s="51" t="inlineStr">
        <is>
          <t>/</t>
        </is>
      </c>
      <c r="AA122" s="51" t="inlineStr">
        <is>
          <t>/</t>
        </is>
      </c>
      <c r="AB122" s="502" t="inlineStr">
        <is>
          <t>/</t>
        </is>
      </c>
      <c r="AC122" s="502" t="inlineStr">
        <is>
          <t>/</t>
        </is>
      </c>
      <c r="AD122" s="232" t="n"/>
      <c r="AE122" s="25" t="inlineStr">
        <is>
          <t xml:space="preserve">
1、签订期间：2026.1.1-2026.8.1；
2、指标按照全年换算；</t>
        </is>
      </c>
      <c r="AF122"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23" ht="12" customFormat="1" customHeight="1" s="209">
      <c r="A123" s="219" t="n">
        <v>121</v>
      </c>
      <c r="B123" s="14" t="inlineStr">
        <is>
          <t>KQCY0118</t>
        </is>
      </c>
      <c r="C123" s="221" t="inlineStr">
        <is>
          <t>餐饮二分部</t>
        </is>
      </c>
      <c r="D123" s="221" t="inlineStr">
        <is>
          <t>CF513</t>
        </is>
      </c>
      <c r="E123" s="221" t="inlineStr">
        <is>
          <t>天津大学学三食堂</t>
        </is>
      </c>
      <c r="F123" s="219" t="inlineStr">
        <is>
          <t>人员服务外包</t>
        </is>
      </c>
      <c r="G123" s="222" t="inlineStr">
        <is>
          <t>陆琪</t>
        </is>
      </c>
      <c r="H123" s="222" t="inlineStr">
        <is>
          <t>/</t>
        </is>
      </c>
      <c r="I123" s="232" t="inlineStr">
        <is>
          <t>/</t>
        </is>
      </c>
      <c r="J123" s="503" t="inlineStr">
        <is>
          <t>/</t>
        </is>
      </c>
      <c r="K123" s="224" t="inlineStr">
        <is>
          <t>/</t>
        </is>
      </c>
      <c r="L123" s="651" t="n">
        <v>566000</v>
      </c>
      <c r="M123" s="502" t="inlineStr">
        <is>
          <t>/</t>
        </is>
      </c>
      <c r="N123" s="502" t="inlineStr">
        <is>
          <t>/</t>
        </is>
      </c>
      <c r="O123" s="502" t="inlineStr">
        <is>
          <t>/</t>
        </is>
      </c>
      <c r="P123" s="502" t="inlineStr">
        <is>
          <t>/</t>
        </is>
      </c>
      <c r="Q123" s="502" t="inlineStr">
        <is>
          <t>/</t>
        </is>
      </c>
      <c r="R123" s="502" t="inlineStr">
        <is>
          <t>/</t>
        </is>
      </c>
      <c r="S123" s="502" t="inlineStr">
        <is>
          <t>/</t>
        </is>
      </c>
      <c r="T123" s="503" t="inlineStr">
        <is>
          <t>/</t>
        </is>
      </c>
      <c r="U123" s="502" t="inlineStr">
        <is>
          <t>/</t>
        </is>
      </c>
      <c r="V123" s="502" t="inlineStr">
        <is>
          <t>/</t>
        </is>
      </c>
      <c r="W123" s="503" t="inlineStr">
        <is>
          <t>/</t>
        </is>
      </c>
      <c r="X123" s="51" t="inlineStr">
        <is>
          <t>/</t>
        </is>
      </c>
      <c r="Y123" s="51" t="inlineStr">
        <is>
          <t>/</t>
        </is>
      </c>
      <c r="Z123" s="51" t="inlineStr">
        <is>
          <t>/</t>
        </is>
      </c>
      <c r="AA123" s="51" t="inlineStr">
        <is>
          <t>/</t>
        </is>
      </c>
      <c r="AB123" s="222" t="n">
        <v>100000</v>
      </c>
      <c r="AC123" s="46" t="inlineStr">
        <is>
          <t>/</t>
        </is>
      </c>
      <c r="AD123" s="232" t="inlineStr">
        <is>
          <t>1、分部管理费：10万元</t>
        </is>
      </c>
      <c r="AE123" s="25" t="n"/>
      <c r="AF123" s="206" t="n"/>
    </row>
    <row r="124" ht="12" customFormat="1" customHeight="1" s="209">
      <c r="A124" s="219" t="n">
        <v>122</v>
      </c>
      <c r="B124" s="14" t="inlineStr">
        <is>
          <t>KQCY0119</t>
        </is>
      </c>
      <c r="C124" s="221" t="inlineStr">
        <is>
          <t>餐饮二分部</t>
        </is>
      </c>
      <c r="D124" s="221" t="inlineStr">
        <is>
          <t>CF453</t>
        </is>
      </c>
      <c r="E124" s="221" t="inlineStr">
        <is>
          <t>天津大学学四食堂</t>
        </is>
      </c>
      <c r="F124" s="219" t="inlineStr">
        <is>
          <t>人员服务外包</t>
        </is>
      </c>
      <c r="G124" s="222" t="inlineStr">
        <is>
          <t>陆琪</t>
        </is>
      </c>
      <c r="H124" s="222" t="inlineStr">
        <is>
          <t>/</t>
        </is>
      </c>
      <c r="I124" s="232" t="inlineStr">
        <is>
          <t>/</t>
        </is>
      </c>
      <c r="J124" s="503" t="inlineStr">
        <is>
          <t>/</t>
        </is>
      </c>
      <c r="K124" s="224" t="inlineStr">
        <is>
          <t>/</t>
        </is>
      </c>
      <c r="L124" s="651" t="n">
        <v>710000</v>
      </c>
      <c r="M124" s="502" t="inlineStr">
        <is>
          <t>/</t>
        </is>
      </c>
      <c r="N124" s="502" t="inlineStr">
        <is>
          <t>/</t>
        </is>
      </c>
      <c r="O124" s="502" t="inlineStr">
        <is>
          <t>/</t>
        </is>
      </c>
      <c r="P124" s="502" t="inlineStr">
        <is>
          <t>/</t>
        </is>
      </c>
      <c r="Q124" s="502" t="inlineStr">
        <is>
          <t>/</t>
        </is>
      </c>
      <c r="R124" s="502" t="inlineStr">
        <is>
          <t>/</t>
        </is>
      </c>
      <c r="S124" s="502" t="inlineStr">
        <is>
          <t>/</t>
        </is>
      </c>
      <c r="T124" s="503" t="inlineStr">
        <is>
          <t>/</t>
        </is>
      </c>
      <c r="U124" s="502" t="inlineStr">
        <is>
          <t>/</t>
        </is>
      </c>
      <c r="V124" s="502" t="inlineStr">
        <is>
          <t>/</t>
        </is>
      </c>
      <c r="W124" s="503" t="inlineStr">
        <is>
          <t>/</t>
        </is>
      </c>
      <c r="X124" s="51" t="inlineStr">
        <is>
          <t>/</t>
        </is>
      </c>
      <c r="Y124" s="51" t="inlineStr">
        <is>
          <t>/</t>
        </is>
      </c>
      <c r="Z124" s="51" t="inlineStr">
        <is>
          <t>/</t>
        </is>
      </c>
      <c r="AA124" s="51" t="inlineStr">
        <is>
          <t>/</t>
        </is>
      </c>
      <c r="AB124" s="222" t="n">
        <v>100000</v>
      </c>
      <c r="AC124" s="46" t="inlineStr">
        <is>
          <t>/</t>
        </is>
      </c>
      <c r="AD124" s="232" t="inlineStr">
        <is>
          <t>1、分部管理费：10万元</t>
        </is>
      </c>
      <c r="AE124" s="25" t="n"/>
      <c r="AF124" s="206" t="n"/>
    </row>
    <row r="125" ht="24" customFormat="1" customHeight="1" s="209">
      <c r="A125" s="219" t="n">
        <v>123</v>
      </c>
      <c r="B125" s="535" t="n"/>
      <c r="C125" s="221" t="inlineStr">
        <is>
          <t>餐饮三分部</t>
        </is>
      </c>
      <c r="D125" s="221" t="inlineStr">
        <is>
          <t>CF190</t>
        </is>
      </c>
      <c r="E125" s="221" t="inlineStr">
        <is>
          <t>苏旅财食堂</t>
        </is>
      </c>
      <c r="F125" s="221" t="inlineStr">
        <is>
          <t>人员服务外包</t>
        </is>
      </c>
      <c r="G125" s="243" t="inlineStr">
        <is>
          <t>位军浩</t>
        </is>
      </c>
      <c r="H125" s="243" t="inlineStr">
        <is>
          <t>/</t>
        </is>
      </c>
      <c r="I125" s="243" t="inlineStr">
        <is>
          <t>/</t>
        </is>
      </c>
      <c r="J125" s="243" t="inlineStr">
        <is>
          <t>/</t>
        </is>
      </c>
      <c r="K125" s="349" t="inlineStr">
        <is>
          <t>/</t>
        </is>
      </c>
      <c r="L125" s="651" t="inlineStr">
        <is>
          <t>/</t>
        </is>
      </c>
      <c r="M125" s="462" t="inlineStr">
        <is>
          <t>/</t>
        </is>
      </c>
      <c r="N125" s="47" t="n"/>
      <c r="O125" s="106" t="n"/>
      <c r="P125" s="106" t="n"/>
      <c r="Q125" s="462" t="inlineStr">
        <is>
          <t>/</t>
        </is>
      </c>
      <c r="R125" s="462" t="inlineStr">
        <is>
          <t>/</t>
        </is>
      </c>
      <c r="S125" s="462" t="inlineStr">
        <is>
          <t>/</t>
        </is>
      </c>
      <c r="T125" s="480" t="inlineStr">
        <is>
          <t>/</t>
        </is>
      </c>
      <c r="U125" s="462" t="inlineStr">
        <is>
          <t>/</t>
        </is>
      </c>
      <c r="V125" s="462" t="inlineStr">
        <is>
          <t>/</t>
        </is>
      </c>
      <c r="W125" s="480" t="inlineStr">
        <is>
          <t>/</t>
        </is>
      </c>
      <c r="X125" s="115" t="inlineStr">
        <is>
          <t>/</t>
        </is>
      </c>
      <c r="Y125" s="115" t="inlineStr">
        <is>
          <t>/</t>
        </is>
      </c>
      <c r="Z125" s="115" t="inlineStr">
        <is>
          <t>/</t>
        </is>
      </c>
      <c r="AA125" s="115" t="inlineStr">
        <is>
          <t>/</t>
        </is>
      </c>
      <c r="AB125" s="243" t="n"/>
      <c r="AC125" s="224" t="inlineStr">
        <is>
          <t>/</t>
        </is>
      </c>
      <c r="AD125" s="48" t="inlineStr">
        <is>
          <t>1、自营未实际经营；
2、分部管理费：100000/年+1%营业额</t>
        </is>
      </c>
      <c r="AE125" s="25" t="n"/>
      <c r="AF125" s="206" t="n"/>
    </row>
    <row r="126" ht="24" customFormat="1" customHeight="1" s="209">
      <c r="A126" s="219" t="n">
        <v>124</v>
      </c>
      <c r="B126" s="14" t="inlineStr">
        <is>
          <t>KQCY0120</t>
        </is>
      </c>
      <c r="C126" s="221" t="inlineStr">
        <is>
          <t>餐饮三分部</t>
        </is>
      </c>
      <c r="D126" s="221" t="inlineStr">
        <is>
          <t>CF190</t>
        </is>
      </c>
      <c r="E126" s="221" t="inlineStr">
        <is>
          <t>苏旅财食堂</t>
        </is>
      </c>
      <c r="F126" s="221" t="inlineStr">
        <is>
          <t>人员服务外包</t>
        </is>
      </c>
      <c r="G126" s="222" t="inlineStr">
        <is>
          <t>位军浩</t>
        </is>
      </c>
      <c r="H126" s="222" t="inlineStr">
        <is>
          <t>第一班组</t>
        </is>
      </c>
      <c r="I126" s="232" t="inlineStr">
        <is>
          <t>苏式汤面</t>
        </is>
      </c>
      <c r="J126" s="503" t="inlineStr">
        <is>
          <t>闵晓均</t>
        </is>
      </c>
      <c r="K126" s="224" t="inlineStr">
        <is>
          <t>/</t>
        </is>
      </c>
      <c r="L126" s="651" t="n">
        <v>280000</v>
      </c>
      <c r="M126" s="22" t="n">
        <v>0.09</v>
      </c>
      <c r="N126" s="224" t="inlineStr">
        <is>
          <t>/</t>
        </is>
      </c>
      <c r="O126" s="224" t="inlineStr">
        <is>
          <t>/</t>
        </is>
      </c>
      <c r="P126" s="502" t="n">
        <v>137.45</v>
      </c>
      <c r="Q126" s="113" t="n">
        <v>0.02</v>
      </c>
      <c r="R126" s="22" t="inlineStr">
        <is>
          <t>/</t>
        </is>
      </c>
      <c r="S126" s="224" t="inlineStr">
        <is>
          <t>/</t>
        </is>
      </c>
      <c r="T126" s="22" t="n"/>
      <c r="U126" s="116" t="inlineStr">
        <is>
          <t>/</t>
        </is>
      </c>
      <c r="V126" s="224" t="n">
        <v>0.04</v>
      </c>
      <c r="W126" s="224" t="n">
        <v>0.54</v>
      </c>
      <c r="X126" s="502" t="inlineStr">
        <is>
          <t>/</t>
        </is>
      </c>
      <c r="Y126" s="502" t="inlineStr">
        <is>
          <t>/</t>
        </is>
      </c>
      <c r="Z126" s="502" t="inlineStr">
        <is>
          <t>/</t>
        </is>
      </c>
      <c r="AA126" s="502" t="inlineStr">
        <is>
          <t>/</t>
        </is>
      </c>
      <c r="AB126" s="22" t="inlineStr">
        <is>
          <t>/</t>
        </is>
      </c>
      <c r="AC126" s="503" t="inlineStr">
        <is>
          <t>/</t>
        </is>
      </c>
      <c r="AD126" s="232" t="inlineStr">
        <is>
          <t>1、其他：外卖人员服务费按照实际外卖营业额4%收取</t>
        </is>
      </c>
      <c r="AE126" s="25" t="inlineStr">
        <is>
          <t>1、签订期间：2026.3.1-2026.8.30；
2、指标按照全年换算；</t>
        </is>
      </c>
      <c r="AF126" s="232" t="n"/>
    </row>
    <row r="127" ht="24" customFormat="1" customHeight="1" s="209">
      <c r="A127" s="219" t="n">
        <v>125</v>
      </c>
      <c r="B127" s="14" t="inlineStr">
        <is>
          <t>KQCY0121</t>
        </is>
      </c>
      <c r="C127" s="221" t="inlineStr">
        <is>
          <t>餐饮三分部</t>
        </is>
      </c>
      <c r="D127" s="221" t="inlineStr">
        <is>
          <t>CF190</t>
        </is>
      </c>
      <c r="E127" s="221" t="inlineStr">
        <is>
          <t>苏旅财食堂</t>
        </is>
      </c>
      <c r="F127" s="221" t="inlineStr">
        <is>
          <t>人员服务外包</t>
        </is>
      </c>
      <c r="G127" s="222" t="inlineStr">
        <is>
          <t>位军浩</t>
        </is>
      </c>
      <c r="H127" s="222" t="inlineStr">
        <is>
          <t>第二班组</t>
        </is>
      </c>
      <c r="I127" s="232" t="inlineStr">
        <is>
          <t>铁板砂锅</t>
        </is>
      </c>
      <c r="J127" s="503" t="inlineStr">
        <is>
          <t>付鹏亮</t>
        </is>
      </c>
      <c r="K127" s="224" t="inlineStr">
        <is>
          <t>/</t>
        </is>
      </c>
      <c r="L127" s="651" t="n">
        <v>560000</v>
      </c>
      <c r="M127" s="22" t="n">
        <v>0.1</v>
      </c>
      <c r="N127" s="224" t="inlineStr">
        <is>
          <t>/</t>
        </is>
      </c>
      <c r="O127" s="224" t="inlineStr">
        <is>
          <t>/</t>
        </is>
      </c>
      <c r="P127" s="502" t="n">
        <v>308.9</v>
      </c>
      <c r="Q127" s="113" t="n">
        <v>0.02</v>
      </c>
      <c r="R127" s="22" t="inlineStr">
        <is>
          <t>/</t>
        </is>
      </c>
      <c r="S127" s="224" t="inlineStr">
        <is>
          <t>/</t>
        </is>
      </c>
      <c r="T127" s="22" t="n"/>
      <c r="U127" s="116" t="inlineStr">
        <is>
          <t>/</t>
        </is>
      </c>
      <c r="V127" s="224" t="n">
        <v>0.04</v>
      </c>
      <c r="W127" s="224" t="n">
        <v>0.52</v>
      </c>
      <c r="X127" s="502" t="inlineStr">
        <is>
          <t>/</t>
        </is>
      </c>
      <c r="Y127" s="502" t="inlineStr">
        <is>
          <t>/</t>
        </is>
      </c>
      <c r="Z127" s="502" t="inlineStr">
        <is>
          <t>/</t>
        </is>
      </c>
      <c r="AA127" s="502" t="inlineStr">
        <is>
          <t>/</t>
        </is>
      </c>
      <c r="AB127" s="22" t="inlineStr">
        <is>
          <t>/</t>
        </is>
      </c>
      <c r="AC127" s="503" t="inlineStr">
        <is>
          <t>/</t>
        </is>
      </c>
      <c r="AD127" s="232" t="inlineStr">
        <is>
          <t>1、其他：外卖人员服务费按照实际外卖营业额4%收取</t>
        </is>
      </c>
      <c r="AE127" s="25" t="inlineStr">
        <is>
          <t>1、签订期间：2026.3.1-2026.8.30；
2、指标按照全年换算；</t>
        </is>
      </c>
      <c r="AF127" s="232" t="n"/>
    </row>
    <row r="128" ht="24" customFormat="1" customHeight="1" s="209">
      <c r="A128" s="219" t="n">
        <v>126</v>
      </c>
      <c r="B128" s="14" t="inlineStr">
        <is>
          <t>KQCY0122</t>
        </is>
      </c>
      <c r="C128" s="221" t="inlineStr">
        <is>
          <t>餐饮三分部</t>
        </is>
      </c>
      <c r="D128" s="221" t="inlineStr">
        <is>
          <t>CF190</t>
        </is>
      </c>
      <c r="E128" s="221" t="inlineStr">
        <is>
          <t>苏旅财食堂</t>
        </is>
      </c>
      <c r="F128" s="221" t="inlineStr">
        <is>
          <t>人员服务外包</t>
        </is>
      </c>
      <c r="G128" s="222" t="inlineStr">
        <is>
          <t>位军浩</t>
        </is>
      </c>
      <c r="H128" s="222" t="inlineStr">
        <is>
          <t>第三班组</t>
        </is>
      </c>
      <c r="I128" s="232" t="inlineStr">
        <is>
          <t>石锅拌饭</t>
        </is>
      </c>
      <c r="J128" s="503" t="inlineStr">
        <is>
          <t>于红艳</t>
        </is>
      </c>
      <c r="K128" s="224" t="inlineStr">
        <is>
          <t>/</t>
        </is>
      </c>
      <c r="L128" s="651" t="n">
        <v>420000</v>
      </c>
      <c r="M128" s="22" t="n">
        <v>0.1</v>
      </c>
      <c r="N128" s="224" t="inlineStr">
        <is>
          <t>/</t>
        </is>
      </c>
      <c r="O128" s="224" t="inlineStr">
        <is>
          <t>/</t>
        </is>
      </c>
      <c r="P128" s="502" t="n">
        <v>217.9</v>
      </c>
      <c r="Q128" s="113" t="n">
        <v>0.02</v>
      </c>
      <c r="R128" s="22" t="inlineStr">
        <is>
          <t>/</t>
        </is>
      </c>
      <c r="S128" s="224" t="inlineStr">
        <is>
          <t>/</t>
        </is>
      </c>
      <c r="T128" s="22" t="n"/>
      <c r="U128" s="116" t="inlineStr">
        <is>
          <t>/</t>
        </is>
      </c>
      <c r="V128" s="224" t="n">
        <v>0.04</v>
      </c>
      <c r="W128" s="224" t="n">
        <v>0.52</v>
      </c>
      <c r="X128" s="502" t="inlineStr">
        <is>
          <t>/</t>
        </is>
      </c>
      <c r="Y128" s="502" t="inlineStr">
        <is>
          <t>/</t>
        </is>
      </c>
      <c r="Z128" s="502" t="inlineStr">
        <is>
          <t>/</t>
        </is>
      </c>
      <c r="AA128" s="502" t="inlineStr">
        <is>
          <t>/</t>
        </is>
      </c>
      <c r="AB128" s="22" t="inlineStr">
        <is>
          <t>/</t>
        </is>
      </c>
      <c r="AC128" s="503" t="inlineStr">
        <is>
          <t>/</t>
        </is>
      </c>
      <c r="AD128" s="232" t="inlineStr">
        <is>
          <t>1、其他：外卖人员服务费按照实际外卖营业额4%收取</t>
        </is>
      </c>
      <c r="AE128" s="25" t="inlineStr">
        <is>
          <t>1、签订期间：2026.3.1-2026.8.30；
2、指标按照全年换算；</t>
        </is>
      </c>
      <c r="AF128" s="232" t="n"/>
    </row>
    <row r="129" ht="24" customFormat="1" customHeight="1" s="209">
      <c r="A129" s="219" t="n">
        <v>127</v>
      </c>
      <c r="B129" s="14" t="inlineStr">
        <is>
          <t>KQCY0123</t>
        </is>
      </c>
      <c r="C129" s="221" t="inlineStr">
        <is>
          <t>餐饮三分部</t>
        </is>
      </c>
      <c r="D129" s="221" t="inlineStr">
        <is>
          <t>CF190</t>
        </is>
      </c>
      <c r="E129" s="221" t="inlineStr">
        <is>
          <t>苏旅财食堂</t>
        </is>
      </c>
      <c r="F129" s="221" t="inlineStr">
        <is>
          <t>人员服务外包</t>
        </is>
      </c>
      <c r="G129" s="222" t="inlineStr">
        <is>
          <t>位军浩</t>
        </is>
      </c>
      <c r="H129" s="222" t="inlineStr">
        <is>
          <t>第四班组</t>
        </is>
      </c>
      <c r="I129" s="232" t="inlineStr">
        <is>
          <t>杂粮煎饼</t>
        </is>
      </c>
      <c r="J129" s="503" t="inlineStr">
        <is>
          <t>李右华</t>
        </is>
      </c>
      <c r="K129" s="224" t="inlineStr">
        <is>
          <t>/</t>
        </is>
      </c>
      <c r="L129" s="651" t="n">
        <v>210000</v>
      </c>
      <c r="M129" s="22" t="n">
        <v>0.1</v>
      </c>
      <c r="N129" s="224" t="inlineStr">
        <is>
          <t>/</t>
        </is>
      </c>
      <c r="O129" s="224" t="inlineStr">
        <is>
          <t>/</t>
        </is>
      </c>
      <c r="P129" s="502" t="n">
        <v>175.4</v>
      </c>
      <c r="Q129" s="113" t="n">
        <v>0.02</v>
      </c>
      <c r="R129" s="22" t="inlineStr">
        <is>
          <t>/</t>
        </is>
      </c>
      <c r="S129" s="224" t="inlineStr">
        <is>
          <t>/</t>
        </is>
      </c>
      <c r="T129" s="22" t="n"/>
      <c r="U129" s="116" t="inlineStr">
        <is>
          <t>/</t>
        </is>
      </c>
      <c r="V129" s="224" t="n">
        <v>0.04</v>
      </c>
      <c r="W129" s="224" t="n">
        <v>0.52</v>
      </c>
      <c r="X129" s="502" t="inlineStr">
        <is>
          <t>/</t>
        </is>
      </c>
      <c r="Y129" s="502" t="inlineStr">
        <is>
          <t>/</t>
        </is>
      </c>
      <c r="Z129" s="502" t="inlineStr">
        <is>
          <t>/</t>
        </is>
      </c>
      <c r="AA129" s="502" t="inlineStr">
        <is>
          <t>/</t>
        </is>
      </c>
      <c r="AB129" s="22" t="inlineStr">
        <is>
          <t>/</t>
        </is>
      </c>
      <c r="AC129" s="503" t="inlineStr">
        <is>
          <t>/</t>
        </is>
      </c>
      <c r="AD129" s="232" t="inlineStr">
        <is>
          <t>1、其他：外卖人员服务费按照实际外卖营业额4%收取</t>
        </is>
      </c>
      <c r="AE129" s="25" t="inlineStr">
        <is>
          <t>1、签订期间：2026.3.1-2026.8.30；
2、指标按照全年换算；</t>
        </is>
      </c>
      <c r="AF129" s="232" t="n"/>
    </row>
    <row r="130" ht="24" customFormat="1" customHeight="1" s="209">
      <c r="A130" s="219" t="n">
        <v>128</v>
      </c>
      <c r="B130" s="14" t="inlineStr">
        <is>
          <t>KQCY0124</t>
        </is>
      </c>
      <c r="C130" s="221" t="inlineStr">
        <is>
          <t>餐饮三分部</t>
        </is>
      </c>
      <c r="D130" s="221" t="inlineStr">
        <is>
          <t>CF190</t>
        </is>
      </c>
      <c r="E130" s="221" t="inlineStr">
        <is>
          <t>苏旅财食堂</t>
        </is>
      </c>
      <c r="F130" s="221" t="inlineStr">
        <is>
          <t>人员服务外包</t>
        </is>
      </c>
      <c r="G130" s="222" t="inlineStr">
        <is>
          <t>位军浩</t>
        </is>
      </c>
      <c r="H130" s="222" t="inlineStr">
        <is>
          <t>第五班组</t>
        </is>
      </c>
      <c r="I130" s="232" t="inlineStr">
        <is>
          <t>水饺</t>
        </is>
      </c>
      <c r="J130" s="503" t="inlineStr">
        <is>
          <t>汪于超</t>
        </is>
      </c>
      <c r="K130" s="224" t="inlineStr">
        <is>
          <t>/</t>
        </is>
      </c>
      <c r="L130" s="651" t="n">
        <v>490000</v>
      </c>
      <c r="M130" s="22" t="n">
        <v>0.1</v>
      </c>
      <c r="N130" s="224" t="inlineStr">
        <is>
          <t>/</t>
        </is>
      </c>
      <c r="O130" s="224" t="inlineStr">
        <is>
          <t>/</t>
        </is>
      </c>
      <c r="P130" s="502" t="n">
        <v>268.7</v>
      </c>
      <c r="Q130" s="113" t="n">
        <v>0.02</v>
      </c>
      <c r="R130" s="22" t="inlineStr">
        <is>
          <t>/</t>
        </is>
      </c>
      <c r="S130" s="224" t="inlineStr">
        <is>
          <t>/</t>
        </is>
      </c>
      <c r="T130" s="22" t="n"/>
      <c r="U130" s="116" t="inlineStr">
        <is>
          <t>/</t>
        </is>
      </c>
      <c r="V130" s="224" t="n">
        <v>0.04</v>
      </c>
      <c r="W130" s="224" t="n">
        <v>0.52</v>
      </c>
      <c r="X130" s="502" t="inlineStr">
        <is>
          <t>/</t>
        </is>
      </c>
      <c r="Y130" s="502" t="inlineStr">
        <is>
          <t>/</t>
        </is>
      </c>
      <c r="Z130" s="502" t="inlineStr">
        <is>
          <t>/</t>
        </is>
      </c>
      <c r="AA130" s="502" t="inlineStr">
        <is>
          <t>/</t>
        </is>
      </c>
      <c r="AB130" s="22" t="inlineStr">
        <is>
          <t>/</t>
        </is>
      </c>
      <c r="AC130" s="503" t="inlineStr">
        <is>
          <t>/</t>
        </is>
      </c>
      <c r="AD130" s="232" t="inlineStr">
        <is>
          <t>1、其他：外卖人员服务费按照实际外卖营业额4%收取</t>
        </is>
      </c>
      <c r="AE130" s="25" t="inlineStr">
        <is>
          <t>1、签订期间：2026.3.1-2026.8.30；
2、指标按照全年换算；</t>
        </is>
      </c>
      <c r="AF130" s="232" t="n"/>
    </row>
    <row r="131" ht="24" customFormat="1" customHeight="1" s="209">
      <c r="A131" s="219" t="n">
        <v>129</v>
      </c>
      <c r="B131" s="14" t="inlineStr">
        <is>
          <t>KQCY0125</t>
        </is>
      </c>
      <c r="C131" s="221" t="inlineStr">
        <is>
          <t>餐饮三分部</t>
        </is>
      </c>
      <c r="D131" s="221" t="inlineStr">
        <is>
          <t>CF190</t>
        </is>
      </c>
      <c r="E131" s="221" t="inlineStr">
        <is>
          <t>苏旅财食堂</t>
        </is>
      </c>
      <c r="F131" s="221" t="inlineStr">
        <is>
          <t>人员服务外包</t>
        </is>
      </c>
      <c r="G131" s="222" t="inlineStr">
        <is>
          <t>位军浩</t>
        </is>
      </c>
      <c r="H131" s="222" t="inlineStr">
        <is>
          <t>第六班组</t>
        </is>
      </c>
      <c r="I131" s="232" t="inlineStr">
        <is>
          <t>奶茶汉堡</t>
        </is>
      </c>
      <c r="J131" s="503" t="inlineStr">
        <is>
          <t>吕鹏飞</t>
        </is>
      </c>
      <c r="K131" s="224" t="inlineStr">
        <is>
          <t>/</t>
        </is>
      </c>
      <c r="L131" s="651" t="n">
        <v>560000</v>
      </c>
      <c r="M131" s="22" t="n">
        <v>0.09</v>
      </c>
      <c r="N131" s="224" t="inlineStr">
        <is>
          <t>/</t>
        </is>
      </c>
      <c r="O131" s="224" t="inlineStr">
        <is>
          <t>/</t>
        </is>
      </c>
      <c r="P131" s="502" t="n">
        <v>139.2</v>
      </c>
      <c r="Q131" s="113" t="n">
        <v>0.02</v>
      </c>
      <c r="R131" s="22" t="inlineStr">
        <is>
          <t>/</t>
        </is>
      </c>
      <c r="S131" s="224" t="inlineStr">
        <is>
          <t>/</t>
        </is>
      </c>
      <c r="T131" s="22" t="n"/>
      <c r="U131" s="116" t="inlineStr">
        <is>
          <t>/</t>
        </is>
      </c>
      <c r="V131" s="224" t="n">
        <v>0.04</v>
      </c>
      <c r="W131" s="224" t="n">
        <v>0.54</v>
      </c>
      <c r="X131" s="502" t="inlineStr">
        <is>
          <t>/</t>
        </is>
      </c>
      <c r="Y131" s="502" t="inlineStr">
        <is>
          <t>/</t>
        </is>
      </c>
      <c r="Z131" s="502" t="inlineStr">
        <is>
          <t>/</t>
        </is>
      </c>
      <c r="AA131" s="502" t="inlineStr">
        <is>
          <t>/</t>
        </is>
      </c>
      <c r="AB131" s="22" t="inlineStr">
        <is>
          <t>/</t>
        </is>
      </c>
      <c r="AC131" s="503" t="inlineStr">
        <is>
          <t>/</t>
        </is>
      </c>
      <c r="AD131" s="232" t="inlineStr">
        <is>
          <t>1、其他：外卖人员服务费按照实际外卖营业额4%收取</t>
        </is>
      </c>
      <c r="AE131" s="25" t="inlineStr">
        <is>
          <t>1、签订期间：2026.3.1-2026.8.30；
2、指标按照全年换算；</t>
        </is>
      </c>
      <c r="AF131" s="232" t="n"/>
    </row>
    <row r="132" ht="24" customFormat="1" customHeight="1" s="209">
      <c r="A132" s="219" t="n">
        <v>130</v>
      </c>
      <c r="B132" s="14" t="inlineStr">
        <is>
          <t>KQCY0126</t>
        </is>
      </c>
      <c r="C132" s="221" t="inlineStr">
        <is>
          <t>餐饮三分部</t>
        </is>
      </c>
      <c r="D132" s="221" t="inlineStr">
        <is>
          <t>CF190</t>
        </is>
      </c>
      <c r="E132" s="221" t="inlineStr">
        <is>
          <t>苏旅财食堂</t>
        </is>
      </c>
      <c r="F132" s="221" t="inlineStr">
        <is>
          <t>人员服务外包</t>
        </is>
      </c>
      <c r="G132" s="222" t="inlineStr">
        <is>
          <t>位军浩</t>
        </is>
      </c>
      <c r="H132" s="222" t="inlineStr">
        <is>
          <t>第七班组</t>
        </is>
      </c>
      <c r="I132" s="232" t="inlineStr">
        <is>
          <t>麻辣烫</t>
        </is>
      </c>
      <c r="J132" s="503" t="inlineStr">
        <is>
          <t>袁吉</t>
        </is>
      </c>
      <c r="K132" s="224" t="inlineStr">
        <is>
          <t>/</t>
        </is>
      </c>
      <c r="L132" s="651" t="n">
        <v>210000</v>
      </c>
      <c r="M132" s="22" t="n">
        <v>0.09</v>
      </c>
      <c r="N132" s="224" t="inlineStr">
        <is>
          <t>/</t>
        </is>
      </c>
      <c r="O132" s="224" t="inlineStr">
        <is>
          <t>/</t>
        </is>
      </c>
      <c r="P132" s="502" t="n">
        <v>137.45</v>
      </c>
      <c r="Q132" s="113" t="n">
        <v>0.02</v>
      </c>
      <c r="R132" s="22" t="inlineStr">
        <is>
          <t>/</t>
        </is>
      </c>
      <c r="S132" s="224" t="inlineStr">
        <is>
          <t>/</t>
        </is>
      </c>
      <c r="T132" s="22" t="n"/>
      <c r="U132" s="116" t="inlineStr">
        <is>
          <t>/</t>
        </is>
      </c>
      <c r="V132" s="224" t="n">
        <v>0.04</v>
      </c>
      <c r="W132" s="224" t="n">
        <v>0.54</v>
      </c>
      <c r="X132" s="502" t="inlineStr">
        <is>
          <t>/</t>
        </is>
      </c>
      <c r="Y132" s="502" t="inlineStr">
        <is>
          <t>/</t>
        </is>
      </c>
      <c r="Z132" s="502" t="inlineStr">
        <is>
          <t>/</t>
        </is>
      </c>
      <c r="AA132" s="502" t="inlineStr">
        <is>
          <t>/</t>
        </is>
      </c>
      <c r="AB132" s="22" t="inlineStr">
        <is>
          <t>/</t>
        </is>
      </c>
      <c r="AC132" s="503" t="inlineStr">
        <is>
          <t>/</t>
        </is>
      </c>
      <c r="AD132" s="232" t="inlineStr">
        <is>
          <t>1、其他：外卖人员服务费按照实际外卖营业额4%收取</t>
        </is>
      </c>
      <c r="AE132" s="25" t="inlineStr">
        <is>
          <t>1、签订期间：2026.3.1-2026.8.30；
2、指标按照全年换算；</t>
        </is>
      </c>
      <c r="AF132" s="232" t="n"/>
    </row>
    <row r="133" ht="12" customFormat="1" customHeight="1" s="209">
      <c r="A133" s="219" t="n">
        <v>131</v>
      </c>
      <c r="B133" s="14" t="inlineStr">
        <is>
          <t>KQCY0127</t>
        </is>
      </c>
      <c r="C133" s="221" t="inlineStr">
        <is>
          <t>餐饮三分部</t>
        </is>
      </c>
      <c r="D133" s="221" t="inlineStr">
        <is>
          <t>CF276</t>
        </is>
      </c>
      <c r="E133" s="221" t="inlineStr">
        <is>
          <t>苏州经贸二食堂</t>
        </is>
      </c>
      <c r="F133" s="219" t="inlineStr">
        <is>
          <t>自营</t>
        </is>
      </c>
      <c r="G133" s="222" t="inlineStr">
        <is>
          <t>位军浩</t>
        </is>
      </c>
      <c r="H133" s="222" t="inlineStr">
        <is>
          <t>/</t>
        </is>
      </c>
      <c r="I133" s="355" t="inlineStr">
        <is>
          <t>/</t>
        </is>
      </c>
      <c r="J133" s="222" t="inlineStr">
        <is>
          <t>/</t>
        </is>
      </c>
      <c r="K133" s="224" t="inlineStr">
        <is>
          <t>/</t>
        </is>
      </c>
      <c r="L133" s="651" t="inlineStr">
        <is>
          <t>/</t>
        </is>
      </c>
      <c r="M133" s="224" t="inlineStr">
        <is>
          <t>/</t>
        </is>
      </c>
      <c r="N133" s="349" t="n"/>
      <c r="O133" s="47" t="n">
        <v>0.05</v>
      </c>
      <c r="P133" s="349" t="n"/>
      <c r="Q133" s="224" t="inlineStr">
        <is>
          <t>/</t>
        </is>
      </c>
      <c r="R133" s="224" t="inlineStr">
        <is>
          <t>/</t>
        </is>
      </c>
      <c r="S133" s="224" t="inlineStr">
        <is>
          <t>/</t>
        </is>
      </c>
      <c r="T133" s="224" t="inlineStr">
        <is>
          <t>/</t>
        </is>
      </c>
      <c r="U133" s="224" t="inlineStr">
        <is>
          <t>/</t>
        </is>
      </c>
      <c r="V133" s="224" t="inlineStr">
        <is>
          <t>/</t>
        </is>
      </c>
      <c r="W133" s="47" t="n"/>
      <c r="X133" s="502" t="inlineStr">
        <is>
          <t>/</t>
        </is>
      </c>
      <c r="Y133" s="502" t="inlineStr">
        <is>
          <t>/</t>
        </is>
      </c>
      <c r="Z133" s="502" t="inlineStr">
        <is>
          <t>/</t>
        </is>
      </c>
      <c r="AA133" s="502" t="inlineStr">
        <is>
          <t>/</t>
        </is>
      </c>
      <c r="AB133" s="22" t="n">
        <v>0.05</v>
      </c>
      <c r="AC133" s="503" t="inlineStr">
        <is>
          <t>/</t>
        </is>
      </c>
      <c r="AD133" s="232" t="inlineStr">
        <is>
          <t>1、采购费：采购额的5%</t>
        </is>
      </c>
      <c r="AE133" s="25" t="n"/>
      <c r="AF133" s="206" t="n"/>
    </row>
    <row r="134" ht="84" customFormat="1" customHeight="1" s="209">
      <c r="A134" s="219" t="n">
        <v>132</v>
      </c>
      <c r="B134" s="14" t="inlineStr">
        <is>
          <t>KQCY0128</t>
        </is>
      </c>
      <c r="C134" s="221" t="inlineStr">
        <is>
          <t>餐饮三分部</t>
        </is>
      </c>
      <c r="D134" s="221" t="inlineStr">
        <is>
          <t>CF276</t>
        </is>
      </c>
      <c r="E134" s="221" t="inlineStr">
        <is>
          <t>苏州经贸二食堂</t>
        </is>
      </c>
      <c r="F134" s="219" t="inlineStr">
        <is>
          <t>分组作业</t>
        </is>
      </c>
      <c r="G134" s="222" t="inlineStr">
        <is>
          <t>位军浩</t>
        </is>
      </c>
      <c r="H134" s="222" t="inlineStr">
        <is>
          <t>第一班组</t>
        </is>
      </c>
      <c r="I134" s="232" t="inlineStr">
        <is>
          <t>卤烤套餐饭</t>
        </is>
      </c>
      <c r="J134" s="503" t="inlineStr">
        <is>
          <t>康小伟</t>
        </is>
      </c>
      <c r="K134" s="224" t="inlineStr">
        <is>
          <t>/</t>
        </is>
      </c>
      <c r="L134" s="651" t="inlineStr">
        <is>
          <t>/</t>
        </is>
      </c>
      <c r="M134" s="22" t="n">
        <v>0.035</v>
      </c>
      <c r="N134" s="224" t="inlineStr">
        <is>
          <t>/</t>
        </is>
      </c>
      <c r="O134" s="224" t="inlineStr">
        <is>
          <t>/</t>
        </is>
      </c>
      <c r="P134" s="59" t="inlineStr">
        <is>
          <t>/</t>
        </is>
      </c>
      <c r="Q134" s="22" t="inlineStr">
        <is>
          <t>/</t>
        </is>
      </c>
      <c r="R134" s="22" t="inlineStr">
        <is>
          <t>/</t>
        </is>
      </c>
      <c r="S134" s="224" t="inlineStr">
        <is>
          <t>/</t>
        </is>
      </c>
      <c r="T134" s="22" t="n">
        <v>0.035</v>
      </c>
      <c r="U134" s="22" t="n">
        <v>0.06</v>
      </c>
      <c r="V134" s="653" t="n">
        <v>20000</v>
      </c>
      <c r="W134" s="47" t="n"/>
      <c r="X134" s="502" t="inlineStr">
        <is>
          <t>/</t>
        </is>
      </c>
      <c r="Y134" s="502" t="inlineStr">
        <is>
          <t>/</t>
        </is>
      </c>
      <c r="Z134" s="502" t="inlineStr">
        <is>
          <t>/</t>
        </is>
      </c>
      <c r="AA134" s="502" t="inlineStr">
        <is>
          <t>/</t>
        </is>
      </c>
      <c r="AB134" s="22" t="inlineStr">
        <is>
          <t>/</t>
        </is>
      </c>
      <c r="AC134" s="503" t="inlineStr">
        <is>
          <t>/</t>
        </is>
      </c>
      <c r="AD134" s="48" t="inlineStr">
        <is>
          <t>1、其他：固定资金2万元/学期，作为折旧费
2、采购费：采购额的5%，分组作业未分摊，服务费已包含；</t>
        </is>
      </c>
      <c r="AE134" s="25" t="inlineStr">
        <is>
          <t>1、签订期间：2026.3.1-2026.7.31；
2、指标按照全年换算；</t>
        </is>
      </c>
      <c r="AF134"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35" ht="84" customFormat="1" customHeight="1" s="209">
      <c r="A135" s="219" t="n">
        <v>133</v>
      </c>
      <c r="B135" s="14" t="inlineStr">
        <is>
          <t>KQCY0129</t>
        </is>
      </c>
      <c r="C135" s="221" t="inlineStr">
        <is>
          <t>餐饮三分部</t>
        </is>
      </c>
      <c r="D135" s="221" t="inlineStr">
        <is>
          <t>CF276</t>
        </is>
      </c>
      <c r="E135" s="221" t="inlineStr">
        <is>
          <t>苏州经贸二食堂</t>
        </is>
      </c>
      <c r="F135" s="219" t="inlineStr">
        <is>
          <t>分组作业</t>
        </is>
      </c>
      <c r="G135" s="222" t="inlineStr">
        <is>
          <t>位军浩</t>
        </is>
      </c>
      <c r="H135" s="222" t="inlineStr">
        <is>
          <t>第二班组</t>
        </is>
      </c>
      <c r="I135" s="232" t="inlineStr">
        <is>
          <t>阿满烤鸭</t>
        </is>
      </c>
      <c r="J135" s="503" t="inlineStr">
        <is>
          <t>李嘉康</t>
        </is>
      </c>
      <c r="K135" s="224" t="inlineStr">
        <is>
          <t>/</t>
        </is>
      </c>
      <c r="L135" s="651" t="inlineStr">
        <is>
          <t>/</t>
        </is>
      </c>
      <c r="M135" s="22" t="n">
        <v>0.025</v>
      </c>
      <c r="N135" s="224" t="inlineStr">
        <is>
          <t>/</t>
        </is>
      </c>
      <c r="O135" s="224" t="inlineStr">
        <is>
          <t>/</t>
        </is>
      </c>
      <c r="P135" s="59" t="inlineStr">
        <is>
          <t>/</t>
        </is>
      </c>
      <c r="Q135" s="22" t="inlineStr">
        <is>
          <t>/</t>
        </is>
      </c>
      <c r="R135" s="22" t="inlineStr">
        <is>
          <t>/</t>
        </is>
      </c>
      <c r="S135" s="224" t="inlineStr">
        <is>
          <t>/</t>
        </is>
      </c>
      <c r="T135" s="22" t="n">
        <v>0.035</v>
      </c>
      <c r="U135" s="22" t="n">
        <v>0.07000000000000001</v>
      </c>
      <c r="V135" s="653" t="n">
        <v>20000</v>
      </c>
      <c r="W135" s="47" t="n"/>
      <c r="X135" s="502" t="inlineStr">
        <is>
          <t>/</t>
        </is>
      </c>
      <c r="Y135" s="502" t="inlineStr">
        <is>
          <t>/</t>
        </is>
      </c>
      <c r="Z135" s="502" t="inlineStr">
        <is>
          <t>/</t>
        </is>
      </c>
      <c r="AA135" s="502" t="inlineStr">
        <is>
          <t>/</t>
        </is>
      </c>
      <c r="AB135" s="22" t="inlineStr">
        <is>
          <t>/</t>
        </is>
      </c>
      <c r="AC135" s="503" t="inlineStr">
        <is>
          <t>/</t>
        </is>
      </c>
      <c r="AD135" s="48" t="inlineStr">
        <is>
          <t>1、其他：固定资金2万元/学期，作为折旧费
2、采购费：采购额的5%，分组作业未分摊，服务费已包含；</t>
        </is>
      </c>
      <c r="AE135" s="25" t="inlineStr">
        <is>
          <t>1、签订期间：2026.3.1-2026.7.31；
2、指标按照全年换算；</t>
        </is>
      </c>
      <c r="AF135"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36" ht="84" customFormat="1" customHeight="1" s="209">
      <c r="A136" s="219" t="n">
        <v>134</v>
      </c>
      <c r="B136" s="14" t="inlineStr">
        <is>
          <t>KQCY0130</t>
        </is>
      </c>
      <c r="C136" s="221" t="inlineStr">
        <is>
          <t>餐饮三分部</t>
        </is>
      </c>
      <c r="D136" s="221" t="inlineStr">
        <is>
          <t>CF276</t>
        </is>
      </c>
      <c r="E136" s="221" t="inlineStr">
        <is>
          <t>苏州经贸二食堂</t>
        </is>
      </c>
      <c r="F136" s="219" t="inlineStr">
        <is>
          <t>分组作业</t>
        </is>
      </c>
      <c r="G136" s="222" t="inlineStr">
        <is>
          <t>位军浩</t>
        </is>
      </c>
      <c r="H136" s="222" t="inlineStr">
        <is>
          <t>第三班组</t>
        </is>
      </c>
      <c r="I136" s="355" t="inlineStr">
        <is>
          <t>鸡公煲</t>
        </is>
      </c>
      <c r="J136" s="503" t="inlineStr">
        <is>
          <t>陈洋</t>
        </is>
      </c>
      <c r="K136" s="224" t="inlineStr">
        <is>
          <t>/</t>
        </is>
      </c>
      <c r="L136" s="651" t="inlineStr">
        <is>
          <t>/</t>
        </is>
      </c>
      <c r="M136" s="22" t="n">
        <v>0.025</v>
      </c>
      <c r="N136" s="224" t="inlineStr">
        <is>
          <t>/</t>
        </is>
      </c>
      <c r="O136" s="224" t="inlineStr">
        <is>
          <t>/</t>
        </is>
      </c>
      <c r="P136" s="59" t="inlineStr">
        <is>
          <t>/</t>
        </is>
      </c>
      <c r="Q136" s="22" t="inlineStr">
        <is>
          <t>/</t>
        </is>
      </c>
      <c r="R136" s="22" t="inlineStr">
        <is>
          <t>/</t>
        </is>
      </c>
      <c r="S136" s="224" t="inlineStr">
        <is>
          <t>/</t>
        </is>
      </c>
      <c r="T136" s="22" t="n">
        <v>0.035</v>
      </c>
      <c r="U136" s="22" t="n">
        <v>0.07000000000000001</v>
      </c>
      <c r="V136" s="653" t="n">
        <v>15000</v>
      </c>
      <c r="W136" s="47" t="n"/>
      <c r="X136" s="502" t="inlineStr">
        <is>
          <t>/</t>
        </is>
      </c>
      <c r="Y136" s="502" t="inlineStr">
        <is>
          <t>/</t>
        </is>
      </c>
      <c r="Z136" s="502" t="inlineStr">
        <is>
          <t>/</t>
        </is>
      </c>
      <c r="AA136" s="502" t="inlineStr">
        <is>
          <t>/</t>
        </is>
      </c>
      <c r="AB136" s="22" t="inlineStr">
        <is>
          <t>/</t>
        </is>
      </c>
      <c r="AC136" s="503" t="inlineStr">
        <is>
          <t>/</t>
        </is>
      </c>
      <c r="AD136" s="48" t="inlineStr">
        <is>
          <t>1、其他：固定资金1、5万元/学期，作为折旧费
2、采购费：采购额的5%，分组作业未分摊，服务费已包含；</t>
        </is>
      </c>
      <c r="AE136" s="25" t="inlineStr">
        <is>
          <t>1、签订期间：2026.3.1-2026.7.31；
2、指标按照全年换算；</t>
        </is>
      </c>
      <c r="AF136"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37" ht="84" customFormat="1" customHeight="1" s="209">
      <c r="A137" s="219" t="n">
        <v>135</v>
      </c>
      <c r="B137" s="14" t="inlineStr">
        <is>
          <t>KQCY0131</t>
        </is>
      </c>
      <c r="C137" s="221" t="inlineStr">
        <is>
          <t>餐饮三分部</t>
        </is>
      </c>
      <c r="D137" s="221" t="inlineStr">
        <is>
          <t>CF276</t>
        </is>
      </c>
      <c r="E137" s="221" t="inlineStr">
        <is>
          <t>苏州经贸二食堂</t>
        </is>
      </c>
      <c r="F137" s="219" t="inlineStr">
        <is>
          <t>分组作业</t>
        </is>
      </c>
      <c r="G137" s="222" t="inlineStr">
        <is>
          <t>位军浩</t>
        </is>
      </c>
      <c r="H137" s="222" t="inlineStr">
        <is>
          <t>第四班组</t>
        </is>
      </c>
      <c r="I137" s="355" t="inlineStr">
        <is>
          <t>羊杂面</t>
        </is>
      </c>
      <c r="J137" s="503" t="inlineStr">
        <is>
          <t>赵连财</t>
        </is>
      </c>
      <c r="K137" s="224" t="inlineStr">
        <is>
          <t>/</t>
        </is>
      </c>
      <c r="L137" s="651" t="inlineStr">
        <is>
          <t>/</t>
        </is>
      </c>
      <c r="M137" s="22" t="n">
        <v>0.025</v>
      </c>
      <c r="N137" s="224" t="inlineStr">
        <is>
          <t>/</t>
        </is>
      </c>
      <c r="O137" s="224" t="inlineStr">
        <is>
          <t>/</t>
        </is>
      </c>
      <c r="P137" s="59" t="inlineStr">
        <is>
          <t>/</t>
        </is>
      </c>
      <c r="Q137" s="22" t="inlineStr">
        <is>
          <t>/</t>
        </is>
      </c>
      <c r="R137" s="22" t="inlineStr">
        <is>
          <t>/</t>
        </is>
      </c>
      <c r="S137" s="224" t="inlineStr">
        <is>
          <t>/</t>
        </is>
      </c>
      <c r="T137" s="22" t="n">
        <v>0.035</v>
      </c>
      <c r="U137" s="22" t="n">
        <v>0.07000000000000001</v>
      </c>
      <c r="V137" s="653" t="n">
        <v>20000</v>
      </c>
      <c r="W137" s="47" t="n"/>
      <c r="X137" s="502" t="inlineStr">
        <is>
          <t>/</t>
        </is>
      </c>
      <c r="Y137" s="502" t="inlineStr">
        <is>
          <t>/</t>
        </is>
      </c>
      <c r="Z137" s="502" t="inlineStr">
        <is>
          <t>/</t>
        </is>
      </c>
      <c r="AA137" s="502" t="inlineStr">
        <is>
          <t>/</t>
        </is>
      </c>
      <c r="AB137" s="22" t="inlineStr">
        <is>
          <t>/</t>
        </is>
      </c>
      <c r="AC137" s="503" t="inlineStr">
        <is>
          <t>/</t>
        </is>
      </c>
      <c r="AD137" s="48" t="inlineStr">
        <is>
          <t>1、其他：固定资金2万元/学期，作为折旧费
2、采购费：采购额的5%，分组作业未分摊，服务费已包含；</t>
        </is>
      </c>
      <c r="AE137" s="25" t="inlineStr">
        <is>
          <t>1、签订期间：2026.3.1-2026.7.31；
2、指标按照全年换算；</t>
        </is>
      </c>
      <c r="AF137"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38" ht="84" customFormat="1" customHeight="1" s="209">
      <c r="A138" s="219" t="n">
        <v>136</v>
      </c>
      <c r="B138" s="14" t="inlineStr">
        <is>
          <t>KQCY0132</t>
        </is>
      </c>
      <c r="C138" s="221" t="inlineStr">
        <is>
          <t>餐饮三分部</t>
        </is>
      </c>
      <c r="D138" s="221" t="inlineStr">
        <is>
          <t>CF276</t>
        </is>
      </c>
      <c r="E138" s="221" t="inlineStr">
        <is>
          <t>苏州经贸二食堂</t>
        </is>
      </c>
      <c r="F138" s="219" t="inlineStr">
        <is>
          <t>分组作业</t>
        </is>
      </c>
      <c r="G138" s="222" t="inlineStr">
        <is>
          <t>位军浩</t>
        </is>
      </c>
      <c r="H138" s="222" t="inlineStr">
        <is>
          <t>第五班组</t>
        </is>
      </c>
      <c r="I138" s="355" t="inlineStr">
        <is>
          <t>汉堡</t>
        </is>
      </c>
      <c r="J138" s="503" t="inlineStr">
        <is>
          <t>邵宁</t>
        </is>
      </c>
      <c r="K138" s="224" t="inlineStr">
        <is>
          <t>/</t>
        </is>
      </c>
      <c r="L138" s="651" t="inlineStr">
        <is>
          <t>/</t>
        </is>
      </c>
      <c r="M138" s="22" t="inlineStr">
        <is>
          <t>/</t>
        </is>
      </c>
      <c r="N138" s="22" t="inlineStr">
        <is>
          <t>/</t>
        </is>
      </c>
      <c r="O138" s="224" t="inlineStr">
        <is>
          <t>/</t>
        </is>
      </c>
      <c r="P138" s="59" t="inlineStr">
        <is>
          <t>/</t>
        </is>
      </c>
      <c r="Q138" s="22" t="inlineStr">
        <is>
          <t>/</t>
        </is>
      </c>
      <c r="R138" s="22" t="inlineStr">
        <is>
          <t>/</t>
        </is>
      </c>
      <c r="S138" s="22" t="inlineStr">
        <is>
          <t>/</t>
        </is>
      </c>
      <c r="T138" s="22" t="n">
        <v>0.035</v>
      </c>
      <c r="U138" s="22" t="n">
        <v>0.065</v>
      </c>
      <c r="V138" s="653" t="n">
        <v>20000</v>
      </c>
      <c r="W138" s="349" t="inlineStr">
        <is>
          <t>/</t>
        </is>
      </c>
      <c r="X138" s="502" t="inlineStr">
        <is>
          <t>/</t>
        </is>
      </c>
      <c r="Y138" s="502" t="inlineStr">
        <is>
          <t>/</t>
        </is>
      </c>
      <c r="Z138" s="502" t="inlineStr">
        <is>
          <t>/</t>
        </is>
      </c>
      <c r="AA138" s="502" t="inlineStr">
        <is>
          <t>/</t>
        </is>
      </c>
      <c r="AB138" s="22" t="inlineStr">
        <is>
          <t>/</t>
        </is>
      </c>
      <c r="AC138" s="503" t="inlineStr">
        <is>
          <t>/</t>
        </is>
      </c>
      <c r="AD138" s="48" t="inlineStr">
        <is>
          <t>1、其他：固定资金2万元/学期，作为折旧费
2、采购费：档口营业所用全部物品由加盟商指定供应商提供，无采购费。</t>
        </is>
      </c>
      <c r="AE138" s="25" t="inlineStr">
        <is>
          <t>1、签订期间：2026.3.1-2026.7.31；
2、指标按照全年换算；</t>
        </is>
      </c>
      <c r="AF138"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39" ht="84" customFormat="1" customHeight="1" s="209">
      <c r="A139" s="219" t="n">
        <v>137</v>
      </c>
      <c r="B139" s="14" t="inlineStr">
        <is>
          <t>KQCY0133</t>
        </is>
      </c>
      <c r="C139" s="221" t="inlineStr">
        <is>
          <t>餐饮三分部</t>
        </is>
      </c>
      <c r="D139" s="221" t="inlineStr">
        <is>
          <t>CF276</t>
        </is>
      </c>
      <c r="E139" s="221" t="inlineStr">
        <is>
          <t>苏州经贸二食堂</t>
        </is>
      </c>
      <c r="F139" s="219" t="inlineStr">
        <is>
          <t>分组作业</t>
        </is>
      </c>
      <c r="G139" s="222" t="inlineStr">
        <is>
          <t>位军浩</t>
        </is>
      </c>
      <c r="H139" s="222" t="inlineStr">
        <is>
          <t>第六班组</t>
        </is>
      </c>
      <c r="I139" s="355" t="inlineStr">
        <is>
          <t>精品菜</t>
        </is>
      </c>
      <c r="J139" s="503" t="inlineStr">
        <is>
          <t>查祈恩</t>
        </is>
      </c>
      <c r="K139" s="224" t="inlineStr">
        <is>
          <t>/</t>
        </is>
      </c>
      <c r="L139" s="651" t="inlineStr">
        <is>
          <t>/</t>
        </is>
      </c>
      <c r="M139" s="22" t="n">
        <v>0.025</v>
      </c>
      <c r="N139" s="224" t="inlineStr">
        <is>
          <t>/</t>
        </is>
      </c>
      <c r="O139" s="224" t="inlineStr">
        <is>
          <t>/</t>
        </is>
      </c>
      <c r="P139" s="59" t="inlineStr">
        <is>
          <t>/</t>
        </is>
      </c>
      <c r="Q139" s="22" t="inlineStr">
        <is>
          <t>/</t>
        </is>
      </c>
      <c r="R139" s="22" t="inlineStr">
        <is>
          <t>/</t>
        </is>
      </c>
      <c r="S139" s="224" t="inlineStr">
        <is>
          <t>/</t>
        </is>
      </c>
      <c r="T139" s="22" t="n">
        <v>0.035</v>
      </c>
      <c r="U139" s="22" t="n">
        <v>0.07000000000000001</v>
      </c>
      <c r="V139" s="653" t="n">
        <v>22500</v>
      </c>
      <c r="W139" s="47" t="n"/>
      <c r="X139" s="502" t="inlineStr">
        <is>
          <t>/</t>
        </is>
      </c>
      <c r="Y139" s="502" t="inlineStr">
        <is>
          <t>/</t>
        </is>
      </c>
      <c r="Z139" s="502" t="inlineStr">
        <is>
          <t>/</t>
        </is>
      </c>
      <c r="AA139" s="502" t="inlineStr">
        <is>
          <t>/</t>
        </is>
      </c>
      <c r="AB139" s="22" t="inlineStr">
        <is>
          <t>/</t>
        </is>
      </c>
      <c r="AC139" s="503" t="inlineStr">
        <is>
          <t>/</t>
        </is>
      </c>
      <c r="AD139" s="48" t="inlineStr">
        <is>
          <t>1、其他：固定资金2.25万元/学期，作为折旧费
2、采购费：采购额的5%，分组作业未分摊，服务费已包含；</t>
        </is>
      </c>
      <c r="AE139" s="25" t="inlineStr">
        <is>
          <t>1、签订期间：2026.3.1-2026.7.31；
2、指标按照全年换算；</t>
        </is>
      </c>
      <c r="AF139"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40" ht="84" customFormat="1" customHeight="1" s="209">
      <c r="A140" s="219" t="n">
        <v>138</v>
      </c>
      <c r="B140" s="14" t="inlineStr">
        <is>
          <t>KQCY0134</t>
        </is>
      </c>
      <c r="C140" s="221" t="inlineStr">
        <is>
          <t>餐饮三分部</t>
        </is>
      </c>
      <c r="D140" s="221" t="inlineStr">
        <is>
          <t>CF276</t>
        </is>
      </c>
      <c r="E140" s="221" t="inlineStr">
        <is>
          <t>苏州经贸二食堂</t>
        </is>
      </c>
      <c r="F140" s="219" t="inlineStr">
        <is>
          <t>分组作业</t>
        </is>
      </c>
      <c r="G140" s="222" t="inlineStr">
        <is>
          <t>位军浩</t>
        </is>
      </c>
      <c r="H140" s="222" t="inlineStr">
        <is>
          <t>第七班组</t>
        </is>
      </c>
      <c r="I140" s="355" t="inlineStr">
        <is>
          <t>快餐</t>
        </is>
      </c>
      <c r="J140" s="503" t="inlineStr">
        <is>
          <t>黄化里</t>
        </is>
      </c>
      <c r="K140" s="224" t="inlineStr">
        <is>
          <t>/</t>
        </is>
      </c>
      <c r="L140" s="651" t="inlineStr">
        <is>
          <t>/</t>
        </is>
      </c>
      <c r="M140" s="22" t="n">
        <v>0.025</v>
      </c>
      <c r="N140" s="224" t="inlineStr">
        <is>
          <t>/</t>
        </is>
      </c>
      <c r="O140" s="224" t="inlineStr">
        <is>
          <t>/</t>
        </is>
      </c>
      <c r="P140" s="59" t="inlineStr">
        <is>
          <t>/</t>
        </is>
      </c>
      <c r="Q140" s="22" t="inlineStr">
        <is>
          <t>/</t>
        </is>
      </c>
      <c r="R140" s="22" t="inlineStr">
        <is>
          <t>/</t>
        </is>
      </c>
      <c r="S140" s="224" t="inlineStr">
        <is>
          <t>/</t>
        </is>
      </c>
      <c r="T140" s="22" t="n">
        <v>0.035</v>
      </c>
      <c r="U140" s="22" t="n">
        <v>0.07000000000000001</v>
      </c>
      <c r="V140" s="224" t="inlineStr">
        <is>
          <t>/</t>
        </is>
      </c>
      <c r="W140" s="349" t="inlineStr">
        <is>
          <t>/</t>
        </is>
      </c>
      <c r="X140" s="502" t="inlineStr">
        <is>
          <t>/</t>
        </is>
      </c>
      <c r="Y140" s="502" t="inlineStr">
        <is>
          <t>/</t>
        </is>
      </c>
      <c r="Z140" s="502" t="inlineStr">
        <is>
          <t>/</t>
        </is>
      </c>
      <c r="AA140" s="502" t="inlineStr">
        <is>
          <t>/</t>
        </is>
      </c>
      <c r="AB140" s="22" t="inlineStr">
        <is>
          <t>/</t>
        </is>
      </c>
      <c r="AC140" s="503" t="inlineStr">
        <is>
          <t>/</t>
        </is>
      </c>
      <c r="AD140" s="57" t="inlineStr">
        <is>
          <t>1、已撤场，窗口现为自营</t>
        </is>
      </c>
      <c r="AE140" s="25" t="inlineStr">
        <is>
          <t>1、签订期间：2026.3.1-2026.7.31；
2、指标按照全年换算；</t>
        </is>
      </c>
      <c r="AF140"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41" ht="84" customFormat="1" customHeight="1" s="209">
      <c r="A141" s="219" t="n">
        <v>139</v>
      </c>
      <c r="B141" s="14" t="inlineStr">
        <is>
          <t>KQCY0135</t>
        </is>
      </c>
      <c r="C141" s="221" t="inlineStr">
        <is>
          <t>餐饮三分部</t>
        </is>
      </c>
      <c r="D141" s="221" t="inlineStr">
        <is>
          <t>CF276</t>
        </is>
      </c>
      <c r="E141" s="221" t="inlineStr">
        <is>
          <t>苏州经贸二食堂</t>
        </is>
      </c>
      <c r="F141" s="219" t="inlineStr">
        <is>
          <t>分组作业</t>
        </is>
      </c>
      <c r="G141" s="222" t="inlineStr">
        <is>
          <t>位军浩</t>
        </is>
      </c>
      <c r="H141" s="222" t="inlineStr">
        <is>
          <t>第八班组</t>
        </is>
      </c>
      <c r="I141" s="355" t="inlineStr">
        <is>
          <t>教工餐厅</t>
        </is>
      </c>
      <c r="J141" s="503" t="inlineStr">
        <is>
          <t>黄化里</t>
        </is>
      </c>
      <c r="K141" s="224" t="inlineStr">
        <is>
          <t>/</t>
        </is>
      </c>
      <c r="L141" s="651" t="inlineStr">
        <is>
          <t>/</t>
        </is>
      </c>
      <c r="M141" s="22" t="inlineStr">
        <is>
          <t>/</t>
        </is>
      </c>
      <c r="N141" s="22" t="inlineStr">
        <is>
          <t>/</t>
        </is>
      </c>
      <c r="O141" s="224" t="inlineStr">
        <is>
          <t>/</t>
        </is>
      </c>
      <c r="P141" s="59" t="inlineStr">
        <is>
          <t>/</t>
        </is>
      </c>
      <c r="Q141" s="22" t="inlineStr">
        <is>
          <t>/</t>
        </is>
      </c>
      <c r="R141" s="22" t="inlineStr">
        <is>
          <t>/</t>
        </is>
      </c>
      <c r="S141" s="22" t="inlineStr">
        <is>
          <t>/</t>
        </is>
      </c>
      <c r="T141" s="22" t="n">
        <v>0.035</v>
      </c>
      <c r="U141" s="22" t="n"/>
      <c r="V141" s="653" t="n">
        <v>5000</v>
      </c>
      <c r="W141" s="349" t="inlineStr">
        <is>
          <t>/</t>
        </is>
      </c>
      <c r="X141" s="502" t="inlineStr">
        <is>
          <t>/</t>
        </is>
      </c>
      <c r="Y141" s="502" t="inlineStr">
        <is>
          <t>/</t>
        </is>
      </c>
      <c r="Z141" s="502" t="inlineStr">
        <is>
          <t>/</t>
        </is>
      </c>
      <c r="AA141" s="502" t="inlineStr">
        <is>
          <t>/</t>
        </is>
      </c>
      <c r="AB141" s="22" t="inlineStr">
        <is>
          <t>/</t>
        </is>
      </c>
      <c r="AC141" s="503" t="inlineStr">
        <is>
          <t>/</t>
        </is>
      </c>
      <c r="AD141" s="57" t="inlineStr">
        <is>
          <t>1、已撤场，窗口现为自营</t>
        </is>
      </c>
      <c r="AE141" s="25" t="inlineStr">
        <is>
          <t>1、签订期间：2026.3.1-2026.7.31；
2、指标按照全年换算；</t>
        </is>
      </c>
      <c r="AF141"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42" ht="12" customFormat="1" customHeight="1" s="209">
      <c r="A142" s="219" t="n">
        <v>140</v>
      </c>
      <c r="B142" s="14" t="inlineStr">
        <is>
          <t>KQCY0136</t>
        </is>
      </c>
      <c r="C142" s="221" t="inlineStr">
        <is>
          <t>餐饮三分部</t>
        </is>
      </c>
      <c r="D142" s="221" t="inlineStr">
        <is>
          <t>CF126</t>
        </is>
      </c>
      <c r="E142" s="221" t="inlineStr">
        <is>
          <t>西浦附校食堂</t>
        </is>
      </c>
      <c r="F142" s="219" t="inlineStr">
        <is>
          <t>自营</t>
        </is>
      </c>
      <c r="G142" s="222" t="inlineStr">
        <is>
          <t>位军浩</t>
        </is>
      </c>
      <c r="H142" s="222" t="inlineStr">
        <is>
          <t>/</t>
        </is>
      </c>
      <c r="I142" s="355" t="inlineStr">
        <is>
          <t>/</t>
        </is>
      </c>
      <c r="J142" s="222" t="inlineStr">
        <is>
          <t>/</t>
        </is>
      </c>
      <c r="K142" s="224" t="inlineStr">
        <is>
          <t>/</t>
        </is>
      </c>
      <c r="L142" s="651" t="n">
        <v>17000000</v>
      </c>
      <c r="M142" s="224" t="inlineStr">
        <is>
          <t>/</t>
        </is>
      </c>
      <c r="N142" s="224" t="inlineStr">
        <is>
          <t>/</t>
        </is>
      </c>
      <c r="O142" s="23" t="n">
        <v>0.02</v>
      </c>
      <c r="P142" s="224" t="inlineStr">
        <is>
          <t>/</t>
        </is>
      </c>
      <c r="Q142" s="224" t="inlineStr">
        <is>
          <t>/</t>
        </is>
      </c>
      <c r="R142" s="224" t="inlineStr">
        <is>
          <t>/</t>
        </is>
      </c>
      <c r="S142" s="224" t="inlineStr">
        <is>
          <t>/</t>
        </is>
      </c>
      <c r="T142" s="224" t="inlineStr">
        <is>
          <t>/</t>
        </is>
      </c>
      <c r="U142" s="224" t="inlineStr">
        <is>
          <t>/</t>
        </is>
      </c>
      <c r="V142" s="224" t="inlineStr">
        <is>
          <t>/</t>
        </is>
      </c>
      <c r="W142" s="47" t="n"/>
      <c r="X142" s="117" t="n">
        <v>0.045</v>
      </c>
      <c r="Y142" s="502" t="inlineStr">
        <is>
          <t>/</t>
        </is>
      </c>
      <c r="Z142" s="502" t="inlineStr">
        <is>
          <t>/</t>
        </is>
      </c>
      <c r="AA142" s="502" t="inlineStr">
        <is>
          <t>/</t>
        </is>
      </c>
      <c r="AB142" s="46" t="n">
        <v>0.045</v>
      </c>
      <c r="AC142" s="46" t="inlineStr">
        <is>
          <t>/</t>
        </is>
      </c>
      <c r="AD142" s="232" t="n"/>
      <c r="AE142" s="25" t="n"/>
      <c r="AF142" s="206" t="n"/>
    </row>
    <row r="143" ht="12" customFormat="1" customHeight="1" s="209">
      <c r="A143" s="219" t="n">
        <v>141</v>
      </c>
      <c r="B143" s="14" t="inlineStr">
        <is>
          <t>KQCY0137</t>
        </is>
      </c>
      <c r="C143" s="221" t="inlineStr">
        <is>
          <t>餐饮三分部</t>
        </is>
      </c>
      <c r="D143" s="221" t="inlineStr">
        <is>
          <t>CF782</t>
        </is>
      </c>
      <c r="E143" s="221" t="inlineStr">
        <is>
          <t>宿迁安园中央厨房</t>
        </is>
      </c>
      <c r="F143" s="219" t="inlineStr">
        <is>
          <t>人员服务外包</t>
        </is>
      </c>
      <c r="G143" s="222" t="inlineStr">
        <is>
          <t>陆琪</t>
        </is>
      </c>
      <c r="H143" s="222" t="inlineStr">
        <is>
          <t>/</t>
        </is>
      </c>
      <c r="I143" s="232" t="inlineStr">
        <is>
          <t>/</t>
        </is>
      </c>
      <c r="J143" s="503" t="inlineStr">
        <is>
          <t>/</t>
        </is>
      </c>
      <c r="K143" s="224" t="inlineStr">
        <is>
          <t>/</t>
        </is>
      </c>
      <c r="L143" s="651" t="n">
        <v>522000</v>
      </c>
      <c r="M143" s="502" t="inlineStr">
        <is>
          <t>/</t>
        </is>
      </c>
      <c r="N143" s="502" t="inlineStr">
        <is>
          <t>/</t>
        </is>
      </c>
      <c r="O143" s="502" t="inlineStr">
        <is>
          <t>/</t>
        </is>
      </c>
      <c r="P143" s="502" t="inlineStr">
        <is>
          <t>/</t>
        </is>
      </c>
      <c r="Q143" s="502" t="inlineStr">
        <is>
          <t>/</t>
        </is>
      </c>
      <c r="R143" s="502" t="inlineStr">
        <is>
          <t>/</t>
        </is>
      </c>
      <c r="S143" s="502" t="inlineStr">
        <is>
          <t>/</t>
        </is>
      </c>
      <c r="T143" s="503" t="inlineStr">
        <is>
          <t>/</t>
        </is>
      </c>
      <c r="U143" s="502" t="inlineStr">
        <is>
          <t>/</t>
        </is>
      </c>
      <c r="V143" s="502" t="inlineStr">
        <is>
          <t>/</t>
        </is>
      </c>
      <c r="W143" s="503" t="inlineStr">
        <is>
          <t>/</t>
        </is>
      </c>
      <c r="X143" s="51" t="inlineStr">
        <is>
          <t>/</t>
        </is>
      </c>
      <c r="Y143" s="51" t="inlineStr">
        <is>
          <t>/</t>
        </is>
      </c>
      <c r="Z143" s="51" t="inlineStr">
        <is>
          <t>/</t>
        </is>
      </c>
      <c r="AA143" s="51" t="inlineStr">
        <is>
          <t>/</t>
        </is>
      </c>
      <c r="AB143" s="222" t="n">
        <v>100000</v>
      </c>
      <c r="AC143" s="46" t="inlineStr">
        <is>
          <t>/</t>
        </is>
      </c>
      <c r="AD143" s="232" t="inlineStr">
        <is>
          <t>1、分部管理费：10万元</t>
        </is>
      </c>
      <c r="AE143" s="25" t="n"/>
      <c r="AF143" s="206" t="n"/>
    </row>
    <row r="144" ht="12" customFormat="1" customHeight="1" s="209">
      <c r="A144" s="219" t="n">
        <v>142</v>
      </c>
      <c r="B144" s="535" t="n"/>
      <c r="C144" s="221" t="inlineStr">
        <is>
          <t>餐饮三分部</t>
        </is>
      </c>
      <c r="D144" s="221" t="inlineStr">
        <is>
          <t>CF699</t>
        </is>
      </c>
      <c r="E144" s="221" t="inlineStr">
        <is>
          <t>徐医大第一食堂</t>
        </is>
      </c>
      <c r="F144" s="335" t="inlineStr">
        <is>
          <t>自营</t>
        </is>
      </c>
      <c r="G144" s="222" t="inlineStr">
        <is>
          <t>陆琪</t>
        </is>
      </c>
      <c r="H144" s="243" t="inlineStr">
        <is>
          <t>/</t>
        </is>
      </c>
      <c r="I144" s="480" t="inlineStr">
        <is>
          <t>/</t>
        </is>
      </c>
      <c r="J144" s="480" t="inlineStr">
        <is>
          <t>/</t>
        </is>
      </c>
      <c r="K144" s="349" t="inlineStr">
        <is>
          <t>/</t>
        </is>
      </c>
      <c r="L144" s="651" t="inlineStr">
        <is>
          <t>/</t>
        </is>
      </c>
      <c r="M144" s="462" t="inlineStr">
        <is>
          <t>/</t>
        </is>
      </c>
      <c r="N144" s="462" t="inlineStr">
        <is>
          <t>/</t>
        </is>
      </c>
      <c r="O144" s="462" t="inlineStr">
        <is>
          <t>/</t>
        </is>
      </c>
      <c r="P144" s="106" t="n"/>
      <c r="Q144" s="462" t="inlineStr">
        <is>
          <t>/</t>
        </is>
      </c>
      <c r="R144" s="462" t="inlineStr">
        <is>
          <t>/</t>
        </is>
      </c>
      <c r="S144" s="462" t="inlineStr">
        <is>
          <t>/</t>
        </is>
      </c>
      <c r="T144" s="44" t="n"/>
      <c r="U144" s="462" t="inlineStr">
        <is>
          <t>/</t>
        </is>
      </c>
      <c r="V144" s="462" t="inlineStr">
        <is>
          <t>/</t>
        </is>
      </c>
      <c r="W144" s="480" t="inlineStr">
        <is>
          <t>/</t>
        </is>
      </c>
      <c r="X144" s="115" t="inlineStr">
        <is>
          <t>/</t>
        </is>
      </c>
      <c r="Y144" s="115" t="inlineStr">
        <is>
          <t>/</t>
        </is>
      </c>
      <c r="Z144" s="115" t="inlineStr">
        <is>
          <t>/</t>
        </is>
      </c>
      <c r="AA144" s="115" t="inlineStr">
        <is>
          <t>/</t>
        </is>
      </c>
      <c r="AB144" s="46" t="n">
        <v>0.05</v>
      </c>
      <c r="AC144" s="118" t="inlineStr">
        <is>
          <t>/</t>
        </is>
      </c>
      <c r="AD144" s="48" t="inlineStr">
        <is>
          <t>1、自营未实际经营；</t>
        </is>
      </c>
      <c r="AE144" s="25" t="n"/>
      <c r="AF144" s="206" t="n"/>
    </row>
    <row r="145" ht="84" customFormat="1" customHeight="1" s="209">
      <c r="A145" s="219" t="n">
        <v>143</v>
      </c>
      <c r="B145" s="14" t="inlineStr">
        <is>
          <t>KQCY0138</t>
        </is>
      </c>
      <c r="C145" s="221" t="inlineStr">
        <is>
          <t>餐饮三分部</t>
        </is>
      </c>
      <c r="D145" s="221" t="inlineStr">
        <is>
          <t>CF699</t>
        </is>
      </c>
      <c r="E145" s="221" t="inlineStr">
        <is>
          <t>徐医大第一食堂</t>
        </is>
      </c>
      <c r="F145" s="219" t="inlineStr">
        <is>
          <t>分组作业</t>
        </is>
      </c>
      <c r="G145" s="222" t="inlineStr">
        <is>
          <t>陆琪</t>
        </is>
      </c>
      <c r="H145" s="503" t="inlineStr">
        <is>
          <t>/</t>
        </is>
      </c>
      <c r="I145" s="237" t="inlineStr">
        <is>
          <t>麻辣烫</t>
        </is>
      </c>
      <c r="J145" s="503" t="inlineStr">
        <is>
          <t>董浩</t>
        </is>
      </c>
      <c r="K145" s="224" t="inlineStr">
        <is>
          <t>/</t>
        </is>
      </c>
      <c r="L145" s="651" t="n">
        <v>564000</v>
      </c>
      <c r="M145" s="113" t="n">
        <v>0.18</v>
      </c>
      <c r="N145" s="502" t="inlineStr">
        <is>
          <t>/</t>
        </is>
      </c>
      <c r="O145" s="659" t="n"/>
      <c r="P145" s="502" t="inlineStr">
        <is>
          <t>/</t>
        </is>
      </c>
      <c r="Q145" s="502" t="inlineStr">
        <is>
          <t>/</t>
        </is>
      </c>
      <c r="R145" s="502" t="inlineStr">
        <is>
          <t>/</t>
        </is>
      </c>
      <c r="S145" s="502" t="inlineStr">
        <is>
          <t>/</t>
        </is>
      </c>
      <c r="T145" s="653" t="n">
        <v>1500</v>
      </c>
      <c r="U145" s="653" t="n"/>
      <c r="V145" s="502" t="inlineStr">
        <is>
          <t>/</t>
        </is>
      </c>
      <c r="W145" s="22" t="n">
        <v>0.501</v>
      </c>
      <c r="X145" s="51" t="inlineStr">
        <is>
          <t>/</t>
        </is>
      </c>
      <c r="Y145" s="51" t="inlineStr">
        <is>
          <t>/</t>
        </is>
      </c>
      <c r="Z145" s="51" t="inlineStr">
        <is>
          <t>/</t>
        </is>
      </c>
      <c r="AA145" s="51" t="inlineStr">
        <is>
          <t>/</t>
        </is>
      </c>
      <c r="AB145" s="51" t="inlineStr">
        <is>
          <t>/</t>
        </is>
      </c>
      <c r="AC145" s="46" t="inlineStr">
        <is>
          <t>/</t>
        </is>
      </c>
      <c r="AD145" s="297" t="inlineStr">
        <is>
          <t>1、卫生费：每月固定1500元，寒暑假根据实际运营天数结算</t>
        </is>
      </c>
      <c r="AE145" s="25" t="inlineStr">
        <is>
          <t xml:space="preserve">1、签订期间：2026.2.25-2026.7.31；
2、指标按照全年换算；
</t>
        </is>
      </c>
      <c r="AF145"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46" ht="84" customFormat="1" customHeight="1" s="209">
      <c r="A146" s="219" t="n">
        <v>144</v>
      </c>
      <c r="B146" s="14" t="inlineStr">
        <is>
          <t>KQCY0139</t>
        </is>
      </c>
      <c r="C146" s="221" t="inlineStr">
        <is>
          <t>餐饮三分部</t>
        </is>
      </c>
      <c r="D146" s="221" t="inlineStr">
        <is>
          <t>CF699</t>
        </is>
      </c>
      <c r="E146" s="221" t="inlineStr">
        <is>
          <t>徐医大第一食堂</t>
        </is>
      </c>
      <c r="F146" s="219" t="inlineStr">
        <is>
          <t>分组作业</t>
        </is>
      </c>
      <c r="G146" s="222" t="inlineStr">
        <is>
          <t>陆琪</t>
        </is>
      </c>
      <c r="H146" s="503" t="inlineStr">
        <is>
          <t>/</t>
        </is>
      </c>
      <c r="I146" s="237" t="inlineStr">
        <is>
          <t>脆香鸡</t>
        </is>
      </c>
      <c r="J146" s="503" t="inlineStr">
        <is>
          <t>闫玉净</t>
        </is>
      </c>
      <c r="K146" s="224" t="inlineStr">
        <is>
          <t>/</t>
        </is>
      </c>
      <c r="L146" s="651" t="n">
        <v>924000</v>
      </c>
      <c r="M146" s="113" t="n">
        <v>0.19</v>
      </c>
      <c r="N146" s="502" t="inlineStr">
        <is>
          <t>/</t>
        </is>
      </c>
      <c r="O146" s="659" t="n"/>
      <c r="P146" s="502" t="inlineStr">
        <is>
          <t>/</t>
        </is>
      </c>
      <c r="Q146" s="502" t="inlineStr">
        <is>
          <t>/</t>
        </is>
      </c>
      <c r="R146" s="502" t="inlineStr">
        <is>
          <t>/</t>
        </is>
      </c>
      <c r="S146" s="502" t="inlineStr">
        <is>
          <t>/</t>
        </is>
      </c>
      <c r="T146" s="653" t="n">
        <v>1500</v>
      </c>
      <c r="U146" s="653" t="n"/>
      <c r="V146" s="502" t="inlineStr">
        <is>
          <t>/</t>
        </is>
      </c>
      <c r="W146" s="22" t="n">
        <v>0.501</v>
      </c>
      <c r="X146" s="51" t="inlineStr">
        <is>
          <t>/</t>
        </is>
      </c>
      <c r="Y146" s="51" t="inlineStr">
        <is>
          <t>/</t>
        </is>
      </c>
      <c r="Z146" s="51" t="inlineStr">
        <is>
          <t>/</t>
        </is>
      </c>
      <c r="AA146" s="51" t="inlineStr">
        <is>
          <t>/</t>
        </is>
      </c>
      <c r="AB146" s="51" t="inlineStr">
        <is>
          <t>/</t>
        </is>
      </c>
      <c r="AC146" s="46" t="inlineStr">
        <is>
          <t>/</t>
        </is>
      </c>
      <c r="AD146" s="297" t="inlineStr">
        <is>
          <t>1、卫生费：每月固定1500元，寒暑假根据实际运营天数结算</t>
        </is>
      </c>
      <c r="AE146" s="25" t="inlineStr">
        <is>
          <t>1、签订期间：2026.2.25-2026.7.31；
2、指标按照全年换算；</t>
        </is>
      </c>
      <c r="AF146"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47" ht="84" customFormat="1" customHeight="1" s="209">
      <c r="A147" s="219" t="n">
        <v>145</v>
      </c>
      <c r="B147" s="14" t="inlineStr">
        <is>
          <t>KQCY0140</t>
        </is>
      </c>
      <c r="C147" s="221" t="inlineStr">
        <is>
          <t>餐饮三分部</t>
        </is>
      </c>
      <c r="D147" s="221" t="inlineStr">
        <is>
          <t>CF699</t>
        </is>
      </c>
      <c r="E147" s="221" t="inlineStr">
        <is>
          <t>徐医大第一食堂</t>
        </is>
      </c>
      <c r="F147" s="219" t="inlineStr">
        <is>
          <t>分组作业</t>
        </is>
      </c>
      <c r="G147" s="222" t="inlineStr">
        <is>
          <t>陆琪</t>
        </is>
      </c>
      <c r="H147" s="503" t="inlineStr">
        <is>
          <t>/</t>
        </is>
      </c>
      <c r="I147" s="237" t="inlineStr">
        <is>
          <t>鸡柳窜巷</t>
        </is>
      </c>
      <c r="J147" s="503" t="inlineStr">
        <is>
          <t>王晨</t>
        </is>
      </c>
      <c r="K147" s="224" t="inlineStr">
        <is>
          <t>/</t>
        </is>
      </c>
      <c r="L147" s="651" t="n">
        <v>384000</v>
      </c>
      <c r="M147" s="113" t="n">
        <v>0.19</v>
      </c>
      <c r="N147" s="502" t="inlineStr">
        <is>
          <t>/</t>
        </is>
      </c>
      <c r="O147" s="659" t="n"/>
      <c r="P147" s="502" t="inlineStr">
        <is>
          <t>/</t>
        </is>
      </c>
      <c r="Q147" s="502" t="inlineStr">
        <is>
          <t>/</t>
        </is>
      </c>
      <c r="R147" s="502" t="inlineStr">
        <is>
          <t>/</t>
        </is>
      </c>
      <c r="S147" s="502" t="inlineStr">
        <is>
          <t>/</t>
        </is>
      </c>
      <c r="T147" s="653" t="n">
        <v>1000</v>
      </c>
      <c r="U147" s="653" t="n"/>
      <c r="V147" s="502" t="inlineStr">
        <is>
          <t>/</t>
        </is>
      </c>
      <c r="W147" s="22" t="n">
        <v>0.501</v>
      </c>
      <c r="X147" s="51" t="inlineStr">
        <is>
          <t>/</t>
        </is>
      </c>
      <c r="Y147" s="51" t="inlineStr">
        <is>
          <t>/</t>
        </is>
      </c>
      <c r="Z147" s="51" t="inlineStr">
        <is>
          <t>/</t>
        </is>
      </c>
      <c r="AA147" s="51" t="inlineStr">
        <is>
          <t>/</t>
        </is>
      </c>
      <c r="AB147" s="51" t="inlineStr">
        <is>
          <t>/</t>
        </is>
      </c>
      <c r="AC147" s="46" t="inlineStr">
        <is>
          <t>/</t>
        </is>
      </c>
      <c r="AD147" s="121" t="inlineStr">
        <is>
          <t>1、卫生费：每月固定1000元，寒暑假根据实际运营天数结算</t>
        </is>
      </c>
      <c r="AE147" s="25" t="inlineStr">
        <is>
          <t>1、签订期间：2026.2.25-2026.7.31；
2、指标按照全年换算；</t>
        </is>
      </c>
      <c r="AF147"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48" ht="84" customFormat="1" customHeight="1" s="209">
      <c r="A148" s="219" t="n">
        <v>146</v>
      </c>
      <c r="B148" s="14" t="inlineStr">
        <is>
          <t>KQCY0141</t>
        </is>
      </c>
      <c r="C148" s="221" t="inlineStr">
        <is>
          <t>餐饮三分部</t>
        </is>
      </c>
      <c r="D148" s="221" t="inlineStr">
        <is>
          <t>CF699</t>
        </is>
      </c>
      <c r="E148" s="221" t="inlineStr">
        <is>
          <t>徐医大第一食堂</t>
        </is>
      </c>
      <c r="F148" s="219" t="inlineStr">
        <is>
          <t>分组作业</t>
        </is>
      </c>
      <c r="G148" s="222" t="inlineStr">
        <is>
          <t>陆琪</t>
        </is>
      </c>
      <c r="H148" s="503" t="inlineStr">
        <is>
          <t>/</t>
        </is>
      </c>
      <c r="I148" s="237" t="inlineStr">
        <is>
          <t>螺蛳粉</t>
        </is>
      </c>
      <c r="J148" s="503" t="inlineStr">
        <is>
          <t>王梅</t>
        </is>
      </c>
      <c r="K148" s="224" t="inlineStr">
        <is>
          <t>/</t>
        </is>
      </c>
      <c r="L148" s="651" t="n">
        <v>588000</v>
      </c>
      <c r="M148" s="113" t="n">
        <v>0.19</v>
      </c>
      <c r="N148" s="502" t="inlineStr">
        <is>
          <t>/</t>
        </is>
      </c>
      <c r="O148" s="659" t="n"/>
      <c r="P148" s="502" t="inlineStr">
        <is>
          <t>/</t>
        </is>
      </c>
      <c r="Q148" s="502" t="inlineStr">
        <is>
          <t>/</t>
        </is>
      </c>
      <c r="R148" s="502" t="inlineStr">
        <is>
          <t>/</t>
        </is>
      </c>
      <c r="S148" s="502" t="inlineStr">
        <is>
          <t>/</t>
        </is>
      </c>
      <c r="T148" s="653" t="n">
        <v>1500</v>
      </c>
      <c r="U148" s="653" t="n"/>
      <c r="V148" s="502" t="inlineStr">
        <is>
          <t>/</t>
        </is>
      </c>
      <c r="W148" s="22" t="n">
        <v>0.501</v>
      </c>
      <c r="X148" s="51" t="inlineStr">
        <is>
          <t>/</t>
        </is>
      </c>
      <c r="Y148" s="51" t="inlineStr">
        <is>
          <t>/</t>
        </is>
      </c>
      <c r="Z148" s="51" t="inlineStr">
        <is>
          <t>/</t>
        </is>
      </c>
      <c r="AA148" s="51" t="inlineStr">
        <is>
          <t>/</t>
        </is>
      </c>
      <c r="AB148" s="51" t="inlineStr">
        <is>
          <t>/</t>
        </is>
      </c>
      <c r="AC148" s="46" t="inlineStr">
        <is>
          <t>/</t>
        </is>
      </c>
      <c r="AD148" s="297" t="inlineStr">
        <is>
          <t>1、卫生费：每月固定1500元，寒暑假根据实际运营天数结算</t>
        </is>
      </c>
      <c r="AE148" s="25" t="inlineStr">
        <is>
          <t>1、签订期间：2026.2.25-2026.7.31；
2、指标按照全年换算；</t>
        </is>
      </c>
      <c r="AF148"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49" ht="84" customFormat="1" customHeight="1" s="209">
      <c r="A149" s="219" t="n">
        <v>147</v>
      </c>
      <c r="B149" s="14" t="inlineStr">
        <is>
          <t>KQCY0142</t>
        </is>
      </c>
      <c r="C149" s="221" t="inlineStr">
        <is>
          <t>餐饮三分部</t>
        </is>
      </c>
      <c r="D149" s="221" t="inlineStr">
        <is>
          <t>CF699</t>
        </is>
      </c>
      <c r="E149" s="221" t="inlineStr">
        <is>
          <t>徐医大第一食堂</t>
        </is>
      </c>
      <c r="F149" s="219" t="inlineStr">
        <is>
          <t>分组作业</t>
        </is>
      </c>
      <c r="G149" s="222" t="inlineStr">
        <is>
          <t>陆琪</t>
        </is>
      </c>
      <c r="H149" s="503" t="inlineStr">
        <is>
          <t>/</t>
        </is>
      </c>
      <c r="I149" s="237" t="inlineStr">
        <is>
          <t>苏式汤面</t>
        </is>
      </c>
      <c r="J149" s="503" t="inlineStr">
        <is>
          <t>刘行行</t>
        </is>
      </c>
      <c r="K149" s="224" t="inlineStr">
        <is>
          <t>/</t>
        </is>
      </c>
      <c r="L149" s="651" t="n">
        <v>660000</v>
      </c>
      <c r="M149" s="113" t="n">
        <v>0.19</v>
      </c>
      <c r="N149" s="502" t="inlineStr">
        <is>
          <t>/</t>
        </is>
      </c>
      <c r="O149" s="659" t="n"/>
      <c r="P149" s="502" t="inlineStr">
        <is>
          <t>/</t>
        </is>
      </c>
      <c r="Q149" s="502" t="inlineStr">
        <is>
          <t>/</t>
        </is>
      </c>
      <c r="R149" s="502" t="inlineStr">
        <is>
          <t>/</t>
        </is>
      </c>
      <c r="S149" s="502" t="inlineStr">
        <is>
          <t>/</t>
        </is>
      </c>
      <c r="T149" s="653" t="n">
        <v>1500</v>
      </c>
      <c r="U149" s="653" t="n"/>
      <c r="V149" s="502" t="inlineStr">
        <is>
          <t>/</t>
        </is>
      </c>
      <c r="W149" s="22" t="n">
        <v>0.501</v>
      </c>
      <c r="X149" s="51" t="inlineStr">
        <is>
          <t>/</t>
        </is>
      </c>
      <c r="Y149" s="51" t="inlineStr">
        <is>
          <t>/</t>
        </is>
      </c>
      <c r="Z149" s="51" t="inlineStr">
        <is>
          <t>/</t>
        </is>
      </c>
      <c r="AA149" s="51" t="inlineStr">
        <is>
          <t>/</t>
        </is>
      </c>
      <c r="AB149" s="51" t="inlineStr">
        <is>
          <t>/</t>
        </is>
      </c>
      <c r="AC149" s="46" t="inlineStr">
        <is>
          <t>/</t>
        </is>
      </c>
      <c r="AD149" s="297" t="inlineStr">
        <is>
          <t>1、卫生费：每月固定1500元，寒暑假根据实际运营天数结算</t>
        </is>
      </c>
      <c r="AE149" s="25" t="inlineStr">
        <is>
          <t xml:space="preserve">1、签订期间：2026.2.25-2026.7.31；
2、指标按照全年换算；
</t>
        </is>
      </c>
      <c r="AF149"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0" ht="84" customFormat="1" customHeight="1" s="209">
      <c r="A150" s="219" t="n">
        <v>148</v>
      </c>
      <c r="B150" s="14" t="inlineStr">
        <is>
          <t>KQCY0143</t>
        </is>
      </c>
      <c r="C150" s="221" t="inlineStr">
        <is>
          <t>餐饮三分部</t>
        </is>
      </c>
      <c r="D150" s="221" t="inlineStr">
        <is>
          <t>CF699</t>
        </is>
      </c>
      <c r="E150" s="221" t="inlineStr">
        <is>
          <t>徐医大第一食堂</t>
        </is>
      </c>
      <c r="F150" s="219" t="inlineStr">
        <is>
          <t>分组作业</t>
        </is>
      </c>
      <c r="G150" s="222" t="inlineStr">
        <is>
          <t>陆琪</t>
        </is>
      </c>
      <c r="H150" s="503" t="inlineStr">
        <is>
          <t>/</t>
        </is>
      </c>
      <c r="I150" s="237" t="inlineStr">
        <is>
          <t>营养粥</t>
        </is>
      </c>
      <c r="J150" s="494" t="inlineStr">
        <is>
          <t>周冰</t>
        </is>
      </c>
      <c r="K150" s="224" t="inlineStr">
        <is>
          <t>/</t>
        </is>
      </c>
      <c r="L150" s="651" t="n">
        <v>660000</v>
      </c>
      <c r="M150" s="113" t="n">
        <v>0.19</v>
      </c>
      <c r="N150" s="502" t="inlineStr">
        <is>
          <t>/</t>
        </is>
      </c>
      <c r="O150" s="659" t="n"/>
      <c r="P150" s="502" t="inlineStr">
        <is>
          <t>/</t>
        </is>
      </c>
      <c r="Q150" s="502" t="inlineStr">
        <is>
          <t>/</t>
        </is>
      </c>
      <c r="R150" s="502" t="inlineStr">
        <is>
          <t>/</t>
        </is>
      </c>
      <c r="S150" s="502" t="inlineStr">
        <is>
          <t>/</t>
        </is>
      </c>
      <c r="T150" s="653" t="n">
        <v>1000</v>
      </c>
      <c r="U150" s="653" t="n"/>
      <c r="V150" s="502" t="inlineStr">
        <is>
          <t>/</t>
        </is>
      </c>
      <c r="W150" s="22" t="n">
        <v>0.501</v>
      </c>
      <c r="X150" s="51" t="inlineStr">
        <is>
          <t>/</t>
        </is>
      </c>
      <c r="Y150" s="51" t="inlineStr">
        <is>
          <t>/</t>
        </is>
      </c>
      <c r="Z150" s="51" t="inlineStr">
        <is>
          <t>/</t>
        </is>
      </c>
      <c r="AA150" s="51" t="inlineStr">
        <is>
          <t>/</t>
        </is>
      </c>
      <c r="AB150" s="51" t="inlineStr">
        <is>
          <t>/</t>
        </is>
      </c>
      <c r="AC150" s="46" t="inlineStr">
        <is>
          <t>/</t>
        </is>
      </c>
      <c r="AD150" s="121" t="inlineStr">
        <is>
          <t>1、卫生费：每月固定1000元，寒暑假根据实际运营天数结算</t>
        </is>
      </c>
      <c r="AE150" s="25" t="inlineStr">
        <is>
          <t xml:space="preserve">1、签订期间：2026.2.25-2026.7.31；
2、指标按照全年换算；
</t>
        </is>
      </c>
      <c r="AF150"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1" ht="84" customFormat="1" customHeight="1" s="209">
      <c r="A151" s="219" t="n">
        <v>149</v>
      </c>
      <c r="B151" s="14" t="inlineStr">
        <is>
          <t>KQCY0144</t>
        </is>
      </c>
      <c r="C151" s="221" t="inlineStr">
        <is>
          <t>餐饮三分部</t>
        </is>
      </c>
      <c r="D151" s="221" t="inlineStr">
        <is>
          <t>CF699</t>
        </is>
      </c>
      <c r="E151" s="221" t="inlineStr">
        <is>
          <t>徐医大第一食堂</t>
        </is>
      </c>
      <c r="F151" s="219" t="inlineStr">
        <is>
          <t>分组作业</t>
        </is>
      </c>
      <c r="G151" s="222" t="inlineStr">
        <is>
          <t>陆琪</t>
        </is>
      </c>
      <c r="H151" s="503" t="inlineStr">
        <is>
          <t>/</t>
        </is>
      </c>
      <c r="I151" s="237" t="inlineStr">
        <is>
          <t>辣椒炒肉</t>
        </is>
      </c>
      <c r="J151" s="494" t="inlineStr">
        <is>
          <t>王桐</t>
        </is>
      </c>
      <c r="K151" s="224" t="inlineStr">
        <is>
          <t>/</t>
        </is>
      </c>
      <c r="L151" s="651" t="n">
        <v>588000</v>
      </c>
      <c r="M151" s="113" t="n">
        <v>0.16</v>
      </c>
      <c r="N151" s="502" t="inlineStr">
        <is>
          <t>/</t>
        </is>
      </c>
      <c r="O151" s="659" t="n"/>
      <c r="P151" s="502" t="inlineStr">
        <is>
          <t>/</t>
        </is>
      </c>
      <c r="Q151" s="502" t="inlineStr">
        <is>
          <t>/</t>
        </is>
      </c>
      <c r="R151" s="502" t="inlineStr">
        <is>
          <t>/</t>
        </is>
      </c>
      <c r="S151" s="502" t="inlineStr">
        <is>
          <t>/</t>
        </is>
      </c>
      <c r="T151" s="653" t="n">
        <v>1500</v>
      </c>
      <c r="U151" s="653" t="n"/>
      <c r="V151" s="502" t="inlineStr">
        <is>
          <t>/</t>
        </is>
      </c>
      <c r="W151" s="22" t="n">
        <v>0.501</v>
      </c>
      <c r="X151" s="51" t="inlineStr">
        <is>
          <t>/</t>
        </is>
      </c>
      <c r="Y151" s="51" t="inlineStr">
        <is>
          <t>/</t>
        </is>
      </c>
      <c r="Z151" s="51" t="inlineStr">
        <is>
          <t>/</t>
        </is>
      </c>
      <c r="AA151" s="51" t="inlineStr">
        <is>
          <t>/</t>
        </is>
      </c>
      <c r="AB151" s="51" t="inlineStr">
        <is>
          <t>/</t>
        </is>
      </c>
      <c r="AC151" s="46" t="inlineStr">
        <is>
          <t>/</t>
        </is>
      </c>
      <c r="AD151" s="297" t="inlineStr">
        <is>
          <t>1、卫生费：每月固定1500元，寒暑假根据实际运营天数结算</t>
        </is>
      </c>
      <c r="AE151" s="25" t="inlineStr">
        <is>
          <t xml:space="preserve">1、签订期间：2026.2.25-2026.7.31；
2、指标按照全年换算；
</t>
        </is>
      </c>
      <c r="AF151"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2" ht="84" customFormat="1" customHeight="1" s="209">
      <c r="A152" s="219" t="n">
        <v>150</v>
      </c>
      <c r="B152" s="14" t="inlineStr">
        <is>
          <t>KQCY0145</t>
        </is>
      </c>
      <c r="C152" s="221" t="inlineStr">
        <is>
          <t>餐饮三分部</t>
        </is>
      </c>
      <c r="D152" s="221" t="inlineStr">
        <is>
          <t>CF699</t>
        </is>
      </c>
      <c r="E152" s="221" t="inlineStr">
        <is>
          <t>徐医大第一食堂</t>
        </is>
      </c>
      <c r="F152" s="219" t="inlineStr">
        <is>
          <t>分组作业</t>
        </is>
      </c>
      <c r="G152" s="222" t="inlineStr">
        <is>
          <t>陆琪</t>
        </is>
      </c>
      <c r="H152" s="503" t="inlineStr">
        <is>
          <t>/</t>
        </is>
      </c>
      <c r="I152" s="237" t="inlineStr">
        <is>
          <t>板煮演义</t>
        </is>
      </c>
      <c r="J152" s="494" t="inlineStr">
        <is>
          <t>郑亚兰</t>
        </is>
      </c>
      <c r="K152" s="224" t="inlineStr">
        <is>
          <t>/</t>
        </is>
      </c>
      <c r="L152" s="651" t="n">
        <v>564000</v>
      </c>
      <c r="M152" s="113" t="n">
        <v>0.19</v>
      </c>
      <c r="N152" s="502" t="inlineStr">
        <is>
          <t>/</t>
        </is>
      </c>
      <c r="O152" s="659" t="n"/>
      <c r="P152" s="502" t="inlineStr">
        <is>
          <t>/</t>
        </is>
      </c>
      <c r="Q152" s="502" t="inlineStr">
        <is>
          <t>/</t>
        </is>
      </c>
      <c r="R152" s="502" t="inlineStr">
        <is>
          <t>/</t>
        </is>
      </c>
      <c r="S152" s="502" t="inlineStr">
        <is>
          <t>/</t>
        </is>
      </c>
      <c r="T152" s="653" t="n">
        <v>1500</v>
      </c>
      <c r="U152" s="653" t="n"/>
      <c r="V152" s="502" t="inlineStr">
        <is>
          <t>/</t>
        </is>
      </c>
      <c r="W152" s="22" t="n">
        <v>0.501</v>
      </c>
      <c r="X152" s="51" t="inlineStr">
        <is>
          <t>/</t>
        </is>
      </c>
      <c r="Y152" s="51" t="inlineStr">
        <is>
          <t>/</t>
        </is>
      </c>
      <c r="Z152" s="51" t="inlineStr">
        <is>
          <t>/</t>
        </is>
      </c>
      <c r="AA152" s="51" t="inlineStr">
        <is>
          <t>/</t>
        </is>
      </c>
      <c r="AB152" s="51" t="inlineStr">
        <is>
          <t>/</t>
        </is>
      </c>
      <c r="AC152" s="46" t="inlineStr">
        <is>
          <t>/</t>
        </is>
      </c>
      <c r="AD152" s="297" t="inlineStr">
        <is>
          <t>1、卫生费：每月固定1500元，寒暑假根据实际运营天数结算</t>
        </is>
      </c>
      <c r="AE152" s="25" t="inlineStr">
        <is>
          <t xml:space="preserve">1、签订期间：2026.2.25-2026.7.31；
2、指标按照全年换算；
</t>
        </is>
      </c>
      <c r="AF152"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3" ht="84" customFormat="1" customHeight="1" s="209">
      <c r="A153" s="219" t="n">
        <v>151</v>
      </c>
      <c r="B153" s="14" t="inlineStr">
        <is>
          <t>KQCY0146</t>
        </is>
      </c>
      <c r="C153" s="221" t="inlineStr">
        <is>
          <t>餐饮三分部</t>
        </is>
      </c>
      <c r="D153" s="221" t="inlineStr">
        <is>
          <t>CF699</t>
        </is>
      </c>
      <c r="E153" s="221" t="inlineStr">
        <is>
          <t>徐医大第一食堂</t>
        </is>
      </c>
      <c r="F153" s="219" t="inlineStr">
        <is>
          <t>分组作业</t>
        </is>
      </c>
      <c r="G153" s="222" t="inlineStr">
        <is>
          <t>陆琪</t>
        </is>
      </c>
      <c r="H153" s="503" t="inlineStr">
        <is>
          <t>/</t>
        </is>
      </c>
      <c r="I153" s="237" t="inlineStr">
        <is>
          <t>老翟板面</t>
        </is>
      </c>
      <c r="J153" s="494" t="inlineStr">
        <is>
          <t>经蕊蕊</t>
        </is>
      </c>
      <c r="K153" s="224" t="inlineStr">
        <is>
          <t>/</t>
        </is>
      </c>
      <c r="L153" s="651" t="n">
        <v>672000</v>
      </c>
      <c r="M153" s="113" t="n">
        <v>0.16</v>
      </c>
      <c r="N153" s="502" t="inlineStr">
        <is>
          <t>/</t>
        </is>
      </c>
      <c r="O153" s="659" t="n"/>
      <c r="P153" s="502" t="inlineStr">
        <is>
          <t>/</t>
        </is>
      </c>
      <c r="Q153" s="502" t="inlineStr">
        <is>
          <t>/</t>
        </is>
      </c>
      <c r="R153" s="502" t="inlineStr">
        <is>
          <t>/</t>
        </is>
      </c>
      <c r="S153" s="502" t="inlineStr">
        <is>
          <t>/</t>
        </is>
      </c>
      <c r="T153" s="653" t="n">
        <v>1000</v>
      </c>
      <c r="U153" s="653" t="n"/>
      <c r="V153" s="502" t="inlineStr">
        <is>
          <t>/</t>
        </is>
      </c>
      <c r="W153" s="22" t="n">
        <v>0.501</v>
      </c>
      <c r="X153" s="51" t="inlineStr">
        <is>
          <t>/</t>
        </is>
      </c>
      <c r="Y153" s="51" t="inlineStr">
        <is>
          <t>/</t>
        </is>
      </c>
      <c r="Z153" s="51" t="inlineStr">
        <is>
          <t>/</t>
        </is>
      </c>
      <c r="AA153" s="51" t="inlineStr">
        <is>
          <t>/</t>
        </is>
      </c>
      <c r="AB153" s="51" t="inlineStr">
        <is>
          <t>/</t>
        </is>
      </c>
      <c r="AC153" s="46" t="inlineStr">
        <is>
          <t>/</t>
        </is>
      </c>
      <c r="AD153" s="121" t="inlineStr">
        <is>
          <t>1、卫生费：每月固定1000元，寒暑假根据实际运
营天数结算</t>
        </is>
      </c>
      <c r="AE153" s="25" t="inlineStr">
        <is>
          <t xml:space="preserve">1、签订期间：2026.2.25-2026.7.31；
2、指标按照全年换算；
</t>
        </is>
      </c>
      <c r="AF153"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4" ht="84" customFormat="1" customHeight="1" s="209">
      <c r="A154" s="219" t="n">
        <v>152</v>
      </c>
      <c r="B154" s="14" t="inlineStr">
        <is>
          <t>KQCY0147</t>
        </is>
      </c>
      <c r="C154" s="221" t="inlineStr">
        <is>
          <t>餐饮三分部</t>
        </is>
      </c>
      <c r="D154" s="221" t="inlineStr">
        <is>
          <t>CF699</t>
        </is>
      </c>
      <c r="E154" s="221" t="inlineStr">
        <is>
          <t>徐医大第一食堂</t>
        </is>
      </c>
      <c r="F154" s="219" t="inlineStr">
        <is>
          <t>分组作业</t>
        </is>
      </c>
      <c r="G154" s="222" t="inlineStr">
        <is>
          <t>陆琪</t>
        </is>
      </c>
      <c r="H154" s="503" t="inlineStr">
        <is>
          <t>/</t>
        </is>
      </c>
      <c r="I154" s="237" t="inlineStr">
        <is>
          <t>杂粮煎饼</t>
        </is>
      </c>
      <c r="J154" s="494" t="inlineStr">
        <is>
          <t>陈希广</t>
        </is>
      </c>
      <c r="K154" s="224" t="inlineStr">
        <is>
          <t>/</t>
        </is>
      </c>
      <c r="L154" s="651" t="n">
        <v>588000</v>
      </c>
      <c r="M154" s="113" t="n">
        <v>0.19</v>
      </c>
      <c r="N154" s="502" t="inlineStr">
        <is>
          <t>/</t>
        </is>
      </c>
      <c r="O154" s="659" t="n"/>
      <c r="P154" s="502" t="inlineStr">
        <is>
          <t>/</t>
        </is>
      </c>
      <c r="Q154" s="502" t="inlineStr">
        <is>
          <t>/</t>
        </is>
      </c>
      <c r="R154" s="502" t="inlineStr">
        <is>
          <t>/</t>
        </is>
      </c>
      <c r="S154" s="502" t="inlineStr">
        <is>
          <t>/</t>
        </is>
      </c>
      <c r="T154" s="653" t="n">
        <v>600</v>
      </c>
      <c r="U154" s="653" t="n"/>
      <c r="V154" s="502" t="inlineStr">
        <is>
          <t>/</t>
        </is>
      </c>
      <c r="W154" s="22" t="n">
        <v>0.501</v>
      </c>
      <c r="X154" s="51" t="inlineStr">
        <is>
          <t>/</t>
        </is>
      </c>
      <c r="Y154" s="51" t="inlineStr">
        <is>
          <t>/</t>
        </is>
      </c>
      <c r="Z154" s="51" t="inlineStr">
        <is>
          <t>/</t>
        </is>
      </c>
      <c r="AA154" s="51" t="inlineStr">
        <is>
          <t>/</t>
        </is>
      </c>
      <c r="AB154" s="51" t="inlineStr">
        <is>
          <t>/</t>
        </is>
      </c>
      <c r="AC154" s="46" t="inlineStr">
        <is>
          <t>/</t>
        </is>
      </c>
      <c r="AD154" s="297" t="inlineStr">
        <is>
          <t>1、卫生费：每月固定600元，
寒暑假根据实际运
营天数结算</t>
        </is>
      </c>
      <c r="AE154" s="25" t="inlineStr">
        <is>
          <t xml:space="preserve">1、签订期间：2026.2.25-2026.7.31；
2、指标按照全年换算；
</t>
        </is>
      </c>
      <c r="AF154"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5" ht="84" customFormat="1" customHeight="1" s="209">
      <c r="A155" s="219" t="n">
        <v>153</v>
      </c>
      <c r="B155" s="14" t="inlineStr">
        <is>
          <t>KQCY0148</t>
        </is>
      </c>
      <c r="C155" s="221" t="inlineStr">
        <is>
          <t>餐饮三分部</t>
        </is>
      </c>
      <c r="D155" s="221" t="inlineStr">
        <is>
          <t>CF699</t>
        </is>
      </c>
      <c r="E155" s="221" t="inlineStr">
        <is>
          <t>徐医大第一食堂</t>
        </is>
      </c>
      <c r="F155" s="219" t="inlineStr">
        <is>
          <t>分组作业</t>
        </is>
      </c>
      <c r="G155" s="222" t="inlineStr">
        <is>
          <t>陆琪</t>
        </is>
      </c>
      <c r="H155" s="503" t="inlineStr">
        <is>
          <t>/</t>
        </is>
      </c>
      <c r="I155" s="237" t="inlineStr">
        <is>
          <t>早餐</t>
        </is>
      </c>
      <c r="J155" s="494" t="inlineStr">
        <is>
          <t>张召兵</t>
        </is>
      </c>
      <c r="K155" s="224" t="inlineStr">
        <is>
          <t>/</t>
        </is>
      </c>
      <c r="L155" s="651" t="n">
        <v>1056000</v>
      </c>
      <c r="M155" s="113" t="n">
        <v>0.16</v>
      </c>
      <c r="N155" s="502" t="inlineStr">
        <is>
          <t>/</t>
        </is>
      </c>
      <c r="O155" s="659" t="n"/>
      <c r="P155" s="502" t="inlineStr">
        <is>
          <t>/</t>
        </is>
      </c>
      <c r="Q155" s="502" t="inlineStr">
        <is>
          <t>/</t>
        </is>
      </c>
      <c r="R155" s="502" t="inlineStr">
        <is>
          <t>/</t>
        </is>
      </c>
      <c r="S155" s="502" t="inlineStr">
        <is>
          <t>/</t>
        </is>
      </c>
      <c r="T155" s="653" t="n">
        <v>1000</v>
      </c>
      <c r="U155" s="653" t="n"/>
      <c r="V155" s="502" t="inlineStr">
        <is>
          <t>/</t>
        </is>
      </c>
      <c r="W155" s="22" t="n">
        <v>0.501</v>
      </c>
      <c r="X155" s="51" t="inlineStr">
        <is>
          <t>/</t>
        </is>
      </c>
      <c r="Y155" s="51" t="inlineStr">
        <is>
          <t>/</t>
        </is>
      </c>
      <c r="Z155" s="51" t="inlineStr">
        <is>
          <t>/</t>
        </is>
      </c>
      <c r="AA155" s="51" t="inlineStr">
        <is>
          <t>/</t>
        </is>
      </c>
      <c r="AB155" s="51" t="inlineStr">
        <is>
          <t>/</t>
        </is>
      </c>
      <c r="AC155" s="46" t="inlineStr">
        <is>
          <t>/</t>
        </is>
      </c>
      <c r="AD155" s="297" t="inlineStr">
        <is>
          <t>1、卫生费：每月固定1000元，寒暑假根据实际运
营天数结算</t>
        </is>
      </c>
      <c r="AE155" s="25" t="inlineStr">
        <is>
          <t xml:space="preserve">1、签订期间：2026.2.25-2026.7.31；
2、指标按照全年换算；
</t>
        </is>
      </c>
      <c r="AF155"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6" ht="84" customFormat="1" customHeight="1" s="209">
      <c r="A156" s="219" t="n">
        <v>154</v>
      </c>
      <c r="B156" s="14" t="inlineStr">
        <is>
          <t>KQCY0149</t>
        </is>
      </c>
      <c r="C156" s="221" t="inlineStr">
        <is>
          <t>餐饮三分部</t>
        </is>
      </c>
      <c r="D156" s="221" t="inlineStr">
        <is>
          <t>CF699</t>
        </is>
      </c>
      <c r="E156" s="221" t="inlineStr">
        <is>
          <t>徐医大第一食堂</t>
        </is>
      </c>
      <c r="F156" s="219" t="inlineStr">
        <is>
          <t>分组作业</t>
        </is>
      </c>
      <c r="G156" s="222" t="inlineStr">
        <is>
          <t>陆琪</t>
        </is>
      </c>
      <c r="H156" s="503" t="inlineStr">
        <is>
          <t>/</t>
        </is>
      </c>
      <c r="I156" s="237" t="inlineStr">
        <is>
          <t>快餐</t>
        </is>
      </c>
      <c r="J156" s="494" t="inlineStr">
        <is>
          <t>任现军</t>
        </is>
      </c>
      <c r="K156" s="224" t="inlineStr">
        <is>
          <t>/</t>
        </is>
      </c>
      <c r="L156" s="651" t="n">
        <v>1548000</v>
      </c>
      <c r="M156" s="113" t="n">
        <v>0.16</v>
      </c>
      <c r="N156" s="502" t="inlineStr">
        <is>
          <t>/</t>
        </is>
      </c>
      <c r="O156" s="659" t="n"/>
      <c r="P156" s="502" t="inlineStr">
        <is>
          <t>/</t>
        </is>
      </c>
      <c r="Q156" s="502" t="inlineStr">
        <is>
          <t>/</t>
        </is>
      </c>
      <c r="R156" s="502" t="inlineStr">
        <is>
          <t>/</t>
        </is>
      </c>
      <c r="S156" s="502" t="inlineStr">
        <is>
          <t>/</t>
        </is>
      </c>
      <c r="T156" s="653" t="n">
        <v>2500</v>
      </c>
      <c r="U156" s="653" t="n"/>
      <c r="V156" s="502" t="inlineStr">
        <is>
          <t>/</t>
        </is>
      </c>
      <c r="W156" s="22" t="n">
        <v>0.501</v>
      </c>
      <c r="X156" s="51" t="inlineStr">
        <is>
          <t>/</t>
        </is>
      </c>
      <c r="Y156" s="51" t="inlineStr">
        <is>
          <t>/</t>
        </is>
      </c>
      <c r="Z156" s="51" t="inlineStr">
        <is>
          <t>/</t>
        </is>
      </c>
      <c r="AA156" s="51" t="inlineStr">
        <is>
          <t>/</t>
        </is>
      </c>
      <c r="AB156" s="51" t="inlineStr">
        <is>
          <t>/</t>
        </is>
      </c>
      <c r="AC156" s="46" t="inlineStr">
        <is>
          <t>/</t>
        </is>
      </c>
      <c r="AD156" s="297" t="inlineStr">
        <is>
          <t>1、卫生费：每月固定2500元，寒暑假根据实际运
营天数结算</t>
        </is>
      </c>
      <c r="AE156" s="25" t="inlineStr">
        <is>
          <t xml:space="preserve">1、签订期间：2026.2.25-2026.7.31；
2、指标按照全年换算；
</t>
        </is>
      </c>
      <c r="AF156"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7" ht="84" customFormat="1" customHeight="1" s="209">
      <c r="A157" s="219" t="n">
        <v>155</v>
      </c>
      <c r="B157" s="14" t="inlineStr">
        <is>
          <t>KQCY0150</t>
        </is>
      </c>
      <c r="C157" s="221" t="inlineStr">
        <is>
          <t>餐饮三分部</t>
        </is>
      </c>
      <c r="D157" s="221" t="inlineStr">
        <is>
          <t>CF699</t>
        </is>
      </c>
      <c r="E157" s="221" t="inlineStr">
        <is>
          <t>徐医大第一食堂</t>
        </is>
      </c>
      <c r="F157" s="219" t="inlineStr">
        <is>
          <t>分组作业</t>
        </is>
      </c>
      <c r="G157" s="222" t="inlineStr">
        <is>
          <t>陆琪</t>
        </is>
      </c>
      <c r="H157" s="503" t="inlineStr">
        <is>
          <t>/</t>
        </is>
      </c>
      <c r="I157" s="237" t="inlineStr">
        <is>
          <t>精品套餐</t>
        </is>
      </c>
      <c r="J157" s="494" t="inlineStr">
        <is>
          <t>任现军</t>
        </is>
      </c>
      <c r="K157" s="224" t="inlineStr">
        <is>
          <t>/</t>
        </is>
      </c>
      <c r="L157" s="651" t="n">
        <v>564000</v>
      </c>
      <c r="M157" s="113" t="n">
        <v>0.15</v>
      </c>
      <c r="N157" s="502" t="inlineStr">
        <is>
          <t>/</t>
        </is>
      </c>
      <c r="O157" s="659" t="n"/>
      <c r="P157" s="502" t="inlineStr">
        <is>
          <t>/</t>
        </is>
      </c>
      <c r="Q157" s="502" t="inlineStr">
        <is>
          <t>/</t>
        </is>
      </c>
      <c r="R157" s="502" t="inlineStr">
        <is>
          <t>/</t>
        </is>
      </c>
      <c r="S157" s="502" t="inlineStr">
        <is>
          <t>/</t>
        </is>
      </c>
      <c r="T157" s="653" t="n">
        <v>1500</v>
      </c>
      <c r="U157" s="653" t="n"/>
      <c r="V157" s="502" t="inlineStr">
        <is>
          <t>/</t>
        </is>
      </c>
      <c r="W157" s="22" t="n">
        <v>0.501</v>
      </c>
      <c r="X157" s="51" t="inlineStr">
        <is>
          <t>/</t>
        </is>
      </c>
      <c r="Y157" s="51" t="inlineStr">
        <is>
          <t>/</t>
        </is>
      </c>
      <c r="Z157" s="51" t="inlineStr">
        <is>
          <t>/</t>
        </is>
      </c>
      <c r="AA157" s="51" t="inlineStr">
        <is>
          <t>/</t>
        </is>
      </c>
      <c r="AB157" s="51" t="inlineStr">
        <is>
          <t>/</t>
        </is>
      </c>
      <c r="AC157" s="46" t="inlineStr">
        <is>
          <t>/</t>
        </is>
      </c>
      <c r="AD157" s="297" t="inlineStr">
        <is>
          <t>1、卫生费：每月固定1500元，寒暑假根据实际运
营天数结算</t>
        </is>
      </c>
      <c r="AE157" s="25" t="inlineStr">
        <is>
          <t xml:space="preserve">1、签订期间：2026.2.25-2026.7.31；
2、指标按照全年换算；
</t>
        </is>
      </c>
      <c r="AF157"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8" ht="84" customFormat="1" customHeight="1" s="209">
      <c r="A158" s="219" t="n">
        <v>156</v>
      </c>
      <c r="B158" s="14" t="inlineStr">
        <is>
          <t>KQCY0151</t>
        </is>
      </c>
      <c r="C158" s="221" t="inlineStr">
        <is>
          <t>餐饮三分部</t>
        </is>
      </c>
      <c r="D158" s="221" t="inlineStr">
        <is>
          <t>CF699</t>
        </is>
      </c>
      <c r="E158" s="221" t="inlineStr">
        <is>
          <t>徐医大第一食堂</t>
        </is>
      </c>
      <c r="F158" s="219" t="inlineStr">
        <is>
          <t>分组作业</t>
        </is>
      </c>
      <c r="G158" s="222" t="inlineStr">
        <is>
          <t>陆琪</t>
        </is>
      </c>
      <c r="H158" s="503" t="inlineStr">
        <is>
          <t>/</t>
        </is>
      </c>
      <c r="I158" s="237" t="inlineStr">
        <is>
          <t>家家乐烘焙</t>
        </is>
      </c>
      <c r="J158" s="494" t="inlineStr">
        <is>
          <t>朱江平</t>
        </is>
      </c>
      <c r="K158" s="224" t="inlineStr">
        <is>
          <t>/</t>
        </is>
      </c>
      <c r="L158" s="651" t="n">
        <v>672000</v>
      </c>
      <c r="M158" s="113" t="n">
        <v>0.19</v>
      </c>
      <c r="N158" s="502" t="inlineStr">
        <is>
          <t>/</t>
        </is>
      </c>
      <c r="O158" s="659" t="n"/>
      <c r="P158" s="502" t="inlineStr">
        <is>
          <t>/</t>
        </is>
      </c>
      <c r="Q158" s="502" t="inlineStr">
        <is>
          <t>/</t>
        </is>
      </c>
      <c r="R158" s="502" t="inlineStr">
        <is>
          <t>/</t>
        </is>
      </c>
      <c r="S158" s="502" t="inlineStr">
        <is>
          <t>/</t>
        </is>
      </c>
      <c r="T158" s="653" t="n">
        <v>600</v>
      </c>
      <c r="U158" s="653" t="n"/>
      <c r="V158" s="502" t="inlineStr">
        <is>
          <t>/</t>
        </is>
      </c>
      <c r="W158" s="22" t="n">
        <v>0.501</v>
      </c>
      <c r="X158" s="51" t="inlineStr">
        <is>
          <t>/</t>
        </is>
      </c>
      <c r="Y158" s="51" t="inlineStr">
        <is>
          <t>/</t>
        </is>
      </c>
      <c r="Z158" s="51" t="inlineStr">
        <is>
          <t>/</t>
        </is>
      </c>
      <c r="AA158" s="51" t="inlineStr">
        <is>
          <t>/</t>
        </is>
      </c>
      <c r="AB158" s="51" t="inlineStr">
        <is>
          <t>/</t>
        </is>
      </c>
      <c r="AC158" s="46" t="inlineStr">
        <is>
          <t>/</t>
        </is>
      </c>
      <c r="AD158" s="297" t="inlineStr">
        <is>
          <t>1、卫生费：每月固定600元，寒暑假根据实际运营天数结算</t>
        </is>
      </c>
      <c r="AE158" s="25" t="inlineStr">
        <is>
          <t xml:space="preserve">1、签订期间：2026.2.25-2026.7.31；
2、指标按照全年换算；
</t>
        </is>
      </c>
      <c r="AF158"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9" ht="84" customFormat="1" customHeight="1" s="209">
      <c r="A159" s="219" t="n">
        <v>157</v>
      </c>
      <c r="B159" s="14" t="inlineStr">
        <is>
          <t>KQCY0152</t>
        </is>
      </c>
      <c r="C159" s="221" t="inlineStr">
        <is>
          <t>餐饮三分部</t>
        </is>
      </c>
      <c r="D159" s="221" t="inlineStr">
        <is>
          <t>CF699</t>
        </is>
      </c>
      <c r="E159" s="221" t="inlineStr">
        <is>
          <t>徐医大第一食堂</t>
        </is>
      </c>
      <c r="F159" s="219" t="inlineStr">
        <is>
          <t>分组作业</t>
        </is>
      </c>
      <c r="G159" s="222" t="inlineStr">
        <is>
          <t>陆琪</t>
        </is>
      </c>
      <c r="H159" s="503" t="inlineStr">
        <is>
          <t>/</t>
        </is>
      </c>
      <c r="I159" s="237" t="inlineStr">
        <is>
          <t>马老头江南小吃（炒饭）</t>
        </is>
      </c>
      <c r="J159" s="494" t="inlineStr">
        <is>
          <t>曾莉</t>
        </is>
      </c>
      <c r="K159" s="224" t="inlineStr">
        <is>
          <t>/</t>
        </is>
      </c>
      <c r="L159" s="651" t="n">
        <v>660000</v>
      </c>
      <c r="M159" s="113" t="n">
        <v>0.19</v>
      </c>
      <c r="N159" s="502" t="inlineStr">
        <is>
          <t>/</t>
        </is>
      </c>
      <c r="O159" s="659" t="n"/>
      <c r="P159" s="502" t="inlineStr">
        <is>
          <t>/</t>
        </is>
      </c>
      <c r="Q159" s="502" t="inlineStr">
        <is>
          <t>/</t>
        </is>
      </c>
      <c r="R159" s="502" t="inlineStr">
        <is>
          <t>/</t>
        </is>
      </c>
      <c r="S159" s="502" t="inlineStr">
        <is>
          <t>/</t>
        </is>
      </c>
      <c r="T159" s="653" t="n">
        <v>800</v>
      </c>
      <c r="U159" s="653" t="n"/>
      <c r="V159" s="502" t="inlineStr">
        <is>
          <t>/</t>
        </is>
      </c>
      <c r="W159" s="22" t="n">
        <v>0.501</v>
      </c>
      <c r="X159" s="51" t="inlineStr">
        <is>
          <t>/</t>
        </is>
      </c>
      <c r="Y159" s="51" t="inlineStr">
        <is>
          <t>/</t>
        </is>
      </c>
      <c r="Z159" s="51" t="inlineStr">
        <is>
          <t>/</t>
        </is>
      </c>
      <c r="AA159" s="51" t="inlineStr">
        <is>
          <t>/</t>
        </is>
      </c>
      <c r="AB159" s="51" t="inlineStr">
        <is>
          <t>/</t>
        </is>
      </c>
      <c r="AC159" s="46" t="inlineStr">
        <is>
          <t>/</t>
        </is>
      </c>
      <c r="AD159" s="297" t="inlineStr">
        <is>
          <t>1、卫生费：每月固定800元，寒暑假根据实际运营天数结算</t>
        </is>
      </c>
      <c r="AE159" s="25" t="inlineStr">
        <is>
          <t xml:space="preserve">1、签订期间：2026.2.25-2026.7.31；
2、指标按照全年换算；
</t>
        </is>
      </c>
      <c r="AF159"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60" ht="84" customFormat="1" customHeight="1" s="209">
      <c r="A160" s="219" t="n">
        <v>158</v>
      </c>
      <c r="B160" s="14" t="inlineStr">
        <is>
          <t>KQCY0153</t>
        </is>
      </c>
      <c r="C160" s="221" t="inlineStr">
        <is>
          <t>餐饮三分部</t>
        </is>
      </c>
      <c r="D160" s="221" t="inlineStr">
        <is>
          <t>CF699</t>
        </is>
      </c>
      <c r="E160" s="221" t="inlineStr">
        <is>
          <t>徐医大第一食堂</t>
        </is>
      </c>
      <c r="F160" s="219" t="inlineStr">
        <is>
          <t>分组作业</t>
        </is>
      </c>
      <c r="G160" s="222" t="inlineStr">
        <is>
          <t>陆琪</t>
        </is>
      </c>
      <c r="H160" s="503" t="inlineStr">
        <is>
          <t>/</t>
        </is>
      </c>
      <c r="I160" s="237" t="inlineStr">
        <is>
          <t>鸡架拌面</t>
        </is>
      </c>
      <c r="J160" s="494" t="inlineStr">
        <is>
          <t>冀振杰</t>
        </is>
      </c>
      <c r="K160" s="224" t="inlineStr">
        <is>
          <t>/</t>
        </is>
      </c>
      <c r="L160" s="651" t="n">
        <v>660000</v>
      </c>
      <c r="M160" s="113" t="n">
        <v>0.17</v>
      </c>
      <c r="N160" s="502" t="inlineStr">
        <is>
          <t>/</t>
        </is>
      </c>
      <c r="O160" s="659" t="n"/>
      <c r="P160" s="502" t="inlineStr">
        <is>
          <t>/</t>
        </is>
      </c>
      <c r="Q160" s="502" t="inlineStr">
        <is>
          <t>/</t>
        </is>
      </c>
      <c r="R160" s="502" t="inlineStr">
        <is>
          <t>/</t>
        </is>
      </c>
      <c r="S160" s="502" t="inlineStr">
        <is>
          <t>/</t>
        </is>
      </c>
      <c r="T160" s="653" t="n">
        <v>1500</v>
      </c>
      <c r="U160" s="653" t="n"/>
      <c r="V160" s="502" t="inlineStr">
        <is>
          <t>/</t>
        </is>
      </c>
      <c r="W160" s="22" t="n">
        <v>0.501</v>
      </c>
      <c r="X160" s="51" t="inlineStr">
        <is>
          <t>/</t>
        </is>
      </c>
      <c r="Y160" s="51" t="inlineStr">
        <is>
          <t>/</t>
        </is>
      </c>
      <c r="Z160" s="51" t="inlineStr">
        <is>
          <t>/</t>
        </is>
      </c>
      <c r="AA160" s="51" t="inlineStr">
        <is>
          <t>/</t>
        </is>
      </c>
      <c r="AB160" s="51" t="inlineStr">
        <is>
          <t>/</t>
        </is>
      </c>
      <c r="AC160" s="46" t="inlineStr">
        <is>
          <t>/</t>
        </is>
      </c>
      <c r="AD160" s="297" t="inlineStr">
        <is>
          <t>1、卫生费：每月固定1500元，寒暑假根据实际运营天数结算</t>
        </is>
      </c>
      <c r="AE160" s="25" t="inlineStr">
        <is>
          <t xml:space="preserve">1、签订期间：2026.2.25-2026.7.31；
2、指标按照全年换算；
</t>
        </is>
      </c>
      <c r="AF160"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61" ht="84" customFormat="1" customHeight="1" s="209">
      <c r="A161" s="219" t="n">
        <v>159</v>
      </c>
      <c r="B161" s="14" t="inlineStr">
        <is>
          <t>KQCY0154</t>
        </is>
      </c>
      <c r="C161" s="221" t="inlineStr">
        <is>
          <t>餐饮三分部</t>
        </is>
      </c>
      <c r="D161" s="221" t="inlineStr">
        <is>
          <t>CF699</t>
        </is>
      </c>
      <c r="E161" s="221" t="inlineStr">
        <is>
          <t>徐医大第一食堂</t>
        </is>
      </c>
      <c r="F161" s="219" t="inlineStr">
        <is>
          <t>分组作业</t>
        </is>
      </c>
      <c r="G161" s="222" t="inlineStr">
        <is>
          <t>陆琪</t>
        </is>
      </c>
      <c r="H161" s="503" t="inlineStr">
        <is>
          <t>/</t>
        </is>
      </c>
      <c r="I161" s="237" t="inlineStr">
        <is>
          <t>自选称菜</t>
        </is>
      </c>
      <c r="J161" s="494" t="inlineStr">
        <is>
          <t>韦志得</t>
        </is>
      </c>
      <c r="K161" s="224" t="inlineStr">
        <is>
          <t>/</t>
        </is>
      </c>
      <c r="L161" s="651" t="n">
        <v>2004000</v>
      </c>
      <c r="M161" s="113" t="n">
        <v>0.15</v>
      </c>
      <c r="N161" s="502" t="inlineStr">
        <is>
          <t>/</t>
        </is>
      </c>
      <c r="O161" s="659" t="n"/>
      <c r="P161" s="502" t="inlineStr">
        <is>
          <t>/</t>
        </is>
      </c>
      <c r="Q161" s="502" t="inlineStr">
        <is>
          <t>/</t>
        </is>
      </c>
      <c r="R161" s="502" t="inlineStr">
        <is>
          <t>/</t>
        </is>
      </c>
      <c r="S161" s="502" t="inlineStr">
        <is>
          <t>/</t>
        </is>
      </c>
      <c r="T161" s="653" t="n">
        <v>2000</v>
      </c>
      <c r="U161" s="653" t="n"/>
      <c r="V161" s="502" t="inlineStr">
        <is>
          <t>/</t>
        </is>
      </c>
      <c r="W161" s="22" t="n">
        <v>0.501</v>
      </c>
      <c r="X161" s="51" t="inlineStr">
        <is>
          <t>/</t>
        </is>
      </c>
      <c r="Y161" s="51" t="inlineStr">
        <is>
          <t>/</t>
        </is>
      </c>
      <c r="Z161" s="51" t="inlineStr">
        <is>
          <t>/</t>
        </is>
      </c>
      <c r="AA161" s="51" t="inlineStr">
        <is>
          <t>/</t>
        </is>
      </c>
      <c r="AB161" s="51" t="inlineStr">
        <is>
          <t>/</t>
        </is>
      </c>
      <c r="AC161" s="46" t="inlineStr">
        <is>
          <t>/</t>
        </is>
      </c>
      <c r="AD161" s="297" t="inlineStr">
        <is>
          <t>1、卫生费：每月固定2000元，寒暑假根据实际运营天数结算</t>
        </is>
      </c>
      <c r="AE161" s="25" t="inlineStr">
        <is>
          <t xml:space="preserve">1、签订期间：2026.2.25-2026.7.31；
2、指标按照全年换算；
</t>
        </is>
      </c>
      <c r="AF161"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62" ht="84" customFormat="1" customHeight="1" s="209">
      <c r="A162" s="219" t="n">
        <v>160</v>
      </c>
      <c r="B162" s="14" t="inlineStr">
        <is>
          <t>KQCY0155</t>
        </is>
      </c>
      <c r="C162" s="221" t="inlineStr">
        <is>
          <t>餐饮三分部</t>
        </is>
      </c>
      <c r="D162" s="221" t="inlineStr">
        <is>
          <t>CF699</t>
        </is>
      </c>
      <c r="E162" s="221" t="inlineStr">
        <is>
          <t>徐医大第一食堂</t>
        </is>
      </c>
      <c r="F162" s="219" t="inlineStr">
        <is>
          <t>分组作业</t>
        </is>
      </c>
      <c r="G162" s="222" t="inlineStr">
        <is>
          <t>陆琪</t>
        </is>
      </c>
      <c r="H162" s="503" t="inlineStr">
        <is>
          <t>/</t>
        </is>
      </c>
      <c r="I162" s="237" t="inlineStr">
        <is>
          <t>肥牛火锅粉</t>
        </is>
      </c>
      <c r="J162" s="494" t="inlineStr">
        <is>
          <t>李跃跃</t>
        </is>
      </c>
      <c r="K162" s="224" t="inlineStr">
        <is>
          <t>/</t>
        </is>
      </c>
      <c r="L162" s="651" t="n">
        <v>348000</v>
      </c>
      <c r="M162" s="113" t="n">
        <v>0.19</v>
      </c>
      <c r="N162" s="502" t="inlineStr">
        <is>
          <t>/</t>
        </is>
      </c>
      <c r="O162" s="659" t="n"/>
      <c r="P162" s="502" t="inlineStr">
        <is>
          <t>/</t>
        </is>
      </c>
      <c r="Q162" s="502" t="inlineStr">
        <is>
          <t>/</t>
        </is>
      </c>
      <c r="R162" s="502" t="inlineStr">
        <is>
          <t>/</t>
        </is>
      </c>
      <c r="S162" s="502" t="inlineStr">
        <is>
          <t>/</t>
        </is>
      </c>
      <c r="T162" s="653" t="n">
        <v>1500</v>
      </c>
      <c r="U162" s="653" t="n"/>
      <c r="V162" s="502" t="inlineStr">
        <is>
          <t>/</t>
        </is>
      </c>
      <c r="W162" s="22" t="n">
        <v>0.501</v>
      </c>
      <c r="X162" s="51" t="inlineStr">
        <is>
          <t>/</t>
        </is>
      </c>
      <c r="Y162" s="51" t="inlineStr">
        <is>
          <t>/</t>
        </is>
      </c>
      <c r="Z162" s="51" t="inlineStr">
        <is>
          <t>/</t>
        </is>
      </c>
      <c r="AA162" s="51" t="inlineStr">
        <is>
          <t>/</t>
        </is>
      </c>
      <c r="AB162" s="51" t="inlineStr">
        <is>
          <t>/</t>
        </is>
      </c>
      <c r="AC162" s="46" t="inlineStr">
        <is>
          <t>/</t>
        </is>
      </c>
      <c r="AD162" s="297" t="inlineStr">
        <is>
          <t>1、卫生费：每月固定1500元，寒暑假根据实际运营天数结算</t>
        </is>
      </c>
      <c r="AE162" s="25" t="inlineStr">
        <is>
          <t xml:space="preserve">1、签订期间：2026.2.25-2026.7.31；
2、指标按照全年换算；
</t>
        </is>
      </c>
      <c r="AF162"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63" ht="84" customFormat="1" customHeight="1" s="209">
      <c r="A163" s="219" t="n">
        <v>161</v>
      </c>
      <c r="B163" s="14" t="inlineStr">
        <is>
          <t>KQCY0156</t>
        </is>
      </c>
      <c r="C163" s="221" t="inlineStr">
        <is>
          <t>餐饮三分部</t>
        </is>
      </c>
      <c r="D163" s="221" t="inlineStr">
        <is>
          <t>CF699</t>
        </is>
      </c>
      <c r="E163" s="221" t="inlineStr">
        <is>
          <t>徐医大第一食堂</t>
        </is>
      </c>
      <c r="F163" s="219" t="inlineStr">
        <is>
          <t>分组作业</t>
        </is>
      </c>
      <c r="G163" s="222" t="inlineStr">
        <is>
          <t>陆琪</t>
        </is>
      </c>
      <c r="H163" s="503" t="inlineStr">
        <is>
          <t>/</t>
        </is>
      </c>
      <c r="I163" s="237" t="inlineStr">
        <is>
          <t>千里香馄饨</t>
        </is>
      </c>
      <c r="J163" s="494" t="inlineStr">
        <is>
          <t>王才早</t>
        </is>
      </c>
      <c r="K163" s="224" t="inlineStr">
        <is>
          <t>/</t>
        </is>
      </c>
      <c r="L163" s="651" t="n">
        <v>1032000</v>
      </c>
      <c r="M163" s="113" t="n">
        <v>0.19</v>
      </c>
      <c r="N163" s="502" t="inlineStr">
        <is>
          <t>/</t>
        </is>
      </c>
      <c r="O163" s="659" t="n"/>
      <c r="P163" s="502" t="inlineStr">
        <is>
          <t>/</t>
        </is>
      </c>
      <c r="Q163" s="502" t="inlineStr">
        <is>
          <t>/</t>
        </is>
      </c>
      <c r="R163" s="502" t="inlineStr">
        <is>
          <t>/</t>
        </is>
      </c>
      <c r="S163" s="502" t="inlineStr">
        <is>
          <t>/</t>
        </is>
      </c>
      <c r="T163" s="653" t="n">
        <v>1500</v>
      </c>
      <c r="U163" s="653" t="n"/>
      <c r="V163" s="502" t="inlineStr">
        <is>
          <t>/</t>
        </is>
      </c>
      <c r="W163" s="22" t="n">
        <v>0.501</v>
      </c>
      <c r="X163" s="51" t="inlineStr">
        <is>
          <t>/</t>
        </is>
      </c>
      <c r="Y163" s="51" t="inlineStr">
        <is>
          <t>/</t>
        </is>
      </c>
      <c r="Z163" s="51" t="inlineStr">
        <is>
          <t>/</t>
        </is>
      </c>
      <c r="AA163" s="51" t="inlineStr">
        <is>
          <t>/</t>
        </is>
      </c>
      <c r="AB163" s="51" t="inlineStr">
        <is>
          <t>/</t>
        </is>
      </c>
      <c r="AC163" s="46" t="inlineStr">
        <is>
          <t>/</t>
        </is>
      </c>
      <c r="AD163" s="297" t="inlineStr">
        <is>
          <t>1、卫生费：每月固定1500元，寒暑假根据实际运营天数结算</t>
        </is>
      </c>
      <c r="AE163" s="25" t="inlineStr">
        <is>
          <t xml:space="preserve">1、签订期间：2026.2.25-2026.7.31；
2、指标按照全年换算；
</t>
        </is>
      </c>
      <c r="AF163"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64" ht="84" customFormat="1" customHeight="1" s="209">
      <c r="A164" s="219" t="n">
        <v>162</v>
      </c>
      <c r="B164" s="14" t="inlineStr">
        <is>
          <t>KQCY0157</t>
        </is>
      </c>
      <c r="C164" s="221" t="inlineStr">
        <is>
          <t>餐饮三分部</t>
        </is>
      </c>
      <c r="D164" s="221" t="inlineStr">
        <is>
          <t>CF699</t>
        </is>
      </c>
      <c r="E164" s="221" t="inlineStr">
        <is>
          <t>徐医大第一食堂</t>
        </is>
      </c>
      <c r="F164" s="219" t="inlineStr">
        <is>
          <t>分组作业</t>
        </is>
      </c>
      <c r="G164" s="222" t="inlineStr">
        <is>
          <t>陆琪</t>
        </is>
      </c>
      <c r="H164" s="503" t="inlineStr">
        <is>
          <t>/</t>
        </is>
      </c>
      <c r="I164" s="237" t="inlineStr">
        <is>
          <t>农家小炒盖浇饭</t>
        </is>
      </c>
      <c r="J164" s="494" t="inlineStr">
        <is>
          <t>崔小平</t>
        </is>
      </c>
      <c r="K164" s="224" t="inlineStr">
        <is>
          <t>/</t>
        </is>
      </c>
      <c r="L164" s="651" t="n">
        <v>1128000</v>
      </c>
      <c r="M164" s="113" t="n">
        <v>0.18</v>
      </c>
      <c r="N164" s="502" t="inlineStr">
        <is>
          <t>/</t>
        </is>
      </c>
      <c r="O164" s="659" t="n"/>
      <c r="P164" s="502" t="inlineStr">
        <is>
          <t>/</t>
        </is>
      </c>
      <c r="Q164" s="502" t="inlineStr">
        <is>
          <t>/</t>
        </is>
      </c>
      <c r="R164" s="502" t="inlineStr">
        <is>
          <t>/</t>
        </is>
      </c>
      <c r="S164" s="502" t="inlineStr">
        <is>
          <t>/</t>
        </is>
      </c>
      <c r="T164" s="653" t="n">
        <v>1000</v>
      </c>
      <c r="U164" s="653" t="n"/>
      <c r="V164" s="502" t="inlineStr">
        <is>
          <t>/</t>
        </is>
      </c>
      <c r="W164" s="22" t="n">
        <v>0.501</v>
      </c>
      <c r="X164" s="51" t="inlineStr">
        <is>
          <t>/</t>
        </is>
      </c>
      <c r="Y164" s="51" t="inlineStr">
        <is>
          <t>/</t>
        </is>
      </c>
      <c r="Z164" s="51" t="inlineStr">
        <is>
          <t>/</t>
        </is>
      </c>
      <c r="AA164" s="51" t="inlineStr">
        <is>
          <t>/</t>
        </is>
      </c>
      <c r="AB164" s="51" t="inlineStr">
        <is>
          <t>/</t>
        </is>
      </c>
      <c r="AC164" s="46" t="inlineStr">
        <is>
          <t>/</t>
        </is>
      </c>
      <c r="AD164" s="297" t="inlineStr">
        <is>
          <t>1、卫生费：每月固定1000元，寒暑假根据实际运营天数结算</t>
        </is>
      </c>
      <c r="AE164" s="25" t="inlineStr">
        <is>
          <t xml:space="preserve">1、签订期间：2026.2.25-2026.7.31；
2、指标按照全年换算；
</t>
        </is>
      </c>
      <c r="AF164"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65" ht="84" customFormat="1" customHeight="1" s="209">
      <c r="A165" s="219" t="n">
        <v>163</v>
      </c>
      <c r="B165" s="14" t="inlineStr">
        <is>
          <t>KQCY0158</t>
        </is>
      </c>
      <c r="C165" s="221" t="inlineStr">
        <is>
          <t>餐饮三分部</t>
        </is>
      </c>
      <c r="D165" s="221" t="inlineStr">
        <is>
          <t>CF699</t>
        </is>
      </c>
      <c r="E165" s="221" t="inlineStr">
        <is>
          <t>徐医大第一食堂</t>
        </is>
      </c>
      <c r="F165" s="219" t="inlineStr">
        <is>
          <t>分组作业</t>
        </is>
      </c>
      <c r="G165" s="222" t="inlineStr">
        <is>
          <t>陆琪</t>
        </is>
      </c>
      <c r="H165" s="503" t="inlineStr">
        <is>
          <t>/</t>
        </is>
      </c>
      <c r="I165" s="237" t="inlineStr">
        <is>
          <t>蜜雪冰城</t>
        </is>
      </c>
      <c r="J165" s="494" t="inlineStr">
        <is>
          <t>周雨</t>
        </is>
      </c>
      <c r="K165" s="224" t="inlineStr">
        <is>
          <t>/</t>
        </is>
      </c>
      <c r="L165" s="651" t="n">
        <v>912000</v>
      </c>
      <c r="M165" s="113" t="n">
        <v>0.19</v>
      </c>
      <c r="N165" s="502" t="inlineStr">
        <is>
          <t>/</t>
        </is>
      </c>
      <c r="O165" s="659" t="n"/>
      <c r="P165" s="502" t="inlineStr">
        <is>
          <t>/</t>
        </is>
      </c>
      <c r="Q165" s="502" t="inlineStr">
        <is>
          <t>/</t>
        </is>
      </c>
      <c r="R165" s="502" t="inlineStr">
        <is>
          <t>/</t>
        </is>
      </c>
      <c r="S165" s="502" t="inlineStr">
        <is>
          <t>/</t>
        </is>
      </c>
      <c r="T165" s="653" t="n">
        <v>600</v>
      </c>
      <c r="U165" s="653" t="n"/>
      <c r="V165" s="502" t="inlineStr">
        <is>
          <t>/</t>
        </is>
      </c>
      <c r="W165" s="22" t="n">
        <v>0.501</v>
      </c>
      <c r="X165" s="51" t="inlineStr">
        <is>
          <t>/</t>
        </is>
      </c>
      <c r="Y165" s="51" t="inlineStr">
        <is>
          <t>/</t>
        </is>
      </c>
      <c r="Z165" s="51" t="inlineStr">
        <is>
          <t>/</t>
        </is>
      </c>
      <c r="AA165" s="51" t="inlineStr">
        <is>
          <t>/</t>
        </is>
      </c>
      <c r="AB165" s="51" t="inlineStr">
        <is>
          <t>/</t>
        </is>
      </c>
      <c r="AC165" s="46" t="inlineStr">
        <is>
          <t>/</t>
        </is>
      </c>
      <c r="AD165" s="297" t="inlineStr">
        <is>
          <t>1、卫生费：每月固定600元，寒暑假根据实际运营天数结算</t>
        </is>
      </c>
      <c r="AE165" s="25" t="inlineStr">
        <is>
          <t xml:space="preserve">1、签订期间：2026.2.25-2026.7.31；
2、指标按照全年换算；
</t>
        </is>
      </c>
      <c r="AF165"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66" ht="12" customFormat="1" customHeight="1" s="209">
      <c r="A166" s="219" t="n">
        <v>164</v>
      </c>
      <c r="B166" s="535" t="n"/>
      <c r="C166" s="221" t="inlineStr">
        <is>
          <t>餐饮三分部</t>
        </is>
      </c>
      <c r="D166" s="221" t="inlineStr">
        <is>
          <t>CF251</t>
        </is>
      </c>
      <c r="E166" s="221" t="inlineStr">
        <is>
          <t>苏州职大二食堂</t>
        </is>
      </c>
      <c r="F166" s="335" t="inlineStr">
        <is>
          <t>自营</t>
        </is>
      </c>
      <c r="G166" s="222" t="inlineStr">
        <is>
          <t>张镁镁</t>
        </is>
      </c>
      <c r="H166" s="480" t="inlineStr">
        <is>
          <t>/</t>
        </is>
      </c>
      <c r="I166" s="335" t="inlineStr">
        <is>
          <t>/</t>
        </is>
      </c>
      <c r="J166" s="480" t="inlineStr">
        <is>
          <t>/</t>
        </is>
      </c>
      <c r="K166" s="349" t="inlineStr">
        <is>
          <t>/</t>
        </is>
      </c>
      <c r="L166" s="651" t="inlineStr">
        <is>
          <t>/</t>
        </is>
      </c>
      <c r="M166" s="92" t="inlineStr">
        <is>
          <t>/</t>
        </is>
      </c>
      <c r="N166" s="462" t="inlineStr">
        <is>
          <t>/</t>
        </is>
      </c>
      <c r="O166" s="659" t="n"/>
      <c r="P166" s="106" t="n"/>
      <c r="Q166" s="462" t="inlineStr">
        <is>
          <t>/</t>
        </is>
      </c>
      <c r="R166" s="462" t="inlineStr">
        <is>
          <t>/</t>
        </is>
      </c>
      <c r="S166" s="462" t="inlineStr">
        <is>
          <t>/</t>
        </is>
      </c>
      <c r="T166" s="659" t="n"/>
      <c r="U166" s="659" t="n"/>
      <c r="V166" s="462" t="inlineStr">
        <is>
          <t>/</t>
        </is>
      </c>
      <c r="W166" s="480" t="inlineStr">
        <is>
          <t>/</t>
        </is>
      </c>
      <c r="X166" s="115" t="inlineStr">
        <is>
          <t>/</t>
        </is>
      </c>
      <c r="Y166" s="659" t="n"/>
      <c r="Z166" s="122" t="n"/>
      <c r="AA166" s="115" t="inlineStr">
        <is>
          <t>/</t>
        </is>
      </c>
      <c r="AB166" s="46" t="n">
        <v>0.05</v>
      </c>
      <c r="AC166" s="46" t="n">
        <v>0.005</v>
      </c>
      <c r="AD166" s="121" t="inlineStr">
        <is>
          <t>1、自营未实际经营；</t>
        </is>
      </c>
      <c r="AE166" s="25" t="n"/>
      <c r="AF166" s="232" t="n"/>
    </row>
    <row r="167" ht="48" customFormat="1" customHeight="1" s="209">
      <c r="A167" s="219" t="n">
        <v>165</v>
      </c>
      <c r="B167" s="14" t="inlineStr">
        <is>
          <t>KQCY0159</t>
        </is>
      </c>
      <c r="C167" s="221" t="inlineStr">
        <is>
          <t>餐饮三分部</t>
        </is>
      </c>
      <c r="D167" s="221" t="inlineStr">
        <is>
          <t>CF251</t>
        </is>
      </c>
      <c r="E167" s="221" t="inlineStr">
        <is>
          <t>苏州职大二食堂</t>
        </is>
      </c>
      <c r="F167" s="219" t="inlineStr">
        <is>
          <t>分组作业</t>
        </is>
      </c>
      <c r="G167" s="222" t="inlineStr">
        <is>
          <t>张镁镁</t>
        </is>
      </c>
      <c r="H167" s="222" t="inlineStr">
        <is>
          <t>第一班组</t>
        </is>
      </c>
      <c r="I167" s="232" t="inlineStr">
        <is>
          <t>烘焙</t>
        </is>
      </c>
      <c r="J167" s="494" t="inlineStr">
        <is>
          <t>邵晓丽/余军</t>
        </is>
      </c>
      <c r="K167" s="224" t="inlineStr">
        <is>
          <t>/</t>
        </is>
      </c>
      <c r="L167" s="651" t="inlineStr">
        <is>
          <t>/</t>
        </is>
      </c>
      <c r="M167" s="116" t="n">
        <v>0.05</v>
      </c>
      <c r="N167" s="224" t="inlineStr">
        <is>
          <t>/</t>
        </is>
      </c>
      <c r="O167" s="462" t="inlineStr">
        <is>
          <t>/</t>
        </is>
      </c>
      <c r="P167" s="462" t="inlineStr">
        <is>
          <t>/</t>
        </is>
      </c>
      <c r="Q167" s="502" t="inlineStr">
        <is>
          <t>/</t>
        </is>
      </c>
      <c r="R167" s="502" t="inlineStr">
        <is>
          <t>/</t>
        </is>
      </c>
      <c r="S167" s="502" t="inlineStr">
        <is>
          <t>/</t>
        </is>
      </c>
      <c r="T167" s="59" t="inlineStr">
        <is>
          <t>/</t>
        </is>
      </c>
      <c r="U167" s="116" t="n">
        <v>0.06</v>
      </c>
      <c r="V167" s="653" t="n">
        <v>30000</v>
      </c>
      <c r="W167" s="44" t="n"/>
      <c r="X167" s="502" t="inlineStr">
        <is>
          <t>/</t>
        </is>
      </c>
      <c r="Y167" s="115" t="inlineStr">
        <is>
          <t>/</t>
        </is>
      </c>
      <c r="Z167" s="51" t="inlineStr">
        <is>
          <t>/</t>
        </is>
      </c>
      <c r="AA167" s="51" t="inlineStr">
        <is>
          <t>/</t>
        </is>
      </c>
      <c r="AB167" s="46" t="inlineStr">
        <is>
          <t>/</t>
        </is>
      </c>
      <c r="AC167" s="46" t="inlineStr">
        <is>
          <t>/</t>
        </is>
      </c>
      <c r="AD167" s="48" t="inlineStr">
        <is>
          <t xml:space="preserve">1、其他：3万不收取学期作为装修折旧摊销；
2、卫生费不收取；
3、采购费不收取；
</t>
        </is>
      </c>
      <c r="AE167" s="25" t="inlineStr">
        <is>
          <t>1、签订期间：2026.3.1-2026.7.31；
2、指标按照全年换算；</t>
        </is>
      </c>
      <c r="AF167" s="232" t="inlineStr">
        <is>
          <t>1、条款：技术合作方所有人员与公司签订劳动合同，签订劳动合同的技术合作方负责人必须参加公司社保，否则不予录用；
问题：非所有分组作业人员都入职到公司，非所有负责人缴纳社保；</t>
        </is>
      </c>
    </row>
    <row r="168" ht="60" customFormat="1" customHeight="1" s="209">
      <c r="A168" s="219" t="n">
        <v>166</v>
      </c>
      <c r="B168" s="14" t="inlineStr">
        <is>
          <t>KQCY0160</t>
        </is>
      </c>
      <c r="C168" s="221" t="inlineStr">
        <is>
          <t>餐饮三分部</t>
        </is>
      </c>
      <c r="D168" s="221" t="inlineStr">
        <is>
          <t>CF251</t>
        </is>
      </c>
      <c r="E168" s="221" t="inlineStr">
        <is>
          <t>苏州职大二食堂</t>
        </is>
      </c>
      <c r="F168" s="219" t="inlineStr">
        <is>
          <t>分组作业</t>
        </is>
      </c>
      <c r="G168" s="222" t="inlineStr">
        <is>
          <t>张镁镁</t>
        </is>
      </c>
      <c r="H168" s="222" t="inlineStr">
        <is>
          <t>第二班组</t>
        </is>
      </c>
      <c r="I168" s="232" t="inlineStr">
        <is>
          <t>奶茶饮品</t>
        </is>
      </c>
      <c r="J168" s="494" t="inlineStr">
        <is>
          <t>严振宇</t>
        </is>
      </c>
      <c r="K168" s="224" t="inlineStr">
        <is>
          <t>/</t>
        </is>
      </c>
      <c r="L168" s="651" t="inlineStr">
        <is>
          <t>/</t>
        </is>
      </c>
      <c r="M168" s="116" t="n">
        <v>0.19</v>
      </c>
      <c r="N168" s="224" t="inlineStr">
        <is>
          <t>/</t>
        </is>
      </c>
      <c r="O168" s="462" t="inlineStr">
        <is>
          <t>/</t>
        </is>
      </c>
      <c r="P168" s="92" t="inlineStr">
        <is>
          <t>/</t>
        </is>
      </c>
      <c r="Q168" s="502" t="inlineStr">
        <is>
          <t>/</t>
        </is>
      </c>
      <c r="R168" s="502" t="inlineStr">
        <is>
          <t>/</t>
        </is>
      </c>
      <c r="S168" s="502" t="inlineStr">
        <is>
          <t>/</t>
        </is>
      </c>
      <c r="T168" s="59" t="inlineStr">
        <is>
          <t>/</t>
        </is>
      </c>
      <c r="U168" s="116" t="n">
        <v>0.06</v>
      </c>
      <c r="V168" s="502" t="inlineStr">
        <is>
          <t>/</t>
        </is>
      </c>
      <c r="W168" s="50" t="n"/>
      <c r="X168" s="502" t="inlineStr">
        <is>
          <t>/</t>
        </is>
      </c>
      <c r="Y168" s="115" t="inlineStr">
        <is>
          <t>/</t>
        </is>
      </c>
      <c r="Z168" s="51" t="inlineStr">
        <is>
          <t>/</t>
        </is>
      </c>
      <c r="AA168" s="51" t="inlineStr">
        <is>
          <t>/</t>
        </is>
      </c>
      <c r="AB168" s="46" t="inlineStr">
        <is>
          <t>/</t>
        </is>
      </c>
      <c r="AC168" s="46" t="inlineStr">
        <is>
          <t>/</t>
        </is>
      </c>
      <c r="AD168" s="48" t="inlineStr">
        <is>
          <t xml:space="preserve">1、装修折旧费：营业额的5%，分组作业未分摊，服务费已包含；
2、卫生费不收取；
3、采购费不收取；
</t>
        </is>
      </c>
      <c r="AE168" s="25" t="inlineStr">
        <is>
          <t>1、签订期间：2026.3.1-2026.7.31；
2、指标按照全年换算；</t>
        </is>
      </c>
      <c r="AF168" s="232" t="inlineStr">
        <is>
          <t>1、条款：技术合作方所有人员与公司签订劳动合同，签订劳动合同的技术合作方负责人必须参加公司社保，否则不予录用；
问题：非所有分组作业人员都入职到公司，非所有负责人缴纳社保；</t>
        </is>
      </c>
    </row>
    <row r="169" ht="36" customFormat="1" customHeight="1" s="209">
      <c r="A169" s="219" t="n">
        <v>167</v>
      </c>
      <c r="B169" s="14" t="inlineStr">
        <is>
          <t>KQCY0161</t>
        </is>
      </c>
      <c r="C169" s="221" t="inlineStr">
        <is>
          <t>餐饮三分部</t>
        </is>
      </c>
      <c r="D169" s="221" t="inlineStr">
        <is>
          <t>CF251</t>
        </is>
      </c>
      <c r="E169" s="221" t="inlineStr">
        <is>
          <t>苏州职大二食堂</t>
        </is>
      </c>
      <c r="F169" s="219" t="inlineStr">
        <is>
          <t>分组作业</t>
        </is>
      </c>
      <c r="G169" s="222" t="inlineStr">
        <is>
          <t>张镁镁</t>
        </is>
      </c>
      <c r="H169" s="222" t="inlineStr">
        <is>
          <t>第三班组</t>
        </is>
      </c>
      <c r="I169" s="232" t="inlineStr">
        <is>
          <t>早点</t>
        </is>
      </c>
      <c r="J169" s="494" t="inlineStr">
        <is>
          <t>缪文</t>
        </is>
      </c>
      <c r="K169" s="224" t="inlineStr">
        <is>
          <t>/</t>
        </is>
      </c>
      <c r="L169" s="651" t="inlineStr">
        <is>
          <t>/</t>
        </is>
      </c>
      <c r="M169" s="116" t="n">
        <v>0.165</v>
      </c>
      <c r="N169" s="224" t="inlineStr">
        <is>
          <t>/</t>
        </is>
      </c>
      <c r="O169" s="462" t="inlineStr">
        <is>
          <t>/</t>
        </is>
      </c>
      <c r="P169" s="92" t="inlineStr">
        <is>
          <t>/</t>
        </is>
      </c>
      <c r="Q169" s="502" t="inlineStr">
        <is>
          <t>/</t>
        </is>
      </c>
      <c r="R169" s="502" t="inlineStr">
        <is>
          <t>/</t>
        </is>
      </c>
      <c r="S169" s="502" t="inlineStr">
        <is>
          <t>/</t>
        </is>
      </c>
      <c r="T169" s="22" t="n">
        <v>0.035</v>
      </c>
      <c r="U169" s="116" t="n">
        <v>0.06</v>
      </c>
      <c r="V169" s="502" t="inlineStr">
        <is>
          <t>/</t>
        </is>
      </c>
      <c r="W169" s="50" t="n"/>
      <c r="X169" s="502" t="inlineStr">
        <is>
          <t>/</t>
        </is>
      </c>
      <c r="Y169" s="115" t="inlineStr">
        <is>
          <t>/</t>
        </is>
      </c>
      <c r="Z169" s="51" t="inlineStr">
        <is>
          <t>/</t>
        </is>
      </c>
      <c r="AA169" s="51" t="inlineStr">
        <is>
          <t>/</t>
        </is>
      </c>
      <c r="AB169" s="46" t="inlineStr">
        <is>
          <t>/</t>
        </is>
      </c>
      <c r="AC169" s="46" t="inlineStr">
        <is>
          <t>/</t>
        </is>
      </c>
      <c r="AD169" s="48" t="inlineStr">
        <is>
          <t>1、装修折旧费：营业额的5%，分组作业未分摊，服务费已包含；
2、采购费不收取；</t>
        </is>
      </c>
      <c r="AE169" s="25" t="inlineStr">
        <is>
          <t>1、签订期间：2026.3.1-2026.7.31；
2、指标按照全年换算；</t>
        </is>
      </c>
      <c r="AF169" s="232" t="inlineStr">
        <is>
          <t>1、条款：技术合作方所有人员与公司签订劳动合同，签订劳动合同的技术合作方负责人必须参加公司社保，否则不予录用；
问题：非所有分组作业人员都入职到公司，非所有负责人缴纳社保；</t>
        </is>
      </c>
    </row>
    <row r="170" ht="48" customFormat="1" customHeight="1" s="209">
      <c r="A170" s="219" t="n">
        <v>168</v>
      </c>
      <c r="B170" s="14" t="inlineStr">
        <is>
          <t>KQCY0162</t>
        </is>
      </c>
      <c r="C170" s="221" t="inlineStr">
        <is>
          <t>餐饮三分部</t>
        </is>
      </c>
      <c r="D170" s="221" t="inlineStr">
        <is>
          <t>CF251</t>
        </is>
      </c>
      <c r="E170" s="221" t="inlineStr">
        <is>
          <t>苏州职大二食堂</t>
        </is>
      </c>
      <c r="F170" s="219" t="inlineStr">
        <is>
          <t>分组作业</t>
        </is>
      </c>
      <c r="G170" s="222" t="inlineStr">
        <is>
          <t>张镁镁</t>
        </is>
      </c>
      <c r="H170" s="222" t="inlineStr">
        <is>
          <t>第四班组</t>
        </is>
      </c>
      <c r="I170" s="232" t="inlineStr">
        <is>
          <t>快餐</t>
        </is>
      </c>
      <c r="J170" s="494" t="inlineStr">
        <is>
          <t>耿传垒</t>
        </is>
      </c>
      <c r="K170" s="224" t="inlineStr">
        <is>
          <t>/</t>
        </is>
      </c>
      <c r="L170" s="651" t="inlineStr">
        <is>
          <t>/</t>
        </is>
      </c>
      <c r="M170" s="116" t="n">
        <v>0.135</v>
      </c>
      <c r="N170" s="224" t="inlineStr">
        <is>
          <t>/</t>
        </is>
      </c>
      <c r="O170" s="462" t="inlineStr">
        <is>
          <t>/</t>
        </is>
      </c>
      <c r="P170" s="92" t="inlineStr">
        <is>
          <t>/</t>
        </is>
      </c>
      <c r="Q170" s="502" t="inlineStr">
        <is>
          <t>/</t>
        </is>
      </c>
      <c r="R170" s="502" t="inlineStr">
        <is>
          <t>/</t>
        </is>
      </c>
      <c r="S170" s="502" t="inlineStr">
        <is>
          <t>/</t>
        </is>
      </c>
      <c r="T170" s="22" t="n">
        <v>0.035</v>
      </c>
      <c r="U170" s="116" t="n">
        <v>0.06</v>
      </c>
      <c r="V170" s="502" t="inlineStr">
        <is>
          <t>/</t>
        </is>
      </c>
      <c r="W170" s="50" t="n"/>
      <c r="X170" s="502" t="inlineStr">
        <is>
          <t>/</t>
        </is>
      </c>
      <c r="Y170" s="660" t="n">
        <v>4000</v>
      </c>
      <c r="Z170" s="51" t="inlineStr">
        <is>
          <t>/</t>
        </is>
      </c>
      <c r="AA170" s="51" t="inlineStr">
        <is>
          <t>/</t>
        </is>
      </c>
      <c r="AB170" s="46" t="inlineStr">
        <is>
          <t>/</t>
        </is>
      </c>
      <c r="AC170" s="46" t="inlineStr">
        <is>
          <t>/</t>
        </is>
      </c>
      <c r="AD170" s="48" t="inlineStr">
        <is>
          <t>1、装修折旧费：营业额的5%，分组作业未分摊，服务费已包含；
2、快餐房租4000/学期；
3、采购费不收取；</t>
        </is>
      </c>
      <c r="AE170" s="125" t="inlineStr">
        <is>
          <t>1、签订期间：2026.3.1-2026.7.31；
2、指标按照全年换算；</t>
        </is>
      </c>
      <c r="AF170" s="232" t="inlineStr">
        <is>
          <t>1、条款：技术合作方所有人员与公司签订劳动合同，签订劳动合同的技术合作方负责人必须参加公司社保，否则不予录用；
问题：非所有分组作业人员都入职到公司，非所有负责人缴纳社保；</t>
        </is>
      </c>
    </row>
    <row r="171" ht="48" customFormat="1" customHeight="1" s="209">
      <c r="A171" s="219" t="n">
        <v>169</v>
      </c>
      <c r="B171" s="14" t="inlineStr">
        <is>
          <t>KQCY0163</t>
        </is>
      </c>
      <c r="C171" s="221" t="inlineStr">
        <is>
          <t>餐饮三分部</t>
        </is>
      </c>
      <c r="D171" s="221" t="inlineStr">
        <is>
          <t>CF251</t>
        </is>
      </c>
      <c r="E171" s="221" t="inlineStr">
        <is>
          <t>苏州职大二食堂</t>
        </is>
      </c>
      <c r="F171" s="219" t="inlineStr">
        <is>
          <t>分组作业</t>
        </is>
      </c>
      <c r="G171" s="222" t="inlineStr">
        <is>
          <t>张镁镁</t>
        </is>
      </c>
      <c r="H171" s="222" t="inlineStr">
        <is>
          <t>第五班组</t>
        </is>
      </c>
      <c r="I171" s="232" t="inlineStr">
        <is>
          <t>盖浇饭</t>
        </is>
      </c>
      <c r="J171" s="494" t="inlineStr">
        <is>
          <t>龙明涛</t>
        </is>
      </c>
      <c r="K171" s="224" t="inlineStr">
        <is>
          <t>/</t>
        </is>
      </c>
      <c r="L171" s="651" t="inlineStr">
        <is>
          <t>/</t>
        </is>
      </c>
      <c r="M171" s="116" t="n">
        <v>0.155</v>
      </c>
      <c r="N171" s="224" t="inlineStr">
        <is>
          <t>/</t>
        </is>
      </c>
      <c r="O171" s="462" t="inlineStr">
        <is>
          <t>/</t>
        </is>
      </c>
      <c r="P171" s="92" t="inlineStr">
        <is>
          <t>/</t>
        </is>
      </c>
      <c r="Q171" s="502" t="inlineStr">
        <is>
          <t>/</t>
        </is>
      </c>
      <c r="R171" s="502" t="inlineStr">
        <is>
          <t>/</t>
        </is>
      </c>
      <c r="S171" s="502" t="inlineStr">
        <is>
          <t>/</t>
        </is>
      </c>
      <c r="T171" s="22" t="n">
        <v>0.035</v>
      </c>
      <c r="U171" s="116" t="n">
        <v>0.06</v>
      </c>
      <c r="V171" s="502" t="inlineStr">
        <is>
          <t>/</t>
        </is>
      </c>
      <c r="W171" s="50" t="n"/>
      <c r="X171" s="502" t="inlineStr">
        <is>
          <t>/</t>
        </is>
      </c>
      <c r="Y171" s="661" t="n">
        <v>4000</v>
      </c>
      <c r="Z171" s="51" t="inlineStr">
        <is>
          <t>/</t>
        </is>
      </c>
      <c r="AA171" s="51" t="inlineStr">
        <is>
          <t>/</t>
        </is>
      </c>
      <c r="AB171" s="46" t="inlineStr">
        <is>
          <t>/</t>
        </is>
      </c>
      <c r="AC171" s="46" t="inlineStr">
        <is>
          <t>/</t>
        </is>
      </c>
      <c r="AD171" s="48" t="inlineStr">
        <is>
          <t>1、装修折旧费：营业额的5%，分组作业未分摊，服务费已包含；
2、盖浇饭房租4000/学期；
3、采购费不收取；</t>
        </is>
      </c>
      <c r="AE171" s="25" t="inlineStr">
        <is>
          <t>1、签订期间：2026.3.1-2026.7.31；
2、指标按照全年换算；</t>
        </is>
      </c>
      <c r="AF171" s="232" t="inlineStr">
        <is>
          <t>1、条款：技术合作方所有人员与公司签订劳动合同，签订劳动合同的技术合作方负责人必须参加公司社保，否则不予录用；
问题：非所有分组作业人员都入职到公司，非所有负责人缴纳社保；</t>
        </is>
      </c>
    </row>
    <row r="172" ht="36" customFormat="1" customHeight="1" s="209">
      <c r="A172" s="219" t="n">
        <v>170</v>
      </c>
      <c r="B172" s="14" t="inlineStr">
        <is>
          <t>KQCY0164</t>
        </is>
      </c>
      <c r="C172" s="221" t="inlineStr">
        <is>
          <t>餐饮三分部</t>
        </is>
      </c>
      <c r="D172" s="221" t="inlineStr">
        <is>
          <t>CF251</t>
        </is>
      </c>
      <c r="E172" s="221" t="inlineStr">
        <is>
          <t>苏州职大二食堂</t>
        </is>
      </c>
      <c r="F172" s="219" t="inlineStr">
        <is>
          <t>分组作业</t>
        </is>
      </c>
      <c r="G172" s="222" t="inlineStr">
        <is>
          <t>张镁镁</t>
        </is>
      </c>
      <c r="H172" s="222" t="inlineStr">
        <is>
          <t>第六班组</t>
        </is>
      </c>
      <c r="I172" s="232" t="inlineStr">
        <is>
          <t>黄焖鸡</t>
        </is>
      </c>
      <c r="J172" s="503" t="inlineStr">
        <is>
          <t>余国凤/钱利利</t>
        </is>
      </c>
      <c r="K172" s="224" t="inlineStr">
        <is>
          <t>/</t>
        </is>
      </c>
      <c r="L172" s="651" t="inlineStr">
        <is>
          <t>/</t>
        </is>
      </c>
      <c r="M172" s="116" t="n">
        <v>0.155</v>
      </c>
      <c r="N172" s="224" t="inlineStr">
        <is>
          <t>/</t>
        </is>
      </c>
      <c r="O172" s="462" t="inlineStr">
        <is>
          <t>/</t>
        </is>
      </c>
      <c r="P172" s="92" t="inlineStr">
        <is>
          <t>/</t>
        </is>
      </c>
      <c r="Q172" s="502" t="inlineStr">
        <is>
          <t>/</t>
        </is>
      </c>
      <c r="R172" s="502" t="inlineStr">
        <is>
          <t>/</t>
        </is>
      </c>
      <c r="S172" s="502" t="inlineStr">
        <is>
          <t>/</t>
        </is>
      </c>
      <c r="T172" s="22" t="n">
        <v>0.035</v>
      </c>
      <c r="U172" s="116" t="n">
        <v>0.06</v>
      </c>
      <c r="V172" s="502" t="inlineStr">
        <is>
          <t>/</t>
        </is>
      </c>
      <c r="W172" s="50" t="n"/>
      <c r="X172" s="502" t="inlineStr">
        <is>
          <t>/</t>
        </is>
      </c>
      <c r="Y172" s="115" t="inlineStr">
        <is>
          <t>/</t>
        </is>
      </c>
      <c r="Z172" s="51" t="inlineStr">
        <is>
          <t>/</t>
        </is>
      </c>
      <c r="AA172" s="51" t="inlineStr">
        <is>
          <t>/</t>
        </is>
      </c>
      <c r="AB172" s="46" t="inlineStr">
        <is>
          <t>/</t>
        </is>
      </c>
      <c r="AC172" s="46" t="inlineStr">
        <is>
          <t>/</t>
        </is>
      </c>
      <c r="AD172" s="48" t="inlineStr">
        <is>
          <t>1、装修折旧费：营业额的5%，分组作业未分摊，服务费已包含；
2、采购费不收取；</t>
        </is>
      </c>
      <c r="AE172" s="25" t="inlineStr">
        <is>
          <t>1、签订期间：2026.3.1-2026.7.31；
2、指标按照全年换算；</t>
        </is>
      </c>
      <c r="AF172" s="232" t="inlineStr">
        <is>
          <t>1、条款：技术合作方所有人员与公司签订劳动合同，签订劳动合同的技术合作方负责人必须参加公司社保，否则不予录用；
问题：非所有分组作业人员都入职到公司，非所有负责人缴纳社保；</t>
        </is>
      </c>
    </row>
    <row r="173" ht="36" customFormat="1" customHeight="1" s="209">
      <c r="A173" s="219" t="n">
        <v>171</v>
      </c>
      <c r="B173" s="14" t="inlineStr">
        <is>
          <t>KQCY0165</t>
        </is>
      </c>
      <c r="C173" s="221" t="inlineStr">
        <is>
          <t>餐饮三分部</t>
        </is>
      </c>
      <c r="D173" s="221" t="inlineStr">
        <is>
          <t>CF251</t>
        </is>
      </c>
      <c r="E173" s="221" t="inlineStr">
        <is>
          <t>苏州职大二食堂</t>
        </is>
      </c>
      <c r="F173" s="219" t="inlineStr">
        <is>
          <t>分组作业</t>
        </is>
      </c>
      <c r="G173" s="222" t="inlineStr">
        <is>
          <t>张镁镁</t>
        </is>
      </c>
      <c r="H173" s="222" t="inlineStr">
        <is>
          <t>第七班组</t>
        </is>
      </c>
      <c r="I173" s="232" t="inlineStr">
        <is>
          <t>杂粮煎饼</t>
        </is>
      </c>
      <c r="J173" s="503" t="inlineStr">
        <is>
          <t>王朝风</t>
        </is>
      </c>
      <c r="K173" s="224" t="inlineStr">
        <is>
          <t>/</t>
        </is>
      </c>
      <c r="L173" s="651" t="inlineStr">
        <is>
          <t>/</t>
        </is>
      </c>
      <c r="M173" s="116" t="n">
        <v>0.185</v>
      </c>
      <c r="N173" s="224" t="inlineStr">
        <is>
          <t>/</t>
        </is>
      </c>
      <c r="O173" s="462" t="inlineStr">
        <is>
          <t>/</t>
        </is>
      </c>
      <c r="P173" s="92" t="inlineStr">
        <is>
          <t>/</t>
        </is>
      </c>
      <c r="Q173" s="502" t="inlineStr">
        <is>
          <t>/</t>
        </is>
      </c>
      <c r="R173" s="502" t="inlineStr">
        <is>
          <t>/</t>
        </is>
      </c>
      <c r="S173" s="502" t="inlineStr">
        <is>
          <t>/</t>
        </is>
      </c>
      <c r="T173" s="22" t="n">
        <v>0.035</v>
      </c>
      <c r="U173" s="116" t="n">
        <v>0.06</v>
      </c>
      <c r="V173" s="502" t="inlineStr">
        <is>
          <t>/</t>
        </is>
      </c>
      <c r="W173" s="50" t="n"/>
      <c r="X173" s="502" t="inlineStr">
        <is>
          <t>/</t>
        </is>
      </c>
      <c r="Y173" s="115" t="inlineStr">
        <is>
          <t>/</t>
        </is>
      </c>
      <c r="Z173" s="51" t="inlineStr">
        <is>
          <t>/</t>
        </is>
      </c>
      <c r="AA173" s="51" t="inlineStr">
        <is>
          <t>/</t>
        </is>
      </c>
      <c r="AB173" s="46" t="inlineStr">
        <is>
          <t>/</t>
        </is>
      </c>
      <c r="AC173" s="46" t="inlineStr">
        <is>
          <t>/</t>
        </is>
      </c>
      <c r="AD173" s="48" t="inlineStr">
        <is>
          <t>1、装修折旧费：营业额的5%，分组作业未分摊，服务费已包含；
2、采购费不收取；</t>
        </is>
      </c>
      <c r="AE173" s="25" t="inlineStr">
        <is>
          <t>1、签订期间：2026.3.1-2026.7.31；
2、指标按照全年换算；</t>
        </is>
      </c>
      <c r="AF173" s="232" t="inlineStr">
        <is>
          <t>1、条款：技术合作方所有人员与公司签订劳动合同，签订劳动合同的技术合作方负责人必须参加公司社保，否则不予录用；
问题：非所有分组作业人员都入职到公司，非所有负责人缴纳社保；</t>
        </is>
      </c>
    </row>
    <row r="174" ht="36" customFormat="1" customHeight="1" s="209">
      <c r="A174" s="219" t="n">
        <v>172</v>
      </c>
      <c r="B174" s="14" t="inlineStr">
        <is>
          <t>KQCY0166</t>
        </is>
      </c>
      <c r="C174" s="221" t="inlineStr">
        <is>
          <t>餐饮三分部</t>
        </is>
      </c>
      <c r="D174" s="127" t="inlineStr">
        <is>
          <t>CF251</t>
        </is>
      </c>
      <c r="E174" s="221" t="inlineStr">
        <is>
          <t>苏州职大二食堂</t>
        </is>
      </c>
      <c r="F174" s="219" t="inlineStr">
        <is>
          <t>分组作业</t>
        </is>
      </c>
      <c r="G174" s="222" t="inlineStr">
        <is>
          <t>张镁镁</t>
        </is>
      </c>
      <c r="H174" s="222" t="inlineStr">
        <is>
          <t>第八班组</t>
        </is>
      </c>
      <c r="I174" s="232" t="inlineStr">
        <is>
          <t>苏式热干面</t>
        </is>
      </c>
      <c r="J174" s="503" t="inlineStr">
        <is>
          <t>田振/韩宁</t>
        </is>
      </c>
      <c r="K174" s="224" t="inlineStr">
        <is>
          <t>/</t>
        </is>
      </c>
      <c r="L174" s="651" t="inlineStr">
        <is>
          <t>/</t>
        </is>
      </c>
      <c r="M174" s="116" t="n">
        <v>0.185</v>
      </c>
      <c r="N174" s="224" t="inlineStr">
        <is>
          <t>/</t>
        </is>
      </c>
      <c r="O174" s="462" t="inlineStr">
        <is>
          <t>/</t>
        </is>
      </c>
      <c r="P174" s="92" t="inlineStr">
        <is>
          <t>/</t>
        </is>
      </c>
      <c r="Q174" s="502" t="inlineStr">
        <is>
          <t>/</t>
        </is>
      </c>
      <c r="R174" s="502" t="inlineStr">
        <is>
          <t>/</t>
        </is>
      </c>
      <c r="S174" s="502" t="inlineStr">
        <is>
          <t>/</t>
        </is>
      </c>
      <c r="T174" s="22" t="n">
        <v>0.035</v>
      </c>
      <c r="U174" s="116" t="n">
        <v>0.06</v>
      </c>
      <c r="V174" s="502" t="inlineStr">
        <is>
          <t>/</t>
        </is>
      </c>
      <c r="W174" s="50" t="n"/>
      <c r="X174" s="502" t="inlineStr">
        <is>
          <t>/</t>
        </is>
      </c>
      <c r="Y174" s="115" t="inlineStr">
        <is>
          <t>/</t>
        </is>
      </c>
      <c r="Z174" s="51" t="inlineStr">
        <is>
          <t>/</t>
        </is>
      </c>
      <c r="AA174" s="51" t="inlineStr">
        <is>
          <t>/</t>
        </is>
      </c>
      <c r="AB174" s="46" t="inlineStr">
        <is>
          <t>/</t>
        </is>
      </c>
      <c r="AC174" s="46" t="inlineStr">
        <is>
          <t>/</t>
        </is>
      </c>
      <c r="AD174" s="48" t="inlineStr">
        <is>
          <t>1、装修折旧费：营业额的5%，分组作业未分摊，服务费已包含；
2、采购费不收取；</t>
        </is>
      </c>
      <c r="AE174" s="25" t="inlineStr">
        <is>
          <t>1、签订期间：2026.3.1-2026.7.31；
2、指标按照全年换算；</t>
        </is>
      </c>
      <c r="AF174" s="232" t="inlineStr">
        <is>
          <t>1、条款：技术合作方所有人员与公司签订劳动合同，签订劳动合同的技术合作方负责人必须参加公司社保，否则不予录用；
问题：非所有分组作业人员都入职到公司，非所有负责人缴纳社保；</t>
        </is>
      </c>
    </row>
    <row r="175" ht="36" customFormat="1" customHeight="1" s="209">
      <c r="A175" s="219" t="n">
        <v>173</v>
      </c>
      <c r="B175" s="14" t="inlineStr">
        <is>
          <t>KQCY0167</t>
        </is>
      </c>
      <c r="C175" s="221" t="inlineStr">
        <is>
          <t>餐饮三分部</t>
        </is>
      </c>
      <c r="D175" s="127" t="inlineStr">
        <is>
          <t>CF251</t>
        </is>
      </c>
      <c r="E175" s="221" t="inlineStr">
        <is>
          <t>苏州职大二食堂</t>
        </is>
      </c>
      <c r="F175" s="219" t="inlineStr">
        <is>
          <t>分组作业</t>
        </is>
      </c>
      <c r="G175" s="222" t="inlineStr">
        <is>
          <t>张镁镁</t>
        </is>
      </c>
      <c r="H175" s="222" t="inlineStr">
        <is>
          <t>第九班组</t>
        </is>
      </c>
      <c r="I175" s="232" t="inlineStr">
        <is>
          <t>馄饨炒饭</t>
        </is>
      </c>
      <c r="J175" s="503" t="inlineStr">
        <is>
          <t>戴国强</t>
        </is>
      </c>
      <c r="K175" s="224" t="inlineStr">
        <is>
          <t>/</t>
        </is>
      </c>
      <c r="L175" s="651" t="inlineStr">
        <is>
          <t>/</t>
        </is>
      </c>
      <c r="M175" s="116" t="n">
        <v>0.175</v>
      </c>
      <c r="N175" s="224" t="inlineStr">
        <is>
          <t>/</t>
        </is>
      </c>
      <c r="O175" s="462" t="inlineStr">
        <is>
          <t>/</t>
        </is>
      </c>
      <c r="P175" s="92" t="inlineStr">
        <is>
          <t>/</t>
        </is>
      </c>
      <c r="Q175" s="502" t="inlineStr">
        <is>
          <t>/</t>
        </is>
      </c>
      <c r="R175" s="502" t="inlineStr">
        <is>
          <t>/</t>
        </is>
      </c>
      <c r="S175" s="502" t="inlineStr">
        <is>
          <t>/</t>
        </is>
      </c>
      <c r="T175" s="22" t="n">
        <v>0.035</v>
      </c>
      <c r="U175" s="116" t="n">
        <v>0.06</v>
      </c>
      <c r="V175" s="502" t="inlineStr">
        <is>
          <t>/</t>
        </is>
      </c>
      <c r="W175" s="50" t="n"/>
      <c r="X175" s="502" t="inlineStr">
        <is>
          <t>/</t>
        </is>
      </c>
      <c r="Y175" s="115" t="inlineStr">
        <is>
          <t>/</t>
        </is>
      </c>
      <c r="Z175" s="51" t="inlineStr">
        <is>
          <t>/</t>
        </is>
      </c>
      <c r="AA175" s="51" t="inlineStr">
        <is>
          <t>/</t>
        </is>
      </c>
      <c r="AB175" s="46" t="inlineStr">
        <is>
          <t>/</t>
        </is>
      </c>
      <c r="AC175" s="46" t="inlineStr">
        <is>
          <t>/</t>
        </is>
      </c>
      <c r="AD175" s="48" t="inlineStr">
        <is>
          <t>1、装修折旧费：营业额的5%，分组作业未分摊，服务费已包含；
2、采购费不收取；</t>
        </is>
      </c>
      <c r="AE175" s="25" t="inlineStr">
        <is>
          <t>1、签订期间：2026.3.1-2026.7.31；
2、指标按照全年换算；</t>
        </is>
      </c>
      <c r="AF175" s="232" t="inlineStr">
        <is>
          <t>1、条款：技术合作方所有人员与公司签订劳动合同，签订劳动合同的技术合作方负责人必须参加公司社保，否则不予录用；
问题：非所有分组作业人员都入职到公司，非所有负责人缴纳社保；</t>
        </is>
      </c>
    </row>
    <row r="176" ht="48" customFormat="1" customHeight="1" s="209">
      <c r="A176" s="219" t="n">
        <v>174</v>
      </c>
      <c r="B176" s="14" t="inlineStr">
        <is>
          <t>KQCY0168</t>
        </is>
      </c>
      <c r="C176" s="221" t="inlineStr">
        <is>
          <t>餐饮三分部</t>
        </is>
      </c>
      <c r="D176" s="127" t="inlineStr">
        <is>
          <t>CF251</t>
        </is>
      </c>
      <c r="E176" s="221" t="inlineStr">
        <is>
          <t>苏州职大二食堂</t>
        </is>
      </c>
      <c r="F176" s="219" t="inlineStr">
        <is>
          <t>分组作业</t>
        </is>
      </c>
      <c r="G176" s="222" t="inlineStr">
        <is>
          <t>张镁镁</t>
        </is>
      </c>
      <c r="H176" s="222" t="inlineStr">
        <is>
          <t>第十班组</t>
        </is>
      </c>
      <c r="I176" s="232" t="inlineStr">
        <is>
          <t>汉堡</t>
        </is>
      </c>
      <c r="J176" s="503" t="inlineStr">
        <is>
          <t>朱燕/朱建中</t>
        </is>
      </c>
      <c r="K176" s="224" t="inlineStr">
        <is>
          <t>/</t>
        </is>
      </c>
      <c r="L176" s="651" t="inlineStr">
        <is>
          <t>/</t>
        </is>
      </c>
      <c r="M176" s="116" t="n">
        <v>0.19</v>
      </c>
      <c r="N176" s="224" t="inlineStr">
        <is>
          <t>/</t>
        </is>
      </c>
      <c r="O176" s="462" t="inlineStr">
        <is>
          <t>/</t>
        </is>
      </c>
      <c r="P176" s="92" t="inlineStr">
        <is>
          <t>/</t>
        </is>
      </c>
      <c r="Q176" s="502" t="inlineStr">
        <is>
          <t>/</t>
        </is>
      </c>
      <c r="R176" s="502" t="inlineStr">
        <is>
          <t>/</t>
        </is>
      </c>
      <c r="S176" s="502" t="inlineStr">
        <is>
          <t>/</t>
        </is>
      </c>
      <c r="T176" s="59" t="inlineStr">
        <is>
          <t>/</t>
        </is>
      </c>
      <c r="U176" s="116" t="n">
        <v>0.06</v>
      </c>
      <c r="V176" s="502" t="inlineStr">
        <is>
          <t>/</t>
        </is>
      </c>
      <c r="W176" s="50" t="n"/>
      <c r="X176" s="502" t="inlineStr">
        <is>
          <t>/</t>
        </is>
      </c>
      <c r="Y176" s="115" t="inlineStr">
        <is>
          <t>/</t>
        </is>
      </c>
      <c r="Z176" s="51" t="inlineStr">
        <is>
          <t>/</t>
        </is>
      </c>
      <c r="AA176" s="51" t="inlineStr">
        <is>
          <t>/</t>
        </is>
      </c>
      <c r="AB176" s="46" t="inlineStr">
        <is>
          <t>/</t>
        </is>
      </c>
      <c r="AC176" s="46" t="inlineStr">
        <is>
          <t>/</t>
        </is>
      </c>
      <c r="AD176" s="48" t="inlineStr">
        <is>
          <t>1、装修折旧费：营业额的5%，分组作业未分摊，服务费已包含；
2、卫生费不收取；
3、采购费不收取；</t>
        </is>
      </c>
      <c r="AE176" s="25" t="inlineStr">
        <is>
          <t>1、签订期间：2026.3.1-2026.7.31；
2、指标按照全年换算；</t>
        </is>
      </c>
      <c r="AF176" s="232" t="inlineStr">
        <is>
          <t>1、条款：技术合作方所有人员与公司签订劳动合同，签订劳动合同的技术合作方负责人必须参加公司社保，否则不予录用；
问题：非所有分组作业人员都入职到公司，非所有负责人缴纳社保；</t>
        </is>
      </c>
    </row>
    <row r="177" ht="36" customFormat="1" customHeight="1" s="209">
      <c r="A177" s="219" t="n">
        <v>175</v>
      </c>
      <c r="B177" s="14" t="inlineStr">
        <is>
          <t>KQCY0169</t>
        </is>
      </c>
      <c r="C177" s="221" t="inlineStr">
        <is>
          <t>餐饮三分部</t>
        </is>
      </c>
      <c r="D177" s="127" t="inlineStr">
        <is>
          <t>CF251</t>
        </is>
      </c>
      <c r="E177" s="221" t="inlineStr">
        <is>
          <t>苏州职大二食堂</t>
        </is>
      </c>
      <c r="F177" s="219" t="inlineStr">
        <is>
          <t>分组作业</t>
        </is>
      </c>
      <c r="G177" s="222" t="inlineStr">
        <is>
          <t>张镁镁</t>
        </is>
      </c>
      <c r="H177" s="222" t="inlineStr">
        <is>
          <t>第十一班组</t>
        </is>
      </c>
      <c r="I177" s="232" t="inlineStr">
        <is>
          <t>麻辣烫</t>
        </is>
      </c>
      <c r="J177" s="503" t="inlineStr">
        <is>
          <t>孙华玲</t>
        </is>
      </c>
      <c r="K177" s="224" t="inlineStr">
        <is>
          <t>/</t>
        </is>
      </c>
      <c r="L177" s="651" t="inlineStr">
        <is>
          <t>/</t>
        </is>
      </c>
      <c r="M177" s="116" t="n">
        <v>0.145</v>
      </c>
      <c r="N177" s="224" t="inlineStr">
        <is>
          <t>/</t>
        </is>
      </c>
      <c r="O177" s="462" t="inlineStr">
        <is>
          <t>/</t>
        </is>
      </c>
      <c r="P177" s="92" t="inlineStr">
        <is>
          <t>/</t>
        </is>
      </c>
      <c r="Q177" s="502" t="inlineStr">
        <is>
          <t>/</t>
        </is>
      </c>
      <c r="R177" s="502" t="inlineStr">
        <is>
          <t>/</t>
        </is>
      </c>
      <c r="S177" s="502" t="inlineStr">
        <is>
          <t>/</t>
        </is>
      </c>
      <c r="T177" s="22" t="n">
        <v>0.035</v>
      </c>
      <c r="U177" s="116" t="n">
        <v>0.06</v>
      </c>
      <c r="V177" s="502" t="inlineStr">
        <is>
          <t>/</t>
        </is>
      </c>
      <c r="W177" s="50" t="n"/>
      <c r="X177" s="502" t="inlineStr">
        <is>
          <t>/</t>
        </is>
      </c>
      <c r="Y177" s="115" t="inlineStr">
        <is>
          <t>/</t>
        </is>
      </c>
      <c r="Z177" s="51" t="inlineStr">
        <is>
          <t>/</t>
        </is>
      </c>
      <c r="AA177" s="51" t="inlineStr">
        <is>
          <t>/</t>
        </is>
      </c>
      <c r="AB177" s="46" t="inlineStr">
        <is>
          <t>/</t>
        </is>
      </c>
      <c r="AC177" s="46" t="inlineStr">
        <is>
          <t>/</t>
        </is>
      </c>
      <c r="AD177" s="48" t="inlineStr">
        <is>
          <t>1、装修折旧费：营业额的5%，分组作业未分摊，服务费已包含；
2、采购费不收取；</t>
        </is>
      </c>
      <c r="AE177" s="25" t="inlineStr">
        <is>
          <t>1、签订期间：2026.3.1-2026.7.31；
2、指标按照全年换算；</t>
        </is>
      </c>
      <c r="AF177" s="232" t="inlineStr">
        <is>
          <t>1、条款：技术合作方所有人员与公司签订劳动合同，签订劳动合同的技术合作方负责人必须参加公司社保，否则不予录用；
问题：非所有分组作业人员都入职到公司，非所有负责人缴纳社保；</t>
        </is>
      </c>
    </row>
    <row r="178" ht="36" customFormat="1" customHeight="1" s="209">
      <c r="A178" s="219" t="n">
        <v>176</v>
      </c>
      <c r="B178" s="14" t="inlineStr">
        <is>
          <t>KQCY0170</t>
        </is>
      </c>
      <c r="C178" s="221" t="inlineStr">
        <is>
          <t>餐饮三分部</t>
        </is>
      </c>
      <c r="D178" s="127" t="inlineStr">
        <is>
          <t>CF251</t>
        </is>
      </c>
      <c r="E178" s="221" t="inlineStr">
        <is>
          <t>苏州职大二食堂</t>
        </is>
      </c>
      <c r="F178" s="219" t="inlineStr">
        <is>
          <t>分组作业</t>
        </is>
      </c>
      <c r="G178" s="222" t="inlineStr">
        <is>
          <t>张镁镁</t>
        </is>
      </c>
      <c r="H178" s="222" t="inlineStr">
        <is>
          <t>第十二班组</t>
        </is>
      </c>
      <c r="I178" s="232" t="inlineStr">
        <is>
          <t>香扒饭</t>
        </is>
      </c>
      <c r="J178" s="503" t="inlineStr">
        <is>
          <t>魏加健</t>
        </is>
      </c>
      <c r="K178" s="224" t="inlineStr">
        <is>
          <t>/</t>
        </is>
      </c>
      <c r="L178" s="651" t="inlineStr">
        <is>
          <t>/</t>
        </is>
      </c>
      <c r="M178" s="116" t="n">
        <v>0.145</v>
      </c>
      <c r="N178" s="224" t="inlineStr">
        <is>
          <t>/</t>
        </is>
      </c>
      <c r="O178" s="462" t="inlineStr">
        <is>
          <t>/</t>
        </is>
      </c>
      <c r="P178" s="92" t="inlineStr">
        <is>
          <t>/</t>
        </is>
      </c>
      <c r="Q178" s="502" t="inlineStr">
        <is>
          <t>/</t>
        </is>
      </c>
      <c r="R178" s="502" t="inlineStr">
        <is>
          <t>/</t>
        </is>
      </c>
      <c r="S178" s="502" t="inlineStr">
        <is>
          <t>/</t>
        </is>
      </c>
      <c r="T178" s="22" t="n">
        <v>0.035</v>
      </c>
      <c r="U178" s="116" t="n">
        <v>0.06</v>
      </c>
      <c r="V178" s="502" t="inlineStr">
        <is>
          <t>/</t>
        </is>
      </c>
      <c r="W178" s="50" t="n"/>
      <c r="X178" s="502" t="inlineStr">
        <is>
          <t>/</t>
        </is>
      </c>
      <c r="Y178" s="115" t="inlineStr">
        <is>
          <t>/</t>
        </is>
      </c>
      <c r="Z178" s="51" t="inlineStr">
        <is>
          <t>/</t>
        </is>
      </c>
      <c r="AA178" s="51" t="inlineStr">
        <is>
          <t>/</t>
        </is>
      </c>
      <c r="AB178" s="46" t="inlineStr">
        <is>
          <t>/</t>
        </is>
      </c>
      <c r="AC178" s="46" t="inlineStr">
        <is>
          <t>/</t>
        </is>
      </c>
      <c r="AD178" s="48" t="inlineStr">
        <is>
          <t>1、装修折旧费：营业额的5%，分组作业未分摊，服务费已包含；
2、采购费不收取；</t>
        </is>
      </c>
      <c r="AE178" s="25" t="inlineStr">
        <is>
          <t>1、签订期间：2026.3.1-2026.7.31；
2、指标按照全年换算；</t>
        </is>
      </c>
      <c r="AF178" s="232" t="inlineStr">
        <is>
          <t>1、条款：技术合作方所有人员与公司签订劳动合同，签订劳动合同的技术合作方负责人必须参加公司社保，否则不予录用；
问题：非所有分组作业人员都入职到公司，非所有负责人缴纳社保；</t>
        </is>
      </c>
    </row>
    <row r="179" ht="36" customFormat="1" customHeight="1" s="209">
      <c r="A179" s="219" t="n">
        <v>177</v>
      </c>
      <c r="B179" s="14" t="inlineStr">
        <is>
          <t>KQCY0171</t>
        </is>
      </c>
      <c r="C179" s="221" t="inlineStr">
        <is>
          <t>餐饮三分部</t>
        </is>
      </c>
      <c r="D179" s="127" t="inlineStr">
        <is>
          <t>CF251</t>
        </is>
      </c>
      <c r="E179" s="221" t="inlineStr">
        <is>
          <t>苏州职大二食堂</t>
        </is>
      </c>
      <c r="F179" s="219" t="inlineStr">
        <is>
          <t>分组作业</t>
        </is>
      </c>
      <c r="G179" s="222" t="inlineStr">
        <is>
          <t>张镁镁</t>
        </is>
      </c>
      <c r="H179" s="222" t="inlineStr">
        <is>
          <t>第十三班组</t>
        </is>
      </c>
      <c r="I179" s="232" t="inlineStr">
        <is>
          <t>瓦香鸡</t>
        </is>
      </c>
      <c r="J179" s="503" t="inlineStr">
        <is>
          <t>张明明</t>
        </is>
      </c>
      <c r="K179" s="224" t="inlineStr">
        <is>
          <t>/</t>
        </is>
      </c>
      <c r="L179" s="651" t="inlineStr">
        <is>
          <t>/</t>
        </is>
      </c>
      <c r="M179" s="116" t="n">
        <v>0.145</v>
      </c>
      <c r="N179" s="224" t="inlineStr">
        <is>
          <t>/</t>
        </is>
      </c>
      <c r="O179" s="462" t="inlineStr">
        <is>
          <t>/</t>
        </is>
      </c>
      <c r="P179" s="92" t="inlineStr">
        <is>
          <t>/</t>
        </is>
      </c>
      <c r="Q179" s="502" t="inlineStr">
        <is>
          <t>/</t>
        </is>
      </c>
      <c r="R179" s="502" t="inlineStr">
        <is>
          <t>/</t>
        </is>
      </c>
      <c r="S179" s="502" t="inlineStr">
        <is>
          <t>/</t>
        </is>
      </c>
      <c r="T179" s="22" t="n">
        <v>0.035</v>
      </c>
      <c r="U179" s="116" t="n">
        <v>0.06</v>
      </c>
      <c r="V179" s="502" t="inlineStr">
        <is>
          <t>/</t>
        </is>
      </c>
      <c r="W179" s="50" t="n"/>
      <c r="X179" s="502" t="inlineStr">
        <is>
          <t>/</t>
        </is>
      </c>
      <c r="Y179" s="115" t="inlineStr">
        <is>
          <t>/</t>
        </is>
      </c>
      <c r="Z179" s="51" t="inlineStr">
        <is>
          <t>/</t>
        </is>
      </c>
      <c r="AA179" s="51" t="inlineStr">
        <is>
          <t>/</t>
        </is>
      </c>
      <c r="AB179" s="46" t="inlineStr">
        <is>
          <t>/</t>
        </is>
      </c>
      <c r="AC179" s="46" t="inlineStr">
        <is>
          <t>/</t>
        </is>
      </c>
      <c r="AD179" s="48" t="inlineStr">
        <is>
          <t>1、装修折旧费：营业额的5%，分组作业未分摊，服务费已包含；
2、采购费不收取；</t>
        </is>
      </c>
      <c r="AE179" s="25" t="inlineStr">
        <is>
          <t>1、签订期间：2026.3.1-2026.7.31；
2、指标按照全年换算；</t>
        </is>
      </c>
      <c r="AF179" s="232" t="inlineStr">
        <is>
          <t>1、条款：技术合作方所有人员与公司签订劳动合同，签订劳动合同的技术合作方负责人必须参加公司社保，否则不予录用；
问题：非所有分组作业人员都入职到公司，非所有负责人缴纳社保；</t>
        </is>
      </c>
    </row>
    <row r="180" ht="36" customFormat="1" customHeight="1" s="209">
      <c r="A180" s="219" t="n">
        <v>178</v>
      </c>
      <c r="B180" s="14" t="inlineStr">
        <is>
          <t>KQCY0172</t>
        </is>
      </c>
      <c r="C180" s="221" t="inlineStr">
        <is>
          <t>餐饮三分部</t>
        </is>
      </c>
      <c r="D180" s="127" t="inlineStr">
        <is>
          <t>CF251</t>
        </is>
      </c>
      <c r="E180" s="221" t="inlineStr">
        <is>
          <t>苏州职大二食堂</t>
        </is>
      </c>
      <c r="F180" s="219" t="inlineStr">
        <is>
          <t>分组作业</t>
        </is>
      </c>
      <c r="G180" s="222" t="inlineStr">
        <is>
          <t>张镁镁</t>
        </is>
      </c>
      <c r="H180" s="222" t="inlineStr">
        <is>
          <t>第十四班组</t>
        </is>
      </c>
      <c r="I180" s="232" t="inlineStr">
        <is>
          <t>羊杂面</t>
        </is>
      </c>
      <c r="J180" s="503" t="inlineStr">
        <is>
          <t>王俊鹏</t>
        </is>
      </c>
      <c r="K180" s="224" t="inlineStr">
        <is>
          <t>/</t>
        </is>
      </c>
      <c r="L180" s="651" t="inlineStr">
        <is>
          <t>/</t>
        </is>
      </c>
      <c r="M180" s="116" t="n">
        <v>0.165</v>
      </c>
      <c r="N180" s="224" t="inlineStr">
        <is>
          <t>/</t>
        </is>
      </c>
      <c r="O180" s="462" t="inlineStr">
        <is>
          <t>/</t>
        </is>
      </c>
      <c r="P180" s="92" t="inlineStr">
        <is>
          <t>/</t>
        </is>
      </c>
      <c r="Q180" s="502" t="inlineStr">
        <is>
          <t>/</t>
        </is>
      </c>
      <c r="R180" s="502" t="inlineStr">
        <is>
          <t>/</t>
        </is>
      </c>
      <c r="S180" s="502" t="inlineStr">
        <is>
          <t>/</t>
        </is>
      </c>
      <c r="T180" s="22" t="n">
        <v>0.035</v>
      </c>
      <c r="U180" s="116" t="n">
        <v>0.06</v>
      </c>
      <c r="V180" s="502" t="inlineStr">
        <is>
          <t>/</t>
        </is>
      </c>
      <c r="W180" s="50" t="n"/>
      <c r="X180" s="502" t="inlineStr">
        <is>
          <t>/</t>
        </is>
      </c>
      <c r="Y180" s="115" t="inlineStr">
        <is>
          <t>/</t>
        </is>
      </c>
      <c r="Z180" s="51" t="inlineStr">
        <is>
          <t>/</t>
        </is>
      </c>
      <c r="AA180" s="51" t="inlineStr">
        <is>
          <t>/</t>
        </is>
      </c>
      <c r="AB180" s="46" t="inlineStr">
        <is>
          <t>/</t>
        </is>
      </c>
      <c r="AC180" s="46" t="inlineStr">
        <is>
          <t>/</t>
        </is>
      </c>
      <c r="AD180" s="48" t="inlineStr">
        <is>
          <t>1、装修折旧费：营业额的5%，分组作业未分摊，服务费已包含；
2、采购费不收取；</t>
        </is>
      </c>
      <c r="AE180" s="25" t="inlineStr">
        <is>
          <t>1、签订期间：2026.3.1-2026.7.31；
2、指标按照全年换算；</t>
        </is>
      </c>
      <c r="AF180" s="232" t="inlineStr">
        <is>
          <t>1、条款：技术合作方所有人员与公司签订劳动合同，签订劳动合同的技术合作方负责人必须参加公司社保，否则不予录用；
问题：非所有分组作业人员都入职到公司，非所有负责人缴纳社保；</t>
        </is>
      </c>
    </row>
    <row r="181" ht="36" customFormat="1" customHeight="1" s="209">
      <c r="A181" s="219" t="n">
        <v>179</v>
      </c>
      <c r="B181" s="14" t="inlineStr">
        <is>
          <t>KQCY0173</t>
        </is>
      </c>
      <c r="C181" s="221" t="inlineStr">
        <is>
          <t>餐饮三分部</t>
        </is>
      </c>
      <c r="D181" s="127" t="inlineStr">
        <is>
          <t>CF251</t>
        </is>
      </c>
      <c r="E181" s="221" t="inlineStr">
        <is>
          <t>苏州职大二食堂</t>
        </is>
      </c>
      <c r="F181" s="219" t="inlineStr">
        <is>
          <t>分组作业</t>
        </is>
      </c>
      <c r="G181" s="222" t="inlineStr">
        <is>
          <t>张镁镁</t>
        </is>
      </c>
      <c r="H181" s="222" t="inlineStr">
        <is>
          <t>第十五班组</t>
        </is>
      </c>
      <c r="I181" s="232" t="inlineStr">
        <is>
          <t>苏式红汤面</t>
        </is>
      </c>
      <c r="J181" s="503" t="inlineStr">
        <is>
          <t>程周如</t>
        </is>
      </c>
      <c r="K181" s="224" t="inlineStr">
        <is>
          <t>/</t>
        </is>
      </c>
      <c r="L181" s="651" t="inlineStr">
        <is>
          <t>/</t>
        </is>
      </c>
      <c r="M181" s="116" t="n">
        <v>0.165</v>
      </c>
      <c r="N181" s="224" t="inlineStr">
        <is>
          <t>/</t>
        </is>
      </c>
      <c r="O181" s="462" t="inlineStr">
        <is>
          <t>/</t>
        </is>
      </c>
      <c r="P181" s="92" t="inlineStr">
        <is>
          <t>/</t>
        </is>
      </c>
      <c r="Q181" s="502" t="inlineStr">
        <is>
          <t>/</t>
        </is>
      </c>
      <c r="R181" s="502" t="inlineStr">
        <is>
          <t>/</t>
        </is>
      </c>
      <c r="S181" s="502" t="inlineStr">
        <is>
          <t>/</t>
        </is>
      </c>
      <c r="T181" s="22" t="n">
        <v>0.035</v>
      </c>
      <c r="U181" s="116" t="n">
        <v>0.06</v>
      </c>
      <c r="V181" s="502" t="inlineStr">
        <is>
          <t>/</t>
        </is>
      </c>
      <c r="W181" s="50" t="n"/>
      <c r="X181" s="502" t="inlineStr">
        <is>
          <t>/</t>
        </is>
      </c>
      <c r="Y181" s="115" t="inlineStr">
        <is>
          <t>/</t>
        </is>
      </c>
      <c r="Z181" s="51" t="inlineStr">
        <is>
          <t>/</t>
        </is>
      </c>
      <c r="AA181" s="51" t="inlineStr">
        <is>
          <t>/</t>
        </is>
      </c>
      <c r="AB181" s="46" t="inlineStr">
        <is>
          <t>/</t>
        </is>
      </c>
      <c r="AC181" s="46" t="inlineStr">
        <is>
          <t>/</t>
        </is>
      </c>
      <c r="AD181" s="48" t="inlineStr">
        <is>
          <t>1、装修折旧费：营业额的5%，分组作业未分摊，服务费已包含；
2、采购费不收取；</t>
        </is>
      </c>
      <c r="AE181" s="25" t="inlineStr">
        <is>
          <t>1、签订期间：2026.3.1-2026.7.31；
2、指标按照全年换算；</t>
        </is>
      </c>
      <c r="AF181" s="232" t="inlineStr">
        <is>
          <t>1、条款：技术合作方所有人员与公司签订劳动合同，签订劳动合同的技术合作方负责人必须参加公司社保，否则不予录用；
问题：非所有分组作业人员都入职到公司，非所有负责人缴纳社保；</t>
        </is>
      </c>
    </row>
    <row r="182" ht="48" customFormat="1" customHeight="1" s="209">
      <c r="A182" s="219" t="n">
        <v>180</v>
      </c>
      <c r="B182" s="14" t="inlineStr">
        <is>
          <t>KQCY0174</t>
        </is>
      </c>
      <c r="C182" s="221" t="inlineStr">
        <is>
          <t>餐饮三分部</t>
        </is>
      </c>
      <c r="D182" s="127" t="inlineStr">
        <is>
          <t>CF251</t>
        </is>
      </c>
      <c r="E182" s="221" t="inlineStr">
        <is>
          <t>苏州职大二食堂</t>
        </is>
      </c>
      <c r="F182" s="219" t="inlineStr">
        <is>
          <t>分组作业</t>
        </is>
      </c>
      <c r="G182" s="222" t="inlineStr">
        <is>
          <t>张镁镁</t>
        </is>
      </c>
      <c r="H182" s="222" t="inlineStr">
        <is>
          <t>第十六班组</t>
        </is>
      </c>
      <c r="I182" s="232" t="inlineStr">
        <is>
          <t>烤鸭</t>
        </is>
      </c>
      <c r="J182" s="503" t="inlineStr">
        <is>
          <t>李嘉康/高发国</t>
        </is>
      </c>
      <c r="K182" s="224" t="inlineStr">
        <is>
          <t>/</t>
        </is>
      </c>
      <c r="L182" s="651" t="inlineStr">
        <is>
          <t>/</t>
        </is>
      </c>
      <c r="M182" s="116" t="n">
        <v>0.155</v>
      </c>
      <c r="N182" s="224" t="inlineStr">
        <is>
          <t>/</t>
        </is>
      </c>
      <c r="O182" s="462" t="inlineStr">
        <is>
          <t>/</t>
        </is>
      </c>
      <c r="P182" s="92" t="inlineStr">
        <is>
          <t>/</t>
        </is>
      </c>
      <c r="Q182" s="502" t="inlineStr">
        <is>
          <t>/</t>
        </is>
      </c>
      <c r="R182" s="502" t="inlineStr">
        <is>
          <t>/</t>
        </is>
      </c>
      <c r="S182" s="502" t="inlineStr">
        <is>
          <t>/</t>
        </is>
      </c>
      <c r="T182" s="22" t="n">
        <v>0.035</v>
      </c>
      <c r="U182" s="116" t="n">
        <v>0.06</v>
      </c>
      <c r="V182" s="502" t="inlineStr">
        <is>
          <t>/</t>
        </is>
      </c>
      <c r="W182" s="50" t="n"/>
      <c r="X182" s="502" t="inlineStr">
        <is>
          <t>/</t>
        </is>
      </c>
      <c r="Y182" s="660" t="n">
        <v>2000</v>
      </c>
      <c r="Z182" s="51" t="inlineStr">
        <is>
          <t>/</t>
        </is>
      </c>
      <c r="AA182" s="51" t="inlineStr">
        <is>
          <t>/</t>
        </is>
      </c>
      <c r="AB182" s="46" t="inlineStr">
        <is>
          <t>/</t>
        </is>
      </c>
      <c r="AC182" s="46" t="inlineStr">
        <is>
          <t>/</t>
        </is>
      </c>
      <c r="AD182" s="48" t="inlineStr">
        <is>
          <t>1、装修折旧费：营业额的5%，分组作业未分摊，服务费已包含；
2、烤鸭房租2000/学期
3、采购费不收取；</t>
        </is>
      </c>
      <c r="AE182" s="25" t="inlineStr">
        <is>
          <t>1、签订期间：2026.3.1-2026.7.31；
2、指标按照全年换算；</t>
        </is>
      </c>
      <c r="AF182" s="232" t="inlineStr">
        <is>
          <t>1、条款：技术合作方所有人员与公司签订劳动合同，签订劳动合同的技术合作方负责人必须参加公司社保，否则不予录用；
问题：非所有分组作业人员都入职到公司，非所有负责人缴纳社保；</t>
        </is>
      </c>
    </row>
    <row r="183" ht="36" customFormat="1" customHeight="1" s="209">
      <c r="A183" s="219" t="n">
        <v>181</v>
      </c>
      <c r="B183" s="14" t="inlineStr">
        <is>
          <t>KQCY0175</t>
        </is>
      </c>
      <c r="C183" s="221" t="inlineStr">
        <is>
          <t>餐饮三分部</t>
        </is>
      </c>
      <c r="D183" s="127" t="inlineStr">
        <is>
          <t>CF251</t>
        </is>
      </c>
      <c r="E183" s="221" t="inlineStr">
        <is>
          <t>苏州职大二食堂</t>
        </is>
      </c>
      <c r="F183" s="219" t="inlineStr">
        <is>
          <t>分组作业</t>
        </is>
      </c>
      <c r="G183" s="222" t="inlineStr">
        <is>
          <t>张镁镁</t>
        </is>
      </c>
      <c r="H183" s="222" t="inlineStr">
        <is>
          <t>第十七班组</t>
        </is>
      </c>
      <c r="I183" s="232" t="inlineStr">
        <is>
          <t>手工水饺</t>
        </is>
      </c>
      <c r="J183" s="503" t="inlineStr">
        <is>
          <t>汪玉凤/从健</t>
        </is>
      </c>
      <c r="K183" s="224" t="inlineStr">
        <is>
          <t>/</t>
        </is>
      </c>
      <c r="L183" s="651" t="inlineStr">
        <is>
          <t>/</t>
        </is>
      </c>
      <c r="M183" s="116" t="n">
        <v>0.155</v>
      </c>
      <c r="N183" s="224" t="inlineStr">
        <is>
          <t>/</t>
        </is>
      </c>
      <c r="O183" s="462" t="inlineStr">
        <is>
          <t>/</t>
        </is>
      </c>
      <c r="P183" s="92" t="inlineStr">
        <is>
          <t>/</t>
        </is>
      </c>
      <c r="Q183" s="502" t="inlineStr">
        <is>
          <t>/</t>
        </is>
      </c>
      <c r="R183" s="502" t="inlineStr">
        <is>
          <t>/</t>
        </is>
      </c>
      <c r="S183" s="502" t="inlineStr">
        <is>
          <t>/</t>
        </is>
      </c>
      <c r="T183" s="22" t="n">
        <v>0.035</v>
      </c>
      <c r="U183" s="116" t="n">
        <v>0.06</v>
      </c>
      <c r="V183" s="502" t="inlineStr">
        <is>
          <t>/</t>
        </is>
      </c>
      <c r="W183" s="50" t="n"/>
      <c r="X183" s="502" t="inlineStr">
        <is>
          <t>/</t>
        </is>
      </c>
      <c r="Y183" s="115" t="inlineStr">
        <is>
          <t>/</t>
        </is>
      </c>
      <c r="Z183" s="51" t="inlineStr">
        <is>
          <t>/</t>
        </is>
      </c>
      <c r="AA183" s="51" t="inlineStr">
        <is>
          <t>/</t>
        </is>
      </c>
      <c r="AB183" s="46" t="inlineStr">
        <is>
          <t>/</t>
        </is>
      </c>
      <c r="AC183" s="46" t="inlineStr">
        <is>
          <t>/</t>
        </is>
      </c>
      <c r="AD183" s="48" t="inlineStr">
        <is>
          <t>1、装修折旧费：营业额的5%，分组作业未分摊，服务费已包含；
2、采购费不收取；</t>
        </is>
      </c>
      <c r="AE183" s="25" t="inlineStr">
        <is>
          <t>1、签订期间：2026.3.1-2026.7.31；
2、指标按照全年换算；</t>
        </is>
      </c>
      <c r="AF183" s="232" t="inlineStr">
        <is>
          <t>1、条款：技术合作方所有人员与公司签订劳动合同，签订劳动合同的技术合作方负责人必须参加公司社保，否则不予录用；
问题：非所有分组作业人员都入职到公司，非所有负责人缴纳社保；</t>
        </is>
      </c>
    </row>
    <row r="184" ht="36" customFormat="1" customHeight="1" s="209">
      <c r="A184" s="219" t="n">
        <v>182</v>
      </c>
      <c r="B184" s="14" t="inlineStr">
        <is>
          <t>KQCY0176</t>
        </is>
      </c>
      <c r="C184" s="221" t="inlineStr">
        <is>
          <t>餐饮三分部</t>
        </is>
      </c>
      <c r="D184" s="127" t="inlineStr">
        <is>
          <t>CF251</t>
        </is>
      </c>
      <c r="E184" s="221" t="inlineStr">
        <is>
          <t>苏州职大二食堂</t>
        </is>
      </c>
      <c r="F184" s="219" t="inlineStr">
        <is>
          <t>分组作业</t>
        </is>
      </c>
      <c r="G184" s="222" t="inlineStr">
        <is>
          <t>张镁镁</t>
        </is>
      </c>
      <c r="H184" s="222" t="inlineStr">
        <is>
          <t>第十八班组</t>
        </is>
      </c>
      <c r="I184" s="232" t="inlineStr">
        <is>
          <t>把子肉</t>
        </is>
      </c>
      <c r="J184" s="503" t="inlineStr">
        <is>
          <t>杜故乡/杜获</t>
        </is>
      </c>
      <c r="K184" s="224" t="inlineStr">
        <is>
          <t>/</t>
        </is>
      </c>
      <c r="L184" s="651" t="inlineStr">
        <is>
          <t>/</t>
        </is>
      </c>
      <c r="M184" s="116" t="n">
        <v>0.135</v>
      </c>
      <c r="N184" s="224" t="inlineStr">
        <is>
          <t>/</t>
        </is>
      </c>
      <c r="O184" s="462" t="inlineStr">
        <is>
          <t>/</t>
        </is>
      </c>
      <c r="P184" s="92" t="inlineStr">
        <is>
          <t>/</t>
        </is>
      </c>
      <c r="Q184" s="502" t="inlineStr">
        <is>
          <t>/</t>
        </is>
      </c>
      <c r="R184" s="502" t="inlineStr">
        <is>
          <t>/</t>
        </is>
      </c>
      <c r="S184" s="502" t="inlineStr">
        <is>
          <t>/</t>
        </is>
      </c>
      <c r="T184" s="22" t="n">
        <v>0.035</v>
      </c>
      <c r="U184" s="116" t="n">
        <v>0.06</v>
      </c>
      <c r="V184" s="502" t="inlineStr">
        <is>
          <t>/</t>
        </is>
      </c>
      <c r="W184" s="50" t="n"/>
      <c r="X184" s="502" t="inlineStr">
        <is>
          <t>/</t>
        </is>
      </c>
      <c r="Y184" s="115" t="inlineStr">
        <is>
          <t>/</t>
        </is>
      </c>
      <c r="Z184" s="51" t="inlineStr">
        <is>
          <t>/</t>
        </is>
      </c>
      <c r="AA184" s="51" t="inlineStr">
        <is>
          <t>/</t>
        </is>
      </c>
      <c r="AB184" s="46" t="inlineStr">
        <is>
          <t>/</t>
        </is>
      </c>
      <c r="AC184" s="46" t="inlineStr">
        <is>
          <t>/</t>
        </is>
      </c>
      <c r="AD184" s="48" t="inlineStr">
        <is>
          <t>1、装修折旧费：营业额的5%，分组作业未分摊，服务费已包含；
2、采购费不收取；</t>
        </is>
      </c>
      <c r="AE184" s="25" t="inlineStr">
        <is>
          <t>1、签订期间：2026.3.1-2026.7.31；
2、指标按照全年换算；</t>
        </is>
      </c>
      <c r="AF184" s="232" t="inlineStr">
        <is>
          <t>1、条款：技术合作方所有人员与公司签订劳动合同，签订劳动合同的技术合作方负责人必须参加公司社保，否则不予录用；
问题：非所有分组作业人员都入职到公司，非所有负责人缴纳社保；</t>
        </is>
      </c>
    </row>
    <row r="185" ht="12" customFormat="1" customHeight="1" s="209">
      <c r="A185" s="219" t="n">
        <v>183</v>
      </c>
      <c r="B185" s="14" t="inlineStr">
        <is>
          <t>KQCY0177</t>
        </is>
      </c>
      <c r="C185" s="221" t="inlineStr">
        <is>
          <t>餐饮三分部</t>
        </is>
      </c>
      <c r="D185" s="127" t="inlineStr">
        <is>
          <t>CF780</t>
        </is>
      </c>
      <c r="E185" s="221" t="inlineStr">
        <is>
          <t>吉建大二食堂</t>
        </is>
      </c>
      <c r="F185" s="219" t="inlineStr">
        <is>
          <t>自营</t>
        </is>
      </c>
      <c r="G185" s="222" t="inlineStr">
        <is>
          <t>吉沐牛</t>
        </is>
      </c>
      <c r="H185" s="222" t="inlineStr">
        <is>
          <t>/</t>
        </is>
      </c>
      <c r="I185" s="355" t="inlineStr">
        <is>
          <t>/</t>
        </is>
      </c>
      <c r="J185" s="222" t="inlineStr">
        <is>
          <t>/</t>
        </is>
      </c>
      <c r="K185" s="224" t="inlineStr">
        <is>
          <t>/</t>
        </is>
      </c>
      <c r="L185" s="651" t="inlineStr">
        <is>
          <t>/</t>
        </is>
      </c>
      <c r="M185" s="67" t="inlineStr">
        <is>
          <t>/</t>
        </is>
      </c>
      <c r="N185" s="47" t="n"/>
      <c r="O185" s="67" t="inlineStr">
        <is>
          <t>/</t>
        </is>
      </c>
      <c r="P185" s="47" t="n"/>
      <c r="Q185" s="67" t="inlineStr">
        <is>
          <t>/</t>
        </is>
      </c>
      <c r="R185" s="67" t="inlineStr">
        <is>
          <t>/</t>
        </is>
      </c>
      <c r="S185" s="67" t="inlineStr">
        <is>
          <t>/</t>
        </is>
      </c>
      <c r="T185" s="47" t="n"/>
      <c r="U185" s="47" t="n"/>
      <c r="V185" s="67" t="inlineStr">
        <is>
          <t>/</t>
        </is>
      </c>
      <c r="W185" s="44" t="n"/>
      <c r="X185" s="397" t="inlineStr">
        <is>
          <t>/</t>
        </is>
      </c>
      <c r="Y185" s="397" t="inlineStr">
        <is>
          <t>/</t>
        </is>
      </c>
      <c r="Z185" s="397" t="inlineStr">
        <is>
          <t>/</t>
        </is>
      </c>
      <c r="AA185" s="44" t="n"/>
      <c r="AB185" s="46" t="n">
        <v>0.05</v>
      </c>
      <c r="AC185" s="46" t="inlineStr">
        <is>
          <t>/</t>
        </is>
      </c>
      <c r="AD185" s="69" t="n"/>
      <c r="AE185" s="25" t="n"/>
      <c r="AF185" s="206" t="n"/>
    </row>
    <row r="186" ht="96" customFormat="1" customHeight="1" s="209">
      <c r="A186" s="219" t="n">
        <v>184</v>
      </c>
      <c r="B186" s="14" t="inlineStr">
        <is>
          <t>KQCY0178</t>
        </is>
      </c>
      <c r="C186" s="221" t="inlineStr">
        <is>
          <t>餐饮三分部</t>
        </is>
      </c>
      <c r="D186" s="127" t="inlineStr">
        <is>
          <t>CF780</t>
        </is>
      </c>
      <c r="E186" s="221" t="inlineStr">
        <is>
          <t>吉建大二食堂</t>
        </is>
      </c>
      <c r="F186" s="219" t="inlineStr">
        <is>
          <t>分组作业</t>
        </is>
      </c>
      <c r="G186" s="222" t="inlineStr">
        <is>
          <t>吉沐牛</t>
        </is>
      </c>
      <c r="H186" s="503" t="inlineStr">
        <is>
          <t>/</t>
        </is>
      </c>
      <c r="I186" s="237" t="inlineStr">
        <is>
          <t>早点</t>
        </is>
      </c>
      <c r="J186" s="222" t="inlineStr">
        <is>
          <t>李帮</t>
        </is>
      </c>
      <c r="K186" s="224" t="inlineStr">
        <is>
          <t>/</t>
        </is>
      </c>
      <c r="L186" s="651" t="n">
        <v>2352000</v>
      </c>
      <c r="M186" s="67" t="n">
        <v>0.15</v>
      </c>
      <c r="N186" s="67" t="n">
        <v>0.01</v>
      </c>
      <c r="O186" s="67" t="inlineStr">
        <is>
          <t>/</t>
        </is>
      </c>
      <c r="P186" s="67" t="n">
        <v>0.04</v>
      </c>
      <c r="Q186" s="67" t="n">
        <v>0.03</v>
      </c>
      <c r="R186" s="67" t="n">
        <v>0.01</v>
      </c>
      <c r="S186" s="67" t="n">
        <v>0.01</v>
      </c>
      <c r="T186" s="67" t="n"/>
      <c r="U186" s="656" t="n"/>
      <c r="V186" s="67" t="inlineStr">
        <is>
          <t>/</t>
        </is>
      </c>
      <c r="W186" s="128" t="n">
        <v>0.4</v>
      </c>
      <c r="X186" s="67" t="inlineStr">
        <is>
          <t>/</t>
        </is>
      </c>
      <c r="Y186" s="397" t="inlineStr">
        <is>
          <t>/</t>
        </is>
      </c>
      <c r="Z186" s="397" t="inlineStr">
        <is>
          <t>/</t>
        </is>
      </c>
      <c r="AA186" s="397" t="inlineStr">
        <is>
          <t>/</t>
        </is>
      </c>
      <c r="AB186" s="46" t="inlineStr">
        <is>
          <t>/</t>
        </is>
      </c>
      <c r="AC186" s="46" t="inlineStr">
        <is>
          <t>/</t>
        </is>
      </c>
      <c r="AD186" s="69" t="inlineStr">
        <is>
          <t>1、甲方捐赠：项目反馈不收取，包含在服务费中；</t>
        </is>
      </c>
      <c r="AE186" s="25" t="inlineStr">
        <is>
          <t>1、签订期间：2026.3-7月；
2、指标按照全年换算；</t>
        </is>
      </c>
      <c r="AF186"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87" ht="96" customFormat="1" customHeight="1" s="209">
      <c r="A187" s="219" t="n">
        <v>185</v>
      </c>
      <c r="B187" s="14" t="inlineStr">
        <is>
          <t>KQCY0179</t>
        </is>
      </c>
      <c r="C187" s="221" t="inlineStr">
        <is>
          <t>餐饮三分部</t>
        </is>
      </c>
      <c r="D187" s="127" t="inlineStr">
        <is>
          <t>CF780</t>
        </is>
      </c>
      <c r="E187" s="221" t="inlineStr">
        <is>
          <t>吉建大二食堂</t>
        </is>
      </c>
      <c r="F187" s="219" t="inlineStr">
        <is>
          <t>分组作业</t>
        </is>
      </c>
      <c r="G187" s="222" t="inlineStr">
        <is>
          <t>吉沐牛</t>
        </is>
      </c>
      <c r="H187" s="503" t="inlineStr">
        <is>
          <t>/</t>
        </is>
      </c>
      <c r="I187" s="237" t="inlineStr">
        <is>
          <t>0090汉堡</t>
        </is>
      </c>
      <c r="J187" s="222" t="inlineStr">
        <is>
          <t>戴杰</t>
        </is>
      </c>
      <c r="K187" s="224" t="inlineStr">
        <is>
          <t>/</t>
        </is>
      </c>
      <c r="L187" s="651" t="n">
        <v>2280000</v>
      </c>
      <c r="M187" s="67" t="inlineStr">
        <is>
          <t>17%/16%</t>
        </is>
      </c>
      <c r="N187" s="67" t="n">
        <v>0.01</v>
      </c>
      <c r="O187" s="67" t="inlineStr">
        <is>
          <t>/</t>
        </is>
      </c>
      <c r="P187" s="67" t="n">
        <v>0.04</v>
      </c>
      <c r="Q187" s="67" t="n">
        <v>0.03</v>
      </c>
      <c r="R187" s="67" t="n">
        <v>0.01</v>
      </c>
      <c r="S187" s="67" t="n">
        <v>0.01</v>
      </c>
      <c r="T187" s="67" t="n"/>
      <c r="U187" s="656" t="n"/>
      <c r="V187" s="67" t="inlineStr">
        <is>
          <t>/</t>
        </is>
      </c>
      <c r="W187" s="128" t="n">
        <v>0.4</v>
      </c>
      <c r="X187" s="67" t="inlineStr">
        <is>
          <t>/</t>
        </is>
      </c>
      <c r="Y187" s="397" t="inlineStr">
        <is>
          <t>/</t>
        </is>
      </c>
      <c r="Z187" s="397" t="inlineStr">
        <is>
          <t>/</t>
        </is>
      </c>
      <c r="AA187" s="397" t="inlineStr">
        <is>
          <t>/</t>
        </is>
      </c>
      <c r="AB187" s="46" t="inlineStr">
        <is>
          <t>/</t>
        </is>
      </c>
      <c r="AC187" s="46" t="inlineStr">
        <is>
          <t>/</t>
        </is>
      </c>
      <c r="AD187" s="69" t="inlineStr">
        <is>
          <t>1、服务费：超过20万按16%收取，未超过按17%收取管理费；
2、甲方捐赠：项目反馈不收取，包含在服务费中；</t>
        </is>
      </c>
      <c r="AE187" s="25" t="inlineStr">
        <is>
          <t>1、签订期间：2026.3-7月；
2、指标按照全年换算；
3、超过20万按16%收取，未超过按17%收取管理费；</t>
        </is>
      </c>
      <c r="AF187"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88" ht="96" customFormat="1" customHeight="1" s="209">
      <c r="A188" s="219" t="n">
        <v>186</v>
      </c>
      <c r="B188" s="14" t="inlineStr">
        <is>
          <t>KQCY0180</t>
        </is>
      </c>
      <c r="C188" s="221" t="inlineStr">
        <is>
          <t>餐饮三分部</t>
        </is>
      </c>
      <c r="D188" s="127" t="inlineStr">
        <is>
          <t>CF780</t>
        </is>
      </c>
      <c r="E188" s="221" t="inlineStr">
        <is>
          <t>吉建大二食堂</t>
        </is>
      </c>
      <c r="F188" s="219" t="inlineStr">
        <is>
          <t>分组作业</t>
        </is>
      </c>
      <c r="G188" s="222" t="inlineStr">
        <is>
          <t>吉沐牛</t>
        </is>
      </c>
      <c r="H188" s="503" t="inlineStr">
        <is>
          <t>/</t>
        </is>
      </c>
      <c r="I188" s="237" t="inlineStr">
        <is>
          <t>果檬鲜果</t>
        </is>
      </c>
      <c r="J188" s="222" t="inlineStr">
        <is>
          <t>曹雪</t>
        </is>
      </c>
      <c r="K188" s="224" t="inlineStr">
        <is>
          <t>/</t>
        </is>
      </c>
      <c r="L188" s="651" t="n">
        <v>816000</v>
      </c>
      <c r="M188" s="67" t="inlineStr">
        <is>
          <t>17%/16%</t>
        </is>
      </c>
      <c r="N188" s="67" t="n">
        <v>0.01</v>
      </c>
      <c r="O188" s="67" t="inlineStr">
        <is>
          <t>/</t>
        </is>
      </c>
      <c r="P188" s="67" t="n">
        <v>0.04</v>
      </c>
      <c r="Q188" s="67" t="n">
        <v>0.03</v>
      </c>
      <c r="R188" s="67" t="n">
        <v>0.01</v>
      </c>
      <c r="S188" s="67" t="n">
        <v>0.01</v>
      </c>
      <c r="T188" s="67" t="n"/>
      <c r="U188" s="656" t="n"/>
      <c r="V188" s="67" t="inlineStr">
        <is>
          <t>/</t>
        </is>
      </c>
      <c r="W188" s="128" t="n">
        <v>0.4</v>
      </c>
      <c r="X188" s="67" t="inlineStr">
        <is>
          <t>/</t>
        </is>
      </c>
      <c r="Y188" s="397" t="inlineStr">
        <is>
          <t>/</t>
        </is>
      </c>
      <c r="Z188" s="397" t="inlineStr">
        <is>
          <t>/</t>
        </is>
      </c>
      <c r="AA188" s="397" t="inlineStr">
        <is>
          <t>/</t>
        </is>
      </c>
      <c r="AB188" s="46" t="inlineStr">
        <is>
          <t>/</t>
        </is>
      </c>
      <c r="AC188" s="46" t="inlineStr">
        <is>
          <t>/</t>
        </is>
      </c>
      <c r="AD188" s="69" t="inlineStr">
        <is>
          <t>1、服务费：超过20万按16%收取，未超过按17%收取管理费；
2、甲方捐赠：项目反馈不收取，包含在服务费中；</t>
        </is>
      </c>
      <c r="AE188" s="25" t="inlineStr">
        <is>
          <t>1、签订期间：2026.3-7月；
2、指标按照全年换算；
3、超过20万按16%收取，未超过按17%收取管理费；</t>
        </is>
      </c>
      <c r="AF188"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89" ht="96" customFormat="1" customHeight="1" s="209">
      <c r="A189" s="219" t="n">
        <v>187</v>
      </c>
      <c r="B189" s="14" t="inlineStr">
        <is>
          <t>KQCY0181</t>
        </is>
      </c>
      <c r="C189" s="221" t="inlineStr">
        <is>
          <t>餐饮三分部</t>
        </is>
      </c>
      <c r="D189" s="127" t="inlineStr">
        <is>
          <t>CF780</t>
        </is>
      </c>
      <c r="E189" s="221" t="inlineStr">
        <is>
          <t>吉建大二食堂</t>
        </is>
      </c>
      <c r="F189" s="219" t="inlineStr">
        <is>
          <t>分组作业</t>
        </is>
      </c>
      <c r="G189" s="222" t="inlineStr">
        <is>
          <t>吉沐牛</t>
        </is>
      </c>
      <c r="H189" s="503" t="inlineStr">
        <is>
          <t>/</t>
        </is>
      </c>
      <c r="I189" s="237" t="inlineStr">
        <is>
          <t>自选水饺</t>
        </is>
      </c>
      <c r="J189" s="222" t="inlineStr">
        <is>
          <t>李英</t>
        </is>
      </c>
      <c r="K189" s="224" t="inlineStr">
        <is>
          <t>/</t>
        </is>
      </c>
      <c r="L189" s="651" t="n">
        <v>700800</v>
      </c>
      <c r="M189" s="67" t="n">
        <v>0.1</v>
      </c>
      <c r="N189" s="67" t="n">
        <v>0.01</v>
      </c>
      <c r="O189" s="67" t="inlineStr">
        <is>
          <t>/</t>
        </is>
      </c>
      <c r="P189" s="67" t="n">
        <v>0.04</v>
      </c>
      <c r="Q189" s="67" t="n">
        <v>0.03</v>
      </c>
      <c r="R189" s="67" t="n">
        <v>0.01</v>
      </c>
      <c r="S189" s="67" t="n">
        <v>0.01</v>
      </c>
      <c r="T189" s="67" t="n"/>
      <c r="U189" s="656" t="n"/>
      <c r="V189" s="67" t="inlineStr">
        <is>
          <t>/</t>
        </is>
      </c>
      <c r="W189" s="128" t="n">
        <v>0.4</v>
      </c>
      <c r="X189" s="67" t="inlineStr">
        <is>
          <t>/</t>
        </is>
      </c>
      <c r="Y189" s="397" t="inlineStr">
        <is>
          <t>/</t>
        </is>
      </c>
      <c r="Z189" s="397" t="inlineStr">
        <is>
          <t>/</t>
        </is>
      </c>
      <c r="AA189" s="397" t="inlineStr">
        <is>
          <t>/</t>
        </is>
      </c>
      <c r="AB189" s="46" t="inlineStr">
        <is>
          <t>/</t>
        </is>
      </c>
      <c r="AC189" s="46" t="inlineStr">
        <is>
          <t>/</t>
        </is>
      </c>
      <c r="AD189" s="69" t="inlineStr">
        <is>
          <t>1、甲方捐赠：项目反馈不收取，包含在服务费中；</t>
        </is>
      </c>
      <c r="AE189" s="25" t="inlineStr">
        <is>
          <t>1、签订期间：2026.3-7月；
2、指标按照全年换算；</t>
        </is>
      </c>
      <c r="AF189"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0" ht="96" customFormat="1" customHeight="1" s="209">
      <c r="A190" s="219" t="n">
        <v>188</v>
      </c>
      <c r="B190" s="14" t="inlineStr">
        <is>
          <t>KQCY0182</t>
        </is>
      </c>
      <c r="C190" s="221" t="inlineStr">
        <is>
          <t>餐饮三分部</t>
        </is>
      </c>
      <c r="D190" s="127" t="inlineStr">
        <is>
          <t>CF780</t>
        </is>
      </c>
      <c r="E190" s="221" t="inlineStr">
        <is>
          <t>吉建大二食堂</t>
        </is>
      </c>
      <c r="F190" s="219" t="inlineStr">
        <is>
          <t>分组作业</t>
        </is>
      </c>
      <c r="G190" s="222" t="inlineStr">
        <is>
          <t>吉沐牛</t>
        </is>
      </c>
      <c r="H190" s="503" t="inlineStr">
        <is>
          <t>/</t>
        </is>
      </c>
      <c r="I190" s="237" t="inlineStr">
        <is>
          <t>渔之谷渔粉</t>
        </is>
      </c>
      <c r="J190" s="222" t="inlineStr">
        <is>
          <t>李荣</t>
        </is>
      </c>
      <c r="K190" s="224" t="inlineStr">
        <is>
          <t>/</t>
        </is>
      </c>
      <c r="L190" s="651" t="n">
        <v>720000</v>
      </c>
      <c r="M190" s="67" t="n">
        <v>0.1</v>
      </c>
      <c r="N190" s="67" t="n">
        <v>0.01</v>
      </c>
      <c r="O190" s="67" t="inlineStr">
        <is>
          <t>/</t>
        </is>
      </c>
      <c r="P190" s="67" t="n">
        <v>0.04</v>
      </c>
      <c r="Q190" s="67" t="n">
        <v>0.03</v>
      </c>
      <c r="R190" s="67" t="n">
        <v>0.01</v>
      </c>
      <c r="S190" s="67" t="n">
        <v>0.01</v>
      </c>
      <c r="T190" s="67" t="n"/>
      <c r="U190" s="656" t="n"/>
      <c r="V190" s="67" t="inlineStr">
        <is>
          <t>/</t>
        </is>
      </c>
      <c r="W190" s="128" t="n">
        <v>0.4</v>
      </c>
      <c r="X190" s="67" t="inlineStr">
        <is>
          <t>/</t>
        </is>
      </c>
      <c r="Y190" s="397" t="inlineStr">
        <is>
          <t>/</t>
        </is>
      </c>
      <c r="Z190" s="397" t="inlineStr">
        <is>
          <t>/</t>
        </is>
      </c>
      <c r="AA190" s="397" t="inlineStr">
        <is>
          <t>/</t>
        </is>
      </c>
      <c r="AB190" s="46" t="inlineStr">
        <is>
          <t>/</t>
        </is>
      </c>
      <c r="AC190" s="46" t="inlineStr">
        <is>
          <t>/</t>
        </is>
      </c>
      <c r="AD190" s="69" t="inlineStr">
        <is>
          <t>1、甲方捐赠：项目反馈不收取，包含在服务费中；</t>
        </is>
      </c>
      <c r="AE190" s="25" t="inlineStr">
        <is>
          <t>1、签订期间：2026.3-7月；
2、指标按照全年换算；</t>
        </is>
      </c>
      <c r="AF190"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1" ht="96" customFormat="1" customHeight="1" s="209">
      <c r="A191" s="219" t="n">
        <v>189</v>
      </c>
      <c r="B191" s="14" t="inlineStr">
        <is>
          <t>KQCY0183</t>
        </is>
      </c>
      <c r="C191" s="221" t="inlineStr">
        <is>
          <t>餐饮三分部</t>
        </is>
      </c>
      <c r="D191" s="221" t="inlineStr">
        <is>
          <t>CF780</t>
        </is>
      </c>
      <c r="E191" s="221" t="inlineStr">
        <is>
          <t>吉建大二食堂</t>
        </is>
      </c>
      <c r="F191" s="445" t="inlineStr">
        <is>
          <t>分组作业</t>
        </is>
      </c>
      <c r="G191" s="447" t="inlineStr">
        <is>
          <t>吉沐牛</t>
        </is>
      </c>
      <c r="H191" s="503" t="inlineStr">
        <is>
          <t>/</t>
        </is>
      </c>
      <c r="I191" s="237" t="inlineStr">
        <is>
          <t>昆吉双拼饭</t>
        </is>
      </c>
      <c r="J191" s="222" t="inlineStr">
        <is>
          <t>郑金娟</t>
        </is>
      </c>
      <c r="K191" s="224" t="inlineStr">
        <is>
          <t>/</t>
        </is>
      </c>
      <c r="L191" s="651" t="n">
        <v>960000</v>
      </c>
      <c r="M191" s="77" t="n">
        <v>0.1</v>
      </c>
      <c r="N191" s="77" t="n">
        <v>0.01</v>
      </c>
      <c r="O191" s="77" t="inlineStr">
        <is>
          <t>/</t>
        </is>
      </c>
      <c r="P191" s="77" t="n">
        <v>0.04</v>
      </c>
      <c r="Q191" s="77" t="n">
        <v>0.03</v>
      </c>
      <c r="R191" s="77" t="n">
        <v>0.01</v>
      </c>
      <c r="S191" s="77" t="n">
        <v>0.01</v>
      </c>
      <c r="T191" s="77" t="n"/>
      <c r="U191" s="573" t="n"/>
      <c r="V191" s="77" t="inlineStr">
        <is>
          <t>/</t>
        </is>
      </c>
      <c r="W191" s="131" t="n">
        <v>0.4</v>
      </c>
      <c r="X191" s="77" t="inlineStr">
        <is>
          <t>/</t>
        </is>
      </c>
      <c r="Y191" s="72" t="inlineStr">
        <is>
          <t>/</t>
        </is>
      </c>
      <c r="Z191" s="72" t="inlineStr">
        <is>
          <t>/</t>
        </is>
      </c>
      <c r="AA191" s="72" t="inlineStr">
        <is>
          <t>/</t>
        </is>
      </c>
      <c r="AB191" s="46" t="inlineStr">
        <is>
          <t>/</t>
        </is>
      </c>
      <c r="AC191" s="46" t="inlineStr">
        <is>
          <t>/</t>
        </is>
      </c>
      <c r="AD191" s="82" t="inlineStr">
        <is>
          <t>1、甲方捐赠：项目反馈不收取，包含在服务费中；</t>
        </is>
      </c>
      <c r="AE191" s="25" t="inlineStr">
        <is>
          <t>1、签订期间：2026.3-7月；
2、指标按照全年换算；</t>
        </is>
      </c>
      <c r="AF191"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2" ht="96" customFormat="1" customHeight="1" s="209">
      <c r="A192" s="219" t="n">
        <v>190</v>
      </c>
      <c r="B192" s="14" t="inlineStr">
        <is>
          <t>KQCY0184</t>
        </is>
      </c>
      <c r="C192" s="221" t="inlineStr">
        <is>
          <t>餐饮三分部</t>
        </is>
      </c>
      <c r="D192" s="221" t="inlineStr">
        <is>
          <t>CF780</t>
        </is>
      </c>
      <c r="E192" s="536" t="inlineStr">
        <is>
          <t>吉建大二食堂</t>
        </is>
      </c>
      <c r="F192" s="485" t="inlineStr">
        <is>
          <t>分组作业</t>
        </is>
      </c>
      <c r="G192" s="134" t="inlineStr">
        <is>
          <t>吉沐牛</t>
        </is>
      </c>
      <c r="H192" s="503" t="inlineStr">
        <is>
          <t>/</t>
        </is>
      </c>
      <c r="I192" s="135" t="inlineStr">
        <is>
          <t>杭州小笼包</t>
        </is>
      </c>
      <c r="J192" s="136" t="inlineStr">
        <is>
          <t>李红岷</t>
        </is>
      </c>
      <c r="K192" s="224" t="inlineStr">
        <is>
          <t>/</t>
        </is>
      </c>
      <c r="L192" s="651" t="n">
        <v>1032000</v>
      </c>
      <c r="M192" s="77" t="n">
        <v>0.1</v>
      </c>
      <c r="N192" s="77" t="n">
        <v>0.01</v>
      </c>
      <c r="O192" s="77" t="inlineStr">
        <is>
          <t>/</t>
        </is>
      </c>
      <c r="P192" s="77" t="n">
        <v>0.04</v>
      </c>
      <c r="Q192" s="77" t="n">
        <v>0.03</v>
      </c>
      <c r="R192" s="77" t="n">
        <v>0.01</v>
      </c>
      <c r="S192" s="77" t="n">
        <v>0.01</v>
      </c>
      <c r="T192" s="77" t="n"/>
      <c r="U192" s="573" t="n"/>
      <c r="V192" s="77" t="inlineStr">
        <is>
          <t>/</t>
        </is>
      </c>
      <c r="W192" s="131" t="n">
        <v>0.4</v>
      </c>
      <c r="X192" s="77" t="inlineStr">
        <is>
          <t>/</t>
        </is>
      </c>
      <c r="Y192" s="72" t="inlineStr">
        <is>
          <t>/</t>
        </is>
      </c>
      <c r="Z192" s="72" t="inlineStr">
        <is>
          <t>/</t>
        </is>
      </c>
      <c r="AA192" s="72" t="inlineStr">
        <is>
          <t>/</t>
        </is>
      </c>
      <c r="AB192" s="46" t="inlineStr">
        <is>
          <t>/</t>
        </is>
      </c>
      <c r="AC192" s="46" t="inlineStr">
        <is>
          <t>/</t>
        </is>
      </c>
      <c r="AD192" s="82" t="inlineStr">
        <is>
          <t>1、甲方捐赠：项目反馈不收取，包含在服务费中；</t>
        </is>
      </c>
      <c r="AE192" s="25" t="inlineStr">
        <is>
          <t>1、签订期间：2026.3-7月；
2、指标按照全年换算；</t>
        </is>
      </c>
      <c r="AF192"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3" ht="96" customFormat="1" customHeight="1" s="209">
      <c r="A193" s="219" t="n">
        <v>191</v>
      </c>
      <c r="B193" s="14" t="inlineStr">
        <is>
          <t>KQCY0185</t>
        </is>
      </c>
      <c r="C193" s="221" t="inlineStr">
        <is>
          <t>餐饮三分部</t>
        </is>
      </c>
      <c r="D193" s="221" t="inlineStr">
        <is>
          <t>CF780</t>
        </is>
      </c>
      <c r="E193" s="536" t="inlineStr">
        <is>
          <t>吉建大二食堂</t>
        </is>
      </c>
      <c r="F193" s="485" t="inlineStr">
        <is>
          <t>分组作业</t>
        </is>
      </c>
      <c r="G193" s="134" t="inlineStr">
        <is>
          <t>吉沐牛</t>
        </is>
      </c>
      <c r="H193" s="503" t="inlineStr">
        <is>
          <t>/</t>
        </is>
      </c>
      <c r="I193" s="135" t="inlineStr">
        <is>
          <t>辣椒炒肉</t>
        </is>
      </c>
      <c r="J193" s="136" t="inlineStr">
        <is>
          <t>马永波</t>
        </is>
      </c>
      <c r="K193" s="224" t="inlineStr">
        <is>
          <t>/</t>
        </is>
      </c>
      <c r="L193" s="651" t="n">
        <v>912000</v>
      </c>
      <c r="M193" s="77" t="n">
        <v>0.1</v>
      </c>
      <c r="N193" s="77" t="n">
        <v>0.01</v>
      </c>
      <c r="O193" s="77" t="inlineStr">
        <is>
          <t>/</t>
        </is>
      </c>
      <c r="P193" s="77" t="n">
        <v>0.04</v>
      </c>
      <c r="Q193" s="77" t="n">
        <v>0.03</v>
      </c>
      <c r="R193" s="77" t="n">
        <v>0.01</v>
      </c>
      <c r="S193" s="77" t="n">
        <v>0.01</v>
      </c>
      <c r="T193" s="77" t="n"/>
      <c r="U193" s="573" t="n"/>
      <c r="V193" s="77" t="inlineStr">
        <is>
          <t>/</t>
        </is>
      </c>
      <c r="W193" s="131" t="n">
        <v>0.4</v>
      </c>
      <c r="X193" s="77" t="inlineStr">
        <is>
          <t>/</t>
        </is>
      </c>
      <c r="Y193" s="72" t="inlineStr">
        <is>
          <t>/</t>
        </is>
      </c>
      <c r="Z193" s="72" t="inlineStr">
        <is>
          <t>/</t>
        </is>
      </c>
      <c r="AA193" s="72" t="inlineStr">
        <is>
          <t>/</t>
        </is>
      </c>
      <c r="AB193" s="46" t="inlineStr">
        <is>
          <t>/</t>
        </is>
      </c>
      <c r="AC193" s="46" t="inlineStr">
        <is>
          <t>/</t>
        </is>
      </c>
      <c r="AD193" s="82" t="inlineStr">
        <is>
          <t>1、甲方捐赠：项目反馈不收取，包含在服务费中；</t>
        </is>
      </c>
      <c r="AE193" s="25" t="inlineStr">
        <is>
          <t>1、签订期间：2026.3-7月；
2、指标按照全年换算；</t>
        </is>
      </c>
      <c r="AF193"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4" ht="96" customFormat="1" customHeight="1" s="209">
      <c r="A194" s="219" t="n">
        <v>192</v>
      </c>
      <c r="B194" s="14" t="inlineStr">
        <is>
          <t>KQCY0186</t>
        </is>
      </c>
      <c r="C194" s="221" t="inlineStr">
        <is>
          <t>餐饮三分部</t>
        </is>
      </c>
      <c r="D194" s="221" t="inlineStr">
        <is>
          <t>CF780</t>
        </is>
      </c>
      <c r="E194" s="536" t="inlineStr">
        <is>
          <t>吉建大二食堂</t>
        </is>
      </c>
      <c r="F194" s="485" t="inlineStr">
        <is>
          <t>分组作业</t>
        </is>
      </c>
      <c r="G194" s="134" t="inlineStr">
        <is>
          <t>吉沐牛</t>
        </is>
      </c>
      <c r="H194" s="503" t="inlineStr">
        <is>
          <t>/</t>
        </is>
      </c>
      <c r="I194" s="135" t="inlineStr">
        <is>
          <t>土豆粉</t>
        </is>
      </c>
      <c r="J194" s="136" t="inlineStr">
        <is>
          <t>郑丹丹</t>
        </is>
      </c>
      <c r="K194" s="224" t="inlineStr">
        <is>
          <t>/</t>
        </is>
      </c>
      <c r="L194" s="651" t="n">
        <v>792000</v>
      </c>
      <c r="M194" s="77" t="n">
        <v>0.1</v>
      </c>
      <c r="N194" s="77" t="n">
        <v>0.01</v>
      </c>
      <c r="O194" s="77" t="inlineStr">
        <is>
          <t>/</t>
        </is>
      </c>
      <c r="P194" s="77" t="n">
        <v>0.04</v>
      </c>
      <c r="Q194" s="77" t="n">
        <v>0.03</v>
      </c>
      <c r="R194" s="77" t="n">
        <v>0.01</v>
      </c>
      <c r="S194" s="77" t="n">
        <v>0.01</v>
      </c>
      <c r="T194" s="77" t="n"/>
      <c r="U194" s="573" t="n"/>
      <c r="V194" s="77" t="inlineStr">
        <is>
          <t>/</t>
        </is>
      </c>
      <c r="W194" s="131" t="n">
        <v>0.4</v>
      </c>
      <c r="X194" s="77" t="inlineStr">
        <is>
          <t>/</t>
        </is>
      </c>
      <c r="Y194" s="72" t="inlineStr">
        <is>
          <t>/</t>
        </is>
      </c>
      <c r="Z194" s="72" t="inlineStr">
        <is>
          <t>/</t>
        </is>
      </c>
      <c r="AA194" s="72" t="inlineStr">
        <is>
          <t>/</t>
        </is>
      </c>
      <c r="AB194" s="46" t="inlineStr">
        <is>
          <t>/</t>
        </is>
      </c>
      <c r="AC194" s="46" t="inlineStr">
        <is>
          <t>/</t>
        </is>
      </c>
      <c r="AD194" s="82" t="inlineStr">
        <is>
          <t>1、甲方捐赠：项目反馈不收取，包含在服务费中；</t>
        </is>
      </c>
      <c r="AE194" s="25" t="inlineStr">
        <is>
          <t>1、签订期间：2026.3-7月；
2、指标按照全年换算；</t>
        </is>
      </c>
      <c r="AF194"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5" ht="96" customFormat="1" customHeight="1" s="209">
      <c r="A195" s="219" t="n">
        <v>193</v>
      </c>
      <c r="B195" s="14" t="inlineStr">
        <is>
          <t>KQCY0187</t>
        </is>
      </c>
      <c r="C195" s="221" t="inlineStr">
        <is>
          <t>餐饮三分部</t>
        </is>
      </c>
      <c r="D195" s="221" t="inlineStr">
        <is>
          <t>CF780</t>
        </is>
      </c>
      <c r="E195" s="536" t="inlineStr">
        <is>
          <t>吉建大二食堂</t>
        </is>
      </c>
      <c r="F195" s="485" t="inlineStr">
        <is>
          <t>分组作业</t>
        </is>
      </c>
      <c r="G195" s="134" t="inlineStr">
        <is>
          <t>吉沐牛</t>
        </is>
      </c>
      <c r="H195" s="503" t="inlineStr">
        <is>
          <t>/</t>
        </is>
      </c>
      <c r="I195" s="135" t="inlineStr">
        <is>
          <t>一纸鸡</t>
        </is>
      </c>
      <c r="J195" s="136" t="inlineStr">
        <is>
          <t>徐玉珍</t>
        </is>
      </c>
      <c r="K195" s="224" t="inlineStr">
        <is>
          <t>/</t>
        </is>
      </c>
      <c r="L195" s="651" t="n">
        <v>840000</v>
      </c>
      <c r="M195" s="77" t="n">
        <v>0.1</v>
      </c>
      <c r="N195" s="77" t="n">
        <v>0.01</v>
      </c>
      <c r="O195" s="77" t="inlineStr">
        <is>
          <t>/</t>
        </is>
      </c>
      <c r="P195" s="77" t="n">
        <v>0.04</v>
      </c>
      <c r="Q195" s="77" t="n">
        <v>0.03</v>
      </c>
      <c r="R195" s="77" t="n">
        <v>0.01</v>
      </c>
      <c r="S195" s="77" t="n">
        <v>0.01</v>
      </c>
      <c r="T195" s="77" t="n"/>
      <c r="U195" s="573" t="n"/>
      <c r="V195" s="77" t="inlineStr">
        <is>
          <t>/</t>
        </is>
      </c>
      <c r="W195" s="131" t="n">
        <v>0.4</v>
      </c>
      <c r="X195" s="77" t="inlineStr">
        <is>
          <t>/</t>
        </is>
      </c>
      <c r="Y195" s="72" t="inlineStr">
        <is>
          <t>/</t>
        </is>
      </c>
      <c r="Z195" s="72" t="inlineStr">
        <is>
          <t>/</t>
        </is>
      </c>
      <c r="AA195" s="72" t="inlineStr">
        <is>
          <t>/</t>
        </is>
      </c>
      <c r="AB195" s="46" t="inlineStr">
        <is>
          <t>/</t>
        </is>
      </c>
      <c r="AC195" s="46" t="inlineStr">
        <is>
          <t>/</t>
        </is>
      </c>
      <c r="AD195" s="82" t="inlineStr">
        <is>
          <t>1、甲方捐赠：项目反馈不收取，包含在服务费中；</t>
        </is>
      </c>
      <c r="AE195" s="25" t="inlineStr">
        <is>
          <t>1、签订期间：2026.3-7月；
2、指标按照全年换算；</t>
        </is>
      </c>
      <c r="AF195"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6" ht="96" customFormat="1" customHeight="1" s="209">
      <c r="A196" s="219" t="n">
        <v>194</v>
      </c>
      <c r="B196" s="14" t="inlineStr">
        <is>
          <t>KQCY0188</t>
        </is>
      </c>
      <c r="C196" s="221" t="inlineStr">
        <is>
          <t>餐饮三分部</t>
        </is>
      </c>
      <c r="D196" s="221" t="inlineStr">
        <is>
          <t>CF780</t>
        </is>
      </c>
      <c r="E196" s="536" t="inlineStr">
        <is>
          <t>吉建大二食堂</t>
        </is>
      </c>
      <c r="F196" s="485" t="inlineStr">
        <is>
          <t>分组作业</t>
        </is>
      </c>
      <c r="G196" s="134" t="inlineStr">
        <is>
          <t>吉沐牛</t>
        </is>
      </c>
      <c r="H196" s="503" t="inlineStr">
        <is>
          <t>/</t>
        </is>
      </c>
      <c r="I196" s="135" t="inlineStr">
        <is>
          <t>现炒浇头面</t>
        </is>
      </c>
      <c r="J196" s="136" t="inlineStr">
        <is>
          <t>尹士元</t>
        </is>
      </c>
      <c r="K196" s="224" t="inlineStr">
        <is>
          <t>/</t>
        </is>
      </c>
      <c r="L196" s="651" t="n">
        <v>912000</v>
      </c>
      <c r="M196" s="77" t="n">
        <v>0.1</v>
      </c>
      <c r="N196" s="77" t="n">
        <v>0.01</v>
      </c>
      <c r="O196" s="77" t="inlineStr">
        <is>
          <t>/</t>
        </is>
      </c>
      <c r="P196" s="77" t="n">
        <v>0.04</v>
      </c>
      <c r="Q196" s="77" t="n">
        <v>0.03</v>
      </c>
      <c r="R196" s="77" t="n">
        <v>0.01</v>
      </c>
      <c r="S196" s="77" t="n">
        <v>0.01</v>
      </c>
      <c r="T196" s="77" t="n"/>
      <c r="U196" s="573" t="n"/>
      <c r="V196" s="77" t="inlineStr">
        <is>
          <t>/</t>
        </is>
      </c>
      <c r="W196" s="131" t="n">
        <v>0.4</v>
      </c>
      <c r="X196" s="77" t="inlineStr">
        <is>
          <t>/</t>
        </is>
      </c>
      <c r="Y196" s="72" t="inlineStr">
        <is>
          <t>/</t>
        </is>
      </c>
      <c r="Z196" s="72" t="inlineStr">
        <is>
          <t>/</t>
        </is>
      </c>
      <c r="AA196" s="72" t="inlineStr">
        <is>
          <t>/</t>
        </is>
      </c>
      <c r="AB196" s="46" t="inlineStr">
        <is>
          <t>/</t>
        </is>
      </c>
      <c r="AC196" s="46" t="inlineStr">
        <is>
          <t>/</t>
        </is>
      </c>
      <c r="AD196" s="82" t="inlineStr">
        <is>
          <t>1、甲方捐赠：项目反馈不收取，包含在服务费中；</t>
        </is>
      </c>
      <c r="AE196" s="25" t="inlineStr">
        <is>
          <t>1、签订期间：2026.3-7月；
2、指标按照全年换算；</t>
        </is>
      </c>
      <c r="AF196"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7" ht="96" customFormat="1" customHeight="1" s="209">
      <c r="A197" s="219" t="n">
        <v>195</v>
      </c>
      <c r="B197" s="14" t="inlineStr">
        <is>
          <t>KQCY0189</t>
        </is>
      </c>
      <c r="C197" s="221" t="inlineStr">
        <is>
          <t>餐饮三分部</t>
        </is>
      </c>
      <c r="D197" s="221" t="inlineStr">
        <is>
          <t>CF780</t>
        </is>
      </c>
      <c r="E197" s="536" t="inlineStr">
        <is>
          <t>吉建大二食堂</t>
        </is>
      </c>
      <c r="F197" s="485" t="inlineStr">
        <is>
          <t>分组作业</t>
        </is>
      </c>
      <c r="G197" s="134" t="inlineStr">
        <is>
          <t>吉沐牛</t>
        </is>
      </c>
      <c r="H197" s="503" t="inlineStr">
        <is>
          <t>/</t>
        </is>
      </c>
      <c r="I197" s="135" t="inlineStr">
        <is>
          <t>炒饭专家</t>
        </is>
      </c>
      <c r="J197" s="136" t="inlineStr">
        <is>
          <t>贡海涛</t>
        </is>
      </c>
      <c r="K197" s="224" t="inlineStr">
        <is>
          <t>/</t>
        </is>
      </c>
      <c r="L197" s="651" t="n">
        <v>1020000</v>
      </c>
      <c r="M197" s="77" t="n">
        <v>0.1</v>
      </c>
      <c r="N197" s="77" t="n">
        <v>0.01</v>
      </c>
      <c r="O197" s="77" t="inlineStr">
        <is>
          <t>/</t>
        </is>
      </c>
      <c r="P197" s="77" t="n">
        <v>0.04</v>
      </c>
      <c r="Q197" s="77" t="n">
        <v>0.03</v>
      </c>
      <c r="R197" s="77" t="n">
        <v>0.01</v>
      </c>
      <c r="S197" s="77" t="n">
        <v>0.01</v>
      </c>
      <c r="T197" s="77" t="n"/>
      <c r="U197" s="573" t="n"/>
      <c r="V197" s="77" t="inlineStr">
        <is>
          <t>/</t>
        </is>
      </c>
      <c r="W197" s="131" t="n">
        <v>0.4</v>
      </c>
      <c r="X197" s="77" t="inlineStr">
        <is>
          <t>/</t>
        </is>
      </c>
      <c r="Y197" s="72" t="inlineStr">
        <is>
          <t>/</t>
        </is>
      </c>
      <c r="Z197" s="72" t="inlineStr">
        <is>
          <t>/</t>
        </is>
      </c>
      <c r="AA197" s="72" t="inlineStr">
        <is>
          <t>/</t>
        </is>
      </c>
      <c r="AB197" s="46" t="inlineStr">
        <is>
          <t>/</t>
        </is>
      </c>
      <c r="AC197" s="46" t="inlineStr">
        <is>
          <t>/</t>
        </is>
      </c>
      <c r="AD197" s="82" t="inlineStr">
        <is>
          <t>1、甲方捐赠：项目反馈不收取，包含在服务费中；</t>
        </is>
      </c>
      <c r="AE197" s="25" t="inlineStr">
        <is>
          <t>1、签订期间：2026.3-7月；
2、指标按照全年换算；</t>
        </is>
      </c>
      <c r="AF197"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8" ht="96" customFormat="1" customHeight="1" s="209">
      <c r="A198" s="219" t="n">
        <v>196</v>
      </c>
      <c r="B198" s="14" t="inlineStr">
        <is>
          <t>KQCY0190</t>
        </is>
      </c>
      <c r="C198" s="221" t="inlineStr">
        <is>
          <t>餐饮三分部</t>
        </is>
      </c>
      <c r="D198" s="221" t="inlineStr">
        <is>
          <t>CF780</t>
        </is>
      </c>
      <c r="E198" s="536" t="inlineStr">
        <is>
          <t>吉建大二食堂</t>
        </is>
      </c>
      <c r="F198" s="485" t="inlineStr">
        <is>
          <t>分组作业</t>
        </is>
      </c>
      <c r="G198" s="134" t="inlineStr">
        <is>
          <t>吉沐牛</t>
        </is>
      </c>
      <c r="H198" s="503" t="inlineStr">
        <is>
          <t>/</t>
        </is>
      </c>
      <c r="I198" s="135" t="inlineStr">
        <is>
          <t>瓦香鸡</t>
        </is>
      </c>
      <c r="J198" s="136" t="inlineStr">
        <is>
          <t>马永波</t>
        </is>
      </c>
      <c r="K198" s="224" t="inlineStr">
        <is>
          <t>/</t>
        </is>
      </c>
      <c r="L198" s="651" t="n">
        <v>736800</v>
      </c>
      <c r="M198" s="77" t="n">
        <v>0.1</v>
      </c>
      <c r="N198" s="77" t="n">
        <v>0.01</v>
      </c>
      <c r="O198" s="77" t="inlineStr">
        <is>
          <t>/</t>
        </is>
      </c>
      <c r="P198" s="77" t="n">
        <v>0.04</v>
      </c>
      <c r="Q198" s="77" t="n">
        <v>0.03</v>
      </c>
      <c r="R198" s="77" t="n">
        <v>0.01</v>
      </c>
      <c r="S198" s="77" t="n">
        <v>0.01</v>
      </c>
      <c r="T198" s="77" t="n"/>
      <c r="U198" s="573" t="n"/>
      <c r="V198" s="77" t="inlineStr">
        <is>
          <t>/</t>
        </is>
      </c>
      <c r="W198" s="131" t="n">
        <v>0.4</v>
      </c>
      <c r="X198" s="77" t="inlineStr">
        <is>
          <t>/</t>
        </is>
      </c>
      <c r="Y198" s="72" t="inlineStr">
        <is>
          <t>/</t>
        </is>
      </c>
      <c r="Z198" s="72" t="inlineStr">
        <is>
          <t>/</t>
        </is>
      </c>
      <c r="AA198" s="72" t="inlineStr">
        <is>
          <t>/</t>
        </is>
      </c>
      <c r="AB198" s="46" t="inlineStr">
        <is>
          <t>/</t>
        </is>
      </c>
      <c r="AC198" s="46" t="inlineStr">
        <is>
          <t>/</t>
        </is>
      </c>
      <c r="AD198" s="82" t="inlineStr">
        <is>
          <t>1、甲方捐赠：项目反馈不收取，包含在服务费中；</t>
        </is>
      </c>
      <c r="AE198" s="25" t="inlineStr">
        <is>
          <t>1、签订期间：2026.3-7月；
2、指标按照全年换算；</t>
        </is>
      </c>
      <c r="AF198"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9" ht="96" customFormat="1" customHeight="1" s="209">
      <c r="A199" s="219" t="n">
        <v>197</v>
      </c>
      <c r="B199" s="14" t="inlineStr">
        <is>
          <t>KQCY0191</t>
        </is>
      </c>
      <c r="C199" s="221" t="inlineStr">
        <is>
          <t>餐饮三分部</t>
        </is>
      </c>
      <c r="D199" s="221" t="inlineStr">
        <is>
          <t>CF780</t>
        </is>
      </c>
      <c r="E199" s="536" t="inlineStr">
        <is>
          <t>吉建大二食堂</t>
        </is>
      </c>
      <c r="F199" s="485" t="inlineStr">
        <is>
          <t>分组作业</t>
        </is>
      </c>
      <c r="G199" s="134" t="inlineStr">
        <is>
          <t>吉沐牛</t>
        </is>
      </c>
      <c r="H199" s="503" t="inlineStr">
        <is>
          <t>/</t>
        </is>
      </c>
      <c r="I199" s="135" t="inlineStr">
        <is>
          <t>热干面</t>
        </is>
      </c>
      <c r="J199" s="136" t="inlineStr">
        <is>
          <t>徐成龙</t>
        </is>
      </c>
      <c r="K199" s="224" t="inlineStr">
        <is>
          <t>/</t>
        </is>
      </c>
      <c r="L199" s="651" t="n">
        <v>948000</v>
      </c>
      <c r="M199" s="77" t="n">
        <v>0.1</v>
      </c>
      <c r="N199" s="77" t="n">
        <v>0.01</v>
      </c>
      <c r="O199" s="77" t="inlineStr">
        <is>
          <t>/</t>
        </is>
      </c>
      <c r="P199" s="77" t="n">
        <v>0.04</v>
      </c>
      <c r="Q199" s="77" t="n">
        <v>0.03</v>
      </c>
      <c r="R199" s="77" t="n">
        <v>0.01</v>
      </c>
      <c r="S199" s="77" t="n">
        <v>0.01</v>
      </c>
      <c r="T199" s="77" t="n"/>
      <c r="U199" s="573" t="n"/>
      <c r="V199" s="77" t="inlineStr">
        <is>
          <t>/</t>
        </is>
      </c>
      <c r="W199" s="131" t="n">
        <v>0.4</v>
      </c>
      <c r="X199" s="77" t="inlineStr">
        <is>
          <t>/</t>
        </is>
      </c>
      <c r="Y199" s="72" t="inlineStr">
        <is>
          <t>/</t>
        </is>
      </c>
      <c r="Z199" s="72" t="inlineStr">
        <is>
          <t>/</t>
        </is>
      </c>
      <c r="AA199" s="72" t="inlineStr">
        <is>
          <t>/</t>
        </is>
      </c>
      <c r="AB199" s="46" t="inlineStr">
        <is>
          <t>/</t>
        </is>
      </c>
      <c r="AC199" s="46" t="inlineStr">
        <is>
          <t>/</t>
        </is>
      </c>
      <c r="AD199" s="82" t="inlineStr">
        <is>
          <t>1、甲方捐赠：项目反馈不收取，包含在服务费中；</t>
        </is>
      </c>
      <c r="AE199" s="25" t="inlineStr">
        <is>
          <t>1、签订期间：2026.3-7月；
2、指标按照全年换算；</t>
        </is>
      </c>
      <c r="AF199"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0" ht="96" customFormat="1" customHeight="1" s="209">
      <c r="A200" s="219" t="n">
        <v>198</v>
      </c>
      <c r="B200" s="14" t="inlineStr">
        <is>
          <t>KQCY0192</t>
        </is>
      </c>
      <c r="C200" s="221" t="inlineStr">
        <is>
          <t>餐饮三分部</t>
        </is>
      </c>
      <c r="D200" s="221" t="inlineStr">
        <is>
          <t>CF780</t>
        </is>
      </c>
      <c r="E200" s="536" t="inlineStr">
        <is>
          <t>吉建大二食堂</t>
        </is>
      </c>
      <c r="F200" s="485" t="inlineStr">
        <is>
          <t>分组作业</t>
        </is>
      </c>
      <c r="G200" s="134" t="inlineStr">
        <is>
          <t>吉沐牛</t>
        </is>
      </c>
      <c r="H200" s="503" t="inlineStr">
        <is>
          <t>/</t>
        </is>
      </c>
      <c r="I200" s="135" t="inlineStr">
        <is>
          <t>喜翻拌麻辣拌</t>
        </is>
      </c>
      <c r="J200" s="136" t="inlineStr">
        <is>
          <t>兰国强</t>
        </is>
      </c>
      <c r="K200" s="224" t="inlineStr">
        <is>
          <t>/</t>
        </is>
      </c>
      <c r="L200" s="651" t="n">
        <v>1464000</v>
      </c>
      <c r="M200" s="77" t="n">
        <v>0.1</v>
      </c>
      <c r="N200" s="77" t="n">
        <v>0.01</v>
      </c>
      <c r="O200" s="77" t="inlineStr">
        <is>
          <t>/</t>
        </is>
      </c>
      <c r="P200" s="77" t="n">
        <v>0.04</v>
      </c>
      <c r="Q200" s="77" t="n">
        <v>0.03</v>
      </c>
      <c r="R200" s="77" t="n">
        <v>0.01</v>
      </c>
      <c r="S200" s="77" t="n">
        <v>0.01</v>
      </c>
      <c r="T200" s="77" t="n"/>
      <c r="U200" s="573" t="n"/>
      <c r="V200" s="77" t="inlineStr">
        <is>
          <t>/</t>
        </is>
      </c>
      <c r="W200" s="131" t="n">
        <v>0.4</v>
      </c>
      <c r="X200" s="77" t="inlineStr">
        <is>
          <t>/</t>
        </is>
      </c>
      <c r="Y200" s="72" t="inlineStr">
        <is>
          <t>/</t>
        </is>
      </c>
      <c r="Z200" s="72" t="inlineStr">
        <is>
          <t>/</t>
        </is>
      </c>
      <c r="AA200" s="72" t="inlineStr">
        <is>
          <t>/</t>
        </is>
      </c>
      <c r="AB200" s="46" t="inlineStr">
        <is>
          <t>/</t>
        </is>
      </c>
      <c r="AC200" s="46" t="inlineStr">
        <is>
          <t>/</t>
        </is>
      </c>
      <c r="AD200" s="82" t="inlineStr">
        <is>
          <t>1、甲方捐赠：项目反馈不收取，包含在服务费中；</t>
        </is>
      </c>
      <c r="AE200" s="25" t="inlineStr">
        <is>
          <t>1、签订期间：2026.3-7月；
2、指标按照全年换算；</t>
        </is>
      </c>
      <c r="AF200"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1" ht="96" customFormat="1" customHeight="1" s="209">
      <c r="A201" s="219" t="n">
        <v>199</v>
      </c>
      <c r="B201" s="14" t="inlineStr">
        <is>
          <t>KQCY0193</t>
        </is>
      </c>
      <c r="C201" s="221" t="inlineStr">
        <is>
          <t>餐饮三分部</t>
        </is>
      </c>
      <c r="D201" s="221" t="inlineStr">
        <is>
          <t>CF780</t>
        </is>
      </c>
      <c r="E201" s="536" t="inlineStr">
        <is>
          <t>吉建大二食堂</t>
        </is>
      </c>
      <c r="F201" s="485" t="inlineStr">
        <is>
          <t>分组作业</t>
        </is>
      </c>
      <c r="G201" s="134" t="inlineStr">
        <is>
          <t>吉沐牛</t>
        </is>
      </c>
      <c r="H201" s="503" t="inlineStr">
        <is>
          <t>/</t>
        </is>
      </c>
      <c r="I201" s="135" t="inlineStr">
        <is>
          <t>檬大咖</t>
        </is>
      </c>
      <c r="J201" s="136" t="inlineStr">
        <is>
          <t>于广东</t>
        </is>
      </c>
      <c r="K201" s="224" t="inlineStr">
        <is>
          <t>/</t>
        </is>
      </c>
      <c r="L201" s="651" t="n">
        <v>465600</v>
      </c>
      <c r="M201" s="77" t="n">
        <v>0.1</v>
      </c>
      <c r="N201" s="77" t="n">
        <v>0.01</v>
      </c>
      <c r="O201" s="77" t="inlineStr">
        <is>
          <t>/</t>
        </is>
      </c>
      <c r="P201" s="77" t="n">
        <v>0.04</v>
      </c>
      <c r="Q201" s="77" t="n">
        <v>0.03</v>
      </c>
      <c r="R201" s="77" t="n">
        <v>0.01</v>
      </c>
      <c r="S201" s="77" t="n">
        <v>0.01</v>
      </c>
      <c r="T201" s="77" t="n"/>
      <c r="U201" s="573" t="n"/>
      <c r="V201" s="77" t="inlineStr">
        <is>
          <t>/</t>
        </is>
      </c>
      <c r="W201" s="131" t="n">
        <v>0.4</v>
      </c>
      <c r="X201" s="77" t="inlineStr">
        <is>
          <t>/</t>
        </is>
      </c>
      <c r="Y201" s="72" t="inlineStr">
        <is>
          <t>/</t>
        </is>
      </c>
      <c r="Z201" s="72" t="inlineStr">
        <is>
          <t>/</t>
        </is>
      </c>
      <c r="AA201" s="72" t="inlineStr">
        <is>
          <t>/</t>
        </is>
      </c>
      <c r="AB201" s="46" t="inlineStr">
        <is>
          <t>/</t>
        </is>
      </c>
      <c r="AC201" s="46" t="inlineStr">
        <is>
          <t>/</t>
        </is>
      </c>
      <c r="AD201" s="82" t="inlineStr">
        <is>
          <t>1、甲方捐赠：项目反馈不收取，包含在服务费中；</t>
        </is>
      </c>
      <c r="AE201" s="25" t="inlineStr">
        <is>
          <t>1、签订期间：2026.3-7月；
2、指标按照全年换算；</t>
        </is>
      </c>
      <c r="AF201"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2" ht="96" customFormat="1" customHeight="1" s="209">
      <c r="A202" s="219" t="n">
        <v>200</v>
      </c>
      <c r="B202" s="14" t="inlineStr">
        <is>
          <t>KQCY0194</t>
        </is>
      </c>
      <c r="C202" s="221" t="inlineStr">
        <is>
          <t>餐饮三分部</t>
        </is>
      </c>
      <c r="D202" s="221" t="inlineStr">
        <is>
          <t>CF780</t>
        </is>
      </c>
      <c r="E202" s="536" t="inlineStr">
        <is>
          <t>吉建大二食堂</t>
        </is>
      </c>
      <c r="F202" s="485" t="inlineStr">
        <is>
          <t>分组作业</t>
        </is>
      </c>
      <c r="G202" s="134" t="inlineStr">
        <is>
          <t>吉沐牛</t>
        </is>
      </c>
      <c r="H202" s="503" t="inlineStr">
        <is>
          <t>/</t>
        </is>
      </c>
      <c r="I202" s="135" t="inlineStr">
        <is>
          <t>蜀道吉水煮肉</t>
        </is>
      </c>
      <c r="J202" s="136" t="inlineStr">
        <is>
          <t>刘旭东</t>
        </is>
      </c>
      <c r="K202" s="224" t="inlineStr">
        <is>
          <t>/</t>
        </is>
      </c>
      <c r="L202" s="651" t="n">
        <v>686400</v>
      </c>
      <c r="M202" s="77" t="n">
        <v>0.1</v>
      </c>
      <c r="N202" s="77" t="n">
        <v>0.01</v>
      </c>
      <c r="O202" s="77" t="inlineStr">
        <is>
          <t>/</t>
        </is>
      </c>
      <c r="P202" s="77" t="n">
        <v>0.04</v>
      </c>
      <c r="Q202" s="77" t="n">
        <v>0.03</v>
      </c>
      <c r="R202" s="77" t="n">
        <v>0.01</v>
      </c>
      <c r="S202" s="77" t="n">
        <v>0.01</v>
      </c>
      <c r="T202" s="77" t="n"/>
      <c r="U202" s="573" t="n"/>
      <c r="V202" s="77" t="inlineStr">
        <is>
          <t>/</t>
        </is>
      </c>
      <c r="W202" s="131" t="n">
        <v>0.4</v>
      </c>
      <c r="X202" s="77" t="inlineStr">
        <is>
          <t>/</t>
        </is>
      </c>
      <c r="Y202" s="72" t="inlineStr">
        <is>
          <t>/</t>
        </is>
      </c>
      <c r="Z202" s="72" t="inlineStr">
        <is>
          <t>/</t>
        </is>
      </c>
      <c r="AA202" s="72" t="inlineStr">
        <is>
          <t>/</t>
        </is>
      </c>
      <c r="AB202" s="46" t="inlineStr">
        <is>
          <t>/</t>
        </is>
      </c>
      <c r="AC202" s="46" t="inlineStr">
        <is>
          <t>/</t>
        </is>
      </c>
      <c r="AD202" s="82" t="inlineStr">
        <is>
          <t>1、甲方捐赠：项目反馈不收取，包含在服务费中；</t>
        </is>
      </c>
      <c r="AE202" s="25" t="inlineStr">
        <is>
          <t>1、签订期间：2026.3-7月；
2、指标按照全年换算；</t>
        </is>
      </c>
      <c r="AF202"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3" ht="96" customFormat="1" customHeight="1" s="209">
      <c r="A203" s="219" t="n">
        <v>201</v>
      </c>
      <c r="B203" s="14" t="inlineStr">
        <is>
          <t>KQCY0195</t>
        </is>
      </c>
      <c r="C203" s="221" t="inlineStr">
        <is>
          <t>餐饮三分部</t>
        </is>
      </c>
      <c r="D203" s="221" t="inlineStr">
        <is>
          <t>CF780</t>
        </is>
      </c>
      <c r="E203" s="536" t="inlineStr">
        <is>
          <t>吉建大二食堂</t>
        </is>
      </c>
      <c r="F203" s="485" t="inlineStr">
        <is>
          <t>分组作业</t>
        </is>
      </c>
      <c r="G203" s="134" t="inlineStr">
        <is>
          <t>吉沐牛</t>
        </is>
      </c>
      <c r="H203" s="503" t="inlineStr">
        <is>
          <t>/</t>
        </is>
      </c>
      <c r="I203" s="135" t="inlineStr">
        <is>
          <t>拼好饭</t>
        </is>
      </c>
      <c r="J203" s="136" t="inlineStr">
        <is>
          <t>陈国利</t>
        </is>
      </c>
      <c r="K203" s="224" t="inlineStr">
        <is>
          <t>/</t>
        </is>
      </c>
      <c r="L203" s="651" t="n">
        <v>720000</v>
      </c>
      <c r="M203" s="77" t="n">
        <v>0.1</v>
      </c>
      <c r="N203" s="77" t="n">
        <v>0.01</v>
      </c>
      <c r="O203" s="77" t="inlineStr">
        <is>
          <t>/</t>
        </is>
      </c>
      <c r="P203" s="77" t="n">
        <v>0.04</v>
      </c>
      <c r="Q203" s="77" t="n">
        <v>0.03</v>
      </c>
      <c r="R203" s="77" t="n">
        <v>0.01</v>
      </c>
      <c r="S203" s="77" t="n">
        <v>0.01</v>
      </c>
      <c r="T203" s="77" t="n"/>
      <c r="U203" s="573" t="n"/>
      <c r="V203" s="77" t="inlineStr">
        <is>
          <t>/</t>
        </is>
      </c>
      <c r="W203" s="131" t="n">
        <v>0.4</v>
      </c>
      <c r="X203" s="77" t="inlineStr">
        <is>
          <t>/</t>
        </is>
      </c>
      <c r="Y203" s="72" t="inlineStr">
        <is>
          <t>/</t>
        </is>
      </c>
      <c r="Z203" s="72" t="inlineStr">
        <is>
          <t>/</t>
        </is>
      </c>
      <c r="AA203" s="72" t="inlineStr">
        <is>
          <t>/</t>
        </is>
      </c>
      <c r="AB203" s="46" t="inlineStr">
        <is>
          <t>/</t>
        </is>
      </c>
      <c r="AC203" s="46" t="inlineStr">
        <is>
          <t>/</t>
        </is>
      </c>
      <c r="AD203" s="82" t="inlineStr">
        <is>
          <t>1、甲方捐赠：项目反馈不收取，包含在服务费中；</t>
        </is>
      </c>
      <c r="AE203" s="25" t="inlineStr">
        <is>
          <t>1、签订期间：2026.3-7月；
2、指标按照全年换算；</t>
        </is>
      </c>
      <c r="AF203"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4" ht="96" customFormat="1" customHeight="1" s="209">
      <c r="A204" s="219" t="n">
        <v>202</v>
      </c>
      <c r="B204" s="14" t="inlineStr">
        <is>
          <t>KQCY0196</t>
        </is>
      </c>
      <c r="C204" s="221" t="inlineStr">
        <is>
          <t>餐饮三分部</t>
        </is>
      </c>
      <c r="D204" s="221" t="inlineStr">
        <is>
          <t>CF780</t>
        </is>
      </c>
      <c r="E204" s="536" t="inlineStr">
        <is>
          <t>吉建大二食堂</t>
        </is>
      </c>
      <c r="F204" s="485" t="inlineStr">
        <is>
          <t>分组作业</t>
        </is>
      </c>
      <c r="G204" s="134" t="inlineStr">
        <is>
          <t>吉沐牛</t>
        </is>
      </c>
      <c r="H204" s="503" t="inlineStr">
        <is>
          <t>/</t>
        </is>
      </c>
      <c r="I204" s="135" t="inlineStr">
        <is>
          <t>烤鸭饭</t>
        </is>
      </c>
      <c r="J204" s="136" t="inlineStr">
        <is>
          <t>付冬玲</t>
        </is>
      </c>
      <c r="K204" s="224" t="inlineStr">
        <is>
          <t>/</t>
        </is>
      </c>
      <c r="L204" s="651" t="n">
        <v>1128000</v>
      </c>
      <c r="M204" s="77" t="n">
        <v>0.1</v>
      </c>
      <c r="N204" s="77" t="n">
        <v>0.01</v>
      </c>
      <c r="O204" s="77" t="inlineStr">
        <is>
          <t>/</t>
        </is>
      </c>
      <c r="P204" s="77" t="n">
        <v>0.04</v>
      </c>
      <c r="Q204" s="77" t="n">
        <v>0.03</v>
      </c>
      <c r="R204" s="77" t="n">
        <v>0.01</v>
      </c>
      <c r="S204" s="77" t="n">
        <v>0.01</v>
      </c>
      <c r="T204" s="77" t="n"/>
      <c r="U204" s="573" t="n"/>
      <c r="V204" s="77" t="inlineStr">
        <is>
          <t>/</t>
        </is>
      </c>
      <c r="W204" s="131" t="n">
        <v>0.4</v>
      </c>
      <c r="X204" s="77" t="inlineStr">
        <is>
          <t>/</t>
        </is>
      </c>
      <c r="Y204" s="72" t="inlineStr">
        <is>
          <t>/</t>
        </is>
      </c>
      <c r="Z204" s="72" t="inlineStr">
        <is>
          <t>/</t>
        </is>
      </c>
      <c r="AA204" s="72" t="inlineStr">
        <is>
          <t>/</t>
        </is>
      </c>
      <c r="AB204" s="46" t="inlineStr">
        <is>
          <t>/</t>
        </is>
      </c>
      <c r="AC204" s="46" t="inlineStr">
        <is>
          <t>/</t>
        </is>
      </c>
      <c r="AD204" s="82" t="inlineStr">
        <is>
          <t>1、甲方捐赠：项目反馈不收取，包含在服务费中；</t>
        </is>
      </c>
      <c r="AE204" s="25" t="inlineStr">
        <is>
          <t>1、签订期间：2026.3-7月；
2、指标按照全年换算；</t>
        </is>
      </c>
      <c r="AF204"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5" ht="96" customFormat="1" customHeight="1" s="209">
      <c r="A205" s="219" t="n">
        <v>203</v>
      </c>
      <c r="B205" s="14" t="inlineStr">
        <is>
          <t>KQCY0197</t>
        </is>
      </c>
      <c r="C205" s="221" t="inlineStr">
        <is>
          <t>餐饮三分部</t>
        </is>
      </c>
      <c r="D205" s="221" t="inlineStr">
        <is>
          <t>CF780</t>
        </is>
      </c>
      <c r="E205" s="536" t="inlineStr">
        <is>
          <t>吉建大二食堂</t>
        </is>
      </c>
      <c r="F205" s="485" t="inlineStr">
        <is>
          <t>分组作业</t>
        </is>
      </c>
      <c r="G205" s="134" t="inlineStr">
        <is>
          <t>吉沐牛</t>
        </is>
      </c>
      <c r="H205" s="503" t="inlineStr">
        <is>
          <t>/</t>
        </is>
      </c>
      <c r="I205" s="135" t="inlineStr">
        <is>
          <t>海南鸡饭</t>
        </is>
      </c>
      <c r="J205" s="136" t="inlineStr">
        <is>
          <t>曲丽平</t>
        </is>
      </c>
      <c r="K205" s="224" t="inlineStr">
        <is>
          <t>/</t>
        </is>
      </c>
      <c r="L205" s="651" t="n">
        <v>2244000</v>
      </c>
      <c r="M205" s="77" t="n">
        <v>0.1</v>
      </c>
      <c r="N205" s="77" t="n">
        <v>0.01</v>
      </c>
      <c r="O205" s="77" t="inlineStr">
        <is>
          <t>/</t>
        </is>
      </c>
      <c r="P205" s="77" t="n">
        <v>0.04</v>
      </c>
      <c r="Q205" s="77" t="n">
        <v>0.03</v>
      </c>
      <c r="R205" s="77" t="n">
        <v>0.01</v>
      </c>
      <c r="S205" s="77" t="n">
        <v>0.01</v>
      </c>
      <c r="T205" s="77" t="n"/>
      <c r="U205" s="573" t="n"/>
      <c r="V205" s="77" t="inlineStr">
        <is>
          <t>/</t>
        </is>
      </c>
      <c r="W205" s="131" t="n">
        <v>0.4</v>
      </c>
      <c r="X205" s="77" t="inlineStr">
        <is>
          <t>/</t>
        </is>
      </c>
      <c r="Y205" s="72" t="inlineStr">
        <is>
          <t>/</t>
        </is>
      </c>
      <c r="Z205" s="72" t="inlineStr">
        <is>
          <t>/</t>
        </is>
      </c>
      <c r="AA205" s="72" t="inlineStr">
        <is>
          <t>/</t>
        </is>
      </c>
      <c r="AB205" s="46" t="inlineStr">
        <is>
          <t>/</t>
        </is>
      </c>
      <c r="AC205" s="46" t="inlineStr">
        <is>
          <t>/</t>
        </is>
      </c>
      <c r="AD205" s="82" t="inlineStr">
        <is>
          <t>1、甲方捐赠：项目反馈不收取，包含在服务费中；</t>
        </is>
      </c>
      <c r="AE205" s="25" t="inlineStr">
        <is>
          <t>1、签订期间：2026.3-7月；
2、指标按照全年换算；</t>
        </is>
      </c>
      <c r="AF205"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6" ht="96" customFormat="1" customHeight="1" s="209">
      <c r="A206" s="219" t="n">
        <v>204</v>
      </c>
      <c r="B206" s="14" t="inlineStr">
        <is>
          <t>KQCY0198</t>
        </is>
      </c>
      <c r="C206" s="221" t="inlineStr">
        <is>
          <t>餐饮三分部</t>
        </is>
      </c>
      <c r="D206" s="221" t="inlineStr">
        <is>
          <t>CF780</t>
        </is>
      </c>
      <c r="E206" s="536" t="inlineStr">
        <is>
          <t>吉建大二食堂</t>
        </is>
      </c>
      <c r="F206" s="485" t="inlineStr">
        <is>
          <t>分组作业</t>
        </is>
      </c>
      <c r="G206" s="134" t="inlineStr">
        <is>
          <t>吉沐牛</t>
        </is>
      </c>
      <c r="H206" s="503" t="inlineStr">
        <is>
          <t>/</t>
        </is>
      </c>
      <c r="I206" s="135" t="inlineStr">
        <is>
          <t>小街牛杂面</t>
        </is>
      </c>
      <c r="J206" s="136" t="inlineStr">
        <is>
          <t>郭铁军</t>
        </is>
      </c>
      <c r="K206" s="224" t="inlineStr">
        <is>
          <t>/</t>
        </is>
      </c>
      <c r="L206" s="651" t="n">
        <v>684000</v>
      </c>
      <c r="M206" s="77" t="n">
        <v>0.1</v>
      </c>
      <c r="N206" s="77" t="n">
        <v>0.01</v>
      </c>
      <c r="O206" s="77" t="inlineStr">
        <is>
          <t>/</t>
        </is>
      </c>
      <c r="P206" s="77" t="n">
        <v>0.04</v>
      </c>
      <c r="Q206" s="77" t="n">
        <v>0.03</v>
      </c>
      <c r="R206" s="77" t="n">
        <v>0.01</v>
      </c>
      <c r="S206" s="77" t="n">
        <v>0.01</v>
      </c>
      <c r="T206" s="77" t="n"/>
      <c r="U206" s="573" t="n"/>
      <c r="V206" s="77" t="inlineStr">
        <is>
          <t>/</t>
        </is>
      </c>
      <c r="W206" s="131" t="n">
        <v>0.4</v>
      </c>
      <c r="X206" s="77" t="inlineStr">
        <is>
          <t>/</t>
        </is>
      </c>
      <c r="Y206" s="72" t="inlineStr">
        <is>
          <t>/</t>
        </is>
      </c>
      <c r="Z206" s="72" t="inlineStr">
        <is>
          <t>/</t>
        </is>
      </c>
      <c r="AA206" s="72" t="inlineStr">
        <is>
          <t>/</t>
        </is>
      </c>
      <c r="AB206" s="46" t="inlineStr">
        <is>
          <t>/</t>
        </is>
      </c>
      <c r="AC206" s="46" t="inlineStr">
        <is>
          <t>/</t>
        </is>
      </c>
      <c r="AD206" s="82" t="inlineStr">
        <is>
          <t>1、甲方捐赠：项目反馈不收取，包含在服务费中；</t>
        </is>
      </c>
      <c r="AE206" s="25" t="inlineStr">
        <is>
          <t>1、签订期间：2026.3-7月；
2、指标按照全年换算；</t>
        </is>
      </c>
      <c r="AF206"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7" ht="96" customFormat="1" customHeight="1" s="209">
      <c r="A207" s="219" t="n">
        <v>205</v>
      </c>
      <c r="B207" s="14" t="inlineStr">
        <is>
          <t>KQCY0199</t>
        </is>
      </c>
      <c r="C207" s="221" t="inlineStr">
        <is>
          <t>餐饮三分部</t>
        </is>
      </c>
      <c r="D207" s="221" t="inlineStr">
        <is>
          <t>CF780</t>
        </is>
      </c>
      <c r="E207" s="536" t="inlineStr">
        <is>
          <t>吉建大二食堂</t>
        </is>
      </c>
      <c r="F207" s="485" t="inlineStr">
        <is>
          <t>分组作业</t>
        </is>
      </c>
      <c r="G207" s="134" t="inlineStr">
        <is>
          <t>吉沐牛</t>
        </is>
      </c>
      <c r="H207" s="503" t="inlineStr">
        <is>
          <t>/</t>
        </is>
      </c>
      <c r="I207" s="135" t="inlineStr">
        <is>
          <t>炙烤五花肉</t>
        </is>
      </c>
      <c r="J207" s="136" t="inlineStr">
        <is>
          <t>付炜</t>
        </is>
      </c>
      <c r="K207" s="224" t="inlineStr">
        <is>
          <t>/</t>
        </is>
      </c>
      <c r="L207" s="651" t="n">
        <v>816000</v>
      </c>
      <c r="M207" s="77" t="n">
        <v>0.1</v>
      </c>
      <c r="N207" s="77" t="n">
        <v>0.01</v>
      </c>
      <c r="O207" s="77" t="inlineStr">
        <is>
          <t>/</t>
        </is>
      </c>
      <c r="P207" s="77" t="n">
        <v>0.04</v>
      </c>
      <c r="Q207" s="77" t="n">
        <v>0.03</v>
      </c>
      <c r="R207" s="77" t="n">
        <v>0.01</v>
      </c>
      <c r="S207" s="77" t="n">
        <v>0.01</v>
      </c>
      <c r="T207" s="77" t="n"/>
      <c r="U207" s="573" t="n"/>
      <c r="V207" s="77" t="inlineStr">
        <is>
          <t>/</t>
        </is>
      </c>
      <c r="W207" s="131" t="n">
        <v>0.4</v>
      </c>
      <c r="X207" s="77" t="inlineStr">
        <is>
          <t>/</t>
        </is>
      </c>
      <c r="Y207" s="72" t="inlineStr">
        <is>
          <t>/</t>
        </is>
      </c>
      <c r="Z207" s="72" t="inlineStr">
        <is>
          <t>/</t>
        </is>
      </c>
      <c r="AA207" s="72" t="inlineStr">
        <is>
          <t>/</t>
        </is>
      </c>
      <c r="AB207" s="46" t="inlineStr">
        <is>
          <t>/</t>
        </is>
      </c>
      <c r="AC207" s="46" t="inlineStr">
        <is>
          <t>/</t>
        </is>
      </c>
      <c r="AD207" s="82" t="inlineStr">
        <is>
          <t>1、甲方捐赠：项目反馈不收取，包含在服务费中；</t>
        </is>
      </c>
      <c r="AE207" s="25" t="inlineStr">
        <is>
          <t>1、签订期间：2026.3-7月；
2、指标按照全年换算；</t>
        </is>
      </c>
      <c r="AF207"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8" ht="96" customFormat="1" customHeight="1" s="209">
      <c r="A208" s="219" t="n">
        <v>206</v>
      </c>
      <c r="B208" s="14" t="inlineStr">
        <is>
          <t>KQCY0200</t>
        </is>
      </c>
      <c r="C208" s="221" t="inlineStr">
        <is>
          <t>餐饮三分部</t>
        </is>
      </c>
      <c r="D208" s="221" t="inlineStr">
        <is>
          <t>CF780</t>
        </is>
      </c>
      <c r="E208" s="536" t="inlineStr">
        <is>
          <t>吉建大二食堂</t>
        </is>
      </c>
      <c r="F208" s="485" t="inlineStr">
        <is>
          <t>分组作业</t>
        </is>
      </c>
      <c r="G208" s="134" t="inlineStr">
        <is>
          <t>吉沐牛</t>
        </is>
      </c>
      <c r="H208" s="503" t="inlineStr">
        <is>
          <t>/</t>
        </is>
      </c>
      <c r="I208" s="135" t="inlineStr">
        <is>
          <t>猪脚饭</t>
        </is>
      </c>
      <c r="J208" s="136" t="inlineStr">
        <is>
          <t>陈超</t>
        </is>
      </c>
      <c r="K208" s="224" t="inlineStr">
        <is>
          <t>/</t>
        </is>
      </c>
      <c r="L208" s="651" t="n">
        <v>1015200</v>
      </c>
      <c r="M208" s="77" t="n">
        <v>0.1</v>
      </c>
      <c r="N208" s="77" t="n">
        <v>0.01</v>
      </c>
      <c r="O208" s="77" t="inlineStr">
        <is>
          <t>/</t>
        </is>
      </c>
      <c r="P208" s="77" t="n">
        <v>0.04</v>
      </c>
      <c r="Q208" s="77" t="n">
        <v>0.03</v>
      </c>
      <c r="R208" s="77" t="n">
        <v>0.01</v>
      </c>
      <c r="S208" s="77" t="n">
        <v>0.01</v>
      </c>
      <c r="T208" s="77" t="n"/>
      <c r="U208" s="573" t="n"/>
      <c r="V208" s="77" t="inlineStr">
        <is>
          <t>/</t>
        </is>
      </c>
      <c r="W208" s="131" t="n">
        <v>0.4</v>
      </c>
      <c r="X208" s="77" t="inlineStr">
        <is>
          <t>/</t>
        </is>
      </c>
      <c r="Y208" s="72" t="inlineStr">
        <is>
          <t>/</t>
        </is>
      </c>
      <c r="Z208" s="72" t="inlineStr">
        <is>
          <t>/</t>
        </is>
      </c>
      <c r="AA208" s="72" t="inlineStr">
        <is>
          <t>/</t>
        </is>
      </c>
      <c r="AB208" s="46" t="inlineStr">
        <is>
          <t>/</t>
        </is>
      </c>
      <c r="AC208" s="46" t="inlineStr">
        <is>
          <t>/</t>
        </is>
      </c>
      <c r="AD208" s="82" t="inlineStr">
        <is>
          <t>1、甲方捐赠：项目反馈不收取，包含在服务费中；</t>
        </is>
      </c>
      <c r="AE208" s="25" t="inlineStr">
        <is>
          <t>1、签订期间：2026.3-7月；
2、指标按照全年换算；</t>
        </is>
      </c>
      <c r="AF208"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9" ht="96" customFormat="1" customHeight="1" s="209">
      <c r="A209" s="219" t="n">
        <v>207</v>
      </c>
      <c r="B209" s="14" t="inlineStr">
        <is>
          <t>KQCY0201</t>
        </is>
      </c>
      <c r="C209" s="221" t="inlineStr">
        <is>
          <t>餐饮三分部</t>
        </is>
      </c>
      <c r="D209" s="221" t="inlineStr">
        <is>
          <t>CF780</t>
        </is>
      </c>
      <c r="E209" s="536" t="inlineStr">
        <is>
          <t>吉建大二食堂</t>
        </is>
      </c>
      <c r="F209" s="485" t="inlineStr">
        <is>
          <t>分组作业</t>
        </is>
      </c>
      <c r="G209" s="134" t="inlineStr">
        <is>
          <t>吉沐牛</t>
        </is>
      </c>
      <c r="H209" s="503" t="inlineStr">
        <is>
          <t>/</t>
        </is>
      </c>
      <c r="I209" s="135" t="inlineStr">
        <is>
          <t>羊杂面</t>
        </is>
      </c>
      <c r="J209" s="136" t="inlineStr">
        <is>
          <t>扬中理</t>
        </is>
      </c>
      <c r="K209" s="224" t="inlineStr">
        <is>
          <t>/</t>
        </is>
      </c>
      <c r="L209" s="651" t="n">
        <v>1363200</v>
      </c>
      <c r="M209" s="77" t="n">
        <v>0.1</v>
      </c>
      <c r="N209" s="77" t="n">
        <v>0.01</v>
      </c>
      <c r="O209" s="77" t="inlineStr">
        <is>
          <t>/</t>
        </is>
      </c>
      <c r="P209" s="77" t="n">
        <v>0.04</v>
      </c>
      <c r="Q209" s="77" t="n">
        <v>0.03</v>
      </c>
      <c r="R209" s="77" t="n">
        <v>0.01</v>
      </c>
      <c r="S209" s="77" t="n">
        <v>0.01</v>
      </c>
      <c r="T209" s="77" t="n"/>
      <c r="U209" s="573" t="n"/>
      <c r="V209" s="77" t="inlineStr">
        <is>
          <t>/</t>
        </is>
      </c>
      <c r="W209" s="131" t="n">
        <v>0.4</v>
      </c>
      <c r="X209" s="77" t="inlineStr">
        <is>
          <t>/</t>
        </is>
      </c>
      <c r="Y209" s="72" t="inlineStr">
        <is>
          <t>/</t>
        </is>
      </c>
      <c r="Z209" s="72" t="inlineStr">
        <is>
          <t>/</t>
        </is>
      </c>
      <c r="AA209" s="72" t="inlineStr">
        <is>
          <t>/</t>
        </is>
      </c>
      <c r="AB209" s="46" t="inlineStr">
        <is>
          <t>/</t>
        </is>
      </c>
      <c r="AC209" s="46" t="inlineStr">
        <is>
          <t>/</t>
        </is>
      </c>
      <c r="AD209" s="82" t="inlineStr">
        <is>
          <t>1、甲方捐赠：项目反馈不收取，包含在服务费中；</t>
        </is>
      </c>
      <c r="AE209" s="25" t="inlineStr">
        <is>
          <t>1、签订期间：2026.3-7月；
2、指标按照全年换算；</t>
        </is>
      </c>
      <c r="AF209"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0" ht="96" customFormat="1" customHeight="1" s="209">
      <c r="A210" s="219" t="n">
        <v>208</v>
      </c>
      <c r="B210" s="14" t="inlineStr">
        <is>
          <t>KQCY0202</t>
        </is>
      </c>
      <c r="C210" s="221" t="inlineStr">
        <is>
          <t>餐饮三分部</t>
        </is>
      </c>
      <c r="D210" s="221" t="inlineStr">
        <is>
          <t>CF780</t>
        </is>
      </c>
      <c r="E210" s="536" t="inlineStr">
        <is>
          <t>吉建大二食堂</t>
        </is>
      </c>
      <c r="F210" s="485" t="inlineStr">
        <is>
          <t>分组作业</t>
        </is>
      </c>
      <c r="G210" s="134" t="inlineStr">
        <is>
          <t>吉沐牛</t>
        </is>
      </c>
      <c r="H210" s="503" t="inlineStr">
        <is>
          <t>/</t>
        </is>
      </c>
      <c r="I210" s="135" t="inlineStr">
        <is>
          <t>原粉公煮</t>
        </is>
      </c>
      <c r="J210" s="136" t="inlineStr">
        <is>
          <t>田卓</t>
        </is>
      </c>
      <c r="K210" s="224" t="inlineStr">
        <is>
          <t>/</t>
        </is>
      </c>
      <c r="L210" s="651" t="n">
        <v>847200</v>
      </c>
      <c r="M210" s="77" t="n">
        <v>0.1</v>
      </c>
      <c r="N210" s="77" t="n">
        <v>0.01</v>
      </c>
      <c r="O210" s="77" t="inlineStr">
        <is>
          <t>/</t>
        </is>
      </c>
      <c r="P210" s="77" t="n">
        <v>0.04</v>
      </c>
      <c r="Q210" s="77" t="n">
        <v>0.03</v>
      </c>
      <c r="R210" s="77" t="n">
        <v>0.01</v>
      </c>
      <c r="S210" s="77" t="n">
        <v>0.01</v>
      </c>
      <c r="T210" s="77" t="n"/>
      <c r="U210" s="573" t="n"/>
      <c r="V210" s="77" t="inlineStr">
        <is>
          <t>/</t>
        </is>
      </c>
      <c r="W210" s="131" t="n">
        <v>0.4</v>
      </c>
      <c r="X210" s="77" t="inlineStr">
        <is>
          <t>/</t>
        </is>
      </c>
      <c r="Y210" s="72" t="inlineStr">
        <is>
          <t>/</t>
        </is>
      </c>
      <c r="Z210" s="72" t="inlineStr">
        <is>
          <t>/</t>
        </is>
      </c>
      <c r="AA210" s="72" t="inlineStr">
        <is>
          <t>/</t>
        </is>
      </c>
      <c r="AB210" s="46" t="inlineStr">
        <is>
          <t>/</t>
        </is>
      </c>
      <c r="AC210" s="46" t="inlineStr">
        <is>
          <t>/</t>
        </is>
      </c>
      <c r="AD210" s="82" t="inlineStr">
        <is>
          <t>1、甲方捐赠：项目反馈不收取，包含在服务费中；</t>
        </is>
      </c>
      <c r="AE210" s="25" t="inlineStr">
        <is>
          <t>1、签订期间：2026.3-7月；
2、指标按照全年换算；</t>
        </is>
      </c>
      <c r="AF210"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1" ht="96" customFormat="1" customHeight="1" s="209">
      <c r="A211" s="219" t="n">
        <v>209</v>
      </c>
      <c r="B211" s="14" t="inlineStr">
        <is>
          <t>KQCY0203</t>
        </is>
      </c>
      <c r="C211" s="221" t="inlineStr">
        <is>
          <t>餐饮三分部</t>
        </is>
      </c>
      <c r="D211" s="221" t="inlineStr">
        <is>
          <t>CF780</t>
        </is>
      </c>
      <c r="E211" s="536" t="inlineStr">
        <is>
          <t>吉建大二食堂</t>
        </is>
      </c>
      <c r="F211" s="485" t="inlineStr">
        <is>
          <t>分组作业</t>
        </is>
      </c>
      <c r="G211" s="134" t="inlineStr">
        <is>
          <t>吉沐牛</t>
        </is>
      </c>
      <c r="H211" s="503" t="inlineStr">
        <is>
          <t>/</t>
        </is>
      </c>
      <c r="I211" s="135" t="inlineStr">
        <is>
          <t>大块牛肉饭</t>
        </is>
      </c>
      <c r="J211" s="136" t="inlineStr">
        <is>
          <t>王亮</t>
        </is>
      </c>
      <c r="K211" s="224" t="inlineStr">
        <is>
          <t>/</t>
        </is>
      </c>
      <c r="L211" s="651" t="n">
        <v>936000</v>
      </c>
      <c r="M211" s="77" t="n">
        <v>0.1</v>
      </c>
      <c r="N211" s="77" t="n">
        <v>0.01</v>
      </c>
      <c r="O211" s="77" t="inlineStr">
        <is>
          <t>/</t>
        </is>
      </c>
      <c r="P211" s="77" t="n">
        <v>0.04</v>
      </c>
      <c r="Q211" s="77" t="n">
        <v>0.03</v>
      </c>
      <c r="R211" s="77" t="n">
        <v>0.01</v>
      </c>
      <c r="S211" s="77" t="n">
        <v>0.01</v>
      </c>
      <c r="T211" s="77" t="n"/>
      <c r="U211" s="573" t="n"/>
      <c r="V211" s="77" t="inlineStr">
        <is>
          <t>/</t>
        </is>
      </c>
      <c r="W211" s="131" t="n">
        <v>0.4</v>
      </c>
      <c r="X211" s="77" t="inlineStr">
        <is>
          <t>/</t>
        </is>
      </c>
      <c r="Y211" s="72" t="inlineStr">
        <is>
          <t>/</t>
        </is>
      </c>
      <c r="Z211" s="72" t="inlineStr">
        <is>
          <t>/</t>
        </is>
      </c>
      <c r="AA211" s="72" t="inlineStr">
        <is>
          <t>/</t>
        </is>
      </c>
      <c r="AB211" s="46" t="inlineStr">
        <is>
          <t>/</t>
        </is>
      </c>
      <c r="AC211" s="46" t="inlineStr">
        <is>
          <t>/</t>
        </is>
      </c>
      <c r="AD211" s="82" t="inlineStr">
        <is>
          <t>1、甲方捐赠：项目反馈不收取，包含在服务费中；</t>
        </is>
      </c>
      <c r="AE211" s="25" t="inlineStr">
        <is>
          <t>1、签订期间：2026.3-7月；
2、指标按照全年换算；</t>
        </is>
      </c>
      <c r="AF211"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2" ht="96" customFormat="1" customHeight="1" s="209">
      <c r="A212" s="219" t="n">
        <v>210</v>
      </c>
      <c r="B212" s="14" t="inlineStr">
        <is>
          <t>KQCY0204</t>
        </is>
      </c>
      <c r="C212" s="221" t="inlineStr">
        <is>
          <t>餐饮三分部</t>
        </is>
      </c>
      <c r="D212" s="221" t="inlineStr">
        <is>
          <t>CF780</t>
        </is>
      </c>
      <c r="E212" s="536" t="inlineStr">
        <is>
          <t>吉建大二食堂</t>
        </is>
      </c>
      <c r="F212" s="485" t="inlineStr">
        <is>
          <t>分组作业</t>
        </is>
      </c>
      <c r="G212" s="134" t="inlineStr">
        <is>
          <t>吉沐牛</t>
        </is>
      </c>
      <c r="H212" s="503" t="inlineStr">
        <is>
          <t>/</t>
        </is>
      </c>
      <c r="I212" s="135" t="inlineStr">
        <is>
          <t>嘻哈密语</t>
        </is>
      </c>
      <c r="J212" s="136" t="inlineStr">
        <is>
          <t>陶志鹏</t>
        </is>
      </c>
      <c r="K212" s="224" t="inlineStr">
        <is>
          <t>/</t>
        </is>
      </c>
      <c r="L212" s="651" t="n">
        <v>456000</v>
      </c>
      <c r="M212" s="77" t="n">
        <v>0.1</v>
      </c>
      <c r="N212" s="77" t="n">
        <v>0.01</v>
      </c>
      <c r="O212" s="77" t="inlineStr">
        <is>
          <t>/</t>
        </is>
      </c>
      <c r="P212" s="77" t="n">
        <v>0.04</v>
      </c>
      <c r="Q212" s="77" t="n">
        <v>0.03</v>
      </c>
      <c r="R212" s="77" t="n">
        <v>0.01</v>
      </c>
      <c r="S212" s="77" t="n">
        <v>0.01</v>
      </c>
      <c r="T212" s="77" t="n"/>
      <c r="U212" s="573" t="n"/>
      <c r="V212" s="77" t="inlineStr">
        <is>
          <t>/</t>
        </is>
      </c>
      <c r="W212" s="131" t="n">
        <v>0.4</v>
      </c>
      <c r="X212" s="77" t="inlineStr">
        <is>
          <t>/</t>
        </is>
      </c>
      <c r="Y212" s="72" t="inlineStr">
        <is>
          <t>/</t>
        </is>
      </c>
      <c r="Z212" s="72" t="inlineStr">
        <is>
          <t>/</t>
        </is>
      </c>
      <c r="AA212" s="72" t="inlineStr">
        <is>
          <t>/</t>
        </is>
      </c>
      <c r="AB212" s="46" t="inlineStr">
        <is>
          <t>/</t>
        </is>
      </c>
      <c r="AC212" s="46" t="inlineStr">
        <is>
          <t>/</t>
        </is>
      </c>
      <c r="AD212" s="82" t="inlineStr">
        <is>
          <t>1、甲方捐赠：项目反馈不收取，包含在服务费中；</t>
        </is>
      </c>
      <c r="AE212" s="25" t="inlineStr">
        <is>
          <t>1、签订期间：2026.3-7月；
2、指标按照全年换算；</t>
        </is>
      </c>
      <c r="AF212"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3" ht="96" customFormat="1" customHeight="1" s="209">
      <c r="A213" s="219" t="n">
        <v>211</v>
      </c>
      <c r="B213" s="14" t="inlineStr">
        <is>
          <t>KQCY0205</t>
        </is>
      </c>
      <c r="C213" s="221" t="inlineStr">
        <is>
          <t>餐饮三分部</t>
        </is>
      </c>
      <c r="D213" s="221" t="inlineStr">
        <is>
          <t>CF780</t>
        </is>
      </c>
      <c r="E213" s="536" t="inlineStr">
        <is>
          <t>吉建大二食堂</t>
        </is>
      </c>
      <c r="F213" s="485" t="inlineStr">
        <is>
          <t>分组作业</t>
        </is>
      </c>
      <c r="G213" s="134" t="inlineStr">
        <is>
          <t>吉沐牛</t>
        </is>
      </c>
      <c r="H213" s="503" t="inlineStr">
        <is>
          <t>/</t>
        </is>
      </c>
      <c r="I213" s="135" t="inlineStr">
        <is>
          <t>炸鸡汉堡</t>
        </is>
      </c>
      <c r="J213" s="136" t="inlineStr">
        <is>
          <t>隗伟</t>
        </is>
      </c>
      <c r="K213" s="224" t="inlineStr">
        <is>
          <t>/</t>
        </is>
      </c>
      <c r="L213" s="651" t="n">
        <v>676800</v>
      </c>
      <c r="M213" s="77" t="n">
        <v>0.1</v>
      </c>
      <c r="N213" s="77" t="n">
        <v>0.01</v>
      </c>
      <c r="O213" s="77" t="inlineStr">
        <is>
          <t>/</t>
        </is>
      </c>
      <c r="P213" s="77" t="n">
        <v>0.04</v>
      </c>
      <c r="Q213" s="77" t="n">
        <v>0.03</v>
      </c>
      <c r="R213" s="77" t="n">
        <v>0.01</v>
      </c>
      <c r="S213" s="77" t="n">
        <v>0.01</v>
      </c>
      <c r="T213" s="77" t="n"/>
      <c r="U213" s="573" t="n"/>
      <c r="V213" s="77" t="inlineStr">
        <is>
          <t>/</t>
        </is>
      </c>
      <c r="W213" s="131" t="n">
        <v>0.4</v>
      </c>
      <c r="X213" s="77" t="inlineStr">
        <is>
          <t>/</t>
        </is>
      </c>
      <c r="Y213" s="72" t="inlineStr">
        <is>
          <t>/</t>
        </is>
      </c>
      <c r="Z213" s="72" t="inlineStr">
        <is>
          <t>/</t>
        </is>
      </c>
      <c r="AA213" s="72" t="inlineStr">
        <is>
          <t>/</t>
        </is>
      </c>
      <c r="AB213" s="46" t="inlineStr">
        <is>
          <t>/</t>
        </is>
      </c>
      <c r="AC213" s="46" t="inlineStr">
        <is>
          <t>/</t>
        </is>
      </c>
      <c r="AD213" s="82" t="inlineStr">
        <is>
          <t>1、甲方捐赠：项目反馈不收取，包含在服务费中；</t>
        </is>
      </c>
      <c r="AE213" s="25" t="inlineStr">
        <is>
          <t>1、签订期间：2026.3-7月；
2、指标按照全年换算；</t>
        </is>
      </c>
      <c r="AF213"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4" ht="96" customFormat="1" customHeight="1" s="209">
      <c r="A214" s="219" t="n">
        <v>212</v>
      </c>
      <c r="B214" s="14" t="inlineStr">
        <is>
          <t>KQCY0206</t>
        </is>
      </c>
      <c r="C214" s="221" t="inlineStr">
        <is>
          <t>餐饮三分部</t>
        </is>
      </c>
      <c r="D214" s="221" t="inlineStr">
        <is>
          <t>CF780</t>
        </is>
      </c>
      <c r="E214" s="536" t="inlineStr">
        <is>
          <t>吉建大二食堂</t>
        </is>
      </c>
      <c r="F214" s="485" t="inlineStr">
        <is>
          <t>分组作业</t>
        </is>
      </c>
      <c r="G214" s="134" t="inlineStr">
        <is>
          <t>吉沐牛</t>
        </is>
      </c>
      <c r="H214" s="503" t="inlineStr">
        <is>
          <t>/</t>
        </is>
      </c>
      <c r="I214" s="135" t="inlineStr">
        <is>
          <t>九阳豆浆</t>
        </is>
      </c>
      <c r="J214" s="136" t="inlineStr">
        <is>
          <t>李宝友</t>
        </is>
      </c>
      <c r="K214" s="224" t="inlineStr">
        <is>
          <t>/</t>
        </is>
      </c>
      <c r="L214" s="651" t="n">
        <v>468000</v>
      </c>
      <c r="M214" s="77" t="n">
        <v>0.1</v>
      </c>
      <c r="N214" s="77" t="n">
        <v>0.01</v>
      </c>
      <c r="O214" s="77" t="inlineStr">
        <is>
          <t>/</t>
        </is>
      </c>
      <c r="P214" s="77" t="n">
        <v>0.04</v>
      </c>
      <c r="Q214" s="77" t="n">
        <v>0.03</v>
      </c>
      <c r="R214" s="77" t="n">
        <v>0.01</v>
      </c>
      <c r="S214" s="77" t="n">
        <v>0.01</v>
      </c>
      <c r="T214" s="77" t="n"/>
      <c r="U214" s="573" t="n"/>
      <c r="V214" s="77" t="inlineStr">
        <is>
          <t>/</t>
        </is>
      </c>
      <c r="W214" s="131" t="n">
        <v>0.4</v>
      </c>
      <c r="X214" s="77" t="inlineStr">
        <is>
          <t>/</t>
        </is>
      </c>
      <c r="Y214" s="72" t="inlineStr">
        <is>
          <t>/</t>
        </is>
      </c>
      <c r="Z214" s="72" t="inlineStr">
        <is>
          <t>/</t>
        </is>
      </c>
      <c r="AA214" s="72" t="inlineStr">
        <is>
          <t>/</t>
        </is>
      </c>
      <c r="AB214" s="46" t="inlineStr">
        <is>
          <t>/</t>
        </is>
      </c>
      <c r="AC214" s="46" t="inlineStr">
        <is>
          <t>/</t>
        </is>
      </c>
      <c r="AD214" s="82" t="inlineStr">
        <is>
          <t>1、甲方捐赠：项目反馈不收取，包含在服务费中；</t>
        </is>
      </c>
      <c r="AE214" s="25" t="inlineStr">
        <is>
          <t>1、签订期间：2026.3-7月；
2、指标按照全年换算；</t>
        </is>
      </c>
      <c r="AF214"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5" ht="96" customFormat="1" customHeight="1" s="209">
      <c r="A215" s="219" t="n">
        <v>213</v>
      </c>
      <c r="B215" s="14" t="inlineStr">
        <is>
          <t>KQCY0207</t>
        </is>
      </c>
      <c r="C215" s="221" t="inlineStr">
        <is>
          <t>餐饮三分部</t>
        </is>
      </c>
      <c r="D215" s="221" t="inlineStr">
        <is>
          <t>CF780</t>
        </is>
      </c>
      <c r="E215" s="536" t="inlineStr">
        <is>
          <t>吉建大二食堂</t>
        </is>
      </c>
      <c r="F215" s="485" t="inlineStr">
        <is>
          <t>分组作业</t>
        </is>
      </c>
      <c r="G215" s="134" t="inlineStr">
        <is>
          <t>吉沐牛</t>
        </is>
      </c>
      <c r="H215" s="503" t="inlineStr">
        <is>
          <t>/</t>
        </is>
      </c>
      <c r="I215" s="135" t="inlineStr">
        <is>
          <t>杂粮煎饼</t>
        </is>
      </c>
      <c r="J215" s="136" t="inlineStr">
        <is>
          <t>仲伟兴</t>
        </is>
      </c>
      <c r="K215" s="224" t="inlineStr">
        <is>
          <t>/</t>
        </is>
      </c>
      <c r="L215" s="651" t="n">
        <v>460800</v>
      </c>
      <c r="M215" s="77" t="n">
        <v>0.1</v>
      </c>
      <c r="N215" s="77" t="n">
        <v>0.01</v>
      </c>
      <c r="O215" s="77" t="inlineStr">
        <is>
          <t>/</t>
        </is>
      </c>
      <c r="P215" s="77" t="n">
        <v>0.04</v>
      </c>
      <c r="Q215" s="77" t="n">
        <v>0.03</v>
      </c>
      <c r="R215" s="77" t="n">
        <v>0.01</v>
      </c>
      <c r="S215" s="77" t="n">
        <v>0.01</v>
      </c>
      <c r="T215" s="77" t="n"/>
      <c r="U215" s="573" t="n"/>
      <c r="V215" s="77" t="inlineStr">
        <is>
          <t>/</t>
        </is>
      </c>
      <c r="W215" s="131" t="n">
        <v>0.4</v>
      </c>
      <c r="X215" s="77" t="inlineStr">
        <is>
          <t>/</t>
        </is>
      </c>
      <c r="Y215" s="72" t="inlineStr">
        <is>
          <t>/</t>
        </is>
      </c>
      <c r="Z215" s="72" t="inlineStr">
        <is>
          <t>/</t>
        </is>
      </c>
      <c r="AA215" s="72" t="inlineStr">
        <is>
          <t>/</t>
        </is>
      </c>
      <c r="AB215" s="46" t="inlineStr">
        <is>
          <t>/</t>
        </is>
      </c>
      <c r="AC215" s="46" t="inlineStr">
        <is>
          <t>/</t>
        </is>
      </c>
      <c r="AD215" s="82" t="inlineStr">
        <is>
          <t>1、甲方捐赠：项目反馈不收取，包含在服务费中；</t>
        </is>
      </c>
      <c r="AE215" s="25" t="inlineStr">
        <is>
          <t>1、签订期间：2026.3-7月；
2、指标按照全年换算；</t>
        </is>
      </c>
      <c r="AF215"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6" ht="96" customFormat="1" customHeight="1" s="209">
      <c r="A216" s="219" t="n">
        <v>214</v>
      </c>
      <c r="B216" s="14" t="inlineStr">
        <is>
          <t>KQCY0208</t>
        </is>
      </c>
      <c r="C216" s="221" t="inlineStr">
        <is>
          <t>餐饮三分部</t>
        </is>
      </c>
      <c r="D216" s="221" t="inlineStr">
        <is>
          <t>CF780</t>
        </is>
      </c>
      <c r="E216" s="536" t="inlineStr">
        <is>
          <t>吉建大二食堂</t>
        </is>
      </c>
      <c r="F216" s="485" t="inlineStr">
        <is>
          <t>分组作业</t>
        </is>
      </c>
      <c r="G216" s="134" t="inlineStr">
        <is>
          <t>吉沐牛</t>
        </is>
      </c>
      <c r="H216" s="503" t="inlineStr">
        <is>
          <t>/</t>
        </is>
      </c>
      <c r="I216" s="135" t="inlineStr">
        <is>
          <t>特色餐厅</t>
        </is>
      </c>
      <c r="J216" s="136" t="inlineStr">
        <is>
          <t>王友峰</t>
        </is>
      </c>
      <c r="K216" s="224" t="inlineStr">
        <is>
          <t>/</t>
        </is>
      </c>
      <c r="L216" s="651" t="n">
        <v>1363200</v>
      </c>
      <c r="M216" s="77" t="n">
        <v>0.06</v>
      </c>
      <c r="N216" s="77" t="n">
        <v>0.01</v>
      </c>
      <c r="O216" s="77" t="inlineStr">
        <is>
          <t>/</t>
        </is>
      </c>
      <c r="P216" s="77" t="n">
        <v>0.04</v>
      </c>
      <c r="Q216" s="77" t="n">
        <v>0.03</v>
      </c>
      <c r="R216" s="77" t="n">
        <v>0.01</v>
      </c>
      <c r="S216" s="77" t="n">
        <v>0.01</v>
      </c>
      <c r="T216" s="77" t="n"/>
      <c r="U216" s="573" t="n"/>
      <c r="V216" s="77" t="inlineStr">
        <is>
          <t>/</t>
        </is>
      </c>
      <c r="W216" s="131" t="n">
        <v>0.4</v>
      </c>
      <c r="X216" s="77" t="inlineStr">
        <is>
          <t>/</t>
        </is>
      </c>
      <c r="Y216" s="72" t="inlineStr">
        <is>
          <t>/</t>
        </is>
      </c>
      <c r="Z216" s="72" t="inlineStr">
        <is>
          <t>/</t>
        </is>
      </c>
      <c r="AA216" s="72" t="inlineStr">
        <is>
          <t>/</t>
        </is>
      </c>
      <c r="AB216" s="46" t="inlineStr">
        <is>
          <t>/</t>
        </is>
      </c>
      <c r="AC216" s="46" t="inlineStr">
        <is>
          <t>/</t>
        </is>
      </c>
      <c r="AD216" s="82" t="inlineStr">
        <is>
          <t>1、甲方捐赠：项目反馈不收取，包含在服务费中；</t>
        </is>
      </c>
      <c r="AE216" s="25" t="inlineStr">
        <is>
          <t>1、签订期间：2026.3-7月；
2、指标按照全年换算；</t>
        </is>
      </c>
      <c r="AF216"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7" ht="12" customFormat="1" customHeight="1" s="209">
      <c r="A217" s="219" t="n">
        <v>215</v>
      </c>
      <c r="B217" s="535" t="n"/>
      <c r="C217" s="86" t="inlineStr">
        <is>
          <t>餐饮三分部</t>
        </is>
      </c>
      <c r="D217" s="86" t="inlineStr">
        <is>
          <t>CF641</t>
        </is>
      </c>
      <c r="E217" s="86" t="inlineStr">
        <is>
          <t>中山大学北学二食堂</t>
        </is>
      </c>
      <c r="F217" s="335" t="inlineStr">
        <is>
          <t>自营</t>
        </is>
      </c>
      <c r="G217" s="243" t="inlineStr">
        <is>
          <t>吉沐牛</t>
        </is>
      </c>
      <c r="H217" s="480" t="inlineStr">
        <is>
          <t>/</t>
        </is>
      </c>
      <c r="I217" s="335" t="inlineStr">
        <is>
          <t>/</t>
        </is>
      </c>
      <c r="J217" s="243" t="inlineStr">
        <is>
          <t>/</t>
        </is>
      </c>
      <c r="K217" s="349" t="inlineStr">
        <is>
          <t>/</t>
        </is>
      </c>
      <c r="L217" s="651" t="inlineStr">
        <is>
          <t>/</t>
        </is>
      </c>
      <c r="M217" s="349" t="inlineStr">
        <is>
          <t>/</t>
        </is>
      </c>
      <c r="N217" s="47" t="n"/>
      <c r="O217" s="47" t="n"/>
      <c r="P217" s="47" t="n"/>
      <c r="Q217" s="349" t="inlineStr">
        <is>
          <t>/</t>
        </is>
      </c>
      <c r="R217" s="349" t="inlineStr">
        <is>
          <t>/</t>
        </is>
      </c>
      <c r="S217" s="349" t="inlineStr">
        <is>
          <t>/</t>
        </is>
      </c>
      <c r="T217" s="44" t="n"/>
      <c r="U217" s="106" t="n"/>
      <c r="V217" s="349" t="inlineStr">
        <is>
          <t>/</t>
        </is>
      </c>
      <c r="W217" s="662" t="inlineStr">
        <is>
          <t>/</t>
        </is>
      </c>
      <c r="X217" s="47" t="n"/>
      <c r="Y217" s="480" t="inlineStr">
        <is>
          <t>/</t>
        </is>
      </c>
      <c r="Z217" s="480" t="inlineStr">
        <is>
          <t>/</t>
        </is>
      </c>
      <c r="AA217" s="480" t="inlineStr">
        <is>
          <t>/</t>
        </is>
      </c>
      <c r="AB217" s="46" t="n">
        <v>0.045</v>
      </c>
      <c r="AC217" s="118" t="inlineStr">
        <is>
          <t>/</t>
        </is>
      </c>
      <c r="AD217" s="48" t="inlineStr">
        <is>
          <t>1、自营未实际经营；</t>
        </is>
      </c>
      <c r="AE217" s="25" t="n"/>
      <c r="AF217" s="232" t="n"/>
    </row>
    <row r="218" ht="24" customFormat="1" customHeight="1" s="209">
      <c r="A218" s="219" t="n">
        <v>216</v>
      </c>
      <c r="B218" s="14" t="inlineStr">
        <is>
          <t>KQCY0209</t>
        </is>
      </c>
      <c r="C218" s="221" t="inlineStr">
        <is>
          <t>餐饮三分部</t>
        </is>
      </c>
      <c r="D218" s="221" t="inlineStr">
        <is>
          <t>CF641</t>
        </is>
      </c>
      <c r="E218" s="536" t="inlineStr">
        <is>
          <t>中山大学北学二食堂</t>
        </is>
      </c>
      <c r="F218" s="485" t="inlineStr">
        <is>
          <t>分组作业</t>
        </is>
      </c>
      <c r="G218" s="134" t="inlineStr">
        <is>
          <t>吉沐牛</t>
        </is>
      </c>
      <c r="H218" s="222" t="inlineStr">
        <is>
          <t>第一班组</t>
        </is>
      </c>
      <c r="I218" s="98" t="inlineStr">
        <is>
          <t>早点（大众餐、粉面）</t>
        </is>
      </c>
      <c r="J218" s="139" t="inlineStr">
        <is>
          <t>蒲久龙</t>
        </is>
      </c>
      <c r="K218" s="224" t="inlineStr">
        <is>
          <t>/</t>
        </is>
      </c>
      <c r="L218" s="651" t="n">
        <v>2400000</v>
      </c>
      <c r="M218" s="70" t="n">
        <v>0.03</v>
      </c>
      <c r="N218" s="70" t="n">
        <v>0.01</v>
      </c>
      <c r="O218" s="70" t="n">
        <v>0.06</v>
      </c>
      <c r="P218" s="70" t="n">
        <v>0.02</v>
      </c>
      <c r="Q218" s="70" t="n">
        <v>0.03</v>
      </c>
      <c r="R218" s="70" t="n">
        <v>0.01</v>
      </c>
      <c r="S218" s="70" t="n">
        <v>0.01</v>
      </c>
      <c r="T218" s="74" t="n"/>
      <c r="U218" s="94" t="n"/>
      <c r="V218" s="70" t="n">
        <v>0.002</v>
      </c>
      <c r="W218" s="79" t="n"/>
      <c r="X218" s="77" t="inlineStr">
        <is>
          <t>/</t>
        </is>
      </c>
      <c r="Y218" s="72" t="inlineStr">
        <is>
          <t>/</t>
        </is>
      </c>
      <c r="Z218" s="77" t="inlineStr">
        <is>
          <t>/</t>
        </is>
      </c>
      <c r="AA218" s="77" t="inlineStr">
        <is>
          <t>/</t>
        </is>
      </c>
      <c r="AB218" s="46" t="inlineStr">
        <is>
          <t>/</t>
        </is>
      </c>
      <c r="AC218" s="46" t="inlineStr">
        <is>
          <t>/</t>
        </is>
      </c>
      <c r="AD218" s="82" t="inlineStr">
        <is>
          <t>1、甲方管理费：项目反馈不收取，包含在服务费中；</t>
        </is>
      </c>
      <c r="AE218" s="25" t="inlineStr">
        <is>
          <t>1、签订期间：2026.2-2027.2；
2、指标按照全年换算；</t>
        </is>
      </c>
      <c r="AF218" s="232" t="inlineStr">
        <is>
          <t>1、会议纪要中卫生费、能源费公摊；
问题：未确定公摊依据，待明确；</t>
        </is>
      </c>
    </row>
    <row r="219" ht="24" customFormat="1" customHeight="1" s="209">
      <c r="A219" s="219" t="n">
        <v>217</v>
      </c>
      <c r="B219" s="14" t="inlineStr">
        <is>
          <t>KQCY0210</t>
        </is>
      </c>
      <c r="C219" s="221" t="inlineStr">
        <is>
          <t>餐饮三分部</t>
        </is>
      </c>
      <c r="D219" s="221" t="inlineStr">
        <is>
          <t>CF641</t>
        </is>
      </c>
      <c r="E219" s="536" t="inlineStr">
        <is>
          <t>中山大学北学二食堂</t>
        </is>
      </c>
      <c r="F219" s="485" t="inlineStr">
        <is>
          <t>分组作业</t>
        </is>
      </c>
      <c r="G219" s="134" t="inlineStr">
        <is>
          <t>吉沐牛</t>
        </is>
      </c>
      <c r="H219" s="222" t="inlineStr">
        <is>
          <t>第二班组</t>
        </is>
      </c>
      <c r="I219" s="98" t="inlineStr">
        <is>
          <t>喜多多扒饭</t>
        </is>
      </c>
      <c r="J219" s="139" t="inlineStr">
        <is>
          <t>郝晓敏</t>
        </is>
      </c>
      <c r="K219" s="224" t="inlineStr">
        <is>
          <t>/</t>
        </is>
      </c>
      <c r="L219" s="651" t="n">
        <v>640000</v>
      </c>
      <c r="M219" s="70" t="n">
        <v>0.03</v>
      </c>
      <c r="N219" s="70" t="n">
        <v>0.01</v>
      </c>
      <c r="O219" s="70" t="n">
        <v>0.06</v>
      </c>
      <c r="P219" s="70" t="n">
        <v>0.02</v>
      </c>
      <c r="Q219" s="70" t="n">
        <v>0.03</v>
      </c>
      <c r="R219" s="70" t="n">
        <v>0.01</v>
      </c>
      <c r="S219" s="70" t="n">
        <v>0.01</v>
      </c>
      <c r="T219" s="74" t="n"/>
      <c r="U219" s="94" t="n"/>
      <c r="V219" s="70" t="n">
        <v>0.002</v>
      </c>
      <c r="W219" s="79" t="n"/>
      <c r="X219" s="77" t="inlineStr">
        <is>
          <t>/</t>
        </is>
      </c>
      <c r="Y219" s="72" t="inlineStr">
        <is>
          <t>/</t>
        </is>
      </c>
      <c r="Z219" s="77" t="inlineStr">
        <is>
          <t>/</t>
        </is>
      </c>
      <c r="AA219" s="77" t="inlineStr">
        <is>
          <t>/</t>
        </is>
      </c>
      <c r="AB219" s="46" t="inlineStr">
        <is>
          <t>/</t>
        </is>
      </c>
      <c r="AC219" s="46" t="inlineStr">
        <is>
          <t>/</t>
        </is>
      </c>
      <c r="AD219" s="82" t="inlineStr">
        <is>
          <t>1、甲方管理费：项目反馈不收取，包含在服务费中；</t>
        </is>
      </c>
      <c r="AE219" s="25" t="inlineStr">
        <is>
          <t>1、签订期间：2026.2-2027.2；
2、指标按照全年换算；</t>
        </is>
      </c>
      <c r="AF219" s="232" t="inlineStr">
        <is>
          <t>1、会议纪要中卫生费、能源费公摊；
问题：未确定公摊依据，待明确；</t>
        </is>
      </c>
    </row>
    <row r="220" ht="24" customFormat="1" customHeight="1" s="209">
      <c r="A220" s="219" t="n">
        <v>218</v>
      </c>
      <c r="B220" s="14" t="inlineStr">
        <is>
          <t>KQCY0211</t>
        </is>
      </c>
      <c r="C220" s="221" t="inlineStr">
        <is>
          <t>餐饮三分部</t>
        </is>
      </c>
      <c r="D220" s="221" t="inlineStr">
        <is>
          <t>CF641</t>
        </is>
      </c>
      <c r="E220" s="536" t="inlineStr">
        <is>
          <t>中山大学北学二食堂</t>
        </is>
      </c>
      <c r="F220" s="485" t="inlineStr">
        <is>
          <t>分组作业</t>
        </is>
      </c>
      <c r="G220" s="134" t="inlineStr">
        <is>
          <t>吉沐牛</t>
        </is>
      </c>
      <c r="H220" s="222" t="inlineStr">
        <is>
          <t>第三班组</t>
        </is>
      </c>
      <c r="I220" s="98" t="inlineStr">
        <is>
          <t>香锅（麻辣烫）</t>
        </is>
      </c>
      <c r="J220" s="139" t="inlineStr">
        <is>
          <t>魏国义</t>
        </is>
      </c>
      <c r="K220" s="224" t="inlineStr">
        <is>
          <t>/</t>
        </is>
      </c>
      <c r="L220" s="651" t="n">
        <v>640000</v>
      </c>
      <c r="M220" s="70" t="n">
        <v>0.03</v>
      </c>
      <c r="N220" s="70" t="n">
        <v>0.01</v>
      </c>
      <c r="O220" s="70" t="n">
        <v>0.06</v>
      </c>
      <c r="P220" s="70" t="n">
        <v>0.02</v>
      </c>
      <c r="Q220" s="70" t="n">
        <v>0.03</v>
      </c>
      <c r="R220" s="70" t="n">
        <v>0.01</v>
      </c>
      <c r="S220" s="70" t="n">
        <v>0.01</v>
      </c>
      <c r="T220" s="74" t="n"/>
      <c r="U220" s="94" t="n"/>
      <c r="V220" s="70" t="n">
        <v>0.002</v>
      </c>
      <c r="W220" s="79" t="n"/>
      <c r="X220" s="77" t="inlineStr">
        <is>
          <t>/</t>
        </is>
      </c>
      <c r="Y220" s="72" t="inlineStr">
        <is>
          <t>/</t>
        </is>
      </c>
      <c r="Z220" s="77" t="inlineStr">
        <is>
          <t>/</t>
        </is>
      </c>
      <c r="AA220" s="77" t="inlineStr">
        <is>
          <t>/</t>
        </is>
      </c>
      <c r="AB220" s="46" t="inlineStr">
        <is>
          <t>/</t>
        </is>
      </c>
      <c r="AC220" s="46" t="inlineStr">
        <is>
          <t>/</t>
        </is>
      </c>
      <c r="AD220" s="82" t="inlineStr">
        <is>
          <t>1、甲方管理费：项目反馈不收取，包含在服务费中；</t>
        </is>
      </c>
      <c r="AE220" s="25" t="inlineStr">
        <is>
          <t>1、签订期间：2026.2-2027.2；
2、指标按照全年换算；</t>
        </is>
      </c>
      <c r="AF220" s="232" t="inlineStr">
        <is>
          <t>1、会议纪要中卫生费、能源费公摊；
问题：未确定公摊依据，待明确；</t>
        </is>
      </c>
    </row>
    <row r="221" ht="24" customFormat="1" customHeight="1" s="209">
      <c r="A221" s="219" t="n">
        <v>219</v>
      </c>
      <c r="B221" s="14" t="inlineStr">
        <is>
          <t>KQCY0212</t>
        </is>
      </c>
      <c r="C221" s="221" t="inlineStr">
        <is>
          <t>餐饮三分部</t>
        </is>
      </c>
      <c r="D221" s="221" t="inlineStr">
        <is>
          <t>CF641</t>
        </is>
      </c>
      <c r="E221" s="536" t="inlineStr">
        <is>
          <t>中山大学北学二食堂</t>
        </is>
      </c>
      <c r="F221" s="485" t="inlineStr">
        <is>
          <t>分组作业</t>
        </is>
      </c>
      <c r="G221" s="134" t="inlineStr">
        <is>
          <t>吉沐牛</t>
        </is>
      </c>
      <c r="H221" s="222" t="inlineStr">
        <is>
          <t>第四班组</t>
        </is>
      </c>
      <c r="I221" s="98" t="inlineStr">
        <is>
          <t>面条（螺蛳粉）</t>
        </is>
      </c>
      <c r="J221" s="139" t="inlineStr">
        <is>
          <t>张玉雷</t>
        </is>
      </c>
      <c r="K221" s="224" t="inlineStr">
        <is>
          <t>/</t>
        </is>
      </c>
      <c r="L221" s="651" t="n">
        <v>640000</v>
      </c>
      <c r="M221" s="70" t="n">
        <v>0.03</v>
      </c>
      <c r="N221" s="70" t="n">
        <v>0.01</v>
      </c>
      <c r="O221" s="70" t="n">
        <v>0.06</v>
      </c>
      <c r="P221" s="70" t="n">
        <v>0.02</v>
      </c>
      <c r="Q221" s="70" t="n">
        <v>0.03</v>
      </c>
      <c r="R221" s="70" t="n">
        <v>0.01</v>
      </c>
      <c r="S221" s="70" t="n">
        <v>0.01</v>
      </c>
      <c r="T221" s="74" t="n"/>
      <c r="U221" s="94" t="n"/>
      <c r="V221" s="70" t="n">
        <v>0.002</v>
      </c>
      <c r="W221" s="79" t="n"/>
      <c r="X221" s="77" t="inlineStr">
        <is>
          <t>/</t>
        </is>
      </c>
      <c r="Y221" s="72" t="inlineStr">
        <is>
          <t>/</t>
        </is>
      </c>
      <c r="Z221" s="77" t="inlineStr">
        <is>
          <t>/</t>
        </is>
      </c>
      <c r="AA221" s="77" t="inlineStr">
        <is>
          <t>/</t>
        </is>
      </c>
      <c r="AB221" s="46" t="inlineStr">
        <is>
          <t>/</t>
        </is>
      </c>
      <c r="AC221" s="46" t="inlineStr">
        <is>
          <t>/</t>
        </is>
      </c>
      <c r="AD221" s="82" t="inlineStr">
        <is>
          <t>1、甲方管理费：项目反馈不收取，包含在服务费中；</t>
        </is>
      </c>
      <c r="AE221" s="25" t="inlineStr">
        <is>
          <t>1、签订期间：2026.2-2027.2；
2、指标按照全年换算；</t>
        </is>
      </c>
      <c r="AF221" s="232" t="inlineStr">
        <is>
          <t>1、会议纪要中卫生费、能源费公摊；
问题：未确定公摊依据，待明确；</t>
        </is>
      </c>
    </row>
    <row r="222" ht="24" customFormat="1" customHeight="1" s="209">
      <c r="A222" s="219" t="n">
        <v>220</v>
      </c>
      <c r="B222" s="14" t="inlineStr">
        <is>
          <t>KQCY0213</t>
        </is>
      </c>
      <c r="C222" s="221" t="inlineStr">
        <is>
          <t>餐饮三分部</t>
        </is>
      </c>
      <c r="D222" s="221" t="inlineStr">
        <is>
          <t>CF641</t>
        </is>
      </c>
      <c r="E222" s="536" t="inlineStr">
        <is>
          <t>中山大学北学二食堂</t>
        </is>
      </c>
      <c r="F222" s="485" t="inlineStr">
        <is>
          <t>分组作业</t>
        </is>
      </c>
      <c r="G222" s="134" t="inlineStr">
        <is>
          <t>吉沐牛</t>
        </is>
      </c>
      <c r="H222" s="222" t="inlineStr">
        <is>
          <t>第五班组</t>
        </is>
      </c>
      <c r="I222" s="98" t="inlineStr">
        <is>
          <t>牛肉饭（烤肉拌饭）</t>
        </is>
      </c>
      <c r="J222" s="139" t="inlineStr">
        <is>
          <t>张磊</t>
        </is>
      </c>
      <c r="K222" s="224" t="inlineStr">
        <is>
          <t>/</t>
        </is>
      </c>
      <c r="L222" s="651" t="n">
        <v>640000</v>
      </c>
      <c r="M222" s="70" t="n">
        <v>0.03</v>
      </c>
      <c r="N222" s="70" t="n">
        <v>0.01</v>
      </c>
      <c r="O222" s="70" t="n">
        <v>0.06</v>
      </c>
      <c r="P222" s="70" t="n">
        <v>0.02</v>
      </c>
      <c r="Q222" s="70" t="n">
        <v>0.03</v>
      </c>
      <c r="R222" s="70" t="n">
        <v>0.01</v>
      </c>
      <c r="S222" s="70" t="n">
        <v>0.01</v>
      </c>
      <c r="T222" s="74" t="n"/>
      <c r="U222" s="94" t="n"/>
      <c r="V222" s="70" t="n">
        <v>0.002</v>
      </c>
      <c r="W222" s="79" t="n"/>
      <c r="X222" s="77" t="inlineStr">
        <is>
          <t>/</t>
        </is>
      </c>
      <c r="Y222" s="72" t="inlineStr">
        <is>
          <t>/</t>
        </is>
      </c>
      <c r="Z222" s="77" t="inlineStr">
        <is>
          <t>/</t>
        </is>
      </c>
      <c r="AA222" s="77" t="inlineStr">
        <is>
          <t>/</t>
        </is>
      </c>
      <c r="AB222" s="46" t="inlineStr">
        <is>
          <t>/</t>
        </is>
      </c>
      <c r="AC222" s="46" t="inlineStr">
        <is>
          <t>/</t>
        </is>
      </c>
      <c r="AD222" s="82" t="inlineStr">
        <is>
          <t>1、甲方管理费：项目反馈不收取，包含在服务费中；</t>
        </is>
      </c>
      <c r="AE222" s="53" t="inlineStr">
        <is>
          <t>1、签订期间：2026.2-2026.7；
2、指标按照全年换算；</t>
        </is>
      </c>
      <c r="AF222" s="232" t="inlineStr">
        <is>
          <t>1、会议纪要中卫生费、能源费公摊；
问题：未确定公摊依据，待明确；</t>
        </is>
      </c>
    </row>
    <row r="223" ht="12" customFormat="1" customHeight="1" s="209">
      <c r="A223" s="219" t="n">
        <v>221</v>
      </c>
      <c r="B223" s="535" t="n"/>
      <c r="C223" s="86" t="inlineStr">
        <is>
          <t>餐饮三分部</t>
        </is>
      </c>
      <c r="D223" s="86" t="inlineStr">
        <is>
          <t>CF640</t>
        </is>
      </c>
      <c r="E223" s="86" t="inlineStr">
        <is>
          <t>广东财大雅食园食堂</t>
        </is>
      </c>
      <c r="F223" s="335" t="inlineStr">
        <is>
          <t>自营</t>
        </is>
      </c>
      <c r="G223" s="243" t="inlineStr">
        <is>
          <t>吉沐牛</t>
        </is>
      </c>
      <c r="H223" s="243" t="inlineStr">
        <is>
          <t>/</t>
        </is>
      </c>
      <c r="I223" s="480" t="inlineStr">
        <is>
          <t>/</t>
        </is>
      </c>
      <c r="J223" s="480" t="inlineStr">
        <is>
          <t>/</t>
        </is>
      </c>
      <c r="K223" s="349" t="inlineStr">
        <is>
          <t>/</t>
        </is>
      </c>
      <c r="L223" s="651" t="inlineStr">
        <is>
          <t>/</t>
        </is>
      </c>
      <c r="M223" s="462" t="inlineStr">
        <is>
          <t>/</t>
        </is>
      </c>
      <c r="N223" s="462" t="inlineStr">
        <is>
          <t>/</t>
        </is>
      </c>
      <c r="O223" s="462" t="inlineStr">
        <is>
          <t>/</t>
        </is>
      </c>
      <c r="P223" s="140" t="n"/>
      <c r="Q223" s="59" t="inlineStr">
        <is>
          <t>/</t>
        </is>
      </c>
      <c r="R223" s="462" t="inlineStr">
        <is>
          <t>/</t>
        </is>
      </c>
      <c r="S223" s="349" t="inlineStr">
        <is>
          <t>/</t>
        </is>
      </c>
      <c r="T223" s="44" t="n"/>
      <c r="U223" s="106" t="n"/>
      <c r="V223" s="349" t="inlineStr">
        <is>
          <t>/</t>
        </is>
      </c>
      <c r="W223" s="349" t="inlineStr">
        <is>
          <t>/</t>
        </is>
      </c>
      <c r="X223" s="47" t="n"/>
      <c r="Y223" s="480" t="inlineStr">
        <is>
          <t>/</t>
        </is>
      </c>
      <c r="Z223" s="349" t="inlineStr">
        <is>
          <t>/</t>
        </is>
      </c>
      <c r="AA223" s="349" t="inlineStr">
        <is>
          <t>/</t>
        </is>
      </c>
      <c r="AB223" s="243" t="inlineStr">
        <is>
          <t>/</t>
        </is>
      </c>
      <c r="AC223" s="118" t="inlineStr">
        <is>
          <t>/</t>
        </is>
      </c>
      <c r="AD223" s="48" t="inlineStr">
        <is>
          <t>1、自营未实际经营；</t>
        </is>
      </c>
      <c r="AE223" s="53" t="n"/>
      <c r="AF223" s="232" t="n"/>
    </row>
    <row r="224" ht="60" customFormat="1" customHeight="1" s="209">
      <c r="A224" s="219" t="n">
        <v>222</v>
      </c>
      <c r="B224" s="14" t="inlineStr">
        <is>
          <t>KQCY0214</t>
        </is>
      </c>
      <c r="C224" s="221" t="inlineStr">
        <is>
          <t>餐饮三分部</t>
        </is>
      </c>
      <c r="D224" s="221" t="inlineStr">
        <is>
          <t>CF640</t>
        </is>
      </c>
      <c r="E224" s="536" t="inlineStr">
        <is>
          <t>广东财大雅食园食堂</t>
        </is>
      </c>
      <c r="F224" s="485" t="inlineStr">
        <is>
          <t>分组作业</t>
        </is>
      </c>
      <c r="G224" s="134" t="inlineStr">
        <is>
          <t>吉沐牛</t>
        </is>
      </c>
      <c r="H224" s="222" t="inlineStr">
        <is>
          <t>第一班组</t>
        </is>
      </c>
      <c r="I224" s="98" t="inlineStr">
        <is>
          <t>早点(大众餐)</t>
        </is>
      </c>
      <c r="J224" s="139" t="inlineStr">
        <is>
          <t>黄国青</t>
        </is>
      </c>
      <c r="K224" s="224" t="inlineStr">
        <is>
          <t>/</t>
        </is>
      </c>
      <c r="L224" s="651" t="n">
        <v>1200000</v>
      </c>
      <c r="M224" s="71" t="n">
        <v>10000</v>
      </c>
      <c r="N224" s="71" t="n"/>
      <c r="O224" s="71" t="n"/>
      <c r="P224" s="81" t="inlineStr">
        <is>
          <t>/</t>
        </is>
      </c>
      <c r="Q224" s="81" t="inlineStr">
        <is>
          <t>/</t>
        </is>
      </c>
      <c r="R224" s="71" t="n"/>
      <c r="S224" s="77" t="inlineStr">
        <is>
          <t>/</t>
        </is>
      </c>
      <c r="T224" s="72" t="n"/>
      <c r="U224" s="71" t="n"/>
      <c r="V224" s="77" t="inlineStr">
        <is>
          <t>/</t>
        </is>
      </c>
      <c r="W224" s="79" t="n"/>
      <c r="X224" s="77" t="inlineStr">
        <is>
          <t>/</t>
        </is>
      </c>
      <c r="Y224" s="72" t="inlineStr">
        <is>
          <t>/</t>
        </is>
      </c>
      <c r="Z224" s="77" t="inlineStr">
        <is>
          <t>/</t>
        </is>
      </c>
      <c r="AA224" s="77" t="inlineStr">
        <is>
          <t>/</t>
        </is>
      </c>
      <c r="AB224" s="222" t="inlineStr">
        <is>
          <t>/</t>
        </is>
      </c>
      <c r="AC224" s="46" t="inlineStr">
        <is>
          <t>/</t>
        </is>
      </c>
      <c r="AD224" s="82" t="inlineStr">
        <is>
          <t>1、服务费：1、3-7；9-12月收取服务费，每月10000；
2、装修折旧费：项目反馈不收取，包含在服务费中；
3、管理人员费：项目反馈不收取，包含在服务费中；
4、资产费：项目反馈不收取，包含在服务费中；
5、甲方服务费：项目反馈不收取，包含在服务费中；</t>
        </is>
      </c>
      <c r="AE224" s="53" t="inlineStr">
        <is>
          <t>1、签订期间：2026.2-2026.7；
2、指标按照全年换算；
3、管理费10000元/月</t>
        </is>
      </c>
      <c r="AF224" s="232" t="inlineStr">
        <is>
          <t>1、会议纪要中管理费按10000元/月收取；
问题：是否是每个自然月均收取，待明确；</t>
        </is>
      </c>
    </row>
    <row r="225" ht="12" customFormat="1" customHeight="1" s="209">
      <c r="A225" s="219" t="n">
        <v>223</v>
      </c>
      <c r="B225" s="535" t="n"/>
      <c r="C225" s="86" t="inlineStr">
        <is>
          <t>餐饮三分部</t>
        </is>
      </c>
      <c r="D225" s="86" t="inlineStr">
        <is>
          <t>CF781</t>
        </is>
      </c>
      <c r="E225" s="86" t="inlineStr">
        <is>
          <t>苏食院第一学生食堂</t>
        </is>
      </c>
      <c r="F225" s="335" t="inlineStr">
        <is>
          <t>自营</t>
        </is>
      </c>
      <c r="G225" s="243" t="inlineStr">
        <is>
          <t>吉沐牛</t>
        </is>
      </c>
      <c r="H225" s="480" t="inlineStr">
        <is>
          <t>/</t>
        </is>
      </c>
      <c r="I225" s="480" t="inlineStr">
        <is>
          <t>/</t>
        </is>
      </c>
      <c r="J225" s="480" t="inlineStr">
        <is>
          <t>/</t>
        </is>
      </c>
      <c r="K225" s="349" t="inlineStr">
        <is>
          <t>/</t>
        </is>
      </c>
      <c r="L225" s="651" t="inlineStr">
        <is>
          <t>/</t>
        </is>
      </c>
      <c r="M225" s="92" t="inlineStr">
        <is>
          <t>/</t>
        </is>
      </c>
      <c r="N225" s="140" t="n"/>
      <c r="O225" s="140" t="n"/>
      <c r="P225" s="140" t="n"/>
      <c r="Q225" s="140" t="n"/>
      <c r="R225" s="140" t="n"/>
      <c r="S225" s="349" t="inlineStr">
        <is>
          <t>/</t>
        </is>
      </c>
      <c r="T225" s="106" t="n"/>
      <c r="U225" s="106" t="n"/>
      <c r="V225" s="395" t="n"/>
      <c r="W225" s="44" t="n"/>
      <c r="X225" s="480" t="inlineStr">
        <is>
          <t>/</t>
        </is>
      </c>
      <c r="Y225" s="480" t="inlineStr">
        <is>
          <t>/</t>
        </is>
      </c>
      <c r="Z225" s="480" t="inlineStr">
        <is>
          <t>/</t>
        </is>
      </c>
      <c r="AA225" s="480" t="inlineStr">
        <is>
          <t>/</t>
        </is>
      </c>
      <c r="AB225" s="46" t="n">
        <v>0.05</v>
      </c>
      <c r="AC225" s="118" t="inlineStr">
        <is>
          <t>/</t>
        </is>
      </c>
      <c r="AD225" s="48" t="inlineStr">
        <is>
          <t>1、自营未实际经营；</t>
        </is>
      </c>
      <c r="AE225" s="25" t="n"/>
      <c r="AF225" s="232" t="n"/>
    </row>
    <row r="226" ht="84" customFormat="1" customHeight="1" s="209">
      <c r="A226" s="219" t="n">
        <v>224</v>
      </c>
      <c r="B226" s="14" t="inlineStr">
        <is>
          <t>KQCY0215</t>
        </is>
      </c>
      <c r="C226" s="221" t="inlineStr">
        <is>
          <t>餐饮三分部</t>
        </is>
      </c>
      <c r="D226" s="221" t="inlineStr">
        <is>
          <t>CF781</t>
        </is>
      </c>
      <c r="E226" s="536" t="inlineStr">
        <is>
          <t>苏食院第一学生食堂</t>
        </is>
      </c>
      <c r="F226" s="219" t="inlineStr">
        <is>
          <t>分组作业</t>
        </is>
      </c>
      <c r="G226" s="222" t="inlineStr">
        <is>
          <t>吉沐牛</t>
        </is>
      </c>
      <c r="H226" s="503" t="inlineStr">
        <is>
          <t>/</t>
        </is>
      </c>
      <c r="I226" s="232" t="inlineStr">
        <is>
          <t>兰州拉面</t>
        </is>
      </c>
      <c r="J226" s="139" t="inlineStr">
        <is>
          <t>马金明</t>
        </is>
      </c>
      <c r="K226" s="224" t="inlineStr">
        <is>
          <t>/</t>
        </is>
      </c>
      <c r="L226" s="651" t="inlineStr">
        <is>
          <t>/</t>
        </is>
      </c>
      <c r="M226" s="84" t="n">
        <v>0.23</v>
      </c>
      <c r="N226" s="81" t="inlineStr">
        <is>
          <t>/</t>
        </is>
      </c>
      <c r="O226" s="81" t="inlineStr">
        <is>
          <t>/</t>
        </is>
      </c>
      <c r="P226" s="81" t="inlineStr">
        <is>
          <t>/</t>
        </is>
      </c>
      <c r="Q226" s="81" t="inlineStr">
        <is>
          <t>/</t>
        </is>
      </c>
      <c r="R226" s="81" t="inlineStr">
        <is>
          <t>/</t>
        </is>
      </c>
      <c r="S226" s="77" t="inlineStr">
        <is>
          <t>/</t>
        </is>
      </c>
      <c r="T226" s="71" t="inlineStr">
        <is>
          <t>/</t>
        </is>
      </c>
      <c r="U226" s="70" t="inlineStr">
        <is>
          <t>/</t>
        </is>
      </c>
      <c r="V226" s="71" t="inlineStr">
        <is>
          <t>/</t>
        </is>
      </c>
      <c r="W226" s="74" t="n"/>
      <c r="X226" s="72" t="inlineStr">
        <is>
          <t>/</t>
        </is>
      </c>
      <c r="Y226" s="72" t="inlineStr">
        <is>
          <t>/</t>
        </is>
      </c>
      <c r="Z226" s="72" t="inlineStr">
        <is>
          <t>/</t>
        </is>
      </c>
      <c r="AA226" s="72" t="inlineStr">
        <is>
          <t>/</t>
        </is>
      </c>
      <c r="AB226" s="222" t="inlineStr">
        <is>
          <t>/</t>
        </is>
      </c>
      <c r="AC226" s="46" t="inlineStr">
        <is>
          <t>/</t>
        </is>
      </c>
      <c r="AD226" s="76"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
7、能源费：项目反馈不收取，包含在服务费中；</t>
        </is>
      </c>
      <c r="AE226" s="25" t="inlineStr">
        <is>
          <t>已撤场（2026年3月）；</t>
        </is>
      </c>
      <c r="AF226" s="232" t="inlineStr">
        <is>
          <t>1、条款：技术合作方所有人员与公司签订劳动合同，签订劳动合同的技术合作方负责人必须参加公司社保，否则不予录用；
问题：非所有分组作业人员都入职到公司，非所有负责人缴纳社保；
2、会议纪要中未填写目标营业额；
问题：待明确或约定；</t>
        </is>
      </c>
    </row>
    <row r="227" ht="36" customFormat="1" customHeight="1" s="209">
      <c r="A227" s="219" t="n">
        <v>225</v>
      </c>
      <c r="B227" s="14" t="inlineStr">
        <is>
          <t>KQCY0216</t>
        </is>
      </c>
      <c r="C227" s="221" t="inlineStr">
        <is>
          <t>餐饮三分部</t>
        </is>
      </c>
      <c r="D227" s="221" t="inlineStr">
        <is>
          <t>CF781</t>
        </is>
      </c>
      <c r="E227" s="221" t="inlineStr">
        <is>
          <t>苏食院第一学生食堂</t>
        </is>
      </c>
      <c r="F227" s="219" t="inlineStr">
        <is>
          <t>分组作业</t>
        </is>
      </c>
      <c r="G227" s="222" t="inlineStr">
        <is>
          <t>吉沐牛</t>
        </is>
      </c>
      <c r="H227" s="503" t="inlineStr">
        <is>
          <t>/</t>
        </is>
      </c>
      <c r="I227" s="355" t="inlineStr">
        <is>
          <t>米线</t>
        </is>
      </c>
      <c r="J227" s="222" t="inlineStr">
        <is>
          <t>许慧强</t>
        </is>
      </c>
      <c r="K227" s="224" t="inlineStr">
        <is>
          <t>/</t>
        </is>
      </c>
      <c r="L227" s="651" t="n">
        <v>250000</v>
      </c>
      <c r="M227" s="84" t="n">
        <v>0.12</v>
      </c>
      <c r="N227" s="84" t="n">
        <v>0.02</v>
      </c>
      <c r="O227" s="84" t="n">
        <v>0.02</v>
      </c>
      <c r="P227" s="84" t="n">
        <v>0.02</v>
      </c>
      <c r="Q227" s="84" t="n">
        <v>0.02</v>
      </c>
      <c r="R227" s="84" t="n">
        <v>0.01</v>
      </c>
      <c r="S227" s="71" t="inlineStr">
        <is>
          <t>/</t>
        </is>
      </c>
      <c r="T227" s="84" t="n">
        <v>0.02</v>
      </c>
      <c r="U227" s="84" t="n">
        <v>0.05</v>
      </c>
      <c r="V227" s="71" t="inlineStr">
        <is>
          <t>/</t>
        </is>
      </c>
      <c r="W227" s="94" t="n"/>
      <c r="X227" s="72" t="inlineStr">
        <is>
          <t>/</t>
        </is>
      </c>
      <c r="Y227" s="72" t="inlineStr">
        <is>
          <t>/</t>
        </is>
      </c>
      <c r="Z227" s="71" t="inlineStr">
        <is>
          <t>/</t>
        </is>
      </c>
      <c r="AA227" s="71" t="inlineStr">
        <is>
          <t>/</t>
        </is>
      </c>
      <c r="AB227" s="222" t="inlineStr">
        <is>
          <t>/</t>
        </is>
      </c>
      <c r="AC227" s="46" t="inlineStr">
        <is>
          <t>/</t>
        </is>
      </c>
      <c r="AD227" s="141" t="n"/>
      <c r="AE227" s="25" t="inlineStr">
        <is>
          <t>1、签订期间：2026.2-8月；
2、指标按照全年换算；</t>
        </is>
      </c>
      <c r="AF227" s="232" t="inlineStr">
        <is>
          <t>1、条款：技术合作方所有人员与公司签订劳动合同，签订劳动合同的技术合作方负责人必须参加公司社保，否则不予录用；
问题：非所有分组作业人员都入职到公司，非所有负责人缴纳社保；</t>
        </is>
      </c>
    </row>
    <row r="228" ht="36" customFormat="1" customHeight="1" s="209">
      <c r="A228" s="219" t="n">
        <v>226</v>
      </c>
      <c r="B228" s="14" t="inlineStr">
        <is>
          <t>KQCY0217</t>
        </is>
      </c>
      <c r="C228" s="221" t="inlineStr">
        <is>
          <t>餐饮三分部</t>
        </is>
      </c>
      <c r="D228" s="221" t="inlineStr">
        <is>
          <t>CF781</t>
        </is>
      </c>
      <c r="E228" s="221" t="inlineStr">
        <is>
          <t>苏食院第一学生食堂</t>
        </is>
      </c>
      <c r="F228" s="219" t="inlineStr">
        <is>
          <t>分组作业</t>
        </is>
      </c>
      <c r="G228" s="222" t="inlineStr">
        <is>
          <t>吉沐牛</t>
        </is>
      </c>
      <c r="H228" s="503" t="inlineStr">
        <is>
          <t>/</t>
        </is>
      </c>
      <c r="I228" s="355" t="inlineStr">
        <is>
          <t>早点</t>
        </is>
      </c>
      <c r="J228" s="222" t="inlineStr">
        <is>
          <t>李帮</t>
        </is>
      </c>
      <c r="K228" s="224" t="inlineStr">
        <is>
          <t>/</t>
        </is>
      </c>
      <c r="L228" s="651" t="n">
        <v>530000</v>
      </c>
      <c r="M228" s="84" t="n">
        <v>0.12</v>
      </c>
      <c r="N228" s="84" t="n">
        <v>0.02</v>
      </c>
      <c r="O228" s="84" t="n">
        <v>0.02</v>
      </c>
      <c r="P228" s="84" t="n">
        <v>0.02</v>
      </c>
      <c r="Q228" s="84" t="n">
        <v>0.02</v>
      </c>
      <c r="R228" s="84" t="n">
        <v>0.01</v>
      </c>
      <c r="S228" s="71" t="inlineStr">
        <is>
          <t>/</t>
        </is>
      </c>
      <c r="T228" s="84" t="n">
        <v>0.02</v>
      </c>
      <c r="U228" s="84" t="n">
        <v>0.05</v>
      </c>
      <c r="V228" s="71" t="inlineStr">
        <is>
          <t>/</t>
        </is>
      </c>
      <c r="W228" s="94" t="n"/>
      <c r="X228" s="72" t="inlineStr">
        <is>
          <t>/</t>
        </is>
      </c>
      <c r="Y228" s="72" t="inlineStr">
        <is>
          <t>/</t>
        </is>
      </c>
      <c r="Z228" s="71" t="inlineStr">
        <is>
          <t>/</t>
        </is>
      </c>
      <c r="AA228" s="71" t="inlineStr">
        <is>
          <t>/</t>
        </is>
      </c>
      <c r="AB228" s="222" t="inlineStr">
        <is>
          <t>/</t>
        </is>
      </c>
      <c r="AC228" s="46" t="inlineStr">
        <is>
          <t>/</t>
        </is>
      </c>
      <c r="AD228" s="141" t="n"/>
      <c r="AE228" s="25" t="inlineStr">
        <is>
          <t>1、签订期间：2026.2-8月；
2、指标按照全年换算；</t>
        </is>
      </c>
      <c r="AF228" s="232" t="inlineStr">
        <is>
          <t>1、条款：技术合作方所有人员与公司签订劳动合同，签订劳动合同的技术合作方负责人必须参加公司社保，否则不予录用；
问题：非所有分组作业人员都入职到公司，非所有负责人缴纳社保；</t>
        </is>
      </c>
    </row>
    <row r="229" ht="36" customFormat="1" customHeight="1" s="209">
      <c r="A229" s="219" t="n">
        <v>227</v>
      </c>
      <c r="B229" s="14" t="inlineStr">
        <is>
          <t>KQCY0218</t>
        </is>
      </c>
      <c r="C229" s="221" t="inlineStr">
        <is>
          <t>餐饮三分部</t>
        </is>
      </c>
      <c r="D229" s="221" t="inlineStr">
        <is>
          <t>CF781</t>
        </is>
      </c>
      <c r="E229" s="221" t="inlineStr">
        <is>
          <t>苏食院第一学生食堂</t>
        </is>
      </c>
      <c r="F229" s="219" t="inlineStr">
        <is>
          <t>分组作业</t>
        </is>
      </c>
      <c r="G229" s="222" t="inlineStr">
        <is>
          <t>吉沐牛</t>
        </is>
      </c>
      <c r="H229" s="503" t="inlineStr">
        <is>
          <t>/</t>
        </is>
      </c>
      <c r="I229" s="355" t="inlineStr">
        <is>
          <t>快餐</t>
        </is>
      </c>
      <c r="J229" s="222" t="inlineStr">
        <is>
          <t>吴荣花</t>
        </is>
      </c>
      <c r="K229" s="224" t="inlineStr">
        <is>
          <t>/</t>
        </is>
      </c>
      <c r="L229" s="651" t="n">
        <v>1240000</v>
      </c>
      <c r="M229" s="84" t="n">
        <v>0.1</v>
      </c>
      <c r="N229" s="84" t="n">
        <v>0.01</v>
      </c>
      <c r="O229" s="84" t="n">
        <v>0.01</v>
      </c>
      <c r="P229" s="84" t="n">
        <v>0.02</v>
      </c>
      <c r="Q229" s="84" t="n">
        <v>0.01</v>
      </c>
      <c r="R229" s="84" t="n">
        <v>0.01</v>
      </c>
      <c r="S229" s="71" t="inlineStr">
        <is>
          <t>/</t>
        </is>
      </c>
      <c r="T229" s="84" t="n">
        <v>0.01</v>
      </c>
      <c r="U229" s="84" t="n">
        <v>0.05</v>
      </c>
      <c r="V229" s="71" t="inlineStr">
        <is>
          <t>/</t>
        </is>
      </c>
      <c r="W229" s="94" t="n"/>
      <c r="X229" s="72" t="inlineStr">
        <is>
          <t>/</t>
        </is>
      </c>
      <c r="Y229" s="72" t="inlineStr">
        <is>
          <t>/</t>
        </is>
      </c>
      <c r="Z229" s="71" t="inlineStr">
        <is>
          <t>/</t>
        </is>
      </c>
      <c r="AA229" s="71" t="inlineStr">
        <is>
          <t>/</t>
        </is>
      </c>
      <c r="AB229" s="222" t="inlineStr">
        <is>
          <t>/</t>
        </is>
      </c>
      <c r="AC229" s="46" t="inlineStr">
        <is>
          <t>/</t>
        </is>
      </c>
      <c r="AD229" s="141" t="n"/>
      <c r="AE229" s="25" t="inlineStr">
        <is>
          <t>1、签订期间：2026.2-8月；
2、指标按照全年换算；</t>
        </is>
      </c>
      <c r="AF229" s="232" t="inlineStr">
        <is>
          <t>1、条款：技术合作方所有人员与公司签订劳动合同，签订劳动合同的技术合作方负责人必须参加公司社保，否则不予录用；
问题：非所有分组作业人员都入职到公司，非所有负责人缴纳社保；</t>
        </is>
      </c>
    </row>
    <row r="230" ht="36" customFormat="1" customHeight="1" s="209">
      <c r="A230" s="219" t="n">
        <v>228</v>
      </c>
      <c r="B230" s="14" t="inlineStr">
        <is>
          <t>KQCY0219</t>
        </is>
      </c>
      <c r="C230" s="221" t="inlineStr">
        <is>
          <t>餐饮三分部</t>
        </is>
      </c>
      <c r="D230" s="221" t="inlineStr">
        <is>
          <t>CF781</t>
        </is>
      </c>
      <c r="E230" s="221" t="inlineStr">
        <is>
          <t>苏食院第一学生食堂</t>
        </is>
      </c>
      <c r="F230" s="219" t="inlineStr">
        <is>
          <t>分组作业</t>
        </is>
      </c>
      <c r="G230" s="222" t="inlineStr">
        <is>
          <t>吉沐牛</t>
        </is>
      </c>
      <c r="H230" s="503" t="inlineStr">
        <is>
          <t>/</t>
        </is>
      </c>
      <c r="I230" s="355" t="inlineStr">
        <is>
          <t>羊杂面</t>
        </is>
      </c>
      <c r="J230" s="222" t="inlineStr">
        <is>
          <t>许慧强</t>
        </is>
      </c>
      <c r="K230" s="224" t="inlineStr">
        <is>
          <t>/</t>
        </is>
      </c>
      <c r="L230" s="651" t="n">
        <v>700000</v>
      </c>
      <c r="M230" s="84" t="n">
        <v>0.12</v>
      </c>
      <c r="N230" s="84" t="n">
        <v>0.02</v>
      </c>
      <c r="O230" s="84" t="n">
        <v>0.02</v>
      </c>
      <c r="P230" s="84" t="n">
        <v>0.02</v>
      </c>
      <c r="Q230" s="84" t="n">
        <v>0.02</v>
      </c>
      <c r="R230" s="84" t="n">
        <v>0.01</v>
      </c>
      <c r="S230" s="71" t="inlineStr">
        <is>
          <t>/</t>
        </is>
      </c>
      <c r="T230" s="84" t="n">
        <v>0.02</v>
      </c>
      <c r="U230" s="84" t="n">
        <v>0.05</v>
      </c>
      <c r="V230" s="71" t="inlineStr">
        <is>
          <t>/</t>
        </is>
      </c>
      <c r="W230" s="94" t="n"/>
      <c r="X230" s="72" t="inlineStr">
        <is>
          <t>/</t>
        </is>
      </c>
      <c r="Y230" s="72" t="inlineStr">
        <is>
          <t>/</t>
        </is>
      </c>
      <c r="Z230" s="71" t="inlineStr">
        <is>
          <t>/</t>
        </is>
      </c>
      <c r="AA230" s="71" t="inlineStr">
        <is>
          <t>/</t>
        </is>
      </c>
      <c r="AB230" s="222" t="inlineStr">
        <is>
          <t>/</t>
        </is>
      </c>
      <c r="AC230" s="46" t="inlineStr">
        <is>
          <t>/</t>
        </is>
      </c>
      <c r="AD230" s="141" t="n"/>
      <c r="AE230" s="25" t="inlineStr">
        <is>
          <t>1、签订期间：2026.2-8月；
2、指标按照全年换算；</t>
        </is>
      </c>
      <c r="AF230" s="232" t="inlineStr">
        <is>
          <t>1、条款：技术合作方所有人员与公司签订劳动合同，签订劳动合同的技术合作方负责人必须参加公司社保，否则不予录用；
问题：非所有分组作业人员都入职到公司，非所有负责人缴纳社保；</t>
        </is>
      </c>
    </row>
    <row r="231" ht="36" customFormat="1" customHeight="1" s="209">
      <c r="A231" s="219" t="n">
        <v>229</v>
      </c>
      <c r="B231" s="14" t="inlineStr">
        <is>
          <t>KQCY0220</t>
        </is>
      </c>
      <c r="C231" s="221" t="inlineStr">
        <is>
          <t>餐饮三分部</t>
        </is>
      </c>
      <c r="D231" s="221" t="inlineStr">
        <is>
          <t>CF781</t>
        </is>
      </c>
      <c r="E231" s="221" t="inlineStr">
        <is>
          <t>苏食院第一学生食堂</t>
        </is>
      </c>
      <c r="F231" s="219" t="inlineStr">
        <is>
          <t>分组作业</t>
        </is>
      </c>
      <c r="G231" s="222" t="inlineStr">
        <is>
          <t>吉沐牛</t>
        </is>
      </c>
      <c r="H231" s="503" t="inlineStr">
        <is>
          <t>/</t>
        </is>
      </c>
      <c r="I231" s="355" t="inlineStr">
        <is>
          <t>牛肉粉丝汤</t>
        </is>
      </c>
      <c r="J231" s="222" t="inlineStr">
        <is>
          <t>张宗芳</t>
        </is>
      </c>
      <c r="K231" s="224" t="inlineStr">
        <is>
          <t>/</t>
        </is>
      </c>
      <c r="L231" s="651" t="n">
        <v>500000</v>
      </c>
      <c r="M231" s="84" t="n">
        <v>0.12</v>
      </c>
      <c r="N231" s="84" t="n">
        <v>0.02</v>
      </c>
      <c r="O231" s="84" t="n">
        <v>0.02</v>
      </c>
      <c r="P231" s="84" t="n">
        <v>0.02</v>
      </c>
      <c r="Q231" s="84" t="n">
        <v>0.02</v>
      </c>
      <c r="R231" s="84" t="n">
        <v>0.01</v>
      </c>
      <c r="S231" s="71" t="inlineStr">
        <is>
          <t>/</t>
        </is>
      </c>
      <c r="T231" s="84" t="n">
        <v>0.02</v>
      </c>
      <c r="U231" s="84" t="n">
        <v>0.05</v>
      </c>
      <c r="V231" s="71" t="inlineStr">
        <is>
          <t>/</t>
        </is>
      </c>
      <c r="W231" s="94" t="n"/>
      <c r="X231" s="72" t="inlineStr">
        <is>
          <t>/</t>
        </is>
      </c>
      <c r="Y231" s="72" t="inlineStr">
        <is>
          <t>/</t>
        </is>
      </c>
      <c r="Z231" s="71" t="inlineStr">
        <is>
          <t>/</t>
        </is>
      </c>
      <c r="AA231" s="71" t="inlineStr">
        <is>
          <t>/</t>
        </is>
      </c>
      <c r="AB231" s="222" t="inlineStr">
        <is>
          <t>/</t>
        </is>
      </c>
      <c r="AC231" s="46" t="inlineStr">
        <is>
          <t>/</t>
        </is>
      </c>
      <c r="AD231" s="141" t="n"/>
      <c r="AE231" s="25" t="inlineStr">
        <is>
          <t>1、签订期间：2026.2-8月；
2、指标按照全年换算；</t>
        </is>
      </c>
      <c r="AF231" s="232" t="inlineStr">
        <is>
          <t>1、条款：技术合作方所有人员与公司签订劳动合同，签订劳动合同的技术合作方负责人必须参加公司社保，否则不予录用；
问题：非所有分组作业人员都入职到公司，非所有负责人缴纳社保；</t>
        </is>
      </c>
    </row>
    <row r="232" ht="36" customFormat="1" customHeight="1" s="209">
      <c r="A232" s="219" t="n">
        <v>230</v>
      </c>
      <c r="B232" s="14" t="inlineStr">
        <is>
          <t>KQCY0221</t>
        </is>
      </c>
      <c r="C232" s="221" t="inlineStr">
        <is>
          <t>餐饮三分部</t>
        </is>
      </c>
      <c r="D232" s="221" t="inlineStr">
        <is>
          <t>CF781</t>
        </is>
      </c>
      <c r="E232" s="221" t="inlineStr">
        <is>
          <t>苏食院第一学生食堂</t>
        </is>
      </c>
      <c r="F232" s="219" t="inlineStr">
        <is>
          <t>分组作业</t>
        </is>
      </c>
      <c r="G232" s="222" t="inlineStr">
        <is>
          <t>吉沐牛</t>
        </is>
      </c>
      <c r="H232" s="503" t="inlineStr">
        <is>
          <t>/</t>
        </is>
      </c>
      <c r="I232" s="355" t="inlineStr">
        <is>
          <t>汤包蒸饺</t>
        </is>
      </c>
      <c r="J232" s="222" t="inlineStr">
        <is>
          <t>嵇炜</t>
        </is>
      </c>
      <c r="K232" s="224" t="inlineStr">
        <is>
          <t>/</t>
        </is>
      </c>
      <c r="L232" s="651" t="n">
        <v>540000</v>
      </c>
      <c r="M232" s="84" t="n">
        <v>0.12</v>
      </c>
      <c r="N232" s="84" t="n">
        <v>0.02</v>
      </c>
      <c r="O232" s="84" t="n">
        <v>0.02</v>
      </c>
      <c r="P232" s="84" t="n">
        <v>0.02</v>
      </c>
      <c r="Q232" s="84" t="n">
        <v>0.02</v>
      </c>
      <c r="R232" s="84" t="n">
        <v>0.01</v>
      </c>
      <c r="S232" s="71" t="inlineStr">
        <is>
          <t>/</t>
        </is>
      </c>
      <c r="T232" s="84" t="n">
        <v>0.02</v>
      </c>
      <c r="U232" s="84" t="n">
        <v>0.05</v>
      </c>
      <c r="V232" s="71" t="inlineStr">
        <is>
          <t>/</t>
        </is>
      </c>
      <c r="W232" s="94" t="n"/>
      <c r="X232" s="72" t="inlineStr">
        <is>
          <t>/</t>
        </is>
      </c>
      <c r="Y232" s="72" t="inlineStr">
        <is>
          <t>/</t>
        </is>
      </c>
      <c r="Z232" s="71" t="inlineStr">
        <is>
          <t>/</t>
        </is>
      </c>
      <c r="AA232" s="71" t="inlineStr">
        <is>
          <t>/</t>
        </is>
      </c>
      <c r="AB232" s="222" t="inlineStr">
        <is>
          <t>/</t>
        </is>
      </c>
      <c r="AC232" s="46" t="inlineStr">
        <is>
          <t>/</t>
        </is>
      </c>
      <c r="AD232" s="141" t="n"/>
      <c r="AE232" s="25" t="inlineStr">
        <is>
          <t>1、签订期间：2026.2-8月；
2、指标按照全年换算；</t>
        </is>
      </c>
      <c r="AF232" s="232" t="inlineStr">
        <is>
          <t>1、条款：技术合作方所有人员与公司签订劳动合同，签订劳动合同的技术合作方负责人必须参加公司社保，否则不予录用；
问题：非所有分组作业人员都入职到公司，非所有负责人缴纳社保；</t>
        </is>
      </c>
    </row>
    <row r="233" ht="36" customFormat="1" customHeight="1" s="209">
      <c r="A233" s="219" t="n">
        <v>231</v>
      </c>
      <c r="B233" s="14" t="inlineStr">
        <is>
          <t>KQCY0222</t>
        </is>
      </c>
      <c r="C233" s="221" t="inlineStr">
        <is>
          <t>餐饮三分部</t>
        </is>
      </c>
      <c r="D233" s="221" t="inlineStr">
        <is>
          <t>CF781</t>
        </is>
      </c>
      <c r="E233" s="221" t="inlineStr">
        <is>
          <t>苏食院第一学生食堂</t>
        </is>
      </c>
      <c r="F233" s="219" t="inlineStr">
        <is>
          <t>分组作业</t>
        </is>
      </c>
      <c r="G233" s="222" t="inlineStr">
        <is>
          <t>吉沐牛</t>
        </is>
      </c>
      <c r="H233" s="503" t="inlineStr">
        <is>
          <t>/</t>
        </is>
      </c>
      <c r="I233" s="355" t="inlineStr">
        <is>
          <t>套餐饭</t>
        </is>
      </c>
      <c r="J233" s="222" t="inlineStr">
        <is>
          <t>白亚雪</t>
        </is>
      </c>
      <c r="K233" s="224" t="inlineStr">
        <is>
          <t>/</t>
        </is>
      </c>
      <c r="L233" s="651" t="n">
        <v>600000</v>
      </c>
      <c r="M233" s="84" t="n">
        <v>0.12</v>
      </c>
      <c r="N233" s="84" t="n">
        <v>0.02</v>
      </c>
      <c r="O233" s="84" t="n">
        <v>0.02</v>
      </c>
      <c r="P233" s="84" t="n">
        <v>0.02</v>
      </c>
      <c r="Q233" s="84" t="n">
        <v>0.02</v>
      </c>
      <c r="R233" s="84" t="n">
        <v>0.01</v>
      </c>
      <c r="S233" s="71" t="inlineStr">
        <is>
          <t>/</t>
        </is>
      </c>
      <c r="T233" s="84" t="n">
        <v>0.02</v>
      </c>
      <c r="U233" s="84" t="n">
        <v>0.05</v>
      </c>
      <c r="V233" s="71" t="inlineStr">
        <is>
          <t>/</t>
        </is>
      </c>
      <c r="W233" s="94" t="n"/>
      <c r="X233" s="72" t="inlineStr">
        <is>
          <t>/</t>
        </is>
      </c>
      <c r="Y233" s="72" t="inlineStr">
        <is>
          <t>/</t>
        </is>
      </c>
      <c r="Z233" s="71" t="inlineStr">
        <is>
          <t>/</t>
        </is>
      </c>
      <c r="AA233" s="71" t="inlineStr">
        <is>
          <t>/</t>
        </is>
      </c>
      <c r="AB233" s="222" t="inlineStr">
        <is>
          <t>/</t>
        </is>
      </c>
      <c r="AC233" s="46" t="inlineStr">
        <is>
          <t>/</t>
        </is>
      </c>
      <c r="AD233" s="141" t="n"/>
      <c r="AE233" s="25" t="inlineStr">
        <is>
          <t>1、签订期间：2026.2-8月；
2、指标按照全年换算；</t>
        </is>
      </c>
      <c r="AF233" s="232" t="inlineStr">
        <is>
          <t>1、条款：技术合作方所有人员与公司签订劳动合同，签订劳动合同的技术合作方负责人必须参加公司社保，否则不予录用；
问题：非所有分组作业人员都入职到公司，非所有负责人缴纳社保；</t>
        </is>
      </c>
    </row>
    <row r="234" ht="36" customFormat="1" customHeight="1" s="209">
      <c r="A234" s="219" t="n">
        <v>232</v>
      </c>
      <c r="B234" s="14" t="inlineStr">
        <is>
          <t>KQCY0223</t>
        </is>
      </c>
      <c r="C234" s="221" t="inlineStr">
        <is>
          <t>餐饮三分部</t>
        </is>
      </c>
      <c r="D234" s="221" t="inlineStr">
        <is>
          <t>CF781</t>
        </is>
      </c>
      <c r="E234" s="221" t="inlineStr">
        <is>
          <t>苏食院第一学生食堂</t>
        </is>
      </c>
      <c r="F234" s="219" t="inlineStr">
        <is>
          <t>分组作业</t>
        </is>
      </c>
      <c r="G234" s="222" t="inlineStr">
        <is>
          <t>吉沐牛</t>
        </is>
      </c>
      <c r="H234" s="503" t="inlineStr">
        <is>
          <t>/</t>
        </is>
      </c>
      <c r="I234" s="355" t="inlineStr">
        <is>
          <t>拉面</t>
        </is>
      </c>
      <c r="J234" s="222" t="inlineStr">
        <is>
          <t>李小东</t>
        </is>
      </c>
      <c r="K234" s="224" t="inlineStr">
        <is>
          <t>/</t>
        </is>
      </c>
      <c r="L234" s="651" t="n">
        <v>370000</v>
      </c>
      <c r="M234" s="84" t="n">
        <v>0.12</v>
      </c>
      <c r="N234" s="84" t="n">
        <v>0.01</v>
      </c>
      <c r="O234" s="84" t="n">
        <v>0.01</v>
      </c>
      <c r="P234" s="84" t="n">
        <v>0.01</v>
      </c>
      <c r="Q234" s="84" t="n">
        <v>0.01</v>
      </c>
      <c r="R234" s="84" t="n">
        <v>0.01</v>
      </c>
      <c r="S234" s="71" t="inlineStr">
        <is>
          <t>/</t>
        </is>
      </c>
      <c r="T234" s="84" t="n">
        <v>0.01</v>
      </c>
      <c r="U234" s="84" t="n">
        <v>0.04</v>
      </c>
      <c r="V234" s="71" t="inlineStr">
        <is>
          <t>/</t>
        </is>
      </c>
      <c r="W234" s="94" t="n"/>
      <c r="X234" s="72" t="inlineStr">
        <is>
          <t>/</t>
        </is>
      </c>
      <c r="Y234" s="72" t="inlineStr">
        <is>
          <t>/</t>
        </is>
      </c>
      <c r="Z234" s="71" t="inlineStr">
        <is>
          <t>/</t>
        </is>
      </c>
      <c r="AA234" s="71" t="inlineStr">
        <is>
          <t>/</t>
        </is>
      </c>
      <c r="AB234" s="222" t="inlineStr">
        <is>
          <t>/</t>
        </is>
      </c>
      <c r="AC234" s="46" t="inlineStr">
        <is>
          <t>/</t>
        </is>
      </c>
      <c r="AD234" s="141" t="n"/>
      <c r="AE234" s="25" t="inlineStr">
        <is>
          <t>1、签订期间：2026.2-8月；
2、指标按照全年换算；</t>
        </is>
      </c>
      <c r="AF234" s="232" t="inlineStr">
        <is>
          <t>1、条款：技术合作方所有人员与公司签订劳动合同，签订劳动合同的技术合作方负责人必须参加公司社保，否则不予录用；
问题：非所有分组作业人员都入职到公司，非所有负责人缴纳社保；</t>
        </is>
      </c>
    </row>
    <row r="235" ht="36" customFormat="1" customHeight="1" s="209">
      <c r="A235" s="219" t="n">
        <v>233</v>
      </c>
      <c r="B235" s="14" t="inlineStr">
        <is>
          <t>KQCY0224</t>
        </is>
      </c>
      <c r="C235" s="221" t="inlineStr">
        <is>
          <t>餐饮三分部</t>
        </is>
      </c>
      <c r="D235" s="221" t="inlineStr">
        <is>
          <t>CF781</t>
        </is>
      </c>
      <c r="E235" s="221" t="inlineStr">
        <is>
          <t>苏食院第一学生食堂</t>
        </is>
      </c>
      <c r="F235" s="219" t="inlineStr">
        <is>
          <t>分组作业</t>
        </is>
      </c>
      <c r="G235" s="222" t="inlineStr">
        <is>
          <t>吉沐牛</t>
        </is>
      </c>
      <c r="H235" s="503" t="inlineStr">
        <is>
          <t>/</t>
        </is>
      </c>
      <c r="I235" s="232" t="inlineStr">
        <is>
          <t>水吧</t>
        </is>
      </c>
      <c r="J235" s="222" t="inlineStr">
        <is>
          <t>王树松</t>
        </is>
      </c>
      <c r="K235" s="224" t="inlineStr">
        <is>
          <t>/</t>
        </is>
      </c>
      <c r="L235" s="651" t="n">
        <v>250000</v>
      </c>
      <c r="M235" s="84" t="n">
        <v>0.12</v>
      </c>
      <c r="N235" s="84" t="n">
        <v>0.01</v>
      </c>
      <c r="O235" s="84" t="n">
        <v>0.01</v>
      </c>
      <c r="P235" s="84" t="n">
        <v>0.01</v>
      </c>
      <c r="Q235" s="84" t="n">
        <v>0.01</v>
      </c>
      <c r="R235" s="84" t="n">
        <v>0.01</v>
      </c>
      <c r="S235" s="71" t="inlineStr">
        <is>
          <t>/</t>
        </is>
      </c>
      <c r="T235" s="84" t="n">
        <v>0.01</v>
      </c>
      <c r="U235" s="84" t="n">
        <v>0.05</v>
      </c>
      <c r="V235" s="71" t="inlineStr">
        <is>
          <t>/</t>
        </is>
      </c>
      <c r="W235" s="94" t="n"/>
      <c r="X235" s="72" t="inlineStr">
        <is>
          <t>/</t>
        </is>
      </c>
      <c r="Y235" s="72" t="inlineStr">
        <is>
          <t>/</t>
        </is>
      </c>
      <c r="Z235" s="71" t="inlineStr">
        <is>
          <t>/</t>
        </is>
      </c>
      <c r="AA235" s="71" t="inlineStr">
        <is>
          <t>/</t>
        </is>
      </c>
      <c r="AB235" s="222" t="inlineStr">
        <is>
          <t>/</t>
        </is>
      </c>
      <c r="AC235" s="46" t="inlineStr">
        <is>
          <t>/</t>
        </is>
      </c>
      <c r="AD235" s="141" t="n"/>
      <c r="AE235" s="25" t="inlineStr">
        <is>
          <t>1、签订期间：2026.2-8月；
2、指标按照全年换算；</t>
        </is>
      </c>
      <c r="AF235" s="232" t="inlineStr">
        <is>
          <t>1、条款：技术合作方所有人员与公司签订劳动合同，签订劳动合同的技术合作方负责人必须参加公司社保，否则不予录用；
问题：非所有分组作业人员都入职到公司，非所有负责人缴纳社保；</t>
        </is>
      </c>
    </row>
    <row r="236" ht="36" customFormat="1" customHeight="1" s="209">
      <c r="A236" s="219" t="n">
        <v>234</v>
      </c>
      <c r="B236" s="14" t="inlineStr">
        <is>
          <t>KQCY0225</t>
        </is>
      </c>
      <c r="C236" s="221" t="inlineStr">
        <is>
          <t>餐饮三分部</t>
        </is>
      </c>
      <c r="D236" s="221" t="inlineStr">
        <is>
          <t>CF781</t>
        </is>
      </c>
      <c r="E236" s="221" t="inlineStr">
        <is>
          <t>苏食院第一学生食堂</t>
        </is>
      </c>
      <c r="F236" s="219" t="inlineStr">
        <is>
          <t>分组作业</t>
        </is>
      </c>
      <c r="G236" s="222" t="inlineStr">
        <is>
          <t>吉沐牛</t>
        </is>
      </c>
      <c r="H236" s="503" t="inlineStr">
        <is>
          <t>/</t>
        </is>
      </c>
      <c r="I236" s="355" t="inlineStr">
        <is>
          <t>面包</t>
        </is>
      </c>
      <c r="J236" s="222" t="inlineStr">
        <is>
          <t>汪雨凤</t>
        </is>
      </c>
      <c r="K236" s="224" t="inlineStr">
        <is>
          <t>/</t>
        </is>
      </c>
      <c r="L236" s="651" t="n">
        <v>300000</v>
      </c>
      <c r="M236" s="84" t="n">
        <v>0.12</v>
      </c>
      <c r="N236" s="84" t="n">
        <v>0.01</v>
      </c>
      <c r="O236" s="84" t="n">
        <v>0.01</v>
      </c>
      <c r="P236" s="84" t="n">
        <v>0.01</v>
      </c>
      <c r="Q236" s="84" t="n">
        <v>0.01</v>
      </c>
      <c r="R236" s="84" t="n">
        <v>0.01</v>
      </c>
      <c r="S236" s="71" t="inlineStr">
        <is>
          <t>/</t>
        </is>
      </c>
      <c r="T236" s="84" t="n">
        <v>0.02</v>
      </c>
      <c r="U236" s="84" t="n">
        <v>0.05</v>
      </c>
      <c r="V236" s="71" t="inlineStr">
        <is>
          <t>/</t>
        </is>
      </c>
      <c r="W236" s="94" t="n"/>
      <c r="X236" s="72" t="inlineStr">
        <is>
          <t>/</t>
        </is>
      </c>
      <c r="Y236" s="72" t="inlineStr">
        <is>
          <t>/</t>
        </is>
      </c>
      <c r="Z236" s="71" t="inlineStr">
        <is>
          <t>/</t>
        </is>
      </c>
      <c r="AA236" s="71" t="inlineStr">
        <is>
          <t>/</t>
        </is>
      </c>
      <c r="AB236" s="222" t="inlineStr">
        <is>
          <t>/</t>
        </is>
      </c>
      <c r="AC236" s="46" t="inlineStr">
        <is>
          <t>/</t>
        </is>
      </c>
      <c r="AD236" s="142" t="n"/>
      <c r="AE236" s="25" t="inlineStr">
        <is>
          <t>1、签订期间：2026.2-8月；
2、指标按照全年换算；</t>
        </is>
      </c>
      <c r="AF236" s="232" t="inlineStr">
        <is>
          <t>1、条款：技术合作方所有人员与公司签订劳动合同，签订劳动合同的技术合作方负责人必须参加公司社保，否则不予录用；
问题：非所有分组作业人员都入职到公司，非所有负责人缴纳社保；</t>
        </is>
      </c>
    </row>
    <row r="237" ht="36" customFormat="1" customHeight="1" s="209">
      <c r="A237" s="219" t="n">
        <v>235</v>
      </c>
      <c r="B237" s="14" t="inlineStr">
        <is>
          <t>KQCY0226</t>
        </is>
      </c>
      <c r="C237" s="221" t="inlineStr">
        <is>
          <t>餐饮三分部</t>
        </is>
      </c>
      <c r="D237" s="221" t="inlineStr">
        <is>
          <t>CF781</t>
        </is>
      </c>
      <c r="E237" s="221" t="inlineStr">
        <is>
          <t>苏食院第一学生食堂</t>
        </is>
      </c>
      <c r="F237" s="219" t="inlineStr">
        <is>
          <t>分组作业</t>
        </is>
      </c>
      <c r="G237" s="222" t="inlineStr">
        <is>
          <t>吉沐牛</t>
        </is>
      </c>
      <c r="H237" s="503" t="inlineStr">
        <is>
          <t>/</t>
        </is>
      </c>
      <c r="I237" s="355" t="inlineStr">
        <is>
          <t>蹦蹦鸡</t>
        </is>
      </c>
      <c r="J237" s="222" t="inlineStr">
        <is>
          <t>朱海涛</t>
        </is>
      </c>
      <c r="K237" s="224" t="inlineStr">
        <is>
          <t>/</t>
        </is>
      </c>
      <c r="L237" s="651" t="n">
        <v>360000</v>
      </c>
      <c r="M237" s="84" t="n">
        <v>0.12</v>
      </c>
      <c r="N237" s="84" t="n">
        <v>0.02</v>
      </c>
      <c r="O237" s="84" t="n">
        <v>0.02</v>
      </c>
      <c r="P237" s="84" t="n">
        <v>0.02</v>
      </c>
      <c r="Q237" s="84" t="n">
        <v>0.02</v>
      </c>
      <c r="R237" s="84" t="n">
        <v>0.01</v>
      </c>
      <c r="S237" s="71" t="inlineStr">
        <is>
          <t>/</t>
        </is>
      </c>
      <c r="T237" s="84" t="n">
        <v>0.02</v>
      </c>
      <c r="U237" s="84" t="n">
        <v>0.05</v>
      </c>
      <c r="V237" s="71" t="inlineStr">
        <is>
          <t>/</t>
        </is>
      </c>
      <c r="W237" s="94" t="n"/>
      <c r="X237" s="72" t="inlineStr">
        <is>
          <t>/</t>
        </is>
      </c>
      <c r="Y237" s="72" t="inlineStr">
        <is>
          <t>/</t>
        </is>
      </c>
      <c r="Z237" s="71" t="inlineStr">
        <is>
          <t>/</t>
        </is>
      </c>
      <c r="AA237" s="71" t="inlineStr">
        <is>
          <t>/</t>
        </is>
      </c>
      <c r="AB237" s="222" t="inlineStr">
        <is>
          <t>/</t>
        </is>
      </c>
      <c r="AC237" s="46" t="inlineStr">
        <is>
          <t>/</t>
        </is>
      </c>
      <c r="AD237" s="142" t="n"/>
      <c r="AE237" s="25" t="inlineStr">
        <is>
          <t>1、签订期间：2026.2-8月；
2、指标按照全年换算；</t>
        </is>
      </c>
      <c r="AF237" s="232" t="inlineStr">
        <is>
          <t>1、条款：技术合作方所有人员与公司签订劳动合同，签订劳动合同的技术合作方负责人必须参加公司社保，否则不予录用；
问题：非所有分组作业人员都入职到公司，非所有负责人缴纳社保；</t>
        </is>
      </c>
    </row>
    <row r="238" ht="36" customFormat="1" customHeight="1" s="209">
      <c r="A238" s="219" t="n">
        <v>236</v>
      </c>
      <c r="B238" s="14" t="inlineStr">
        <is>
          <t>KQCY0227</t>
        </is>
      </c>
      <c r="C238" s="221" t="inlineStr">
        <is>
          <t>餐饮三分部</t>
        </is>
      </c>
      <c r="D238" s="221" t="inlineStr">
        <is>
          <t>CF781</t>
        </is>
      </c>
      <c r="E238" s="221" t="inlineStr">
        <is>
          <t>苏食院第一学生食堂</t>
        </is>
      </c>
      <c r="F238" s="219" t="inlineStr">
        <is>
          <t>分组作业</t>
        </is>
      </c>
      <c r="G238" s="222" t="inlineStr">
        <is>
          <t>吉沐牛</t>
        </is>
      </c>
      <c r="H238" s="503" t="inlineStr">
        <is>
          <t>/</t>
        </is>
      </c>
      <c r="I238" s="355" t="inlineStr">
        <is>
          <t>水饺</t>
        </is>
      </c>
      <c r="J238" s="222" t="inlineStr">
        <is>
          <t>刘淑平</t>
        </is>
      </c>
      <c r="K238" s="224" t="inlineStr">
        <is>
          <t>/</t>
        </is>
      </c>
      <c r="L238" s="651" t="n">
        <v>250000</v>
      </c>
      <c r="M238" s="84" t="n">
        <v>0.12</v>
      </c>
      <c r="N238" s="84" t="n">
        <v>0.02</v>
      </c>
      <c r="O238" s="84" t="n">
        <v>0.02</v>
      </c>
      <c r="P238" s="84" t="n">
        <v>0.02</v>
      </c>
      <c r="Q238" s="84" t="n">
        <v>0.02</v>
      </c>
      <c r="R238" s="84" t="n">
        <v>0.01</v>
      </c>
      <c r="S238" s="71" t="inlineStr">
        <is>
          <t>/</t>
        </is>
      </c>
      <c r="T238" s="84" t="n">
        <v>0.02</v>
      </c>
      <c r="U238" s="84" t="n">
        <v>0.05</v>
      </c>
      <c r="V238" s="71" t="inlineStr">
        <is>
          <t>/</t>
        </is>
      </c>
      <c r="W238" s="94" t="n"/>
      <c r="X238" s="72" t="inlineStr">
        <is>
          <t>/</t>
        </is>
      </c>
      <c r="Y238" s="72" t="inlineStr">
        <is>
          <t>/</t>
        </is>
      </c>
      <c r="Z238" s="71" t="inlineStr">
        <is>
          <t>/</t>
        </is>
      </c>
      <c r="AA238" s="71" t="inlineStr">
        <is>
          <t>/</t>
        </is>
      </c>
      <c r="AB238" s="222" t="inlineStr">
        <is>
          <t>/</t>
        </is>
      </c>
      <c r="AC238" s="46" t="inlineStr">
        <is>
          <t>/</t>
        </is>
      </c>
      <c r="AD238" s="142" t="n"/>
      <c r="AE238" s="25" t="inlineStr">
        <is>
          <t>1、签订期间：2026.2-8月；
2、指标按照全年换算；</t>
        </is>
      </c>
      <c r="AF238" s="232" t="inlineStr">
        <is>
          <t>1、条款：技术合作方所有人员与公司签订劳动合同，签订劳动合同的技术合作方负责人必须参加公司社保，否则不予录用；
问题：非所有分组作业人员都入职到公司，非所有负责人缴纳社保；</t>
        </is>
      </c>
    </row>
    <row r="239" ht="72" customFormat="1" customHeight="1" s="209">
      <c r="A239" s="219" t="n">
        <v>237</v>
      </c>
      <c r="B239" s="14" t="inlineStr">
        <is>
          <t>KQCY0228</t>
        </is>
      </c>
      <c r="C239" s="221" t="inlineStr">
        <is>
          <t>餐饮三分部</t>
        </is>
      </c>
      <c r="D239" s="221" t="inlineStr">
        <is>
          <t>CF781</t>
        </is>
      </c>
      <c r="E239" s="221" t="inlineStr">
        <is>
          <t>苏食院第一学生食堂</t>
        </is>
      </c>
      <c r="F239" s="219" t="inlineStr">
        <is>
          <t>分组作业</t>
        </is>
      </c>
      <c r="G239" s="222" t="inlineStr">
        <is>
          <t>吉沐牛</t>
        </is>
      </c>
      <c r="H239" s="503" t="inlineStr">
        <is>
          <t>/</t>
        </is>
      </c>
      <c r="I239" s="232" t="inlineStr">
        <is>
          <t>0900汉堡</t>
        </is>
      </c>
      <c r="J239" s="222" t="inlineStr">
        <is>
          <t>张文浩</t>
        </is>
      </c>
      <c r="K239" s="224" t="inlineStr">
        <is>
          <t>/</t>
        </is>
      </c>
      <c r="L239" s="651" t="n">
        <v>340000</v>
      </c>
      <c r="M239" s="71" t="n">
        <v>8000</v>
      </c>
      <c r="N239" s="71" t="inlineStr">
        <is>
          <t>/</t>
        </is>
      </c>
      <c r="O239" s="71" t="inlineStr">
        <is>
          <t>/</t>
        </is>
      </c>
      <c r="P239" s="71" t="inlineStr">
        <is>
          <t>/</t>
        </is>
      </c>
      <c r="Q239" s="71" t="inlineStr">
        <is>
          <t>/</t>
        </is>
      </c>
      <c r="R239" s="84" t="inlineStr">
        <is>
          <t>/</t>
        </is>
      </c>
      <c r="S239" s="71" t="inlineStr">
        <is>
          <t>/</t>
        </is>
      </c>
      <c r="T239" s="71" t="inlineStr">
        <is>
          <t>/</t>
        </is>
      </c>
      <c r="U239" s="94" t="n"/>
      <c r="V239" s="71" t="inlineStr">
        <is>
          <t>/</t>
        </is>
      </c>
      <c r="W239" s="94" t="n"/>
      <c r="X239" s="72" t="inlineStr">
        <is>
          <t>/</t>
        </is>
      </c>
      <c r="Y239" s="72" t="inlineStr">
        <is>
          <t>/</t>
        </is>
      </c>
      <c r="Z239" s="71" t="inlineStr">
        <is>
          <t>/</t>
        </is>
      </c>
      <c r="AA239" s="71" t="inlineStr">
        <is>
          <t>/</t>
        </is>
      </c>
      <c r="AB239" s="222" t="inlineStr">
        <is>
          <t>/</t>
        </is>
      </c>
      <c r="AC239" s="46" t="inlineStr">
        <is>
          <t>/</t>
        </is>
      </c>
      <c r="AD239"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AE239" s="25" t="inlineStr">
        <is>
          <t>1、签订期间：2026.2-8月；
2、指标按照全年换算；
3、管理费3.2万/半年</t>
        </is>
      </c>
      <c r="AF239" s="232" t="inlineStr">
        <is>
          <t>1、条款：技术合作方所有人员与公司签订劳动合同，签订劳动合同的技术合作方负责人必须参加公司社保，否则不予录用；
问题：非所有分组作业人员都入职到公司，非所有负责人缴纳社保；</t>
        </is>
      </c>
    </row>
    <row r="240" ht="72" customFormat="1" customHeight="1" s="209">
      <c r="A240" s="219" t="n">
        <v>238</v>
      </c>
      <c r="B240" s="14" t="inlineStr">
        <is>
          <t>KQCY0229</t>
        </is>
      </c>
      <c r="C240" s="221" t="inlineStr">
        <is>
          <t>餐饮三分部</t>
        </is>
      </c>
      <c r="D240" s="221" t="inlineStr">
        <is>
          <t>CF781</t>
        </is>
      </c>
      <c r="E240" s="221" t="inlineStr">
        <is>
          <t>苏食院第一学生食堂</t>
        </is>
      </c>
      <c r="F240" s="219" t="inlineStr">
        <is>
          <t>分组作业</t>
        </is>
      </c>
      <c r="G240" s="222" t="inlineStr">
        <is>
          <t>吉沐牛</t>
        </is>
      </c>
      <c r="H240" s="503" t="inlineStr">
        <is>
          <t>/</t>
        </is>
      </c>
      <c r="I240" s="232" t="inlineStr">
        <is>
          <t>煎饼果子</t>
        </is>
      </c>
      <c r="J240" s="222" t="inlineStr">
        <is>
          <t>朱小林</t>
        </is>
      </c>
      <c r="K240" s="224" t="inlineStr">
        <is>
          <t>/</t>
        </is>
      </c>
      <c r="L240" s="651" t="n">
        <v>320000</v>
      </c>
      <c r="M240" s="71" t="n">
        <v>9000</v>
      </c>
      <c r="N240" s="71" t="inlineStr">
        <is>
          <t>/</t>
        </is>
      </c>
      <c r="O240" s="71" t="inlineStr">
        <is>
          <t>/</t>
        </is>
      </c>
      <c r="P240" s="71" t="inlineStr">
        <is>
          <t>/</t>
        </is>
      </c>
      <c r="Q240" s="71" t="inlineStr">
        <is>
          <t>/</t>
        </is>
      </c>
      <c r="R240" s="84" t="inlineStr">
        <is>
          <t>/</t>
        </is>
      </c>
      <c r="S240" s="71" t="inlineStr">
        <is>
          <t>/</t>
        </is>
      </c>
      <c r="T240" s="71" t="inlineStr">
        <is>
          <t>/</t>
        </is>
      </c>
      <c r="U240" s="94" t="n"/>
      <c r="V240" s="71" t="inlineStr">
        <is>
          <t>/</t>
        </is>
      </c>
      <c r="W240" s="94" t="n"/>
      <c r="X240" s="72" t="inlineStr">
        <is>
          <t>/</t>
        </is>
      </c>
      <c r="Y240" s="72" t="inlineStr">
        <is>
          <t>/</t>
        </is>
      </c>
      <c r="Z240" s="71" t="inlineStr">
        <is>
          <t>/</t>
        </is>
      </c>
      <c r="AA240" s="71" t="inlineStr">
        <is>
          <t>/</t>
        </is>
      </c>
      <c r="AB240" s="222" t="inlineStr">
        <is>
          <t>/</t>
        </is>
      </c>
      <c r="AC240" s="46" t="inlineStr">
        <is>
          <t>/</t>
        </is>
      </c>
      <c r="AD240"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AE240" s="25" t="inlineStr">
        <is>
          <t>1、签订期间：2026.2-8月；
2、指标按照全年换算；
3、管理费4.5万/半年</t>
        </is>
      </c>
      <c r="AF240" s="232" t="inlineStr">
        <is>
          <t>1、条款：技术合作方所有人员与公司签订劳动合同，签订劳动合同的技术合作方负责人必须参加公司社保，否则不予录用；
问题：非所有分组作业人员都入职到公司，非所有负责人缴纳社保；</t>
        </is>
      </c>
    </row>
    <row r="241" ht="12" customFormat="1" customHeight="1" s="209">
      <c r="A241" s="219" t="n">
        <v>239</v>
      </c>
      <c r="B241" s="535" t="n"/>
      <c r="C241" s="86" t="inlineStr">
        <is>
          <t>餐饮三分部</t>
        </is>
      </c>
      <c r="D241" s="86" t="inlineStr">
        <is>
          <t>CF320</t>
        </is>
      </c>
      <c r="E241" s="86" t="inlineStr">
        <is>
          <t>江苏财经梅园食堂</t>
        </is>
      </c>
      <c r="F241" s="335" t="inlineStr">
        <is>
          <t>自营</t>
        </is>
      </c>
      <c r="G241" s="243" t="inlineStr">
        <is>
          <t>吉沐牛</t>
        </is>
      </c>
      <c r="H241" s="480" t="inlineStr">
        <is>
          <t>/</t>
        </is>
      </c>
      <c r="I241" s="335" t="inlineStr">
        <is>
          <t>/</t>
        </is>
      </c>
      <c r="J241" s="335" t="inlineStr">
        <is>
          <t>/</t>
        </is>
      </c>
      <c r="K241" s="349" t="inlineStr">
        <is>
          <t>/</t>
        </is>
      </c>
      <c r="L241" s="651" t="inlineStr">
        <is>
          <t>/</t>
        </is>
      </c>
      <c r="M241" s="349" t="inlineStr">
        <is>
          <t>/</t>
        </is>
      </c>
      <c r="N241" s="47" t="n"/>
      <c r="O241" s="47" t="n"/>
      <c r="P241" s="47" t="n"/>
      <c r="Q241" s="349" t="inlineStr">
        <is>
          <t>/</t>
        </is>
      </c>
      <c r="R241" s="47" t="n"/>
      <c r="S241" s="349" t="inlineStr">
        <is>
          <t>/</t>
        </is>
      </c>
      <c r="T241" s="47" t="n"/>
      <c r="U241" s="47" t="n"/>
      <c r="V241" s="656" t="n"/>
      <c r="W241" s="44" t="n"/>
      <c r="X241" s="349" t="inlineStr">
        <is>
          <t>/</t>
        </is>
      </c>
      <c r="Y241" s="480" t="inlineStr">
        <is>
          <t>/</t>
        </is>
      </c>
      <c r="Z241" s="480" t="inlineStr">
        <is>
          <t>/</t>
        </is>
      </c>
      <c r="AA241" s="480" t="inlineStr">
        <is>
          <t>/</t>
        </is>
      </c>
      <c r="AB241" s="46" t="n">
        <v>0.05</v>
      </c>
      <c r="AC241" s="118" t="inlineStr">
        <is>
          <t>/</t>
        </is>
      </c>
      <c r="AD241" s="48" t="inlineStr">
        <is>
          <t>1、自营未实际经营；</t>
        </is>
      </c>
      <c r="AE241" s="25" t="n"/>
      <c r="AF241" s="232" t="n"/>
    </row>
    <row r="242" ht="120" customFormat="1" customHeight="1" s="209">
      <c r="A242" s="219" t="n">
        <v>240</v>
      </c>
      <c r="B242" s="14" t="inlineStr">
        <is>
          <t>KQCY0230</t>
        </is>
      </c>
      <c r="C242" s="221" t="inlineStr">
        <is>
          <t>餐饮三分部</t>
        </is>
      </c>
      <c r="D242" s="221" t="inlineStr">
        <is>
          <t>CF320</t>
        </is>
      </c>
      <c r="E242" s="221" t="inlineStr">
        <is>
          <t>江苏财经梅园食堂</t>
        </is>
      </c>
      <c r="F242" s="219" t="inlineStr">
        <is>
          <t>分组作业</t>
        </is>
      </c>
      <c r="G242" s="222" t="inlineStr">
        <is>
          <t>吉沐牛</t>
        </is>
      </c>
      <c r="H242" s="503" t="inlineStr">
        <is>
          <t>/</t>
        </is>
      </c>
      <c r="I242" s="237" t="inlineStr">
        <is>
          <t>喜翻拌</t>
        </is>
      </c>
      <c r="J242" s="219" t="inlineStr">
        <is>
          <t>赵建芳</t>
        </is>
      </c>
      <c r="K242" s="224" t="inlineStr">
        <is>
          <t>/</t>
        </is>
      </c>
      <c r="L242" s="651" t="n">
        <v>732000</v>
      </c>
      <c r="M242" s="77" t="n">
        <v>0.14</v>
      </c>
      <c r="N242" s="77" t="n">
        <v>0.01</v>
      </c>
      <c r="O242" s="77" t="n">
        <v>0.02</v>
      </c>
      <c r="P242" s="77" t="n">
        <v>0.01</v>
      </c>
      <c r="Q242" s="77" t="n">
        <v>0.02</v>
      </c>
      <c r="R242" s="77" t="n">
        <v>0.03</v>
      </c>
      <c r="S242" s="77" t="n">
        <v>0.02</v>
      </c>
      <c r="T242" s="77" t="n">
        <v>0.02</v>
      </c>
      <c r="U242" s="77" t="n">
        <v>0.02</v>
      </c>
      <c r="V242" s="573" t="n">
        <v>50</v>
      </c>
      <c r="W242" s="77" t="n">
        <v>0.5</v>
      </c>
      <c r="X242" s="77" t="inlineStr">
        <is>
          <t>/</t>
        </is>
      </c>
      <c r="Y242" s="72" t="inlineStr">
        <is>
          <t>/</t>
        </is>
      </c>
      <c r="Z242" s="72" t="inlineStr">
        <is>
          <t>/</t>
        </is>
      </c>
      <c r="AA242" s="72" t="inlineStr">
        <is>
          <t>/</t>
        </is>
      </c>
      <c r="AB242" s="51" t="inlineStr">
        <is>
          <t>/</t>
        </is>
      </c>
      <c r="AC242" s="46" t="inlineStr">
        <is>
          <t>/</t>
        </is>
      </c>
      <c r="AD242" s="82" t="n"/>
      <c r="AE242" s="25" t="inlineStr">
        <is>
          <t>1、签订期间：2026.2-7月；
2、指标按照全年换算；</t>
        </is>
      </c>
      <c r="AF242"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43" ht="120" customFormat="1" customHeight="1" s="209">
      <c r="A243" s="219" t="n">
        <v>241</v>
      </c>
      <c r="B243" s="14" t="inlineStr">
        <is>
          <t>KQCY0231</t>
        </is>
      </c>
      <c r="C243" s="221" t="inlineStr">
        <is>
          <t>餐饮三分部</t>
        </is>
      </c>
      <c r="D243" s="221" t="inlineStr">
        <is>
          <t>CF320</t>
        </is>
      </c>
      <c r="E243" s="221" t="inlineStr">
        <is>
          <t>江苏财经梅园食堂</t>
        </is>
      </c>
      <c r="F243" s="219" t="inlineStr">
        <is>
          <t>分组作业</t>
        </is>
      </c>
      <c r="G243" s="222" t="inlineStr">
        <is>
          <t>吉沐牛</t>
        </is>
      </c>
      <c r="H243" s="503" t="inlineStr">
        <is>
          <t>/</t>
        </is>
      </c>
      <c r="I243" s="237" t="inlineStr">
        <is>
          <t>石锅菜</t>
        </is>
      </c>
      <c r="J243" s="219" t="inlineStr">
        <is>
          <t>马成霞</t>
        </is>
      </c>
      <c r="K243" s="224" t="inlineStr">
        <is>
          <t>/</t>
        </is>
      </c>
      <c r="L243" s="651" t="n">
        <v>316800</v>
      </c>
      <c r="M243" s="77" t="n">
        <v>0.14</v>
      </c>
      <c r="N243" s="77" t="n">
        <v>0.01</v>
      </c>
      <c r="O243" s="77" t="n">
        <v>0.02</v>
      </c>
      <c r="P243" s="77" t="n">
        <v>0.01</v>
      </c>
      <c r="Q243" s="77" t="n">
        <v>0.02</v>
      </c>
      <c r="R243" s="77" t="n">
        <v>0.03</v>
      </c>
      <c r="S243" s="77" t="n">
        <v>0.02</v>
      </c>
      <c r="T243" s="77" t="n">
        <v>0.02</v>
      </c>
      <c r="U243" s="77" t="n">
        <v>0.02</v>
      </c>
      <c r="V243" s="573" t="n">
        <v>50</v>
      </c>
      <c r="W243" s="77" t="n">
        <v>0.5</v>
      </c>
      <c r="X243" s="77" t="inlineStr">
        <is>
          <t>/</t>
        </is>
      </c>
      <c r="Y243" s="72" t="inlineStr">
        <is>
          <t>/</t>
        </is>
      </c>
      <c r="Z243" s="72" t="inlineStr">
        <is>
          <t>/</t>
        </is>
      </c>
      <c r="AA243" s="72" t="inlineStr">
        <is>
          <t>/</t>
        </is>
      </c>
      <c r="AB243" s="51" t="inlineStr">
        <is>
          <t>/</t>
        </is>
      </c>
      <c r="AC243" s="46" t="inlineStr">
        <is>
          <t>/</t>
        </is>
      </c>
      <c r="AD243" s="82" t="n"/>
      <c r="AE243" s="25" t="inlineStr">
        <is>
          <t>1、签订期间：2026.2-7月；
2、指标按照全年换算；</t>
        </is>
      </c>
      <c r="AF243"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44" ht="120" customFormat="1" customHeight="1" s="209">
      <c r="A244" s="219" t="n">
        <v>242</v>
      </c>
      <c r="B244" s="14" t="inlineStr">
        <is>
          <t>KQCY0232</t>
        </is>
      </c>
      <c r="C244" s="221" t="inlineStr">
        <is>
          <t>餐饮三分部</t>
        </is>
      </c>
      <c r="D244" s="221" t="inlineStr">
        <is>
          <t>CF320</t>
        </is>
      </c>
      <c r="E244" s="221" t="inlineStr">
        <is>
          <t>江苏财经梅园食堂</t>
        </is>
      </c>
      <c r="F244" s="219" t="inlineStr">
        <is>
          <t>分组作业</t>
        </is>
      </c>
      <c r="G244" s="222" t="inlineStr">
        <is>
          <t>吉沐牛</t>
        </is>
      </c>
      <c r="H244" s="503" t="inlineStr">
        <is>
          <t>/</t>
        </is>
      </c>
      <c r="I244" s="237" t="inlineStr">
        <is>
          <t>盖码面/饭</t>
        </is>
      </c>
      <c r="J244" s="219" t="inlineStr">
        <is>
          <t>辛保帆</t>
        </is>
      </c>
      <c r="K244" s="224" t="inlineStr">
        <is>
          <t>/</t>
        </is>
      </c>
      <c r="L244" s="651" t="n">
        <v>667200</v>
      </c>
      <c r="M244" s="77" t="inlineStr">
        <is>
          <t>29%/28%</t>
        </is>
      </c>
      <c r="N244" s="77" t="inlineStr">
        <is>
          <t>/</t>
        </is>
      </c>
      <c r="O244" s="77" t="inlineStr">
        <is>
          <t>/</t>
        </is>
      </c>
      <c r="P244" s="77" t="inlineStr">
        <is>
          <t>/</t>
        </is>
      </c>
      <c r="Q244" s="77" t="inlineStr">
        <is>
          <t>/</t>
        </is>
      </c>
      <c r="R244" s="77" t="inlineStr">
        <is>
          <t>/</t>
        </is>
      </c>
      <c r="S244" s="77" t="inlineStr">
        <is>
          <t>/</t>
        </is>
      </c>
      <c r="T244" s="77" t="inlineStr">
        <is>
          <t>/</t>
        </is>
      </c>
      <c r="U244" s="77" t="inlineStr">
        <is>
          <t>/</t>
        </is>
      </c>
      <c r="V244" s="573" t="n">
        <v>50</v>
      </c>
      <c r="W244" s="77" t="n">
        <v>0.5</v>
      </c>
      <c r="X244" s="77" t="inlineStr">
        <is>
          <t>/</t>
        </is>
      </c>
      <c r="Y244" s="72" t="inlineStr">
        <is>
          <t>/</t>
        </is>
      </c>
      <c r="Z244" s="72" t="inlineStr">
        <is>
          <t>/</t>
        </is>
      </c>
      <c r="AA244" s="72" t="inlineStr">
        <is>
          <t>/</t>
        </is>
      </c>
      <c r="AB244" s="51" t="inlineStr">
        <is>
          <t>/</t>
        </is>
      </c>
      <c r="AC244" s="46" t="inlineStr">
        <is>
          <t>/</t>
        </is>
      </c>
      <c r="AD244" s="82" t="inlineStr">
        <is>
          <t>1、服务费：超过6万按28%，未超过按29%收取管理费；
2、虫害消杀：项目反馈不收取，包含在服务费中；
3、采购费：项目反馈不收取，包含在服务费中；
4、装修折旧费：项目反馈不收取，包含在服务费中；
5、管理人员费：项目反馈不收取，包含在服务费中；
6、共建活动费：项目反馈不收取，包含在服务费中；
7、资产费：项目反馈不收取，包含在服务费中；
8、卫生费：项目反馈不收取，包含在服务费中；
9、能源费：项目反馈不收取，包含在服务费中；</t>
        </is>
      </c>
      <c r="AE244" s="25" t="inlineStr">
        <is>
          <t>1、签订期间：2026.3-7月；
2、指标按照全年换算；
3、管理费6万以上28%，以下29%；</t>
        </is>
      </c>
      <c r="AF244"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45" ht="120" customFormat="1" customHeight="1" s="209">
      <c r="A245" s="219" t="n">
        <v>243</v>
      </c>
      <c r="B245" s="14" t="inlineStr">
        <is>
          <t>KQCY0233</t>
        </is>
      </c>
      <c r="C245" s="221" t="inlineStr">
        <is>
          <t>餐饮三分部</t>
        </is>
      </c>
      <c r="D245" s="221" t="inlineStr">
        <is>
          <t>CF320</t>
        </is>
      </c>
      <c r="E245" s="221" t="inlineStr">
        <is>
          <t>江苏财经梅园食堂</t>
        </is>
      </c>
      <c r="F245" s="219" t="inlineStr">
        <is>
          <t>分组作业</t>
        </is>
      </c>
      <c r="G245" s="222" t="inlineStr">
        <is>
          <t>吉沐牛</t>
        </is>
      </c>
      <c r="H245" s="503" t="inlineStr">
        <is>
          <t>/</t>
        </is>
      </c>
      <c r="I245" s="237" t="inlineStr">
        <is>
          <t>快餐</t>
        </is>
      </c>
      <c r="J245" s="219" t="inlineStr">
        <is>
          <t>黄信生</t>
        </is>
      </c>
      <c r="K245" s="224" t="inlineStr">
        <is>
          <t>/</t>
        </is>
      </c>
      <c r="L245" s="651" t="n">
        <v>1519200</v>
      </c>
      <c r="M245" s="77" t="n">
        <v>0.12</v>
      </c>
      <c r="N245" s="77" t="n">
        <v>0.01</v>
      </c>
      <c r="O245" s="77" t="n">
        <v>0.02</v>
      </c>
      <c r="P245" s="77" t="n">
        <v>0.01</v>
      </c>
      <c r="Q245" s="77" t="n">
        <v>0.02</v>
      </c>
      <c r="R245" s="77" t="n">
        <v>0.01</v>
      </c>
      <c r="S245" s="77" t="n">
        <v>0.01</v>
      </c>
      <c r="T245" s="77" t="n">
        <v>0.01</v>
      </c>
      <c r="U245" s="77" t="n">
        <v>0.01</v>
      </c>
      <c r="V245" s="573" t="n">
        <v>50</v>
      </c>
      <c r="W245" s="77" t="n">
        <v>0.5</v>
      </c>
      <c r="X245" s="77" t="inlineStr">
        <is>
          <t>/</t>
        </is>
      </c>
      <c r="Y245" s="72" t="inlineStr">
        <is>
          <t>/</t>
        </is>
      </c>
      <c r="Z245" s="72" t="inlineStr">
        <is>
          <t>/</t>
        </is>
      </c>
      <c r="AA245" s="72" t="inlineStr">
        <is>
          <t>/</t>
        </is>
      </c>
      <c r="AB245" s="51" t="inlineStr">
        <is>
          <t>/</t>
        </is>
      </c>
      <c r="AC245" s="46" t="inlineStr">
        <is>
          <t>/</t>
        </is>
      </c>
      <c r="AD245" s="82" t="n"/>
      <c r="AE245" s="25" t="inlineStr">
        <is>
          <t>1、签订期间：2026.3-7月；
2、指标按照全年换算；</t>
        </is>
      </c>
      <c r="AF245"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46" ht="120" customFormat="1" customHeight="1" s="209">
      <c r="A246" s="219" t="n">
        <v>244</v>
      </c>
      <c r="B246" s="14" t="inlineStr">
        <is>
          <t>KQCY0234</t>
        </is>
      </c>
      <c r="C246" s="221" t="inlineStr">
        <is>
          <t>餐饮三分部</t>
        </is>
      </c>
      <c r="D246" s="221" t="inlineStr">
        <is>
          <t>CF320</t>
        </is>
      </c>
      <c r="E246" s="221" t="inlineStr">
        <is>
          <t>江苏财经梅园食堂</t>
        </is>
      </c>
      <c r="F246" s="219" t="inlineStr">
        <is>
          <t>分组作业</t>
        </is>
      </c>
      <c r="G246" s="222" t="inlineStr">
        <is>
          <t>吉沐牛</t>
        </is>
      </c>
      <c r="H246" s="503" t="inlineStr">
        <is>
          <t>/</t>
        </is>
      </c>
      <c r="I246" s="237" t="inlineStr">
        <is>
          <t>早点</t>
        </is>
      </c>
      <c r="J246" s="219" t="inlineStr">
        <is>
          <t>李帮</t>
        </is>
      </c>
      <c r="K246" s="224" t="inlineStr">
        <is>
          <t>/</t>
        </is>
      </c>
      <c r="L246" s="651" t="n">
        <v>868800</v>
      </c>
      <c r="M246" s="77" t="n">
        <v>0.14</v>
      </c>
      <c r="N246" s="77" t="n">
        <v>0.01</v>
      </c>
      <c r="O246" s="77" t="n">
        <v>0.02</v>
      </c>
      <c r="P246" s="77" t="n">
        <v>0.01</v>
      </c>
      <c r="Q246" s="77" t="n">
        <v>0.02</v>
      </c>
      <c r="R246" s="77" t="n">
        <v>0.03</v>
      </c>
      <c r="S246" s="77" t="n">
        <v>0.02</v>
      </c>
      <c r="T246" s="77" t="n">
        <v>0.01</v>
      </c>
      <c r="U246" s="77" t="n">
        <v>0.02</v>
      </c>
      <c r="V246" s="573" t="n">
        <v>50</v>
      </c>
      <c r="W246" s="77" t="n">
        <v>0.5</v>
      </c>
      <c r="X246" s="77" t="inlineStr">
        <is>
          <t>/</t>
        </is>
      </c>
      <c r="Y246" s="72" t="inlineStr">
        <is>
          <t>/</t>
        </is>
      </c>
      <c r="Z246" s="72" t="inlineStr">
        <is>
          <t>/</t>
        </is>
      </c>
      <c r="AA246" s="72" t="inlineStr">
        <is>
          <t>/</t>
        </is>
      </c>
      <c r="AB246" s="51" t="inlineStr">
        <is>
          <t>/</t>
        </is>
      </c>
      <c r="AC246" s="46" t="inlineStr">
        <is>
          <t>/</t>
        </is>
      </c>
      <c r="AD246" s="82" t="n"/>
      <c r="AE246" s="25" t="inlineStr">
        <is>
          <t>1、签订期间：2026.3-7月；
2、指标按照全年换算；</t>
        </is>
      </c>
      <c r="AF246"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47" ht="120" customFormat="1" customHeight="1" s="209">
      <c r="A247" s="219" t="n">
        <v>245</v>
      </c>
      <c r="B247" s="14" t="inlineStr">
        <is>
          <t>KQCY0235</t>
        </is>
      </c>
      <c r="C247" s="221" t="inlineStr">
        <is>
          <t>餐饮三分部</t>
        </is>
      </c>
      <c r="D247" s="221" t="inlineStr">
        <is>
          <t>CF320</t>
        </is>
      </c>
      <c r="E247" s="221" t="inlineStr">
        <is>
          <t>江苏财经梅园食堂</t>
        </is>
      </c>
      <c r="F247" s="219" t="inlineStr">
        <is>
          <t>分组作业</t>
        </is>
      </c>
      <c r="G247" s="222" t="inlineStr">
        <is>
          <t>吉沐牛</t>
        </is>
      </c>
      <c r="H247" s="503" t="inlineStr">
        <is>
          <t>/</t>
        </is>
      </c>
      <c r="I247" s="237" t="inlineStr">
        <is>
          <t>双拼饭</t>
        </is>
      </c>
      <c r="J247" s="219" t="inlineStr">
        <is>
          <t>相加生</t>
        </is>
      </c>
      <c r="K247" s="224" t="inlineStr">
        <is>
          <t>/</t>
        </is>
      </c>
      <c r="L247" s="651" t="n">
        <v>780000</v>
      </c>
      <c r="M247" s="77" t="n">
        <v>0.14</v>
      </c>
      <c r="N247" s="77" t="n">
        <v>0.01</v>
      </c>
      <c r="O247" s="77" t="n">
        <v>0.02</v>
      </c>
      <c r="P247" s="77" t="n">
        <v>0.01</v>
      </c>
      <c r="Q247" s="77" t="n">
        <v>0.02</v>
      </c>
      <c r="R247" s="77" t="n">
        <v>0.03</v>
      </c>
      <c r="S247" s="77" t="n">
        <v>0.02</v>
      </c>
      <c r="T247" s="77" t="n">
        <v>0.02</v>
      </c>
      <c r="U247" s="77" t="n">
        <v>0.02</v>
      </c>
      <c r="V247" s="573" t="n">
        <v>50</v>
      </c>
      <c r="W247" s="77" t="n">
        <v>0.5</v>
      </c>
      <c r="X247" s="77" t="inlineStr">
        <is>
          <t>/</t>
        </is>
      </c>
      <c r="Y247" s="72" t="inlineStr">
        <is>
          <t>/</t>
        </is>
      </c>
      <c r="Z247" s="72" t="inlineStr">
        <is>
          <t>/</t>
        </is>
      </c>
      <c r="AA247" s="72" t="inlineStr">
        <is>
          <t>/</t>
        </is>
      </c>
      <c r="AB247" s="51" t="inlineStr">
        <is>
          <t>/</t>
        </is>
      </c>
      <c r="AC247" s="46" t="inlineStr">
        <is>
          <t>/</t>
        </is>
      </c>
      <c r="AD247" s="82" t="n"/>
      <c r="AE247" s="25" t="inlineStr">
        <is>
          <t>1、签订期间：2026.2-7月；
2、指标按照全年换算；</t>
        </is>
      </c>
      <c r="AF247"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48" ht="120" customFormat="1" customHeight="1" s="209">
      <c r="A248" s="219" t="n">
        <v>246</v>
      </c>
      <c r="B248" s="14" t="inlineStr">
        <is>
          <t>KQCY0236</t>
        </is>
      </c>
      <c r="C248" s="221" t="inlineStr">
        <is>
          <t>餐饮三分部</t>
        </is>
      </c>
      <c r="D248" s="221" t="inlineStr">
        <is>
          <t>CF320</t>
        </is>
      </c>
      <c r="E248" s="221" t="inlineStr">
        <is>
          <t>江苏财经梅园食堂</t>
        </is>
      </c>
      <c r="F248" s="219" t="inlineStr">
        <is>
          <t>分组作业</t>
        </is>
      </c>
      <c r="G248" s="222" t="inlineStr">
        <is>
          <t>吉沐牛</t>
        </is>
      </c>
      <c r="H248" s="503" t="inlineStr">
        <is>
          <t>/</t>
        </is>
      </c>
      <c r="I248" s="237" t="inlineStr">
        <is>
          <t>一纸鸡</t>
        </is>
      </c>
      <c r="J248" s="219" t="inlineStr">
        <is>
          <t>王森</t>
        </is>
      </c>
      <c r="K248" s="224" t="inlineStr">
        <is>
          <t>/</t>
        </is>
      </c>
      <c r="L248" s="651" t="n">
        <v>333600</v>
      </c>
      <c r="M248" s="77" t="n">
        <v>0.14</v>
      </c>
      <c r="N248" s="77" t="n">
        <v>0.01</v>
      </c>
      <c r="O248" s="77" t="n">
        <v>0.02</v>
      </c>
      <c r="P248" s="77" t="n">
        <v>0.01</v>
      </c>
      <c r="Q248" s="77" t="n">
        <v>0.02</v>
      </c>
      <c r="R248" s="77" t="n">
        <v>0.03</v>
      </c>
      <c r="S248" s="77" t="n">
        <v>0.02</v>
      </c>
      <c r="T248" s="77" t="n">
        <v>0.02</v>
      </c>
      <c r="U248" s="77" t="n">
        <v>0.02</v>
      </c>
      <c r="V248" s="573" t="n">
        <v>50</v>
      </c>
      <c r="W248" s="77" t="n">
        <v>0.5</v>
      </c>
      <c r="X248" s="77" t="inlineStr">
        <is>
          <t>/</t>
        </is>
      </c>
      <c r="Y248" s="72" t="inlineStr">
        <is>
          <t>/</t>
        </is>
      </c>
      <c r="Z248" s="72" t="inlineStr">
        <is>
          <t>/</t>
        </is>
      </c>
      <c r="AA248" s="72" t="inlineStr">
        <is>
          <t>/</t>
        </is>
      </c>
      <c r="AB248" s="51" t="inlineStr">
        <is>
          <t>/</t>
        </is>
      </c>
      <c r="AC248" s="46" t="inlineStr">
        <is>
          <t>/</t>
        </is>
      </c>
      <c r="AD248" s="82" t="n"/>
      <c r="AE248" s="25" t="inlineStr">
        <is>
          <t>1、签订期间：2026.3-7月；
2、指标按照全年换算；</t>
        </is>
      </c>
      <c r="AF248"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49" ht="120" customFormat="1" customHeight="1" s="209">
      <c r="A249" s="219" t="n">
        <v>247</v>
      </c>
      <c r="B249" s="14" t="inlineStr">
        <is>
          <t>KQCY0237</t>
        </is>
      </c>
      <c r="C249" s="221" t="inlineStr">
        <is>
          <t>餐饮三分部</t>
        </is>
      </c>
      <c r="D249" s="221" t="inlineStr">
        <is>
          <t>CF320</t>
        </is>
      </c>
      <c r="E249" s="221" t="inlineStr">
        <is>
          <t>江苏财经梅园食堂</t>
        </is>
      </c>
      <c r="F249" s="219" t="inlineStr">
        <is>
          <t>分组作业</t>
        </is>
      </c>
      <c r="G249" s="222" t="inlineStr">
        <is>
          <t>吉沐牛</t>
        </is>
      </c>
      <c r="H249" s="503" t="inlineStr">
        <is>
          <t>/</t>
        </is>
      </c>
      <c r="I249" s="237" t="inlineStr">
        <is>
          <t>糖水粥铺</t>
        </is>
      </c>
      <c r="J249" s="219" t="inlineStr">
        <is>
          <t>胡跃跃</t>
        </is>
      </c>
      <c r="K249" s="224" t="inlineStr">
        <is>
          <t>/</t>
        </is>
      </c>
      <c r="L249" s="651" t="n">
        <v>254400</v>
      </c>
      <c r="M249" s="77" t="n">
        <v>0.14</v>
      </c>
      <c r="N249" s="77" t="n">
        <v>0.01</v>
      </c>
      <c r="O249" s="77" t="n">
        <v>0.02</v>
      </c>
      <c r="P249" s="77" t="n">
        <v>0.01</v>
      </c>
      <c r="Q249" s="77" t="n">
        <v>0.02</v>
      </c>
      <c r="R249" s="77" t="n">
        <v>0.03</v>
      </c>
      <c r="S249" s="77" t="n">
        <v>0.02</v>
      </c>
      <c r="T249" s="77" t="n">
        <v>0.02</v>
      </c>
      <c r="U249" s="77" t="n">
        <v>0.02</v>
      </c>
      <c r="V249" s="573" t="n">
        <v>50</v>
      </c>
      <c r="W249" s="77" t="n">
        <v>0.5</v>
      </c>
      <c r="X249" s="77" t="inlineStr">
        <is>
          <t>/</t>
        </is>
      </c>
      <c r="Y249" s="72" t="inlineStr">
        <is>
          <t>/</t>
        </is>
      </c>
      <c r="Z249" s="72" t="inlineStr">
        <is>
          <t>/</t>
        </is>
      </c>
      <c r="AA249" s="72" t="inlineStr">
        <is>
          <t>/</t>
        </is>
      </c>
      <c r="AB249" s="51" t="inlineStr">
        <is>
          <t>/</t>
        </is>
      </c>
      <c r="AC249" s="46" t="inlineStr">
        <is>
          <t>/</t>
        </is>
      </c>
      <c r="AD249" s="76" t="n"/>
      <c r="AE249" s="25" t="inlineStr">
        <is>
          <t>1、签订期间：2026.3-7月；
2、指标按照全年换算；</t>
        </is>
      </c>
      <c r="AF249"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50" ht="120" customFormat="1" customHeight="1" s="209">
      <c r="A250" s="219" t="n">
        <v>248</v>
      </c>
      <c r="B250" s="14" t="inlineStr">
        <is>
          <t>KQCY0238</t>
        </is>
      </c>
      <c r="C250" s="221" t="inlineStr">
        <is>
          <t>餐饮三分部</t>
        </is>
      </c>
      <c r="D250" s="221" t="inlineStr">
        <is>
          <t>CF320</t>
        </is>
      </c>
      <c r="E250" s="221" t="inlineStr">
        <is>
          <t>江苏财经梅园食堂</t>
        </is>
      </c>
      <c r="F250" s="219" t="inlineStr">
        <is>
          <t>分组作业</t>
        </is>
      </c>
      <c r="G250" s="222" t="inlineStr">
        <is>
          <t>吉沐牛</t>
        </is>
      </c>
      <c r="H250" s="503" t="inlineStr">
        <is>
          <t>/</t>
        </is>
      </c>
      <c r="I250" s="237" t="inlineStr">
        <is>
          <t>五谷渔粉</t>
        </is>
      </c>
      <c r="J250" s="219" t="inlineStr">
        <is>
          <t>赵青青</t>
        </is>
      </c>
      <c r="K250" s="224" t="inlineStr">
        <is>
          <t>/</t>
        </is>
      </c>
      <c r="L250" s="651" t="n">
        <v>892800</v>
      </c>
      <c r="M250" s="77" t="n">
        <v>0.14</v>
      </c>
      <c r="N250" s="77" t="n">
        <v>0.01</v>
      </c>
      <c r="O250" s="77" t="n">
        <v>0.02</v>
      </c>
      <c r="P250" s="77" t="n">
        <v>0.01</v>
      </c>
      <c r="Q250" s="77" t="n">
        <v>0.02</v>
      </c>
      <c r="R250" s="77" t="n">
        <v>0.03</v>
      </c>
      <c r="S250" s="77" t="n">
        <v>0.02</v>
      </c>
      <c r="T250" s="77" t="n">
        <v>0.02</v>
      </c>
      <c r="U250" s="77" t="n">
        <v>0.02</v>
      </c>
      <c r="V250" s="573" t="n">
        <v>50</v>
      </c>
      <c r="W250" s="77" t="n">
        <v>0.5</v>
      </c>
      <c r="X250" s="77" t="inlineStr">
        <is>
          <t>/</t>
        </is>
      </c>
      <c r="Y250" s="72" t="inlineStr">
        <is>
          <t>/</t>
        </is>
      </c>
      <c r="Z250" s="72" t="inlineStr">
        <is>
          <t>/</t>
        </is>
      </c>
      <c r="AA250" s="72" t="inlineStr">
        <is>
          <t>/</t>
        </is>
      </c>
      <c r="AB250" s="51" t="inlineStr">
        <is>
          <t>/</t>
        </is>
      </c>
      <c r="AC250" s="46" t="inlineStr">
        <is>
          <t>/</t>
        </is>
      </c>
      <c r="AD250" s="76" t="n"/>
      <c r="AE250" s="25" t="inlineStr">
        <is>
          <t>1、签订期间：2026.3-7月；
2、指标按照全年换算；</t>
        </is>
      </c>
      <c r="AF250"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51" ht="72" customFormat="1" customHeight="1" s="209">
      <c r="A251" s="219" t="n">
        <v>249</v>
      </c>
      <c r="B251" s="14" t="inlineStr">
        <is>
          <t>KQCY0239</t>
        </is>
      </c>
      <c r="C251" s="221" t="inlineStr">
        <is>
          <t>餐饮三分部</t>
        </is>
      </c>
      <c r="D251" s="221" t="inlineStr">
        <is>
          <t>CF320</t>
        </is>
      </c>
      <c r="E251" s="221" t="inlineStr">
        <is>
          <t>江苏财经梅园食堂</t>
        </is>
      </c>
      <c r="F251" s="219" t="inlineStr">
        <is>
          <t>分组作业</t>
        </is>
      </c>
      <c r="G251" s="222" t="inlineStr">
        <is>
          <t>吉沐牛</t>
        </is>
      </c>
      <c r="H251" s="503" t="inlineStr">
        <is>
          <t>/</t>
        </is>
      </c>
      <c r="I251" s="237" t="inlineStr">
        <is>
          <t>吉祥馄饨</t>
        </is>
      </c>
      <c r="J251" s="219" t="inlineStr">
        <is>
          <t>刘淑平</t>
        </is>
      </c>
      <c r="K251" s="224" t="inlineStr">
        <is>
          <t>/</t>
        </is>
      </c>
      <c r="L251" s="651" t="n">
        <v>340800</v>
      </c>
      <c r="M251" s="77" t="n">
        <v>0.14</v>
      </c>
      <c r="N251" s="77" t="n">
        <v>0.01</v>
      </c>
      <c r="O251" s="77" t="n">
        <v>0.02</v>
      </c>
      <c r="P251" s="77" t="n">
        <v>0.01</v>
      </c>
      <c r="Q251" s="77" t="n">
        <v>0.02</v>
      </c>
      <c r="R251" s="77" t="n">
        <v>0.03</v>
      </c>
      <c r="S251" s="77" t="n">
        <v>0.02</v>
      </c>
      <c r="T251" s="77" t="n">
        <v>0.02</v>
      </c>
      <c r="U251" s="77" t="n">
        <v>0.02</v>
      </c>
      <c r="V251" s="573" t="n">
        <v>50</v>
      </c>
      <c r="W251" s="74" t="n"/>
      <c r="X251" s="72" t="inlineStr">
        <is>
          <t>/</t>
        </is>
      </c>
      <c r="Y251" s="72" t="inlineStr">
        <is>
          <t>/</t>
        </is>
      </c>
      <c r="Z251" s="72" t="inlineStr">
        <is>
          <t>/</t>
        </is>
      </c>
      <c r="AA251" s="72" t="inlineStr">
        <is>
          <t>/</t>
        </is>
      </c>
      <c r="AB251" s="51" t="inlineStr">
        <is>
          <t>/</t>
        </is>
      </c>
      <c r="AC251" s="46" t="inlineStr">
        <is>
          <t>/</t>
        </is>
      </c>
      <c r="AD251" s="76" t="n"/>
      <c r="AE251" s="25" t="inlineStr">
        <is>
          <t>1、签订期间：2026.3-7月；
2、指标按照全年换算；</t>
        </is>
      </c>
      <c r="AF251"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t>
        </is>
      </c>
    </row>
    <row r="252" ht="120" customFormat="1" customHeight="1" s="209">
      <c r="A252" s="219" t="n">
        <v>250</v>
      </c>
      <c r="B252" s="14" t="inlineStr">
        <is>
          <t>KQCY0240</t>
        </is>
      </c>
      <c r="C252" s="221" t="inlineStr">
        <is>
          <t>餐饮三分部</t>
        </is>
      </c>
      <c r="D252" s="221" t="inlineStr">
        <is>
          <t>CF320</t>
        </is>
      </c>
      <c r="E252" s="221" t="inlineStr">
        <is>
          <t>江苏财经梅园食堂</t>
        </is>
      </c>
      <c r="F252" s="219" t="inlineStr">
        <is>
          <t>分组作业</t>
        </is>
      </c>
      <c r="G252" s="222" t="inlineStr">
        <is>
          <t>吉沐牛</t>
        </is>
      </c>
      <c r="H252" s="503" t="inlineStr">
        <is>
          <t>/</t>
        </is>
      </c>
      <c r="I252" s="237" t="inlineStr">
        <is>
          <t>煎饼</t>
        </is>
      </c>
      <c r="J252" s="219" t="inlineStr">
        <is>
          <t>相丽</t>
        </is>
      </c>
      <c r="K252" s="224" t="inlineStr">
        <is>
          <t>/</t>
        </is>
      </c>
      <c r="L252" s="651" t="n">
        <v>360000</v>
      </c>
      <c r="M252" s="77" t="n">
        <v>0.14</v>
      </c>
      <c r="N252" s="77" t="n">
        <v>0.01</v>
      </c>
      <c r="O252" s="77" t="n">
        <v>0.02</v>
      </c>
      <c r="P252" s="77" t="n">
        <v>0.01</v>
      </c>
      <c r="Q252" s="77" t="n">
        <v>0.02</v>
      </c>
      <c r="R252" s="77" t="n">
        <v>0.03</v>
      </c>
      <c r="S252" s="77" t="n">
        <v>0.02</v>
      </c>
      <c r="T252" s="77" t="n">
        <v>0.02</v>
      </c>
      <c r="U252" s="77" t="n">
        <v>0.02</v>
      </c>
      <c r="V252" s="573" t="n">
        <v>50</v>
      </c>
      <c r="W252" s="77" t="n">
        <v>0.5</v>
      </c>
      <c r="X252" s="77" t="inlineStr">
        <is>
          <t>/</t>
        </is>
      </c>
      <c r="Y252" s="72" t="inlineStr">
        <is>
          <t>/</t>
        </is>
      </c>
      <c r="Z252" s="72" t="inlineStr">
        <is>
          <t>/</t>
        </is>
      </c>
      <c r="AA252" s="72" t="inlineStr">
        <is>
          <t>/</t>
        </is>
      </c>
      <c r="AB252" s="51" t="inlineStr">
        <is>
          <t>/</t>
        </is>
      </c>
      <c r="AC252" s="46" t="inlineStr">
        <is>
          <t>/</t>
        </is>
      </c>
      <c r="AD252" s="82" t="n"/>
      <c r="AE252" s="25" t="inlineStr">
        <is>
          <t>1、签订期间：2026.3-7月；
2、指标按照全年换算；</t>
        </is>
      </c>
      <c r="AF252"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53" ht="120" customFormat="1" customHeight="1" s="209">
      <c r="A253" s="219" t="n">
        <v>251</v>
      </c>
      <c r="B253" s="14" t="inlineStr">
        <is>
          <t>KQCY0241</t>
        </is>
      </c>
      <c r="C253" s="221" t="inlineStr">
        <is>
          <t>餐饮三分部</t>
        </is>
      </c>
      <c r="D253" s="221" t="inlineStr">
        <is>
          <t>CF320</t>
        </is>
      </c>
      <c r="E253" s="221" t="inlineStr">
        <is>
          <t>江苏财经梅园食堂</t>
        </is>
      </c>
      <c r="F253" s="219" t="inlineStr">
        <is>
          <t>分组作业</t>
        </is>
      </c>
      <c r="G253" s="222" t="inlineStr">
        <is>
          <t>吉沐牛</t>
        </is>
      </c>
      <c r="H253" s="503" t="inlineStr">
        <is>
          <t>/</t>
        </is>
      </c>
      <c r="I253" s="237" t="inlineStr">
        <is>
          <t>香锅</t>
        </is>
      </c>
      <c r="J253" s="219" t="inlineStr">
        <is>
          <t>王凯</t>
        </is>
      </c>
      <c r="K253" s="224" t="inlineStr">
        <is>
          <t>/</t>
        </is>
      </c>
      <c r="L253" s="651" t="n">
        <v>592800</v>
      </c>
      <c r="M253" s="77" t="n">
        <v>0.14</v>
      </c>
      <c r="N253" s="77" t="n">
        <v>0.01</v>
      </c>
      <c r="O253" s="77" t="n">
        <v>0.02</v>
      </c>
      <c r="P253" s="77" t="n">
        <v>0.01</v>
      </c>
      <c r="Q253" s="77" t="n">
        <v>0.02</v>
      </c>
      <c r="R253" s="77" t="n">
        <v>0.03</v>
      </c>
      <c r="S253" s="77" t="n">
        <v>0.02</v>
      </c>
      <c r="T253" s="77" t="n">
        <v>0.02</v>
      </c>
      <c r="U253" s="77" t="n">
        <v>0.02</v>
      </c>
      <c r="V253" s="573" t="n">
        <v>50</v>
      </c>
      <c r="W253" s="77" t="n">
        <v>0.5</v>
      </c>
      <c r="X253" s="77" t="inlineStr">
        <is>
          <t>/</t>
        </is>
      </c>
      <c r="Y253" s="72" t="inlineStr">
        <is>
          <t>/</t>
        </is>
      </c>
      <c r="Z253" s="72" t="inlineStr">
        <is>
          <t>/</t>
        </is>
      </c>
      <c r="AA253" s="72" t="inlineStr">
        <is>
          <t>/</t>
        </is>
      </c>
      <c r="AB253" s="51" t="inlineStr">
        <is>
          <t>/</t>
        </is>
      </c>
      <c r="AC253" s="46" t="inlineStr">
        <is>
          <t>/</t>
        </is>
      </c>
      <c r="AD253" s="82" t="n"/>
      <c r="AE253" s="25" t="inlineStr">
        <is>
          <t>1、签订期间：2026.3-7月；
2、指标按照全年换算；</t>
        </is>
      </c>
      <c r="AF253"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54" ht="120" customFormat="1" customHeight="1" s="209">
      <c r="A254" s="219" t="n">
        <v>252</v>
      </c>
      <c r="B254" s="14" t="inlineStr">
        <is>
          <t>KQCY0242</t>
        </is>
      </c>
      <c r="C254" s="221" t="inlineStr">
        <is>
          <t>餐饮三分部</t>
        </is>
      </c>
      <c r="D254" s="221" t="inlineStr">
        <is>
          <t>CF320</t>
        </is>
      </c>
      <c r="E254" s="221" t="inlineStr">
        <is>
          <t>江苏财经梅园食堂</t>
        </is>
      </c>
      <c r="F254" s="219" t="inlineStr">
        <is>
          <t>分组作业</t>
        </is>
      </c>
      <c r="G254" s="222" t="inlineStr">
        <is>
          <t>吉沐牛</t>
        </is>
      </c>
      <c r="H254" s="219" t="inlineStr">
        <is>
          <t>第十五班组</t>
        </is>
      </c>
      <c r="I254" s="232" t="inlineStr">
        <is>
          <t>柚见鲜茶</t>
        </is>
      </c>
      <c r="J254" s="219" t="inlineStr">
        <is>
          <t>王春梅</t>
        </is>
      </c>
      <c r="K254" s="224" t="inlineStr">
        <is>
          <t>/</t>
        </is>
      </c>
      <c r="L254" s="651" t="n">
        <v>540000</v>
      </c>
      <c r="M254" s="72" t="n">
        <v>11250</v>
      </c>
      <c r="N254" s="77" t="inlineStr">
        <is>
          <t>/</t>
        </is>
      </c>
      <c r="O254" s="77" t="inlineStr">
        <is>
          <t>/</t>
        </is>
      </c>
      <c r="P254" s="81" t="inlineStr">
        <is>
          <t>/</t>
        </is>
      </c>
      <c r="Q254" s="81" t="inlineStr">
        <is>
          <t>/</t>
        </is>
      </c>
      <c r="R254" s="81" t="inlineStr">
        <is>
          <t>/</t>
        </is>
      </c>
      <c r="S254" s="81" t="inlineStr">
        <is>
          <t>/</t>
        </is>
      </c>
      <c r="T254" s="71" t="inlineStr">
        <is>
          <t>/</t>
        </is>
      </c>
      <c r="U254" s="95" t="n"/>
      <c r="V254" s="573" t="n">
        <v>50</v>
      </c>
      <c r="W254" s="77" t="n">
        <v>0.6</v>
      </c>
      <c r="X254" s="77" t="inlineStr">
        <is>
          <t>/</t>
        </is>
      </c>
      <c r="Y254" s="72" t="inlineStr">
        <is>
          <t>/</t>
        </is>
      </c>
      <c r="Z254" s="72" t="inlineStr">
        <is>
          <t>/</t>
        </is>
      </c>
      <c r="AA254" s="72" t="inlineStr">
        <is>
          <t>/</t>
        </is>
      </c>
      <c r="AB254" s="51" t="inlineStr">
        <is>
          <t>/</t>
        </is>
      </c>
      <c r="AC254" s="46" t="inlineStr">
        <is>
          <t>/</t>
        </is>
      </c>
      <c r="AD254"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t>
        </is>
      </c>
      <c r="AE254" s="25" t="inlineStr">
        <is>
          <t>1、签订期间：2025.9-2026.7月；
2、指标按照全年换算；
3、管理费9万/年，8个月扣除，每月11250；</t>
        </is>
      </c>
      <c r="AF254"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60%营业额，月度结算时若未达到所报比例，按以上比例结算。
问题：目前未按约定执行，待明确；</t>
        </is>
      </c>
    </row>
    <row r="255" ht="120" customFormat="1" customHeight="1" s="209">
      <c r="A255" s="219" t="n">
        <v>253</v>
      </c>
      <c r="B255" s="14" t="inlineStr">
        <is>
          <t>KQCY0243</t>
        </is>
      </c>
      <c r="C255" s="221" t="inlineStr">
        <is>
          <t>餐饮三分部</t>
        </is>
      </c>
      <c r="D255" s="221" t="inlineStr">
        <is>
          <t>CF320</t>
        </is>
      </c>
      <c r="E255" s="221" t="inlineStr">
        <is>
          <t>江苏财经梅园食堂</t>
        </is>
      </c>
      <c r="F255" s="219" t="inlineStr">
        <is>
          <t>分组作业</t>
        </is>
      </c>
      <c r="G255" s="222" t="inlineStr">
        <is>
          <t>吉沐牛</t>
        </is>
      </c>
      <c r="H255" s="219" t="inlineStr">
        <is>
          <t>第十六班组</t>
        </is>
      </c>
      <c r="I255" s="232" t="inlineStr">
        <is>
          <t>酷堡王</t>
        </is>
      </c>
      <c r="J255" s="219" t="inlineStr">
        <is>
          <t>籍明明</t>
        </is>
      </c>
      <c r="K255" s="224" t="inlineStr">
        <is>
          <t>/</t>
        </is>
      </c>
      <c r="L255" s="651" t="n">
        <v>780000</v>
      </c>
      <c r="M255" s="77" t="n">
        <v>0.12</v>
      </c>
      <c r="N255" s="77" t="n">
        <v>0.01</v>
      </c>
      <c r="O255" s="77" t="n">
        <v>0.01</v>
      </c>
      <c r="P255" s="77" t="n">
        <v>0.03</v>
      </c>
      <c r="Q255" s="77" t="n">
        <v>0.01</v>
      </c>
      <c r="R255" s="77" t="n">
        <v>0.01</v>
      </c>
      <c r="S255" s="77" t="n">
        <v>0.01</v>
      </c>
      <c r="T255" s="71" t="inlineStr">
        <is>
          <t>/</t>
        </is>
      </c>
      <c r="U255" s="72" t="n"/>
      <c r="V255" s="77" t="inlineStr">
        <is>
          <t>/</t>
        </is>
      </c>
      <c r="W255" s="77" t="n">
        <v>0.6</v>
      </c>
      <c r="X255" s="77" t="inlineStr">
        <is>
          <t>/</t>
        </is>
      </c>
      <c r="Y255" s="72" t="inlineStr">
        <is>
          <t>/</t>
        </is>
      </c>
      <c r="Z255" s="72" t="inlineStr">
        <is>
          <t>/</t>
        </is>
      </c>
      <c r="AA255" s="72" t="inlineStr">
        <is>
          <t>/</t>
        </is>
      </c>
      <c r="AB255" s="51" t="inlineStr">
        <is>
          <t>/</t>
        </is>
      </c>
      <c r="AC255" s="46" t="inlineStr">
        <is>
          <t>/</t>
        </is>
      </c>
      <c r="AD255" s="145" t="inlineStr">
        <is>
          <t>1、卫生费：项目反馈不收取，包含在服务费中；
2、其他:项目反馈不收取，包含在服务费中；</t>
        </is>
      </c>
      <c r="AE255" s="25" t="inlineStr">
        <is>
          <t>1、签订期间：2025.9-2026.7月；
2、指标按照全年换算；</t>
        </is>
      </c>
      <c r="AF255"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60%营业额，月度结算时若未达到所报比例，按以上比例结算。
问题：目前未按约定执行，待明确；</t>
        </is>
      </c>
    </row>
    <row r="256" ht="108" customFormat="1" customHeight="1" s="209">
      <c r="A256" s="219" t="n">
        <v>254</v>
      </c>
      <c r="B256" s="14" t="inlineStr">
        <is>
          <t>KQCY0244</t>
        </is>
      </c>
      <c r="C256" s="221" t="inlineStr">
        <is>
          <t>餐饮三分部</t>
        </is>
      </c>
      <c r="D256" s="221" t="inlineStr">
        <is>
          <t>CF320</t>
        </is>
      </c>
      <c r="E256" s="221" t="inlineStr">
        <is>
          <t>江苏财经梅园食堂</t>
        </is>
      </c>
      <c r="F256" s="219" t="inlineStr">
        <is>
          <t>分组作业</t>
        </is>
      </c>
      <c r="G256" s="222" t="inlineStr">
        <is>
          <t>吉沐牛</t>
        </is>
      </c>
      <c r="H256" s="503" t="inlineStr">
        <is>
          <t>/</t>
        </is>
      </c>
      <c r="I256" s="237" t="inlineStr">
        <is>
          <t>水果</t>
        </is>
      </c>
      <c r="J256" s="219" t="inlineStr">
        <is>
          <t>陈龙</t>
        </is>
      </c>
      <c r="K256" s="224" t="inlineStr">
        <is>
          <t>/</t>
        </is>
      </c>
      <c r="L256" s="651" t="n">
        <v>1020000</v>
      </c>
      <c r="M256" s="72" t="n">
        <v>10000</v>
      </c>
      <c r="N256" s="77" t="inlineStr">
        <is>
          <t>/</t>
        </is>
      </c>
      <c r="O256" s="77" t="inlineStr">
        <is>
          <t>/</t>
        </is>
      </c>
      <c r="P256" s="77" t="inlineStr">
        <is>
          <t>/</t>
        </is>
      </c>
      <c r="Q256" s="77" t="inlineStr">
        <is>
          <t>/</t>
        </is>
      </c>
      <c r="R256" s="77" t="inlineStr">
        <is>
          <t>/</t>
        </is>
      </c>
      <c r="S256" s="77" t="inlineStr">
        <is>
          <t>/</t>
        </is>
      </c>
      <c r="T256" s="77" t="inlineStr">
        <is>
          <t>/</t>
        </is>
      </c>
      <c r="U256" s="70" t="inlineStr">
        <is>
          <t>/</t>
        </is>
      </c>
      <c r="V256" s="77" t="inlineStr">
        <is>
          <t>/</t>
        </is>
      </c>
      <c r="W256" s="74" t="n"/>
      <c r="X256" s="77" t="inlineStr">
        <is>
          <t>/</t>
        </is>
      </c>
      <c r="Y256" s="72" t="inlineStr">
        <is>
          <t>/</t>
        </is>
      </c>
      <c r="Z256" s="72" t="inlineStr">
        <is>
          <t>/</t>
        </is>
      </c>
      <c r="AA256" s="72" t="inlineStr">
        <is>
          <t>/</t>
        </is>
      </c>
      <c r="AB256" s="51" t="inlineStr">
        <is>
          <t>/</t>
        </is>
      </c>
      <c r="AC256" s="46" t="inlineStr">
        <is>
          <t>/</t>
        </is>
      </c>
      <c r="AD256"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8、能源费：项目反馈不收取，包含在服务费中；
9、其他：项目反馈不收取，包含在服务费中；</t>
        </is>
      </c>
      <c r="AE256" s="25" t="inlineStr">
        <is>
          <t>1、签订期间：2026.3-7月；
2、指标按照全年换算；
3、管理费4万/半年，分四个月收取，每月10000；</t>
        </is>
      </c>
      <c r="AF256"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t>
        </is>
      </c>
    </row>
    <row r="257" ht="120" customFormat="1" customHeight="1" s="209">
      <c r="A257" s="219" t="n">
        <v>255</v>
      </c>
      <c r="B257" s="14" t="inlineStr">
        <is>
          <t>KQCY0245</t>
        </is>
      </c>
      <c r="C257" s="221" t="inlineStr">
        <is>
          <t>餐饮三分部</t>
        </is>
      </c>
      <c r="D257" s="221" t="inlineStr">
        <is>
          <t>CF320</t>
        </is>
      </c>
      <c r="E257" s="221" t="inlineStr">
        <is>
          <t>江苏财经梅园食堂</t>
        </is>
      </c>
      <c r="F257" s="219" t="inlineStr">
        <is>
          <t>分组作业</t>
        </is>
      </c>
      <c r="G257" s="222" t="inlineStr">
        <is>
          <t>吉沐牛</t>
        </is>
      </c>
      <c r="H257" s="503" t="inlineStr">
        <is>
          <t>/</t>
        </is>
      </c>
      <c r="I257" s="237" t="inlineStr">
        <is>
          <t>一鸣鲜奶</t>
        </is>
      </c>
      <c r="J257" s="219" t="inlineStr">
        <is>
          <t>吴斯忠</t>
        </is>
      </c>
      <c r="K257" s="224" t="inlineStr">
        <is>
          <t>/</t>
        </is>
      </c>
      <c r="L257" s="651" t="n">
        <v>328800</v>
      </c>
      <c r="M257" s="72" t="n">
        <v>7500</v>
      </c>
      <c r="N257" s="77" t="inlineStr">
        <is>
          <t>/</t>
        </is>
      </c>
      <c r="O257" s="77" t="inlineStr">
        <is>
          <t>/</t>
        </is>
      </c>
      <c r="P257" s="77" t="inlineStr">
        <is>
          <t>/</t>
        </is>
      </c>
      <c r="Q257" s="77" t="inlineStr">
        <is>
          <t>/</t>
        </is>
      </c>
      <c r="R257" s="77" t="inlineStr">
        <is>
          <t>/</t>
        </is>
      </c>
      <c r="S257" s="77" t="inlineStr">
        <is>
          <t>/</t>
        </is>
      </c>
      <c r="T257" s="77" t="inlineStr">
        <is>
          <t>/</t>
        </is>
      </c>
      <c r="U257" s="95" t="n"/>
      <c r="V257" s="77" t="inlineStr">
        <is>
          <t>/</t>
        </is>
      </c>
      <c r="W257" s="74" t="n"/>
      <c r="X257" s="77" t="inlineStr">
        <is>
          <t>/</t>
        </is>
      </c>
      <c r="Y257" s="72" t="inlineStr">
        <is>
          <t>/</t>
        </is>
      </c>
      <c r="Z257" s="72" t="inlineStr">
        <is>
          <t>/</t>
        </is>
      </c>
      <c r="AA257" s="72" t="inlineStr">
        <is>
          <t>/</t>
        </is>
      </c>
      <c r="AB257" s="51" t="inlineStr">
        <is>
          <t>/</t>
        </is>
      </c>
      <c r="AC257" s="46" t="inlineStr">
        <is>
          <t>/</t>
        </is>
      </c>
      <c r="AD257"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AE257" s="25" t="inlineStr">
        <is>
          <t>1、签订期间：2026.3-7月；
2、指标按照全年换算；
3、管理费6万一年，按8个月收取，每月7500；</t>
        </is>
      </c>
      <c r="AF257"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58" ht="120" customFormat="1" customHeight="1" s="209">
      <c r="A258" s="219" t="n">
        <v>256</v>
      </c>
      <c r="B258" s="14" t="inlineStr">
        <is>
          <t>KQCY0246</t>
        </is>
      </c>
      <c r="C258" s="221" t="inlineStr">
        <is>
          <t>餐饮三分部</t>
        </is>
      </c>
      <c r="D258" s="221" t="inlineStr">
        <is>
          <t>CF320</t>
        </is>
      </c>
      <c r="E258" s="221" t="inlineStr">
        <is>
          <t>江苏财经梅园食堂</t>
        </is>
      </c>
      <c r="F258" s="219" t="inlineStr">
        <is>
          <t>分组作业</t>
        </is>
      </c>
      <c r="G258" s="222" t="inlineStr">
        <is>
          <t>吉沐牛</t>
        </is>
      </c>
      <c r="H258" s="503" t="inlineStr">
        <is>
          <t>/</t>
        </is>
      </c>
      <c r="I258" s="237" t="inlineStr">
        <is>
          <t>库迪咖啡</t>
        </is>
      </c>
      <c r="J258" s="219" t="inlineStr">
        <is>
          <t>张凌子</t>
        </is>
      </c>
      <c r="K258" s="224" t="inlineStr">
        <is>
          <t>/</t>
        </is>
      </c>
      <c r="L258" s="651" t="n">
        <v>285600</v>
      </c>
      <c r="M258" s="72" t="n">
        <v>8750</v>
      </c>
      <c r="N258" s="77" t="inlineStr">
        <is>
          <t>/</t>
        </is>
      </c>
      <c r="O258" s="77" t="inlineStr">
        <is>
          <t>/</t>
        </is>
      </c>
      <c r="P258" s="77" t="inlineStr">
        <is>
          <t>/</t>
        </is>
      </c>
      <c r="Q258" s="77" t="inlineStr">
        <is>
          <t>/</t>
        </is>
      </c>
      <c r="R258" s="77" t="inlineStr">
        <is>
          <t>/</t>
        </is>
      </c>
      <c r="S258" s="77" t="inlineStr">
        <is>
          <t>/</t>
        </is>
      </c>
      <c r="T258" s="77" t="inlineStr">
        <is>
          <t>/</t>
        </is>
      </c>
      <c r="U258" s="95" t="n"/>
      <c r="V258" s="77" t="inlineStr">
        <is>
          <t>/</t>
        </is>
      </c>
      <c r="W258" s="74" t="n"/>
      <c r="X258" s="77" t="inlineStr">
        <is>
          <t>/</t>
        </is>
      </c>
      <c r="Y258" s="72" t="inlineStr">
        <is>
          <t>/</t>
        </is>
      </c>
      <c r="Z258" s="72" t="inlineStr">
        <is>
          <t>/</t>
        </is>
      </c>
      <c r="AA258" s="72" t="inlineStr">
        <is>
          <t>/</t>
        </is>
      </c>
      <c r="AB258" s="51" t="inlineStr">
        <is>
          <t>/</t>
        </is>
      </c>
      <c r="AC258" s="46" t="inlineStr">
        <is>
          <t>/</t>
        </is>
      </c>
      <c r="AD258"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AE258" s="25" t="inlineStr">
        <is>
          <t>1、签订期间：2026.3-7月；
2、指标按照全年换算；
3、管理费7万一年，按8个月收取，每月8750；</t>
        </is>
      </c>
      <c r="AF258"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59" ht="12" customFormat="1" customHeight="1" s="209">
      <c r="A259" s="219" t="n">
        <v>257</v>
      </c>
      <c r="B259" s="14" t="inlineStr">
        <is>
          <t>KQCY0247</t>
        </is>
      </c>
      <c r="C259" s="221" t="inlineStr">
        <is>
          <t>餐饮五分部</t>
        </is>
      </c>
      <c r="D259" s="221" t="inlineStr">
        <is>
          <t>CF694</t>
        </is>
      </c>
      <c r="E259" s="221" t="inlineStr">
        <is>
          <t>兰理工彭家坪北村食堂</t>
        </is>
      </c>
      <c r="F259" s="219" t="inlineStr">
        <is>
          <t>自营</t>
        </is>
      </c>
      <c r="G259" s="222" t="inlineStr">
        <is>
          <t>陆琪</t>
        </is>
      </c>
      <c r="H259" s="222" t="inlineStr">
        <is>
          <t>/</t>
        </is>
      </c>
      <c r="I259" s="355" t="inlineStr">
        <is>
          <t>/</t>
        </is>
      </c>
      <c r="J259" s="222" t="inlineStr">
        <is>
          <t>/</t>
        </is>
      </c>
      <c r="K259" s="224" t="inlineStr">
        <is>
          <t>/</t>
        </is>
      </c>
      <c r="L259" s="651" t="inlineStr">
        <is>
          <t>/</t>
        </is>
      </c>
      <c r="M259" s="97" t="inlineStr">
        <is>
          <t>/</t>
        </is>
      </c>
      <c r="N259" s="97" t="inlineStr">
        <is>
          <t>/</t>
        </is>
      </c>
      <c r="O259" s="97" t="inlineStr">
        <is>
          <t>/</t>
        </is>
      </c>
      <c r="P259" s="97" t="inlineStr">
        <is>
          <t>/</t>
        </is>
      </c>
      <c r="Q259" s="97" t="inlineStr">
        <is>
          <t>/</t>
        </is>
      </c>
      <c r="R259" s="97" t="inlineStr">
        <is>
          <t>/</t>
        </is>
      </c>
      <c r="S259" s="97" t="inlineStr">
        <is>
          <t>/</t>
        </is>
      </c>
      <c r="T259" s="97" t="inlineStr">
        <is>
          <t>/</t>
        </is>
      </c>
      <c r="U259" s="97" t="inlineStr">
        <is>
          <t>/</t>
        </is>
      </c>
      <c r="V259" s="97" t="inlineStr">
        <is>
          <t>/</t>
        </is>
      </c>
      <c r="W259" s="80" t="n"/>
      <c r="X259" s="146" t="inlineStr">
        <is>
          <t>/</t>
        </is>
      </c>
      <c r="Y259" s="146" t="inlineStr">
        <is>
          <t>/</t>
        </is>
      </c>
      <c r="Z259" s="146" t="inlineStr">
        <is>
          <t>/</t>
        </is>
      </c>
      <c r="AA259" s="146" t="inlineStr">
        <is>
          <t>/</t>
        </is>
      </c>
      <c r="AB259" s="46" t="n">
        <v>0.045</v>
      </c>
      <c r="AC259" s="46" t="inlineStr">
        <is>
          <t>/</t>
        </is>
      </c>
      <c r="AD259" s="98" t="n"/>
      <c r="AE259" s="25" t="n"/>
      <c r="AF259" s="206" t="n"/>
    </row>
    <row r="260" ht="72" customFormat="1" customHeight="1" s="209">
      <c r="A260" s="219" t="n">
        <v>258</v>
      </c>
      <c r="B260" s="14" t="inlineStr">
        <is>
          <t>KQCY0248</t>
        </is>
      </c>
      <c r="C260" s="221" t="inlineStr">
        <is>
          <t>餐饮五分部</t>
        </is>
      </c>
      <c r="D260" s="221" t="inlineStr">
        <is>
          <t>CF694</t>
        </is>
      </c>
      <c r="E260" s="221" t="inlineStr">
        <is>
          <t>兰理工彭家坪北村食堂</t>
        </is>
      </c>
      <c r="F260" s="219" t="inlineStr">
        <is>
          <t>分组作业</t>
        </is>
      </c>
      <c r="G260" s="222" t="inlineStr">
        <is>
          <t>陆琪</t>
        </is>
      </c>
      <c r="H260" s="503" t="inlineStr">
        <is>
          <t>/</t>
        </is>
      </c>
      <c r="I260" s="237" t="inlineStr">
        <is>
          <t>水饺</t>
        </is>
      </c>
      <c r="J260" s="503" t="inlineStr">
        <is>
          <t>穆小芳</t>
        </is>
      </c>
      <c r="K260" s="224" t="inlineStr">
        <is>
          <t>/</t>
        </is>
      </c>
      <c r="L260" s="651" t="n">
        <v>592800</v>
      </c>
      <c r="M260" s="147" t="n">
        <v>0.18</v>
      </c>
      <c r="N260" s="512" t="inlineStr">
        <is>
          <t>/</t>
        </is>
      </c>
      <c r="O260" s="512" t="inlineStr">
        <is>
          <t>/</t>
        </is>
      </c>
      <c r="P260" s="512" t="inlineStr">
        <is>
          <t>/</t>
        </is>
      </c>
      <c r="Q260" s="512" t="inlineStr">
        <is>
          <t>/</t>
        </is>
      </c>
      <c r="R260" s="512" t="inlineStr">
        <is>
          <t>/</t>
        </is>
      </c>
      <c r="S260" s="512" t="inlineStr">
        <is>
          <t>/</t>
        </is>
      </c>
      <c r="T260" s="97" t="n">
        <v>0.03</v>
      </c>
      <c r="U260" s="147" t="n">
        <v>0.03</v>
      </c>
      <c r="V260" s="512" t="inlineStr">
        <is>
          <t>/</t>
        </is>
      </c>
      <c r="W260" s="80" t="n"/>
      <c r="X260" s="146" t="inlineStr">
        <is>
          <t>/</t>
        </is>
      </c>
      <c r="Y260" s="146" t="inlineStr">
        <is>
          <t>/</t>
        </is>
      </c>
      <c r="Z260" s="146" t="inlineStr">
        <is>
          <t>/</t>
        </is>
      </c>
      <c r="AA260" s="146" t="inlineStr">
        <is>
          <t>/</t>
        </is>
      </c>
      <c r="AB260" s="51" t="inlineStr">
        <is>
          <t>/</t>
        </is>
      </c>
      <c r="AC260" s="46" t="inlineStr">
        <is>
          <t>/</t>
        </is>
      </c>
      <c r="AD260"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0" s="25" t="inlineStr">
        <is>
          <t>1、签订期间：2026.3.1-2026.7.20；
2、指标按照全年换算；</t>
        </is>
      </c>
      <c r="AF260" s="232" t="inlineStr">
        <is>
          <t>1、条款：技术合作方所有人员与公司签订劳动合同，签订劳动合同的技术合作方负责人必须参加公司社保，否则不予录用；
问题：非所有分组作业人员都入职到公司，非所有负责人缴纳社保；</t>
        </is>
      </c>
    </row>
    <row r="261" ht="72" customFormat="1" customHeight="1" s="209">
      <c r="A261" s="219" t="n">
        <v>259</v>
      </c>
      <c r="B261" s="14" t="inlineStr">
        <is>
          <t>KQCY0249</t>
        </is>
      </c>
      <c r="C261" s="221" t="inlineStr">
        <is>
          <t>餐饮五分部</t>
        </is>
      </c>
      <c r="D261" s="221" t="inlineStr">
        <is>
          <t>CF694</t>
        </is>
      </c>
      <c r="E261" s="221" t="inlineStr">
        <is>
          <t>兰理工彭家坪北村食堂</t>
        </is>
      </c>
      <c r="F261" s="219" t="inlineStr">
        <is>
          <t>分组作业</t>
        </is>
      </c>
      <c r="G261" s="222" t="inlineStr">
        <is>
          <t>陆琪</t>
        </is>
      </c>
      <c r="H261" s="503" t="inlineStr">
        <is>
          <t>/</t>
        </is>
      </c>
      <c r="I261" s="237" t="inlineStr">
        <is>
          <t>牛肉面</t>
        </is>
      </c>
      <c r="J261" s="503" t="inlineStr">
        <is>
          <t>石磊</t>
        </is>
      </c>
      <c r="K261" s="224" t="inlineStr">
        <is>
          <t>/</t>
        </is>
      </c>
      <c r="L261" s="651" t="n">
        <v>626400</v>
      </c>
      <c r="M261" s="147" t="n">
        <v>0.15</v>
      </c>
      <c r="N261" s="512" t="inlineStr">
        <is>
          <t>/</t>
        </is>
      </c>
      <c r="O261" s="512" t="inlineStr">
        <is>
          <t>/</t>
        </is>
      </c>
      <c r="P261" s="512" t="inlineStr">
        <is>
          <t>/</t>
        </is>
      </c>
      <c r="Q261" s="512" t="inlineStr">
        <is>
          <t>/</t>
        </is>
      </c>
      <c r="R261" s="512" t="inlineStr">
        <is>
          <t>/</t>
        </is>
      </c>
      <c r="S261" s="512" t="inlineStr">
        <is>
          <t>/</t>
        </is>
      </c>
      <c r="T261" s="102" t="n">
        <v>0.015</v>
      </c>
      <c r="U261" s="149" t="n">
        <v>0.015</v>
      </c>
      <c r="V261" s="512" t="inlineStr">
        <is>
          <t>/</t>
        </is>
      </c>
      <c r="W261" s="80" t="n"/>
      <c r="X261" s="146" t="inlineStr">
        <is>
          <t>/</t>
        </is>
      </c>
      <c r="Y261" s="146" t="inlineStr">
        <is>
          <t>/</t>
        </is>
      </c>
      <c r="Z261" s="146" t="inlineStr">
        <is>
          <t>/</t>
        </is>
      </c>
      <c r="AA261" s="146" t="inlineStr">
        <is>
          <t>/</t>
        </is>
      </c>
      <c r="AB261" s="51" t="inlineStr">
        <is>
          <t>/</t>
        </is>
      </c>
      <c r="AC261" s="46" t="inlineStr">
        <is>
          <t>/</t>
        </is>
      </c>
      <c r="AD261"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1" s="25" t="inlineStr">
        <is>
          <t>1、签订期间：2026.3.1-2026.7.20；
2、指标按照全年换算；</t>
        </is>
      </c>
      <c r="AF261" s="232" t="inlineStr">
        <is>
          <t>1、条款：技术合作方所有人员与公司签订劳动合同，签订劳动合同的技术合作方负责人必须参加公司社保，否则不予录用；
问题：非所有分组作业人员都入职到公司，非所有负责人缴纳社保；</t>
        </is>
      </c>
    </row>
    <row r="262" ht="72" customFormat="1" customHeight="1" s="209">
      <c r="A262" s="219" t="n">
        <v>260</v>
      </c>
      <c r="B262" s="14" t="inlineStr">
        <is>
          <t>KQCY0250</t>
        </is>
      </c>
      <c r="C262" s="221" t="inlineStr">
        <is>
          <t>餐饮五分部</t>
        </is>
      </c>
      <c r="D262" s="221" t="inlineStr">
        <is>
          <t>CF694</t>
        </is>
      </c>
      <c r="E262" s="221" t="inlineStr">
        <is>
          <t>兰理工彭家坪北村食堂</t>
        </is>
      </c>
      <c r="F262" s="219" t="inlineStr">
        <is>
          <t>分组作业</t>
        </is>
      </c>
      <c r="G262" s="222" t="inlineStr">
        <is>
          <t>陆琪</t>
        </is>
      </c>
      <c r="H262" s="503" t="inlineStr">
        <is>
          <t>/</t>
        </is>
      </c>
      <c r="I262" s="237" t="inlineStr">
        <is>
          <t>韩式煎饼</t>
        </is>
      </c>
      <c r="J262" s="503" t="inlineStr">
        <is>
          <t>赵平花</t>
        </is>
      </c>
      <c r="K262" s="224" t="inlineStr">
        <is>
          <t>/</t>
        </is>
      </c>
      <c r="L262" s="651" t="n">
        <v>343200</v>
      </c>
      <c r="M262" s="147" t="n">
        <v>0.2</v>
      </c>
      <c r="N262" s="512" t="inlineStr">
        <is>
          <t>/</t>
        </is>
      </c>
      <c r="O262" s="512" t="inlineStr">
        <is>
          <t>/</t>
        </is>
      </c>
      <c r="P262" s="512" t="inlineStr">
        <is>
          <t>/</t>
        </is>
      </c>
      <c r="Q262" s="512" t="inlineStr">
        <is>
          <t>/</t>
        </is>
      </c>
      <c r="R262" s="512" t="inlineStr">
        <is>
          <t>/</t>
        </is>
      </c>
      <c r="S262" s="512" t="inlineStr">
        <is>
          <t>/</t>
        </is>
      </c>
      <c r="T262" s="97" t="n">
        <v>0.03</v>
      </c>
      <c r="U262" s="147" t="n">
        <v>0.03</v>
      </c>
      <c r="V262" s="512" t="inlineStr">
        <is>
          <t>/</t>
        </is>
      </c>
      <c r="W262" s="80" t="n"/>
      <c r="X262" s="146" t="inlineStr">
        <is>
          <t>/</t>
        </is>
      </c>
      <c r="Y262" s="146" t="inlineStr">
        <is>
          <t>/</t>
        </is>
      </c>
      <c r="Z262" s="146" t="inlineStr">
        <is>
          <t>/</t>
        </is>
      </c>
      <c r="AA262" s="146" t="inlineStr">
        <is>
          <t>/</t>
        </is>
      </c>
      <c r="AB262" s="51" t="inlineStr">
        <is>
          <t>/</t>
        </is>
      </c>
      <c r="AC262" s="46" t="inlineStr">
        <is>
          <t>/</t>
        </is>
      </c>
      <c r="AD262"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2" s="25" t="inlineStr">
        <is>
          <t>1、签订期间：2026.3.1-2026.7.20；
2、指标按照全年换算；</t>
        </is>
      </c>
      <c r="AF262" s="232" t="inlineStr">
        <is>
          <t>1、条款：技术合作方所有人员与公司签订劳动合同，签订劳动合同的技术合作方负责人必须参加公司社保，否则不予录用；
问题：非所有分组作业人员都入职到公司，非所有负责人缴纳社保；</t>
        </is>
      </c>
    </row>
    <row r="263" ht="72" customFormat="1" customHeight="1" s="209">
      <c r="A263" s="219" t="n">
        <v>261</v>
      </c>
      <c r="B263" s="14" t="inlineStr">
        <is>
          <t>KQCY0251</t>
        </is>
      </c>
      <c r="C263" s="221" t="inlineStr">
        <is>
          <t>餐饮五分部</t>
        </is>
      </c>
      <c r="D263" s="221" t="inlineStr">
        <is>
          <t>CF694</t>
        </is>
      </c>
      <c r="E263" s="221" t="inlineStr">
        <is>
          <t>兰理工彭家坪北村食堂</t>
        </is>
      </c>
      <c r="F263" s="219" t="inlineStr">
        <is>
          <t>分组作业</t>
        </is>
      </c>
      <c r="G263" s="222" t="inlineStr">
        <is>
          <t>陆琪</t>
        </is>
      </c>
      <c r="H263" s="503" t="inlineStr">
        <is>
          <t>/</t>
        </is>
      </c>
      <c r="I263" s="237" t="inlineStr">
        <is>
          <t>米粉</t>
        </is>
      </c>
      <c r="J263" s="503" t="inlineStr">
        <is>
          <t>尚伟云</t>
        </is>
      </c>
      <c r="K263" s="224" t="inlineStr">
        <is>
          <t>/</t>
        </is>
      </c>
      <c r="L263" s="651" t="n">
        <v>676800</v>
      </c>
      <c r="M263" s="147" t="n">
        <v>0.19</v>
      </c>
      <c r="N263" s="512" t="inlineStr">
        <is>
          <t>/</t>
        </is>
      </c>
      <c r="O263" s="512" t="inlineStr">
        <is>
          <t>/</t>
        </is>
      </c>
      <c r="P263" s="512" t="inlineStr">
        <is>
          <t>/</t>
        </is>
      </c>
      <c r="Q263" s="512" t="inlineStr">
        <is>
          <t>/</t>
        </is>
      </c>
      <c r="R263" s="512" t="inlineStr">
        <is>
          <t>/</t>
        </is>
      </c>
      <c r="S263" s="512" t="inlineStr">
        <is>
          <t>/</t>
        </is>
      </c>
      <c r="T263" s="97" t="n">
        <v>0.03</v>
      </c>
      <c r="U263" s="147" t="n">
        <v>0.03</v>
      </c>
      <c r="V263" s="512" t="inlineStr">
        <is>
          <t>/</t>
        </is>
      </c>
      <c r="W263" s="80" t="n"/>
      <c r="X263" s="146" t="inlineStr">
        <is>
          <t>/</t>
        </is>
      </c>
      <c r="Y263" s="146" t="inlineStr">
        <is>
          <t>/</t>
        </is>
      </c>
      <c r="Z263" s="146" t="inlineStr">
        <is>
          <t>/</t>
        </is>
      </c>
      <c r="AA263" s="146" t="inlineStr">
        <is>
          <t>/</t>
        </is>
      </c>
      <c r="AB263" s="51" t="inlineStr">
        <is>
          <t>/</t>
        </is>
      </c>
      <c r="AC263" s="46" t="inlineStr">
        <is>
          <t>/</t>
        </is>
      </c>
      <c r="AD263"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3" s="25" t="inlineStr">
        <is>
          <t>1、签订期间：2026.3.1-2026.7.20；
2、指标按照全年换算；</t>
        </is>
      </c>
      <c r="AF263" s="232" t="inlineStr">
        <is>
          <t>1、条款：技术合作方所有人员与公司签订劳动合同，签订劳动合同的技术合作方负责人必须参加公司社保，否则不予录用；
问题：非所有分组作业人员都入职到公司，非所有负责人缴纳社保；</t>
        </is>
      </c>
    </row>
    <row r="264" ht="72" customFormat="1" customHeight="1" s="209">
      <c r="A264" s="219" t="n">
        <v>262</v>
      </c>
      <c r="B264" s="14" t="inlineStr">
        <is>
          <t>KQCY0252</t>
        </is>
      </c>
      <c r="C264" s="221" t="inlineStr">
        <is>
          <t>餐饮五分部</t>
        </is>
      </c>
      <c r="D264" s="221" t="inlineStr">
        <is>
          <t>CF694</t>
        </is>
      </c>
      <c r="E264" s="221" t="inlineStr">
        <is>
          <t>兰理工彭家坪北村食堂</t>
        </is>
      </c>
      <c r="F264" s="219" t="inlineStr">
        <is>
          <t>分组作业</t>
        </is>
      </c>
      <c r="G264" s="222" t="inlineStr">
        <is>
          <t>陆琪</t>
        </is>
      </c>
      <c r="H264" s="503" t="inlineStr">
        <is>
          <t>/</t>
        </is>
      </c>
      <c r="I264" s="237" t="inlineStr">
        <is>
          <t>肉肉堡</t>
        </is>
      </c>
      <c r="J264" s="503" t="inlineStr">
        <is>
          <t>任洪彦</t>
        </is>
      </c>
      <c r="K264" s="224" t="inlineStr">
        <is>
          <t>/</t>
        </is>
      </c>
      <c r="L264" s="651" t="n">
        <v>408000</v>
      </c>
      <c r="M264" s="147" t="n">
        <v>0.2</v>
      </c>
      <c r="N264" s="512" t="inlineStr">
        <is>
          <t>/</t>
        </is>
      </c>
      <c r="O264" s="512" t="inlineStr">
        <is>
          <t>/</t>
        </is>
      </c>
      <c r="P264" s="512" t="inlineStr">
        <is>
          <t>/</t>
        </is>
      </c>
      <c r="Q264" s="512" t="inlineStr">
        <is>
          <t>/</t>
        </is>
      </c>
      <c r="R264" s="512" t="inlineStr">
        <is>
          <t>/</t>
        </is>
      </c>
      <c r="S264" s="512" t="inlineStr">
        <is>
          <t>/</t>
        </is>
      </c>
      <c r="T264" s="97" t="n">
        <v>0.03</v>
      </c>
      <c r="U264" s="147" t="n">
        <v>0.03</v>
      </c>
      <c r="V264" s="512" t="inlineStr">
        <is>
          <t>/</t>
        </is>
      </c>
      <c r="W264" s="80" t="n"/>
      <c r="X264" s="146" t="inlineStr">
        <is>
          <t>/</t>
        </is>
      </c>
      <c r="Y264" s="146" t="inlineStr">
        <is>
          <t>/</t>
        </is>
      </c>
      <c r="Z264" s="146" t="inlineStr">
        <is>
          <t>/</t>
        </is>
      </c>
      <c r="AA264" s="146" t="inlineStr">
        <is>
          <t>/</t>
        </is>
      </c>
      <c r="AB264" s="51" t="inlineStr">
        <is>
          <t>/</t>
        </is>
      </c>
      <c r="AC264" s="46" t="inlineStr">
        <is>
          <t>/</t>
        </is>
      </c>
      <c r="AD264"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4" s="25" t="inlineStr">
        <is>
          <t>1、签订期间：2026.3.1-2026.7.20；
2、指标按照全年换算；</t>
        </is>
      </c>
      <c r="AF264" s="232" t="inlineStr">
        <is>
          <t>1、条款：技术合作方所有人员与公司签订劳动合同，签订劳动合同的技术合作方负责人必须参加公司社保，否则不予录用；
问题：非所有分组作业人员都入职到公司，非所有负责人缴纳社保；</t>
        </is>
      </c>
    </row>
    <row r="265" ht="72" customFormat="1" customHeight="1" s="209">
      <c r="A265" s="219" t="n">
        <v>263</v>
      </c>
      <c r="B265" s="14" t="inlineStr">
        <is>
          <t>KQCY0253</t>
        </is>
      </c>
      <c r="C265" s="221" t="inlineStr">
        <is>
          <t>餐饮五分部</t>
        </is>
      </c>
      <c r="D265" s="221" t="inlineStr">
        <is>
          <t>CF694</t>
        </is>
      </c>
      <c r="E265" s="221" t="inlineStr">
        <is>
          <t>兰理工彭家坪北村食堂</t>
        </is>
      </c>
      <c r="F265" s="219" t="inlineStr">
        <is>
          <t>分组作业</t>
        </is>
      </c>
      <c r="G265" s="222" t="inlineStr">
        <is>
          <t>陆琪</t>
        </is>
      </c>
      <c r="H265" s="503" t="inlineStr">
        <is>
          <t>/</t>
        </is>
      </c>
      <c r="I265" s="237" t="inlineStr">
        <is>
          <t>肉酱面</t>
        </is>
      </c>
      <c r="J265" s="503" t="inlineStr">
        <is>
          <t>杨小含</t>
        </is>
      </c>
      <c r="K265" s="224" t="inlineStr">
        <is>
          <t>/</t>
        </is>
      </c>
      <c r="L265" s="651" t="n">
        <v>595200</v>
      </c>
      <c r="M265" s="147" t="n">
        <v>0.21</v>
      </c>
      <c r="N265" s="512" t="inlineStr">
        <is>
          <t>/</t>
        </is>
      </c>
      <c r="O265" s="512" t="inlineStr">
        <is>
          <t>/</t>
        </is>
      </c>
      <c r="P265" s="512" t="inlineStr">
        <is>
          <t>/</t>
        </is>
      </c>
      <c r="Q265" s="512" t="inlineStr">
        <is>
          <t>/</t>
        </is>
      </c>
      <c r="R265" s="512" t="inlineStr">
        <is>
          <t>/</t>
        </is>
      </c>
      <c r="S265" s="512" t="inlineStr">
        <is>
          <t>/</t>
        </is>
      </c>
      <c r="T265" s="97" t="n">
        <v>0.02</v>
      </c>
      <c r="U265" s="147" t="n">
        <v>0.02</v>
      </c>
      <c r="V265" s="512" t="inlineStr">
        <is>
          <t>/</t>
        </is>
      </c>
      <c r="W265" s="80" t="n"/>
      <c r="X265" s="146" t="inlineStr">
        <is>
          <t>/</t>
        </is>
      </c>
      <c r="Y265" s="146" t="inlineStr">
        <is>
          <t>/</t>
        </is>
      </c>
      <c r="Z265" s="146" t="inlineStr">
        <is>
          <t>/</t>
        </is>
      </c>
      <c r="AA265" s="146" t="inlineStr">
        <is>
          <t>/</t>
        </is>
      </c>
      <c r="AB265" s="51" t="inlineStr">
        <is>
          <t>/</t>
        </is>
      </c>
      <c r="AC265" s="46" t="inlineStr">
        <is>
          <t>/</t>
        </is>
      </c>
      <c r="AD265"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5" s="25" t="inlineStr">
        <is>
          <t>1、签订期间：2026.3.1-2026.7.20；
2、指标按照全年换算；</t>
        </is>
      </c>
      <c r="AF265" s="232" t="inlineStr">
        <is>
          <t>1、条款：技术合作方所有人员与公司签订劳动合同，签订劳动合同的技术合作方负责人必须参加公司社保，否则不予录用；
问题：非所有分组作业人员都入职到公司，非所有负责人缴纳社保；</t>
        </is>
      </c>
    </row>
    <row r="266" ht="72" customFormat="1" customHeight="1" s="209">
      <c r="A266" s="219" t="n">
        <v>264</v>
      </c>
      <c r="B266" s="14" t="inlineStr">
        <is>
          <t>KQCY0254</t>
        </is>
      </c>
      <c r="C266" s="221" t="inlineStr">
        <is>
          <t>餐饮五分部</t>
        </is>
      </c>
      <c r="D266" s="221" t="inlineStr">
        <is>
          <t>CF694</t>
        </is>
      </c>
      <c r="E266" s="221" t="inlineStr">
        <is>
          <t>兰理工彭家坪北村食堂</t>
        </is>
      </c>
      <c r="F266" s="219" t="inlineStr">
        <is>
          <t>分组作业</t>
        </is>
      </c>
      <c r="G266" s="222" t="inlineStr">
        <is>
          <t>陆琪</t>
        </is>
      </c>
      <c r="H266" s="503" t="inlineStr">
        <is>
          <t>/</t>
        </is>
      </c>
      <c r="I266" s="237" t="inlineStr">
        <is>
          <t>脆皮鸡</t>
        </is>
      </c>
      <c r="J266" s="503" t="inlineStr">
        <is>
          <t>汤瑞珍</t>
        </is>
      </c>
      <c r="K266" s="224" t="inlineStr">
        <is>
          <t>/</t>
        </is>
      </c>
      <c r="L266" s="651" t="n">
        <v>595200</v>
      </c>
      <c r="M266" s="147" t="n">
        <v>0.2</v>
      </c>
      <c r="N266" s="512" t="inlineStr">
        <is>
          <t>/</t>
        </is>
      </c>
      <c r="O266" s="512" t="inlineStr">
        <is>
          <t>/</t>
        </is>
      </c>
      <c r="P266" s="512" t="inlineStr">
        <is>
          <t>/</t>
        </is>
      </c>
      <c r="Q266" s="512" t="inlineStr">
        <is>
          <t>/</t>
        </is>
      </c>
      <c r="R266" s="512" t="inlineStr">
        <is>
          <t>/</t>
        </is>
      </c>
      <c r="S266" s="512" t="inlineStr">
        <is>
          <t>/</t>
        </is>
      </c>
      <c r="T266" s="97" t="n">
        <v>0.03</v>
      </c>
      <c r="U266" s="147" t="n">
        <v>0.03</v>
      </c>
      <c r="V266" s="512" t="inlineStr">
        <is>
          <t>/</t>
        </is>
      </c>
      <c r="W266" s="80" t="n"/>
      <c r="X266" s="146" t="inlineStr">
        <is>
          <t>/</t>
        </is>
      </c>
      <c r="Y266" s="146" t="inlineStr">
        <is>
          <t>/</t>
        </is>
      </c>
      <c r="Z266" s="146" t="inlineStr">
        <is>
          <t>/</t>
        </is>
      </c>
      <c r="AA266" s="146" t="inlineStr">
        <is>
          <t>/</t>
        </is>
      </c>
      <c r="AB266" s="51" t="inlineStr">
        <is>
          <t>/</t>
        </is>
      </c>
      <c r="AC266" s="46" t="inlineStr">
        <is>
          <t>/</t>
        </is>
      </c>
      <c r="AD266" s="15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6" s="25" t="inlineStr">
        <is>
          <t>1、签订期间：2026.3.1-2026.7.20；
2、指标按照全年换算；</t>
        </is>
      </c>
      <c r="AF266" s="232" t="inlineStr">
        <is>
          <t>1、条款：技术合作方所有人员与公司签订劳动合同，签订劳动合同的技术合作方负责人必须参加公司社保，否则不予录用；
问题：非所有分组作业人员都入职到公司，非所有负责人缴纳社保；</t>
        </is>
      </c>
    </row>
    <row r="267" ht="72" customFormat="1" customHeight="1" s="209">
      <c r="A267" s="219" t="n">
        <v>265</v>
      </c>
      <c r="B267" s="14" t="inlineStr">
        <is>
          <t>KQCY0255</t>
        </is>
      </c>
      <c r="C267" s="221" t="inlineStr">
        <is>
          <t>餐饮五分部</t>
        </is>
      </c>
      <c r="D267" s="221" t="inlineStr">
        <is>
          <t>CF694</t>
        </is>
      </c>
      <c r="E267" s="221" t="inlineStr">
        <is>
          <t>兰理工彭家坪北村食堂</t>
        </is>
      </c>
      <c r="F267" s="219" t="inlineStr">
        <is>
          <t>分组作业</t>
        </is>
      </c>
      <c r="G267" s="222" t="inlineStr">
        <is>
          <t>陆琪</t>
        </is>
      </c>
      <c r="H267" s="503" t="inlineStr">
        <is>
          <t>/</t>
        </is>
      </c>
      <c r="I267" s="237" t="inlineStr">
        <is>
          <t>小笼包（渔粉）</t>
        </is>
      </c>
      <c r="J267" s="503" t="inlineStr">
        <is>
          <t>庞大江</t>
        </is>
      </c>
      <c r="K267" s="224" t="inlineStr">
        <is>
          <t>/</t>
        </is>
      </c>
      <c r="L267" s="651" t="n">
        <v>626400</v>
      </c>
      <c r="M267" s="147" t="n">
        <v>0.19</v>
      </c>
      <c r="N267" s="512" t="inlineStr">
        <is>
          <t>/</t>
        </is>
      </c>
      <c r="O267" s="512" t="inlineStr">
        <is>
          <t>/</t>
        </is>
      </c>
      <c r="P267" s="512" t="inlineStr">
        <is>
          <t>/</t>
        </is>
      </c>
      <c r="Q267" s="512" t="inlineStr">
        <is>
          <t>/</t>
        </is>
      </c>
      <c r="R267" s="512" t="inlineStr">
        <is>
          <t>/</t>
        </is>
      </c>
      <c r="S267" s="512" t="inlineStr">
        <is>
          <t>/</t>
        </is>
      </c>
      <c r="T267" s="97" t="n">
        <v>0.03</v>
      </c>
      <c r="U267" s="147" t="n">
        <v>0.03</v>
      </c>
      <c r="V267" s="512" t="inlineStr">
        <is>
          <t>/</t>
        </is>
      </c>
      <c r="W267" s="80" t="n"/>
      <c r="X267" s="146" t="inlineStr">
        <is>
          <t>/</t>
        </is>
      </c>
      <c r="Y267" s="146" t="inlineStr">
        <is>
          <t>/</t>
        </is>
      </c>
      <c r="Z267" s="146" t="inlineStr">
        <is>
          <t>/</t>
        </is>
      </c>
      <c r="AA267" s="146" t="inlineStr">
        <is>
          <t>/</t>
        </is>
      </c>
      <c r="AB267" s="51" t="inlineStr">
        <is>
          <t>/</t>
        </is>
      </c>
      <c r="AC267" s="46" t="inlineStr">
        <is>
          <t>/</t>
        </is>
      </c>
      <c r="AD267" s="15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7" s="25" t="inlineStr">
        <is>
          <t>1、签订期间：2026.3.1-2026.7.20；
2、指标按照全年换算；</t>
        </is>
      </c>
      <c r="AF267" s="232" t="inlineStr">
        <is>
          <t>1、条款：技术合作方所有人员与公司签订劳动合同，签订劳动合同的技术合作方负责人必须参加公司社保，否则不予录用；
问题：非所有分组作业人员都入职到公司，非所有负责人缴纳社保；</t>
        </is>
      </c>
    </row>
    <row r="268" ht="72" customFormat="1" customHeight="1" s="209">
      <c r="A268" s="219" t="n">
        <v>266</v>
      </c>
      <c r="B268" s="14" t="inlineStr">
        <is>
          <t>KQCY0256</t>
        </is>
      </c>
      <c r="C268" s="221" t="inlineStr">
        <is>
          <t>餐饮五分部</t>
        </is>
      </c>
      <c r="D268" s="221" t="inlineStr">
        <is>
          <t>CF694</t>
        </is>
      </c>
      <c r="E268" s="221" t="inlineStr">
        <is>
          <t>兰理工彭家坪北村食堂</t>
        </is>
      </c>
      <c r="F268" s="219" t="inlineStr">
        <is>
          <t>分组作业</t>
        </is>
      </c>
      <c r="G268" s="222" t="inlineStr">
        <is>
          <t>陆琪</t>
        </is>
      </c>
      <c r="H268" s="503" t="inlineStr">
        <is>
          <t>/</t>
        </is>
      </c>
      <c r="I268" s="237" t="inlineStr">
        <is>
          <t>早点</t>
        </is>
      </c>
      <c r="J268" s="503" t="inlineStr">
        <is>
          <t>陶红喜</t>
        </is>
      </c>
      <c r="K268" s="224" t="inlineStr">
        <is>
          <t>/</t>
        </is>
      </c>
      <c r="L268" s="651" t="n">
        <v>984000</v>
      </c>
      <c r="M268" s="147" t="n">
        <v>0.2</v>
      </c>
      <c r="N268" s="512" t="inlineStr">
        <is>
          <t>/</t>
        </is>
      </c>
      <c r="O268" s="512" t="inlineStr">
        <is>
          <t>/</t>
        </is>
      </c>
      <c r="P268" s="512" t="inlineStr">
        <is>
          <t>/</t>
        </is>
      </c>
      <c r="Q268" s="512" t="inlineStr">
        <is>
          <t>/</t>
        </is>
      </c>
      <c r="R268" s="512" t="inlineStr">
        <is>
          <t>/</t>
        </is>
      </c>
      <c r="S268" s="512" t="inlineStr">
        <is>
          <t>/</t>
        </is>
      </c>
      <c r="T268" s="97" t="n">
        <v>0.03</v>
      </c>
      <c r="U268" s="147" t="n">
        <v>0.03</v>
      </c>
      <c r="V268" s="512" t="inlineStr">
        <is>
          <t>/</t>
        </is>
      </c>
      <c r="W268" s="80" t="n"/>
      <c r="X268" s="146" t="inlineStr">
        <is>
          <t>/</t>
        </is>
      </c>
      <c r="Y268" s="146" t="inlineStr">
        <is>
          <t>/</t>
        </is>
      </c>
      <c r="Z268" s="146" t="inlineStr">
        <is>
          <t>/</t>
        </is>
      </c>
      <c r="AA268" s="146" t="inlineStr">
        <is>
          <t>/</t>
        </is>
      </c>
      <c r="AB268" s="51" t="inlineStr">
        <is>
          <t>/</t>
        </is>
      </c>
      <c r="AC268" s="46" t="inlineStr">
        <is>
          <t>/</t>
        </is>
      </c>
      <c r="AD268" s="15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8" s="25" t="inlineStr">
        <is>
          <t>1、签订期间：2026.3.1-2026.7.20；
2、指标按照全年换算；</t>
        </is>
      </c>
      <c r="AF268" s="232" t="inlineStr">
        <is>
          <t>1、条款：技术合作方所有人员与公司签订劳动合同，签订劳动合同的技术合作方负责人必须参加公司社保，否则不予录用；
问题：非所有分组作业人员都入职到公司，非所有负责人缴纳社保；</t>
        </is>
      </c>
    </row>
    <row r="269" ht="72" customFormat="1" customHeight="1" s="209">
      <c r="A269" s="219" t="n">
        <v>267</v>
      </c>
      <c r="B269" s="14" t="inlineStr">
        <is>
          <t>KQCY0257</t>
        </is>
      </c>
      <c r="C269" s="221" t="inlineStr">
        <is>
          <t>餐饮五分部</t>
        </is>
      </c>
      <c r="D269" s="221" t="inlineStr">
        <is>
          <t>CF694</t>
        </is>
      </c>
      <c r="E269" s="221" t="inlineStr">
        <is>
          <t>兰理工彭家坪北村食堂</t>
        </is>
      </c>
      <c r="F269" s="219" t="inlineStr">
        <is>
          <t>分组作业</t>
        </is>
      </c>
      <c r="G269" s="222" t="inlineStr">
        <is>
          <t>陆琪</t>
        </is>
      </c>
      <c r="H269" s="503" t="inlineStr">
        <is>
          <t>/</t>
        </is>
      </c>
      <c r="I269" s="237" t="inlineStr">
        <is>
          <t>湘式小炒</t>
        </is>
      </c>
      <c r="J269" s="503" t="inlineStr">
        <is>
          <t>李雪婷</t>
        </is>
      </c>
      <c r="K269" s="224" t="inlineStr">
        <is>
          <t>/</t>
        </is>
      </c>
      <c r="L269" s="651" t="n">
        <v>626400</v>
      </c>
      <c r="M269" s="113" t="n">
        <v>0.19</v>
      </c>
      <c r="N269" s="502" t="inlineStr">
        <is>
          <t>/</t>
        </is>
      </c>
      <c r="O269" s="502" t="inlineStr">
        <is>
          <t>/</t>
        </is>
      </c>
      <c r="P269" s="502" t="inlineStr">
        <is>
          <t>/</t>
        </is>
      </c>
      <c r="Q269" s="502" t="inlineStr">
        <is>
          <t>/</t>
        </is>
      </c>
      <c r="R269" s="502" t="inlineStr">
        <is>
          <t>/</t>
        </is>
      </c>
      <c r="S269" s="502" t="inlineStr">
        <is>
          <t>/</t>
        </is>
      </c>
      <c r="T269" s="224" t="n">
        <v>0.03</v>
      </c>
      <c r="U269" s="113" t="n">
        <v>0.03</v>
      </c>
      <c r="V269" s="502" t="inlineStr">
        <is>
          <t>/</t>
        </is>
      </c>
      <c r="W269" s="44" t="n"/>
      <c r="X269" s="51" t="inlineStr">
        <is>
          <t>/</t>
        </is>
      </c>
      <c r="Y269" s="51" t="inlineStr">
        <is>
          <t>/</t>
        </is>
      </c>
      <c r="Z269" s="51" t="inlineStr">
        <is>
          <t>/</t>
        </is>
      </c>
      <c r="AA269" s="51" t="inlineStr">
        <is>
          <t>/</t>
        </is>
      </c>
      <c r="AB269" s="51" t="inlineStr">
        <is>
          <t>/</t>
        </is>
      </c>
      <c r="AC269" s="46" t="inlineStr">
        <is>
          <t>/</t>
        </is>
      </c>
      <c r="AD269"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9" s="25" t="inlineStr">
        <is>
          <t>1、签订期间：2026.3.1-2026.7.20；
2、指标按照全年换算；</t>
        </is>
      </c>
      <c r="AF269" s="232" t="inlineStr">
        <is>
          <t>1、条款：技术合作方所有人员与公司签订劳动合同，签订劳动合同的技术合作方负责人必须参加公司社保，否则不予录用；
问题：非所有分组作业人员都入职到公司，非所有负责人缴纳社保；</t>
        </is>
      </c>
    </row>
    <row r="270" ht="72" customFormat="1" customHeight="1" s="209">
      <c r="A270" s="219" t="n">
        <v>268</v>
      </c>
      <c r="B270" s="14" t="inlineStr">
        <is>
          <t>KQCY0258</t>
        </is>
      </c>
      <c r="C270" s="221" t="inlineStr">
        <is>
          <t>餐饮五分部</t>
        </is>
      </c>
      <c r="D270" s="221" t="inlineStr">
        <is>
          <t>CF694</t>
        </is>
      </c>
      <c r="E270" s="221" t="inlineStr">
        <is>
          <t>兰理工彭家坪北村食堂</t>
        </is>
      </c>
      <c r="F270" s="219" t="inlineStr">
        <is>
          <t>分组作业</t>
        </is>
      </c>
      <c r="G270" s="222" t="inlineStr">
        <is>
          <t>陆琪</t>
        </is>
      </c>
      <c r="H270" s="503" t="inlineStr">
        <is>
          <t>/</t>
        </is>
      </c>
      <c r="I270" s="237" t="inlineStr">
        <is>
          <t>饸饹面</t>
        </is>
      </c>
      <c r="J270" s="494" t="inlineStr">
        <is>
          <t>高维秦</t>
        </is>
      </c>
      <c r="K270" s="224" t="inlineStr">
        <is>
          <t>/</t>
        </is>
      </c>
      <c r="L270" s="651" t="n">
        <v>626400</v>
      </c>
      <c r="M270" s="113" t="n">
        <v>0.2</v>
      </c>
      <c r="N270" s="502" t="inlineStr">
        <is>
          <t>/</t>
        </is>
      </c>
      <c r="O270" s="502" t="inlineStr">
        <is>
          <t>/</t>
        </is>
      </c>
      <c r="P270" s="502" t="inlineStr">
        <is>
          <t>/</t>
        </is>
      </c>
      <c r="Q270" s="502" t="inlineStr">
        <is>
          <t>/</t>
        </is>
      </c>
      <c r="R270" s="502" t="inlineStr">
        <is>
          <t>/</t>
        </is>
      </c>
      <c r="S270" s="502" t="inlineStr">
        <is>
          <t>/</t>
        </is>
      </c>
      <c r="T270" s="224" t="n">
        <v>0.03</v>
      </c>
      <c r="U270" s="113" t="n">
        <v>0.03</v>
      </c>
      <c r="V270" s="502" t="inlineStr">
        <is>
          <t>/</t>
        </is>
      </c>
      <c r="W270" s="44" t="n"/>
      <c r="X270" s="51" t="inlineStr">
        <is>
          <t>/</t>
        </is>
      </c>
      <c r="Y270" s="51" t="inlineStr">
        <is>
          <t>/</t>
        </is>
      </c>
      <c r="Z270" s="51" t="inlineStr">
        <is>
          <t>/</t>
        </is>
      </c>
      <c r="AA270" s="51" t="inlineStr">
        <is>
          <t>/</t>
        </is>
      </c>
      <c r="AB270" s="51" t="inlineStr">
        <is>
          <t>/</t>
        </is>
      </c>
      <c r="AC270" s="46" t="inlineStr">
        <is>
          <t>/</t>
        </is>
      </c>
      <c r="AD270"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0" s="25" t="inlineStr">
        <is>
          <t>1、签订期间：2026.3.1-2026.7.20；
2、指标按照全年换算；</t>
        </is>
      </c>
      <c r="AF270" s="232" t="inlineStr">
        <is>
          <t>1、条款：技术合作方所有人员与公司签订劳动合同，签订劳动合同的技术合作方负责人必须参加公司社保，否则不予录用；
问题：非所有分组作业人员都入职到公司，非所有负责人缴纳社保；</t>
        </is>
      </c>
    </row>
    <row r="271" ht="72" customFormat="1" customHeight="1" s="209">
      <c r="A271" s="219" t="n">
        <v>269</v>
      </c>
      <c r="B271" s="14" t="inlineStr">
        <is>
          <t>KQCY0259</t>
        </is>
      </c>
      <c r="C271" s="221" t="inlineStr">
        <is>
          <t>餐饮五分部</t>
        </is>
      </c>
      <c r="D271" s="221" t="inlineStr">
        <is>
          <t>CF694</t>
        </is>
      </c>
      <c r="E271" s="221" t="inlineStr">
        <is>
          <t>兰理工彭家坪北村食堂</t>
        </is>
      </c>
      <c r="F271" s="219" t="inlineStr">
        <is>
          <t>分组作业</t>
        </is>
      </c>
      <c r="G271" s="222" t="inlineStr">
        <is>
          <t>陆琪</t>
        </is>
      </c>
      <c r="H271" s="503" t="inlineStr">
        <is>
          <t>/</t>
        </is>
      </c>
      <c r="I271" s="237" t="inlineStr">
        <is>
          <t>石锅饭</t>
        </is>
      </c>
      <c r="J271" s="494" t="inlineStr">
        <is>
          <t>杨方红</t>
        </is>
      </c>
      <c r="K271" s="224" t="inlineStr">
        <is>
          <t>/</t>
        </is>
      </c>
      <c r="L271" s="651" t="n">
        <v>408000</v>
      </c>
      <c r="M271" s="113" t="n">
        <v>0.18</v>
      </c>
      <c r="N271" s="502" t="inlineStr">
        <is>
          <t>/</t>
        </is>
      </c>
      <c r="O271" s="502" t="inlineStr">
        <is>
          <t>/</t>
        </is>
      </c>
      <c r="P271" s="502" t="inlineStr">
        <is>
          <t>/</t>
        </is>
      </c>
      <c r="Q271" s="502" t="inlineStr">
        <is>
          <t>/</t>
        </is>
      </c>
      <c r="R271" s="502" t="inlineStr">
        <is>
          <t>/</t>
        </is>
      </c>
      <c r="S271" s="502" t="inlineStr">
        <is>
          <t>/</t>
        </is>
      </c>
      <c r="T271" s="224" t="n">
        <v>0.03</v>
      </c>
      <c r="U271" s="113" t="n">
        <v>0.03</v>
      </c>
      <c r="V271" s="502" t="inlineStr">
        <is>
          <t>/</t>
        </is>
      </c>
      <c r="W271" s="44" t="n"/>
      <c r="X271" s="51" t="inlineStr">
        <is>
          <t>/</t>
        </is>
      </c>
      <c r="Y271" s="51" t="inlineStr">
        <is>
          <t>/</t>
        </is>
      </c>
      <c r="Z271" s="51" t="inlineStr">
        <is>
          <t>/</t>
        </is>
      </c>
      <c r="AA271" s="51" t="inlineStr">
        <is>
          <t>/</t>
        </is>
      </c>
      <c r="AB271" s="51" t="inlineStr">
        <is>
          <t>/</t>
        </is>
      </c>
      <c r="AC271" s="46" t="inlineStr">
        <is>
          <t>/</t>
        </is>
      </c>
      <c r="AD271"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1" s="25" t="inlineStr">
        <is>
          <t>1、签订期间：2026.3.1-2026.7.20；
2、指标按照全年换算；</t>
        </is>
      </c>
      <c r="AF271" s="232" t="inlineStr">
        <is>
          <t>1、条款：技术合作方所有人员与公司签订劳动合同，签订劳动合同的技术合作方负责人必须参加公司社保，否则不予录用；
问题：非所有分组作业人员都入职到公司，非所有负责人缴纳社保；</t>
        </is>
      </c>
    </row>
    <row r="272" ht="72" customFormat="1" customHeight="1" s="209">
      <c r="A272" s="219" t="n">
        <v>270</v>
      </c>
      <c r="B272" s="14" t="inlineStr">
        <is>
          <t>KQCY0260</t>
        </is>
      </c>
      <c r="C272" s="221" t="inlineStr">
        <is>
          <t>餐饮五分部</t>
        </is>
      </c>
      <c r="D272" s="221" t="inlineStr">
        <is>
          <t>CF694</t>
        </is>
      </c>
      <c r="E272" s="221" t="inlineStr">
        <is>
          <t>兰理工彭家坪北村食堂</t>
        </is>
      </c>
      <c r="F272" s="219" t="inlineStr">
        <is>
          <t>分组作业</t>
        </is>
      </c>
      <c r="G272" s="222" t="inlineStr">
        <is>
          <t>陆琪</t>
        </is>
      </c>
      <c r="H272" s="503" t="inlineStr">
        <is>
          <t>/</t>
        </is>
      </c>
      <c r="I272" s="237" t="inlineStr">
        <is>
          <t>猪脚饭</t>
        </is>
      </c>
      <c r="J272" s="494" t="inlineStr">
        <is>
          <t>陈发全</t>
        </is>
      </c>
      <c r="K272" s="224" t="inlineStr">
        <is>
          <t>/</t>
        </is>
      </c>
      <c r="L272" s="651" t="n">
        <v>626400</v>
      </c>
      <c r="M272" s="113" t="n">
        <v>0.2</v>
      </c>
      <c r="N272" s="502" t="inlineStr">
        <is>
          <t>/</t>
        </is>
      </c>
      <c r="O272" s="502" t="inlineStr">
        <is>
          <t>/</t>
        </is>
      </c>
      <c r="P272" s="502" t="inlineStr">
        <is>
          <t>/</t>
        </is>
      </c>
      <c r="Q272" s="502" t="inlineStr">
        <is>
          <t>/</t>
        </is>
      </c>
      <c r="R272" s="502" t="inlineStr">
        <is>
          <t>/</t>
        </is>
      </c>
      <c r="S272" s="502" t="inlineStr">
        <is>
          <t>/</t>
        </is>
      </c>
      <c r="T272" s="224" t="n">
        <v>0.03</v>
      </c>
      <c r="U272" s="113" t="n">
        <v>0.03</v>
      </c>
      <c r="V272" s="502" t="inlineStr">
        <is>
          <t>/</t>
        </is>
      </c>
      <c r="W272" s="44" t="n"/>
      <c r="X272" s="51" t="inlineStr">
        <is>
          <t>/</t>
        </is>
      </c>
      <c r="Y272" s="51" t="inlineStr">
        <is>
          <t>/</t>
        </is>
      </c>
      <c r="Z272" s="51" t="inlineStr">
        <is>
          <t>/</t>
        </is>
      </c>
      <c r="AA272" s="51" t="inlineStr">
        <is>
          <t>/</t>
        </is>
      </c>
      <c r="AB272" s="51" t="inlineStr">
        <is>
          <t>/</t>
        </is>
      </c>
      <c r="AC272" s="46" t="inlineStr">
        <is>
          <t>/</t>
        </is>
      </c>
      <c r="AD272"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2" s="25" t="inlineStr">
        <is>
          <t>1、签订期间：2026.3.1-2026.7.20；
2、指标按照全年换算；</t>
        </is>
      </c>
      <c r="AF272" s="232" t="inlineStr">
        <is>
          <t>1、条款：技术合作方所有人员与公司签订劳动合同，签订劳动合同的技术合作方负责人必须参加公司社保，否则不予录用；
问题：非所有分组作业人员都入职到公司，非所有负责人缴纳社保；</t>
        </is>
      </c>
    </row>
    <row r="273" ht="72" customFormat="1" customHeight="1" s="209">
      <c r="A273" s="219" t="n">
        <v>271</v>
      </c>
      <c r="B273" s="14" t="inlineStr">
        <is>
          <t>KQCY0261</t>
        </is>
      </c>
      <c r="C273" s="221" t="inlineStr">
        <is>
          <t>餐饮五分部</t>
        </is>
      </c>
      <c r="D273" s="221" t="inlineStr">
        <is>
          <t>CF694</t>
        </is>
      </c>
      <c r="E273" s="221" t="inlineStr">
        <is>
          <t>兰理工彭家坪北村食堂</t>
        </is>
      </c>
      <c r="F273" s="219" t="inlineStr">
        <is>
          <t>分组作业</t>
        </is>
      </c>
      <c r="G273" s="222" t="inlineStr">
        <is>
          <t>陆琪</t>
        </is>
      </c>
      <c r="H273" s="503" t="inlineStr">
        <is>
          <t>/</t>
        </is>
      </c>
      <c r="I273" s="237" t="inlineStr">
        <is>
          <t>水吧</t>
        </is>
      </c>
      <c r="J273" s="494" t="inlineStr">
        <is>
          <t>陈发全</t>
        </is>
      </c>
      <c r="K273" s="224" t="inlineStr">
        <is>
          <t>/</t>
        </is>
      </c>
      <c r="L273" s="651" t="n">
        <v>319200</v>
      </c>
      <c r="M273" s="113" t="n">
        <v>0.12</v>
      </c>
      <c r="N273" s="502" t="inlineStr">
        <is>
          <t>/</t>
        </is>
      </c>
      <c r="O273" s="502" t="inlineStr">
        <is>
          <t>/</t>
        </is>
      </c>
      <c r="P273" s="502" t="inlineStr">
        <is>
          <t>/</t>
        </is>
      </c>
      <c r="Q273" s="502" t="inlineStr">
        <is>
          <t>/</t>
        </is>
      </c>
      <c r="R273" s="502" t="inlineStr">
        <is>
          <t>/</t>
        </is>
      </c>
      <c r="S273" s="502" t="inlineStr">
        <is>
          <t>/</t>
        </is>
      </c>
      <c r="T273" s="502" t="inlineStr">
        <is>
          <t>/</t>
        </is>
      </c>
      <c r="U273" s="116" t="inlineStr">
        <is>
          <t>/</t>
        </is>
      </c>
      <c r="V273" s="502" t="inlineStr">
        <is>
          <t>/</t>
        </is>
      </c>
      <c r="W273" s="44" t="n"/>
      <c r="X273" s="51" t="inlineStr">
        <is>
          <t>/</t>
        </is>
      </c>
      <c r="Y273" s="51" t="inlineStr">
        <is>
          <t>/</t>
        </is>
      </c>
      <c r="Z273" s="51" t="inlineStr">
        <is>
          <t>/</t>
        </is>
      </c>
      <c r="AA273" s="51" t="inlineStr">
        <is>
          <t>/</t>
        </is>
      </c>
      <c r="AB273" s="51" t="inlineStr">
        <is>
          <t>/</t>
        </is>
      </c>
      <c r="AC273" s="46" t="inlineStr">
        <is>
          <t>/</t>
        </is>
      </c>
      <c r="AD273"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3" s="25" t="inlineStr">
        <is>
          <t>1、签订期间：2026.3.1-2026.7.20；
2、指标按照全年换算；</t>
        </is>
      </c>
      <c r="AF273" s="232" t="inlineStr">
        <is>
          <t>1、条款：技术合作方所有人员与公司签订劳动合同，签订劳动合同的技术合作方负责人必须参加公司社保，否则不予录用；
问题：非所有分组作业人员都入职到公司，非所有负责人缴纳社保；</t>
        </is>
      </c>
    </row>
    <row r="274" ht="72" customFormat="1" customHeight="1" s="209">
      <c r="A274" s="219" t="n">
        <v>272</v>
      </c>
      <c r="B274" s="14" t="inlineStr">
        <is>
          <t>KQCY0262</t>
        </is>
      </c>
      <c r="C274" s="221" t="inlineStr">
        <is>
          <t>餐饮五分部</t>
        </is>
      </c>
      <c r="D274" s="221" t="inlineStr">
        <is>
          <t>CF694</t>
        </is>
      </c>
      <c r="E274" s="221" t="inlineStr">
        <is>
          <t>兰理工彭家坪北村食堂</t>
        </is>
      </c>
      <c r="F274" s="219" t="inlineStr">
        <is>
          <t>分组作业</t>
        </is>
      </c>
      <c r="G274" s="222" t="inlineStr">
        <is>
          <t>陆琪</t>
        </is>
      </c>
      <c r="H274" s="503" t="inlineStr">
        <is>
          <t>/</t>
        </is>
      </c>
      <c r="I274" s="237" t="inlineStr">
        <is>
          <t>小火锅</t>
        </is>
      </c>
      <c r="J274" s="494" t="inlineStr">
        <is>
          <t>韩玉红</t>
        </is>
      </c>
      <c r="K274" s="224" t="inlineStr">
        <is>
          <t>/</t>
        </is>
      </c>
      <c r="L274" s="651" t="n">
        <v>592800</v>
      </c>
      <c r="M274" s="113" t="n">
        <v>0.18</v>
      </c>
      <c r="N274" s="502" t="inlineStr">
        <is>
          <t>/</t>
        </is>
      </c>
      <c r="O274" s="502" t="inlineStr">
        <is>
          <t>/</t>
        </is>
      </c>
      <c r="P274" s="502" t="inlineStr">
        <is>
          <t>/</t>
        </is>
      </c>
      <c r="Q274" s="502" t="inlineStr">
        <is>
          <t>/</t>
        </is>
      </c>
      <c r="R274" s="502" t="inlineStr">
        <is>
          <t>/</t>
        </is>
      </c>
      <c r="S274" s="502" t="inlineStr">
        <is>
          <t>/</t>
        </is>
      </c>
      <c r="T274" s="224" t="n">
        <v>0.03</v>
      </c>
      <c r="U274" s="113" t="n">
        <v>0.03</v>
      </c>
      <c r="V274" s="502" t="inlineStr">
        <is>
          <t>/</t>
        </is>
      </c>
      <c r="W274" s="44" t="n"/>
      <c r="X274" s="51" t="inlineStr">
        <is>
          <t>/</t>
        </is>
      </c>
      <c r="Y274" s="51" t="inlineStr">
        <is>
          <t>/</t>
        </is>
      </c>
      <c r="Z274" s="51" t="inlineStr">
        <is>
          <t>/</t>
        </is>
      </c>
      <c r="AA274" s="51" t="inlineStr">
        <is>
          <t>/</t>
        </is>
      </c>
      <c r="AB274" s="51" t="inlineStr">
        <is>
          <t>/</t>
        </is>
      </c>
      <c r="AC274" s="46" t="inlineStr">
        <is>
          <t>/</t>
        </is>
      </c>
      <c r="AD274"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4" s="25" t="inlineStr">
        <is>
          <t>1、签订期间：2026.3.1-2026.7.20；
2、指标按照全年换算；</t>
        </is>
      </c>
      <c r="AF274" s="232" t="inlineStr">
        <is>
          <t>1、条款：技术合作方所有人员与公司签订劳动合同，签订劳动合同的技术合作方负责人必须参加公司社保，否则不予录用；
问题：非所有分组作业人员都入职到公司，非所有负责人缴纳社保；</t>
        </is>
      </c>
    </row>
    <row r="275" ht="12" customFormat="1" customHeight="1" s="209">
      <c r="A275" s="219" t="n">
        <v>273</v>
      </c>
      <c r="B275" s="14" t="inlineStr">
        <is>
          <t>KQCY0263</t>
        </is>
      </c>
      <c r="C275" s="221" t="inlineStr">
        <is>
          <t>餐饮五分部</t>
        </is>
      </c>
      <c r="D275" s="221" t="inlineStr">
        <is>
          <t>CF696</t>
        </is>
      </c>
      <c r="E275" s="221" t="inlineStr">
        <is>
          <t>甘肃省气象局</t>
        </is>
      </c>
      <c r="F275" s="219" t="inlineStr">
        <is>
          <t>人员服务外包</t>
        </is>
      </c>
      <c r="G275" s="222" t="inlineStr">
        <is>
          <t>陆琪</t>
        </is>
      </c>
      <c r="H275" s="219" t="inlineStr">
        <is>
          <t>/</t>
        </is>
      </c>
      <c r="I275" s="232" t="inlineStr">
        <is>
          <t>/</t>
        </is>
      </c>
      <c r="J275" s="494" t="inlineStr">
        <is>
          <t>/</t>
        </is>
      </c>
      <c r="K275" s="224" t="inlineStr">
        <is>
          <t>/</t>
        </is>
      </c>
      <c r="L275" s="651" t="n">
        <v>908000</v>
      </c>
      <c r="M275" s="502" t="inlineStr">
        <is>
          <t>/</t>
        </is>
      </c>
      <c r="N275" s="502" t="inlineStr">
        <is>
          <t>/</t>
        </is>
      </c>
      <c r="O275" s="502" t="inlineStr">
        <is>
          <t>/</t>
        </is>
      </c>
      <c r="P275" s="502" t="inlineStr">
        <is>
          <t>/</t>
        </is>
      </c>
      <c r="Q275" s="502" t="inlineStr">
        <is>
          <t>/</t>
        </is>
      </c>
      <c r="R275" s="502" t="inlineStr">
        <is>
          <t>/</t>
        </is>
      </c>
      <c r="S275" s="502" t="inlineStr">
        <is>
          <t>/</t>
        </is>
      </c>
      <c r="T275" s="503" t="inlineStr">
        <is>
          <t>/</t>
        </is>
      </c>
      <c r="U275" s="502" t="inlineStr">
        <is>
          <t>/</t>
        </is>
      </c>
      <c r="V275" s="502" t="inlineStr">
        <is>
          <t>/</t>
        </is>
      </c>
      <c r="W275" s="503" t="inlineStr">
        <is>
          <t>/</t>
        </is>
      </c>
      <c r="X275" s="51" t="inlineStr">
        <is>
          <t>/</t>
        </is>
      </c>
      <c r="Y275" s="51" t="inlineStr">
        <is>
          <t>/</t>
        </is>
      </c>
      <c r="Z275" s="51" t="inlineStr">
        <is>
          <t>/</t>
        </is>
      </c>
      <c r="AA275" s="51" t="inlineStr">
        <is>
          <t>/</t>
        </is>
      </c>
      <c r="AB275" s="46" t="n">
        <v>0.11</v>
      </c>
      <c r="AC275" s="46" t="inlineStr">
        <is>
          <t>/</t>
        </is>
      </c>
      <c r="AD275" s="232" t="n"/>
      <c r="AE275" s="25" t="n"/>
      <c r="AF275" s="206" t="n"/>
    </row>
    <row r="276" ht="12" customFormat="1" customHeight="1" s="209">
      <c r="A276" s="219" t="n">
        <v>274</v>
      </c>
      <c r="B276" s="14" t="inlineStr">
        <is>
          <t>KQCY0264</t>
        </is>
      </c>
      <c r="C276" s="221" t="inlineStr">
        <is>
          <t>餐饮五分部</t>
        </is>
      </c>
      <c r="D276" s="221" t="inlineStr">
        <is>
          <t>CF620</t>
        </is>
      </c>
      <c r="E276" s="221" t="inlineStr">
        <is>
          <t>山西大学B6食堂三层</t>
        </is>
      </c>
      <c r="F276" s="219" t="inlineStr">
        <is>
          <t>强责</t>
        </is>
      </c>
      <c r="G276" s="222" t="inlineStr">
        <is>
          <t>陆琪</t>
        </is>
      </c>
      <c r="H276" s="222" t="inlineStr">
        <is>
          <t>/</t>
        </is>
      </c>
      <c r="I276" s="232" t="inlineStr">
        <is>
          <t>冒菜</t>
        </is>
      </c>
      <c r="J276" s="494" t="inlineStr">
        <is>
          <t>陈祥</t>
        </is>
      </c>
      <c r="K276" s="224" t="inlineStr">
        <is>
          <t>/</t>
        </is>
      </c>
      <c r="L276" s="651" t="inlineStr">
        <is>
          <t>/</t>
        </is>
      </c>
      <c r="M276" s="502" t="inlineStr">
        <is>
          <t>/</t>
        </is>
      </c>
      <c r="N276" s="502" t="inlineStr">
        <is>
          <t>/</t>
        </is>
      </c>
      <c r="O276" s="502" t="inlineStr">
        <is>
          <t>/</t>
        </is>
      </c>
      <c r="P276" s="502" t="inlineStr">
        <is>
          <t>/</t>
        </is>
      </c>
      <c r="Q276" s="502" t="inlineStr">
        <is>
          <t>/</t>
        </is>
      </c>
      <c r="R276" s="502" t="inlineStr">
        <is>
          <t>/</t>
        </is>
      </c>
      <c r="S276" s="502" t="inlineStr">
        <is>
          <t>/</t>
        </is>
      </c>
      <c r="T276" s="503" t="inlineStr">
        <is>
          <t>/</t>
        </is>
      </c>
      <c r="U276" s="502" t="inlineStr">
        <is>
          <t>/</t>
        </is>
      </c>
      <c r="V276" s="502" t="inlineStr">
        <is>
          <t>/</t>
        </is>
      </c>
      <c r="W276" s="50" t="n"/>
      <c r="X276" s="51" t="inlineStr">
        <is>
          <t>/</t>
        </is>
      </c>
      <c r="Y276" s="51" t="inlineStr">
        <is>
          <t>/</t>
        </is>
      </c>
      <c r="Z276" s="51" t="inlineStr">
        <is>
          <t>/</t>
        </is>
      </c>
      <c r="AA276" s="51" t="inlineStr">
        <is>
          <t>/</t>
        </is>
      </c>
      <c r="AB276" s="46" t="n">
        <v>0.035</v>
      </c>
      <c r="AC276" s="46" t="inlineStr">
        <is>
          <t>/</t>
        </is>
      </c>
      <c r="AD276" s="232" t="n"/>
      <c r="AE276" s="25" t="n"/>
      <c r="AF276" s="206" t="n"/>
    </row>
    <row r="277" ht="12" customFormat="1" customHeight="1" s="209">
      <c r="A277" s="219" t="n">
        <v>275</v>
      </c>
      <c r="B277" s="14" t="inlineStr">
        <is>
          <t>KQCY0265</t>
        </is>
      </c>
      <c r="C277" s="221" t="inlineStr">
        <is>
          <t>餐饮五分部</t>
        </is>
      </c>
      <c r="D277" s="221" t="inlineStr">
        <is>
          <t>CF620</t>
        </is>
      </c>
      <c r="E277" s="221" t="inlineStr">
        <is>
          <t>山西大学B6食堂三层</t>
        </is>
      </c>
      <c r="F277" s="219" t="inlineStr">
        <is>
          <t>强责</t>
        </is>
      </c>
      <c r="G277" s="222" t="inlineStr">
        <is>
          <t>陆琪</t>
        </is>
      </c>
      <c r="H277" s="222" t="inlineStr">
        <is>
          <t>/</t>
        </is>
      </c>
      <c r="I277" s="232" t="inlineStr">
        <is>
          <t>烤盘菜</t>
        </is>
      </c>
      <c r="J277" s="494" t="inlineStr">
        <is>
          <t>陈祥</t>
        </is>
      </c>
      <c r="K277" s="224" t="inlineStr">
        <is>
          <t>/</t>
        </is>
      </c>
      <c r="L277" s="651" t="inlineStr">
        <is>
          <t>/</t>
        </is>
      </c>
      <c r="M277" s="502" t="inlineStr">
        <is>
          <t>/</t>
        </is>
      </c>
      <c r="N277" s="502" t="inlineStr">
        <is>
          <t>/</t>
        </is>
      </c>
      <c r="O277" s="502" t="inlineStr">
        <is>
          <t>/</t>
        </is>
      </c>
      <c r="P277" s="502" t="inlineStr">
        <is>
          <t>/</t>
        </is>
      </c>
      <c r="Q277" s="502" t="inlineStr">
        <is>
          <t>/</t>
        </is>
      </c>
      <c r="R277" s="502" t="inlineStr">
        <is>
          <t>/</t>
        </is>
      </c>
      <c r="S277" s="502" t="inlineStr">
        <is>
          <t>/</t>
        </is>
      </c>
      <c r="T277" s="503" t="inlineStr">
        <is>
          <t>/</t>
        </is>
      </c>
      <c r="U277" s="502" t="inlineStr">
        <is>
          <t>/</t>
        </is>
      </c>
      <c r="V277" s="502" t="inlineStr">
        <is>
          <t>/</t>
        </is>
      </c>
      <c r="W277" s="50" t="n"/>
      <c r="X277" s="51" t="inlineStr">
        <is>
          <t>/</t>
        </is>
      </c>
      <c r="Y277" s="51" t="inlineStr">
        <is>
          <t>/</t>
        </is>
      </c>
      <c r="Z277" s="51" t="inlineStr">
        <is>
          <t>/</t>
        </is>
      </c>
      <c r="AA277" s="51" t="inlineStr">
        <is>
          <t>/</t>
        </is>
      </c>
      <c r="AB277" s="46" t="n">
        <v>0.035</v>
      </c>
      <c r="AC277" s="46" t="inlineStr">
        <is>
          <t>/</t>
        </is>
      </c>
      <c r="AD277" s="232" t="n"/>
      <c r="AE277" s="25" t="n"/>
      <c r="AF277" s="206" t="n"/>
    </row>
    <row r="278" ht="12" customFormat="1" customHeight="1" s="209">
      <c r="A278" s="219" t="n">
        <v>276</v>
      </c>
      <c r="B278" s="14" t="inlineStr">
        <is>
          <t>KQCY0266</t>
        </is>
      </c>
      <c r="C278" s="221" t="inlineStr">
        <is>
          <t>餐饮五分部</t>
        </is>
      </c>
      <c r="D278" s="221" t="inlineStr">
        <is>
          <t>CF620</t>
        </is>
      </c>
      <c r="E278" s="221" t="inlineStr">
        <is>
          <t>山西大学B6食堂三层</t>
        </is>
      </c>
      <c r="F278" s="219" t="inlineStr">
        <is>
          <t>强责</t>
        </is>
      </c>
      <c r="G278" s="222" t="inlineStr">
        <is>
          <t>陆琪</t>
        </is>
      </c>
      <c r="H278" s="222" t="inlineStr">
        <is>
          <t>/</t>
        </is>
      </c>
      <c r="I278" s="232" t="inlineStr">
        <is>
          <t>大盘鸡</t>
        </is>
      </c>
      <c r="J278" s="494" t="inlineStr">
        <is>
          <t>陈祥</t>
        </is>
      </c>
      <c r="K278" s="224" t="inlineStr">
        <is>
          <t>/</t>
        </is>
      </c>
      <c r="L278" s="651" t="inlineStr">
        <is>
          <t>/</t>
        </is>
      </c>
      <c r="M278" s="502" t="inlineStr">
        <is>
          <t>/</t>
        </is>
      </c>
      <c r="N278" s="502" t="inlineStr">
        <is>
          <t>/</t>
        </is>
      </c>
      <c r="O278" s="502" t="inlineStr">
        <is>
          <t>/</t>
        </is>
      </c>
      <c r="P278" s="502" t="inlineStr">
        <is>
          <t>/</t>
        </is>
      </c>
      <c r="Q278" s="502" t="inlineStr">
        <is>
          <t>/</t>
        </is>
      </c>
      <c r="R278" s="502" t="inlineStr">
        <is>
          <t>/</t>
        </is>
      </c>
      <c r="S278" s="502" t="inlineStr">
        <is>
          <t>/</t>
        </is>
      </c>
      <c r="T278" s="503" t="inlineStr">
        <is>
          <t>/</t>
        </is>
      </c>
      <c r="U278" s="502" t="inlineStr">
        <is>
          <t>/</t>
        </is>
      </c>
      <c r="V278" s="502" t="inlineStr">
        <is>
          <t>/</t>
        </is>
      </c>
      <c r="W278" s="50" t="n"/>
      <c r="X278" s="51" t="inlineStr">
        <is>
          <t>/</t>
        </is>
      </c>
      <c r="Y278" s="51" t="inlineStr">
        <is>
          <t>/</t>
        </is>
      </c>
      <c r="Z278" s="51" t="inlineStr">
        <is>
          <t>/</t>
        </is>
      </c>
      <c r="AA278" s="51" t="inlineStr">
        <is>
          <t>/</t>
        </is>
      </c>
      <c r="AB278" s="46" t="n">
        <v>0.035</v>
      </c>
      <c r="AC278" s="46" t="inlineStr">
        <is>
          <t>/</t>
        </is>
      </c>
      <c r="AD278" s="232" t="n"/>
      <c r="AE278" s="25" t="n"/>
      <c r="AF278" s="206" t="n"/>
    </row>
    <row r="279" ht="12" customFormat="1" customHeight="1" s="209">
      <c r="A279" s="219" t="n">
        <v>277</v>
      </c>
      <c r="B279" s="14" t="inlineStr">
        <is>
          <t>KQCY0267</t>
        </is>
      </c>
      <c r="C279" s="221" t="inlineStr">
        <is>
          <t>餐饮五分部</t>
        </is>
      </c>
      <c r="D279" s="221" t="inlineStr">
        <is>
          <t>CF620</t>
        </is>
      </c>
      <c r="E279" s="221" t="inlineStr">
        <is>
          <t>山西大学B6食堂三层</t>
        </is>
      </c>
      <c r="F279" s="219" t="inlineStr">
        <is>
          <t>强责</t>
        </is>
      </c>
      <c r="G279" s="222" t="inlineStr">
        <is>
          <t>陆琪</t>
        </is>
      </c>
      <c r="H279" s="222" t="inlineStr">
        <is>
          <t>/</t>
        </is>
      </c>
      <c r="I279" s="232" t="inlineStr">
        <is>
          <t>小碗菜</t>
        </is>
      </c>
      <c r="J279" s="494" t="inlineStr">
        <is>
          <t>陈祥</t>
        </is>
      </c>
      <c r="K279" s="224" t="inlineStr">
        <is>
          <t>/</t>
        </is>
      </c>
      <c r="L279" s="651" t="inlineStr">
        <is>
          <t>/</t>
        </is>
      </c>
      <c r="M279" s="502" t="inlineStr">
        <is>
          <t>/</t>
        </is>
      </c>
      <c r="N279" s="502" t="inlineStr">
        <is>
          <t>/</t>
        </is>
      </c>
      <c r="O279" s="502" t="inlineStr">
        <is>
          <t>/</t>
        </is>
      </c>
      <c r="P279" s="502" t="inlineStr">
        <is>
          <t>/</t>
        </is>
      </c>
      <c r="Q279" s="502" t="inlineStr">
        <is>
          <t>/</t>
        </is>
      </c>
      <c r="R279" s="502" t="inlineStr">
        <is>
          <t>/</t>
        </is>
      </c>
      <c r="S279" s="502" t="inlineStr">
        <is>
          <t>/</t>
        </is>
      </c>
      <c r="T279" s="503" t="inlineStr">
        <is>
          <t>/</t>
        </is>
      </c>
      <c r="U279" s="502" t="inlineStr">
        <is>
          <t>/</t>
        </is>
      </c>
      <c r="V279" s="502" t="inlineStr">
        <is>
          <t>/</t>
        </is>
      </c>
      <c r="W279" s="50" t="n"/>
      <c r="X279" s="51" t="inlineStr">
        <is>
          <t>/</t>
        </is>
      </c>
      <c r="Y279" s="51" t="inlineStr">
        <is>
          <t>/</t>
        </is>
      </c>
      <c r="Z279" s="51" t="inlineStr">
        <is>
          <t>/</t>
        </is>
      </c>
      <c r="AA279" s="51" t="inlineStr">
        <is>
          <t>/</t>
        </is>
      </c>
      <c r="AB279" s="46" t="n">
        <v>0.035</v>
      </c>
      <c r="AC279" s="46" t="inlineStr">
        <is>
          <t>/</t>
        </is>
      </c>
      <c r="AD279" s="232" t="n"/>
      <c r="AE279" s="25" t="n"/>
      <c r="AF279" s="206" t="n"/>
    </row>
    <row r="280" ht="36" customFormat="1" customHeight="1" s="209">
      <c r="A280" s="219" t="n">
        <v>278</v>
      </c>
      <c r="B280" s="14" t="inlineStr">
        <is>
          <t>KQCY0268</t>
        </is>
      </c>
      <c r="C280" s="221" t="inlineStr">
        <is>
          <t>餐饮五分部</t>
        </is>
      </c>
      <c r="D280" s="221" t="inlineStr">
        <is>
          <t>CF620</t>
        </is>
      </c>
      <c r="E280" s="221" t="inlineStr">
        <is>
          <t>山西大学B6食堂三层</t>
        </is>
      </c>
      <c r="F280" s="219" t="inlineStr">
        <is>
          <t>强责</t>
        </is>
      </c>
      <c r="G280" s="222" t="inlineStr">
        <is>
          <t>陆琪</t>
        </is>
      </c>
      <c r="H280" s="503" t="inlineStr">
        <is>
          <t>第一班组</t>
        </is>
      </c>
      <c r="I280" s="237" t="inlineStr">
        <is>
          <t>辣椒炒肉汉堡</t>
        </is>
      </c>
      <c r="J280" s="494" t="inlineStr">
        <is>
          <t>胡星丽</t>
        </is>
      </c>
      <c r="K280" s="224" t="inlineStr">
        <is>
          <t>/</t>
        </is>
      </c>
      <c r="L280" s="651" t="n">
        <v>1200000</v>
      </c>
      <c r="M280" s="113" t="n">
        <v>0.13</v>
      </c>
      <c r="N280" s="502" t="inlineStr">
        <is>
          <t>/</t>
        </is>
      </c>
      <c r="O280" s="502" t="inlineStr">
        <is>
          <t>/</t>
        </is>
      </c>
      <c r="P280" s="502" t="inlineStr">
        <is>
          <t>/</t>
        </is>
      </c>
      <c r="Q280" s="502" t="inlineStr">
        <is>
          <t>/</t>
        </is>
      </c>
      <c r="R280" s="502" t="inlineStr">
        <is>
          <t>/</t>
        </is>
      </c>
      <c r="S280" s="502" t="inlineStr">
        <is>
          <t>/</t>
        </is>
      </c>
      <c r="T280" s="503" t="n">
        <v>3000</v>
      </c>
      <c r="U280" s="502" t="n">
        <v>4000</v>
      </c>
      <c r="V280" s="502" t="inlineStr">
        <is>
          <t>/</t>
        </is>
      </c>
      <c r="W280" s="503" t="inlineStr">
        <is>
          <t xml:space="preserve">
40%</t>
        </is>
      </c>
      <c r="X280" s="51" t="inlineStr">
        <is>
          <t>/</t>
        </is>
      </c>
      <c r="Y280" s="51" t="inlineStr">
        <is>
          <t>/</t>
        </is>
      </c>
      <c r="Z280" s="51" t="inlineStr">
        <is>
          <t>/</t>
        </is>
      </c>
      <c r="AA280" s="51" t="inlineStr">
        <is>
          <t>/</t>
        </is>
      </c>
      <c r="AB280" s="51" t="inlineStr">
        <is>
          <t>/</t>
        </is>
      </c>
      <c r="AC280" s="46" t="inlineStr">
        <is>
          <t>/</t>
        </is>
      </c>
      <c r="AD280" s="232" t="n"/>
      <c r="AE280" s="25" t="inlineStr">
        <is>
          <t xml:space="preserve">
1、签订期间：2026.2.1-2026.7.15；
2、指标按照全年换算；</t>
        </is>
      </c>
      <c r="AF280" s="232" t="inlineStr">
        <is>
          <t>1、条款：技术合作方所有人员与公司签订劳动合同，签订劳动合同的技术合作方负责人必须参加公司社保，否则不予录用；
问题：非所有分组作业人员都入职到公司，非所有负责人缴纳社保；</t>
        </is>
      </c>
    </row>
    <row r="281" ht="36" customFormat="1" customHeight="1" s="209">
      <c r="A281" s="219" t="n">
        <v>279</v>
      </c>
      <c r="B281" s="14" t="inlineStr">
        <is>
          <t>KQCY0269</t>
        </is>
      </c>
      <c r="C281" s="221" t="inlineStr">
        <is>
          <t>餐饮五分部</t>
        </is>
      </c>
      <c r="D281" s="221" t="inlineStr">
        <is>
          <t>CF620</t>
        </is>
      </c>
      <c r="E281" s="221" t="inlineStr">
        <is>
          <t>山西大学B6食堂三层</t>
        </is>
      </c>
      <c r="F281" s="219" t="inlineStr">
        <is>
          <t>强责</t>
        </is>
      </c>
      <c r="G281" s="222" t="inlineStr">
        <is>
          <t>陆琪</t>
        </is>
      </c>
      <c r="H281" s="503" t="inlineStr">
        <is>
          <t>第二班组</t>
        </is>
      </c>
      <c r="I281" s="237" t="inlineStr">
        <is>
          <t>石锅菜</t>
        </is>
      </c>
      <c r="J281" s="494" t="inlineStr">
        <is>
          <t>穆瑞霞</t>
        </is>
      </c>
      <c r="K281" s="224" t="inlineStr">
        <is>
          <t>/</t>
        </is>
      </c>
      <c r="L281" s="651" t="n">
        <v>540000</v>
      </c>
      <c r="M281" s="113" t="n">
        <v>0.23</v>
      </c>
      <c r="N281" s="502" t="inlineStr">
        <is>
          <t>/</t>
        </is>
      </c>
      <c r="O281" s="502" t="inlineStr">
        <is>
          <t>/</t>
        </is>
      </c>
      <c r="P281" s="502" t="inlineStr">
        <is>
          <t>/</t>
        </is>
      </c>
      <c r="Q281" s="502" t="inlineStr">
        <is>
          <t>/</t>
        </is>
      </c>
      <c r="R281" s="502" t="inlineStr">
        <is>
          <t>/</t>
        </is>
      </c>
      <c r="S281" s="502" t="inlineStr">
        <is>
          <t>/</t>
        </is>
      </c>
      <c r="T281" s="502" t="inlineStr">
        <is>
          <t>/</t>
        </is>
      </c>
      <c r="U281" s="502" t="inlineStr">
        <is>
          <t>/</t>
        </is>
      </c>
      <c r="V281" s="502" t="inlineStr">
        <is>
          <t>/</t>
        </is>
      </c>
      <c r="W281" s="503" t="inlineStr">
        <is>
          <t xml:space="preserve">
40%</t>
        </is>
      </c>
      <c r="X281" s="51" t="inlineStr">
        <is>
          <t>/</t>
        </is>
      </c>
      <c r="Y281" s="51" t="inlineStr">
        <is>
          <t>/</t>
        </is>
      </c>
      <c r="Z281" s="51" t="inlineStr">
        <is>
          <t>/</t>
        </is>
      </c>
      <c r="AA281" s="51" t="inlineStr">
        <is>
          <t>/</t>
        </is>
      </c>
      <c r="AB281" s="51" t="inlineStr">
        <is>
          <t>/</t>
        </is>
      </c>
      <c r="AC281" s="46" t="inlineStr">
        <is>
          <t>/</t>
        </is>
      </c>
      <c r="AD281" s="232" t="n"/>
      <c r="AE281" s="25" t="inlineStr">
        <is>
          <t xml:space="preserve">
1、签订期间：2026.2.1-2026.7.15；
2、指标按照全年换算；</t>
        </is>
      </c>
      <c r="AF281" s="232" t="inlineStr">
        <is>
          <t>1、条款：技术合作方所有人员与公司签订劳动合同，签订劳动合同的技术合作方负责人必须参加公司社保，否则不予录用；
问题：非所有分组作业人员都入职到公司，非所有负责人缴纳社保；</t>
        </is>
      </c>
    </row>
    <row r="282" ht="36" customFormat="1" customHeight="1" s="209">
      <c r="A282" s="219" t="n">
        <v>280</v>
      </c>
      <c r="B282" s="14" t="inlineStr">
        <is>
          <t>KQCY0270</t>
        </is>
      </c>
      <c r="C282" s="221" t="inlineStr">
        <is>
          <t>餐饮五分部</t>
        </is>
      </c>
      <c r="D282" s="221" t="inlineStr">
        <is>
          <t>CF620</t>
        </is>
      </c>
      <c r="E282" s="221" t="inlineStr">
        <is>
          <t>山西大学B6食堂三层</t>
        </is>
      </c>
      <c r="F282" s="219" t="inlineStr">
        <is>
          <t>强责</t>
        </is>
      </c>
      <c r="G282" s="222" t="inlineStr">
        <is>
          <t>陆琪</t>
        </is>
      </c>
      <c r="H282" s="503" t="inlineStr">
        <is>
          <t>第三班组</t>
        </is>
      </c>
      <c r="I282" s="237" t="inlineStr">
        <is>
          <t>方圆便利</t>
        </is>
      </c>
      <c r="J282" s="494" t="inlineStr">
        <is>
          <t>张志洁</t>
        </is>
      </c>
      <c r="K282" s="224" t="inlineStr">
        <is>
          <t>/</t>
        </is>
      </c>
      <c r="L282" s="651" t="n">
        <v>720000</v>
      </c>
      <c r="M282" s="113" t="n">
        <v>0.05</v>
      </c>
      <c r="N282" s="502" t="inlineStr">
        <is>
          <t>/</t>
        </is>
      </c>
      <c r="O282" s="502" t="inlineStr">
        <is>
          <t>/</t>
        </is>
      </c>
      <c r="P282" s="502" t="inlineStr">
        <is>
          <t>/</t>
        </is>
      </c>
      <c r="Q282" s="502" t="inlineStr">
        <is>
          <t>/</t>
        </is>
      </c>
      <c r="R282" s="502" t="inlineStr">
        <is>
          <t>/</t>
        </is>
      </c>
      <c r="S282" s="502" t="inlineStr">
        <is>
          <t>/</t>
        </is>
      </c>
      <c r="T282" s="502" t="inlineStr">
        <is>
          <t>/</t>
        </is>
      </c>
      <c r="U282" s="502" t="inlineStr">
        <is>
          <t>/</t>
        </is>
      </c>
      <c r="V282" s="502" t="inlineStr">
        <is>
          <t>/</t>
        </is>
      </c>
      <c r="W282" s="503" t="inlineStr">
        <is>
          <t xml:space="preserve">
40%</t>
        </is>
      </c>
      <c r="X282" s="51" t="inlineStr">
        <is>
          <t>/</t>
        </is>
      </c>
      <c r="Y282" s="51" t="inlineStr">
        <is>
          <t>/</t>
        </is>
      </c>
      <c r="Z282" s="51" t="inlineStr">
        <is>
          <t>/</t>
        </is>
      </c>
      <c r="AA282" s="51" t="inlineStr">
        <is>
          <t>/</t>
        </is>
      </c>
      <c r="AB282" s="51" t="inlineStr">
        <is>
          <t>/</t>
        </is>
      </c>
      <c r="AC282" s="46" t="inlineStr">
        <is>
          <t>/</t>
        </is>
      </c>
      <c r="AD282" s="232" t="n"/>
      <c r="AE282" s="25" t="inlineStr">
        <is>
          <t xml:space="preserve">
1、签订期间：2026.2.1-2026.7.15；
2、指标按照全年换算；</t>
        </is>
      </c>
      <c r="AF282" s="232" t="inlineStr">
        <is>
          <t>1、条款：技术合作方所有人员与公司签订劳动合同，签订劳动合同的技术合作方负责人必须参加公司社保，否则不予录用；
问题：非所有分组作业人员都入职到公司，非所有负责人缴纳社保；</t>
        </is>
      </c>
    </row>
    <row r="283" ht="36" customFormat="1" customHeight="1" s="209">
      <c r="A283" s="219" t="n">
        <v>281</v>
      </c>
      <c r="B283" s="14" t="inlineStr">
        <is>
          <t>KQCY0271</t>
        </is>
      </c>
      <c r="C283" s="221" t="inlineStr">
        <is>
          <t>餐饮五分部</t>
        </is>
      </c>
      <c r="D283" s="221" t="inlineStr">
        <is>
          <t>CF620</t>
        </is>
      </c>
      <c r="E283" s="221" t="inlineStr">
        <is>
          <t>山西大学B6食堂三层</t>
        </is>
      </c>
      <c r="F283" s="219" t="inlineStr">
        <is>
          <t>强责</t>
        </is>
      </c>
      <c r="G283" s="222" t="inlineStr">
        <is>
          <t>陆琪</t>
        </is>
      </c>
      <c r="H283" s="503" t="inlineStr">
        <is>
          <t>第四班组</t>
        </is>
      </c>
      <c r="I283" s="237" t="inlineStr">
        <is>
          <t>私抹制茶</t>
        </is>
      </c>
      <c r="J283" s="494" t="inlineStr">
        <is>
          <t>韩美珍</t>
        </is>
      </c>
      <c r="K283" s="224" t="inlineStr">
        <is>
          <t>/</t>
        </is>
      </c>
      <c r="L283" s="651" t="n">
        <v>360000</v>
      </c>
      <c r="M283" s="113" t="n">
        <v>0.1</v>
      </c>
      <c r="N283" s="502" t="inlineStr">
        <is>
          <t>/</t>
        </is>
      </c>
      <c r="O283" s="502" t="inlineStr">
        <is>
          <t>/</t>
        </is>
      </c>
      <c r="P283" s="502" t="inlineStr">
        <is>
          <t>/</t>
        </is>
      </c>
      <c r="Q283" s="502" t="inlineStr">
        <is>
          <t>/</t>
        </is>
      </c>
      <c r="R283" s="502" t="inlineStr">
        <is>
          <t>/</t>
        </is>
      </c>
      <c r="S283" s="502" t="inlineStr">
        <is>
          <t>/</t>
        </is>
      </c>
      <c r="T283" s="502" t="inlineStr">
        <is>
          <t>/</t>
        </is>
      </c>
      <c r="U283" s="502" t="inlineStr">
        <is>
          <t>/</t>
        </is>
      </c>
      <c r="V283" s="502" t="inlineStr">
        <is>
          <t>/</t>
        </is>
      </c>
      <c r="W283" s="503" t="inlineStr">
        <is>
          <t xml:space="preserve">
40%</t>
        </is>
      </c>
      <c r="X283" s="51" t="inlineStr">
        <is>
          <t>/</t>
        </is>
      </c>
      <c r="Y283" s="51" t="inlineStr">
        <is>
          <t>/</t>
        </is>
      </c>
      <c r="Z283" s="51" t="inlineStr">
        <is>
          <t>/</t>
        </is>
      </c>
      <c r="AA283" s="51" t="inlineStr">
        <is>
          <t>/</t>
        </is>
      </c>
      <c r="AB283" s="51" t="inlineStr">
        <is>
          <t>/</t>
        </is>
      </c>
      <c r="AC283" s="46" t="inlineStr">
        <is>
          <t>/</t>
        </is>
      </c>
      <c r="AD283" s="232" t="n"/>
      <c r="AE283" s="25" t="inlineStr">
        <is>
          <t xml:space="preserve">
1、签订期间：2026.2.1-2026.7.15；
2、指标按照全年换算；</t>
        </is>
      </c>
      <c r="AF283" s="232" t="inlineStr">
        <is>
          <t>1、条款：技术合作方所有人员与公司签订劳动合同，签订劳动合同的技术合作方负责人必须参加公司社保，否则不予录用；
问题：非所有分组作业人员都入职到公司，非所有负责人缴纳社保；</t>
        </is>
      </c>
    </row>
    <row r="284" ht="12" customFormat="1" customHeight="1" s="209">
      <c r="A284" s="219" t="n">
        <v>282</v>
      </c>
      <c r="B284" s="14" t="inlineStr">
        <is>
          <t>KQCY0272</t>
        </is>
      </c>
      <c r="C284" s="221" t="inlineStr">
        <is>
          <t>餐饮五分部</t>
        </is>
      </c>
      <c r="D284" s="221" t="inlineStr">
        <is>
          <t>CF697</t>
        </is>
      </c>
      <c r="E284" s="221" t="inlineStr">
        <is>
          <t>兰交大百苑二楼食堂</t>
        </is>
      </c>
      <c r="F284" s="219" t="inlineStr">
        <is>
          <t>自营</t>
        </is>
      </c>
      <c r="G284" s="222" t="inlineStr">
        <is>
          <t>陆琪</t>
        </is>
      </c>
      <c r="H284" s="222" t="inlineStr">
        <is>
          <t>/</t>
        </is>
      </c>
      <c r="I284" s="355" t="inlineStr">
        <is>
          <t>/</t>
        </is>
      </c>
      <c r="J284" s="134" t="inlineStr">
        <is>
          <t>/</t>
        </is>
      </c>
      <c r="K284" s="224" t="inlineStr">
        <is>
          <t>/</t>
        </is>
      </c>
      <c r="L284" s="651" t="inlineStr">
        <is>
          <t>/</t>
        </is>
      </c>
      <c r="M284" s="224" t="inlineStr">
        <is>
          <t>/</t>
        </is>
      </c>
      <c r="N284" s="224" t="inlineStr">
        <is>
          <t>/</t>
        </is>
      </c>
      <c r="O284" s="224" t="inlineStr">
        <is>
          <t>/</t>
        </is>
      </c>
      <c r="P284" s="224" t="inlineStr">
        <is>
          <t>/</t>
        </is>
      </c>
      <c r="Q284" s="224" t="inlineStr">
        <is>
          <t>/</t>
        </is>
      </c>
      <c r="R284" s="224" t="inlineStr">
        <is>
          <t>/</t>
        </is>
      </c>
      <c r="S284" s="224" t="inlineStr">
        <is>
          <t>/</t>
        </is>
      </c>
      <c r="T284" s="224" t="inlineStr">
        <is>
          <t>/</t>
        </is>
      </c>
      <c r="U284" s="502" t="inlineStr">
        <is>
          <t>/</t>
        </is>
      </c>
      <c r="V284" s="224" t="inlineStr">
        <is>
          <t>/</t>
        </is>
      </c>
      <c r="W284" s="51" t="inlineStr">
        <is>
          <t>/</t>
        </is>
      </c>
      <c r="X284" s="51" t="inlineStr">
        <is>
          <t>/</t>
        </is>
      </c>
      <c r="Y284" s="51" t="inlineStr">
        <is>
          <t>/</t>
        </is>
      </c>
      <c r="Z284" s="51" t="inlineStr">
        <is>
          <t>/</t>
        </is>
      </c>
      <c r="AA284" s="51" t="inlineStr">
        <is>
          <t>/</t>
        </is>
      </c>
      <c r="AB284" s="46" t="n">
        <v>0.045</v>
      </c>
      <c r="AC284" s="46" t="inlineStr">
        <is>
          <t>/</t>
        </is>
      </c>
      <c r="AD284" s="232" t="n"/>
      <c r="AE284" s="25" t="n"/>
      <c r="AF284" s="206" t="n"/>
    </row>
    <row r="285" ht="132" customFormat="1" customHeight="1" s="209">
      <c r="A285" s="219" t="n">
        <v>283</v>
      </c>
      <c r="B285" s="14" t="inlineStr">
        <is>
          <t>KQCY0273</t>
        </is>
      </c>
      <c r="C285" s="221" t="inlineStr">
        <is>
          <t>餐饮五分部</t>
        </is>
      </c>
      <c r="D285" s="221" t="inlineStr">
        <is>
          <t>CF697</t>
        </is>
      </c>
      <c r="E285" s="221" t="inlineStr">
        <is>
          <t>兰交大百苑二楼食堂</t>
        </is>
      </c>
      <c r="F285" s="219" t="inlineStr">
        <is>
          <t>分组作业</t>
        </is>
      </c>
      <c r="G285" s="222" t="inlineStr">
        <is>
          <t>陆琪</t>
        </is>
      </c>
      <c r="H285" s="503" t="inlineStr">
        <is>
          <t>/</t>
        </is>
      </c>
      <c r="I285" s="237" t="inlineStr">
        <is>
          <t>快餐</t>
        </is>
      </c>
      <c r="J285" s="503" t="inlineStr">
        <is>
          <t>胡小娟</t>
        </is>
      </c>
      <c r="K285" s="224" t="inlineStr">
        <is>
          <t>/</t>
        </is>
      </c>
      <c r="L285" s="651" t="n">
        <v>1488000</v>
      </c>
      <c r="M285" s="113" t="n">
        <v>0.11</v>
      </c>
      <c r="N285" s="113" t="n">
        <v>0.01</v>
      </c>
      <c r="O285" s="502" t="inlineStr">
        <is>
          <t>/</t>
        </is>
      </c>
      <c r="P285" s="113" t="n">
        <v>0.02</v>
      </c>
      <c r="Q285" s="113" t="n">
        <v>0.01</v>
      </c>
      <c r="R285" s="113" t="n">
        <v>0.01</v>
      </c>
      <c r="S285" s="502" t="inlineStr">
        <is>
          <t>/</t>
        </is>
      </c>
      <c r="T285" s="653" t="n"/>
      <c r="U285" s="653" t="n"/>
      <c r="V285" s="502" t="inlineStr">
        <is>
          <t>/</t>
        </is>
      </c>
      <c r="W285" s="224" t="n">
        <v>0.5</v>
      </c>
      <c r="X285" s="51" t="inlineStr">
        <is>
          <t>/</t>
        </is>
      </c>
      <c r="Y285" s="51" t="inlineStr">
        <is>
          <t>/</t>
        </is>
      </c>
      <c r="Z285" s="51" t="inlineStr">
        <is>
          <t>/</t>
        </is>
      </c>
      <c r="AA285" s="51" t="inlineStr">
        <is>
          <t>/</t>
        </is>
      </c>
      <c r="AB285" s="51" t="inlineStr">
        <is>
          <t>/</t>
        </is>
      </c>
      <c r="AC285" s="46" t="inlineStr">
        <is>
          <t>/</t>
        </is>
      </c>
      <c r="AD285" s="232" t="n"/>
      <c r="AE285" s="25" t="inlineStr">
        <is>
          <t>1、签订期间：2026.2.1-2026.7.31；
2、指标按照全年换算；</t>
        </is>
      </c>
      <c r="AF285"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86" ht="132" customFormat="1" customHeight="1" s="209">
      <c r="A286" s="219" t="n">
        <v>284</v>
      </c>
      <c r="B286" s="14" t="inlineStr">
        <is>
          <t>KQCY0274</t>
        </is>
      </c>
      <c r="C286" s="221" t="inlineStr">
        <is>
          <t>餐饮五分部</t>
        </is>
      </c>
      <c r="D286" s="221" t="inlineStr">
        <is>
          <t>CF697</t>
        </is>
      </c>
      <c r="E286" s="221" t="inlineStr">
        <is>
          <t>兰交大百苑二楼食堂</t>
        </is>
      </c>
      <c r="F286" s="219" t="inlineStr">
        <is>
          <t>分组作业</t>
        </is>
      </c>
      <c r="G286" s="222" t="inlineStr">
        <is>
          <t>陆琪</t>
        </is>
      </c>
      <c r="H286" s="503" t="inlineStr">
        <is>
          <t>/</t>
        </is>
      </c>
      <c r="I286" s="237" t="inlineStr">
        <is>
          <t>热卤饭</t>
        </is>
      </c>
      <c r="J286" s="503" t="inlineStr">
        <is>
          <t>郭建琴</t>
        </is>
      </c>
      <c r="K286" s="224" t="inlineStr">
        <is>
          <t>/</t>
        </is>
      </c>
      <c r="L286" s="651" t="n">
        <v>510000</v>
      </c>
      <c r="M286" s="113" t="n">
        <v>0.13</v>
      </c>
      <c r="N286" s="113" t="n">
        <v>0.01</v>
      </c>
      <c r="O286" s="502" t="inlineStr">
        <is>
          <t>/</t>
        </is>
      </c>
      <c r="P286" s="113" t="n">
        <v>0.02</v>
      </c>
      <c r="Q286" s="113" t="n">
        <v>0.01</v>
      </c>
      <c r="R286" s="113" t="n">
        <v>0.01</v>
      </c>
      <c r="S286" s="502" t="inlineStr">
        <is>
          <t>/</t>
        </is>
      </c>
      <c r="T286" s="224" t="n">
        <v>0.04</v>
      </c>
      <c r="U286" s="113" t="n">
        <v>0.01</v>
      </c>
      <c r="V286" s="502" t="inlineStr">
        <is>
          <t>/</t>
        </is>
      </c>
      <c r="W286" s="224" t="n">
        <v>0.5</v>
      </c>
      <c r="X286" s="51" t="inlineStr">
        <is>
          <t>/</t>
        </is>
      </c>
      <c r="Y286" s="51" t="inlineStr">
        <is>
          <t>/</t>
        </is>
      </c>
      <c r="Z286" s="51" t="inlineStr">
        <is>
          <t>/</t>
        </is>
      </c>
      <c r="AA286" s="51" t="inlineStr">
        <is>
          <t>/</t>
        </is>
      </c>
      <c r="AB286" s="51" t="inlineStr">
        <is>
          <t>/</t>
        </is>
      </c>
      <c r="AC286" s="46" t="inlineStr">
        <is>
          <t>/</t>
        </is>
      </c>
      <c r="AD286" s="232" t="n"/>
      <c r="AE286" s="25" t="inlineStr">
        <is>
          <t>1、签订期间：2026.2.1-2026.7.31；
2、指标按照全年换算；</t>
        </is>
      </c>
      <c r="AF286"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87" ht="132" customFormat="1" customHeight="1" s="209">
      <c r="A287" s="219" t="n">
        <v>285</v>
      </c>
      <c r="B287" s="14" t="inlineStr">
        <is>
          <t>KQCY0275</t>
        </is>
      </c>
      <c r="C287" s="221" t="inlineStr">
        <is>
          <t>餐饮五分部</t>
        </is>
      </c>
      <c r="D287" s="221" t="inlineStr">
        <is>
          <t>CF697</t>
        </is>
      </c>
      <c r="E287" s="221" t="inlineStr">
        <is>
          <t>兰交大百苑二楼食堂</t>
        </is>
      </c>
      <c r="F287" s="219" t="inlineStr">
        <is>
          <t>分组作业</t>
        </is>
      </c>
      <c r="G287" s="222" t="inlineStr">
        <is>
          <t>陆琪</t>
        </is>
      </c>
      <c r="H287" s="503" t="inlineStr">
        <is>
          <t>/</t>
        </is>
      </c>
      <c r="I287" s="237" t="inlineStr">
        <is>
          <t>铁锅炖</t>
        </is>
      </c>
      <c r="J287" s="503" t="inlineStr">
        <is>
          <t>白小霞</t>
        </is>
      </c>
      <c r="K287" s="224" t="inlineStr">
        <is>
          <t>/</t>
        </is>
      </c>
      <c r="L287" s="651" t="n">
        <v>510000</v>
      </c>
      <c r="M287" s="113" t="n">
        <v>0.11</v>
      </c>
      <c r="N287" s="113" t="n">
        <v>0.01</v>
      </c>
      <c r="O287" s="502" t="inlineStr">
        <is>
          <t>/</t>
        </is>
      </c>
      <c r="P287" s="113" t="n">
        <v>0.02</v>
      </c>
      <c r="Q287" s="113" t="n">
        <v>0.01</v>
      </c>
      <c r="R287" s="113" t="n">
        <v>0.01</v>
      </c>
      <c r="S287" s="502" t="inlineStr">
        <is>
          <t>/</t>
        </is>
      </c>
      <c r="T287" s="653" t="n"/>
      <c r="U287" s="653" t="n"/>
      <c r="V287" s="502" t="inlineStr">
        <is>
          <t>/</t>
        </is>
      </c>
      <c r="W287" s="224" t="n">
        <v>0.5</v>
      </c>
      <c r="X287" s="51" t="inlineStr">
        <is>
          <t>/</t>
        </is>
      </c>
      <c r="Y287" s="51" t="inlineStr">
        <is>
          <t>/</t>
        </is>
      </c>
      <c r="Z287" s="51" t="inlineStr">
        <is>
          <t>/</t>
        </is>
      </c>
      <c r="AA287" s="51" t="inlineStr">
        <is>
          <t>/</t>
        </is>
      </c>
      <c r="AB287" s="51" t="inlineStr">
        <is>
          <t>/</t>
        </is>
      </c>
      <c r="AC287" s="46" t="inlineStr">
        <is>
          <t>/</t>
        </is>
      </c>
      <c r="AD287" s="232" t="n"/>
      <c r="AE287" s="25" t="inlineStr">
        <is>
          <t>1、签订期间：2026.2.1-2026.7.31；
2、指标按照全年换算；</t>
        </is>
      </c>
      <c r="AF287"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88" ht="132" customFormat="1" customHeight="1" s="209">
      <c r="A288" s="219" t="n">
        <v>286</v>
      </c>
      <c r="B288" s="14" t="inlineStr">
        <is>
          <t>KQCY0276</t>
        </is>
      </c>
      <c r="C288" s="221" t="inlineStr">
        <is>
          <t>餐饮五分部</t>
        </is>
      </c>
      <c r="D288" s="221" t="inlineStr">
        <is>
          <t>CF697</t>
        </is>
      </c>
      <c r="E288" s="221" t="inlineStr">
        <is>
          <t>兰交大百苑二楼食堂</t>
        </is>
      </c>
      <c r="F288" s="219" t="inlineStr">
        <is>
          <t>分组作业</t>
        </is>
      </c>
      <c r="G288" s="222" t="inlineStr">
        <is>
          <t>陆琪</t>
        </is>
      </c>
      <c r="H288" s="503" t="inlineStr">
        <is>
          <t>/</t>
        </is>
      </c>
      <c r="I288" s="237" t="inlineStr">
        <is>
          <t>绝世皇鸭</t>
        </is>
      </c>
      <c r="J288" s="503" t="inlineStr">
        <is>
          <t>魏路虎</t>
        </is>
      </c>
      <c r="K288" s="224" t="inlineStr">
        <is>
          <t>/</t>
        </is>
      </c>
      <c r="L288" s="651" t="n">
        <v>759428.571428571</v>
      </c>
      <c r="M288" s="113" t="n">
        <v>0.13</v>
      </c>
      <c r="N288" s="113" t="n">
        <v>0.01</v>
      </c>
      <c r="O288" s="502" t="inlineStr">
        <is>
          <t>/</t>
        </is>
      </c>
      <c r="P288" s="113" t="n">
        <v>0.02</v>
      </c>
      <c r="Q288" s="113" t="n">
        <v>0.01</v>
      </c>
      <c r="R288" s="113" t="n">
        <v>0.01</v>
      </c>
      <c r="S288" s="502" t="inlineStr">
        <is>
          <t>/</t>
        </is>
      </c>
      <c r="T288" s="653" t="n"/>
      <c r="U288" s="653" t="n"/>
      <c r="V288" s="502" t="inlineStr">
        <is>
          <t>/</t>
        </is>
      </c>
      <c r="W288" s="224" t="n">
        <v>0.5</v>
      </c>
      <c r="X288" s="51" t="inlineStr">
        <is>
          <t>/</t>
        </is>
      </c>
      <c r="Y288" s="51" t="inlineStr">
        <is>
          <t>/</t>
        </is>
      </c>
      <c r="Z288" s="51" t="inlineStr">
        <is>
          <t>/</t>
        </is>
      </c>
      <c r="AA288" s="51" t="inlineStr">
        <is>
          <t>/</t>
        </is>
      </c>
      <c r="AB288" s="51" t="inlineStr">
        <is>
          <t>/</t>
        </is>
      </c>
      <c r="AC288" s="46" t="inlineStr">
        <is>
          <t>/</t>
        </is>
      </c>
      <c r="AD288" s="232" t="n"/>
      <c r="AE288" s="25" t="inlineStr">
        <is>
          <t>1、签订期间：2026.2.1-2026.7.31；
2、指标按照全年换算；</t>
        </is>
      </c>
      <c r="AF288"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89" ht="132" customFormat="1" customHeight="1" s="209">
      <c r="A289" s="219" t="n">
        <v>287</v>
      </c>
      <c r="B289" s="14" t="inlineStr">
        <is>
          <t>KQCY0277</t>
        </is>
      </c>
      <c r="C289" s="221" t="inlineStr">
        <is>
          <t>餐饮五分部</t>
        </is>
      </c>
      <c r="D289" s="221" t="inlineStr">
        <is>
          <t>CF697</t>
        </is>
      </c>
      <c r="E289" s="221" t="inlineStr">
        <is>
          <t>兰交大百苑二楼食堂</t>
        </is>
      </c>
      <c r="F289" s="219" t="inlineStr">
        <is>
          <t>分组作业</t>
        </is>
      </c>
      <c r="G289" s="222" t="inlineStr">
        <is>
          <t>陆琪</t>
        </is>
      </c>
      <c r="H289" s="503" t="inlineStr">
        <is>
          <t>/</t>
        </is>
      </c>
      <c r="I289" s="237" t="inlineStr">
        <is>
          <t>螺蛳粉</t>
        </is>
      </c>
      <c r="J289" s="503" t="inlineStr">
        <is>
          <t>孟庆玲</t>
        </is>
      </c>
      <c r="K289" s="224" t="inlineStr">
        <is>
          <t>/</t>
        </is>
      </c>
      <c r="L289" s="651" t="n">
        <v>807428.571428571</v>
      </c>
      <c r="M289" s="113" t="n">
        <v>0.13</v>
      </c>
      <c r="N289" s="113" t="n">
        <v>0.01</v>
      </c>
      <c r="O289" s="502" t="inlineStr">
        <is>
          <t>/</t>
        </is>
      </c>
      <c r="P289" s="113" t="n">
        <v>0.02</v>
      </c>
      <c r="Q289" s="113" t="n">
        <v>0.01</v>
      </c>
      <c r="R289" s="113" t="n">
        <v>0.01</v>
      </c>
      <c r="S289" s="502" t="inlineStr">
        <is>
          <t>/</t>
        </is>
      </c>
      <c r="T289" s="653" t="n"/>
      <c r="U289" s="653" t="n"/>
      <c r="V289" s="502" t="inlineStr">
        <is>
          <t>/</t>
        </is>
      </c>
      <c r="W289" s="224" t="n">
        <v>0.5</v>
      </c>
      <c r="X289" s="51" t="inlineStr">
        <is>
          <t>/</t>
        </is>
      </c>
      <c r="Y289" s="51" t="inlineStr">
        <is>
          <t>/</t>
        </is>
      </c>
      <c r="Z289" s="51" t="inlineStr">
        <is>
          <t>/</t>
        </is>
      </c>
      <c r="AA289" s="51" t="inlineStr">
        <is>
          <t>/</t>
        </is>
      </c>
      <c r="AB289" s="51" t="inlineStr">
        <is>
          <t>/</t>
        </is>
      </c>
      <c r="AC289" s="46" t="inlineStr">
        <is>
          <t>/</t>
        </is>
      </c>
      <c r="AD289" s="232" t="n"/>
      <c r="AE289" s="25" t="inlineStr">
        <is>
          <t>1、签订期间：2026.2.1-2026.7.31；
2、指标按照全年换算；</t>
        </is>
      </c>
      <c r="AF289"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0" ht="132" customFormat="1" customHeight="1" s="209">
      <c r="A290" s="219" t="n">
        <v>288</v>
      </c>
      <c r="B290" s="14" t="inlineStr">
        <is>
          <t>KQCY0278</t>
        </is>
      </c>
      <c r="C290" s="221" t="inlineStr">
        <is>
          <t>餐饮五分部</t>
        </is>
      </c>
      <c r="D290" s="221" t="inlineStr">
        <is>
          <t>CF697</t>
        </is>
      </c>
      <c r="E290" s="221" t="inlineStr">
        <is>
          <t>兰交大百苑二楼食堂</t>
        </is>
      </c>
      <c r="F290" s="219" t="inlineStr">
        <is>
          <t>分组作业</t>
        </is>
      </c>
      <c r="G290" s="222" t="inlineStr">
        <is>
          <t>陆琪</t>
        </is>
      </c>
      <c r="H290" s="503" t="inlineStr">
        <is>
          <t>/</t>
        </is>
      </c>
      <c r="I290" s="237" t="inlineStr">
        <is>
          <t>麻辣烫</t>
        </is>
      </c>
      <c r="J290" s="503" t="inlineStr">
        <is>
          <t>姚春</t>
        </is>
      </c>
      <c r="K290" s="224" t="inlineStr">
        <is>
          <t>/</t>
        </is>
      </c>
      <c r="L290" s="651" t="n">
        <v>1014857.14285714</v>
      </c>
      <c r="M290" s="113" t="n">
        <v>0.12</v>
      </c>
      <c r="N290" s="113" t="n">
        <v>0.01</v>
      </c>
      <c r="O290" s="502" t="inlineStr">
        <is>
          <t>/</t>
        </is>
      </c>
      <c r="P290" s="113" t="n">
        <v>0.02</v>
      </c>
      <c r="Q290" s="113" t="n">
        <v>0.01</v>
      </c>
      <c r="R290" s="113" t="n">
        <v>0.01</v>
      </c>
      <c r="S290" s="502" t="inlineStr">
        <is>
          <t>/</t>
        </is>
      </c>
      <c r="T290" s="653" t="n"/>
      <c r="U290" s="653" t="n"/>
      <c r="V290" s="502" t="inlineStr">
        <is>
          <t>/</t>
        </is>
      </c>
      <c r="W290" s="224" t="n">
        <v>0.5</v>
      </c>
      <c r="X290" s="51" t="inlineStr">
        <is>
          <t>/</t>
        </is>
      </c>
      <c r="Y290" s="51" t="inlineStr">
        <is>
          <t>/</t>
        </is>
      </c>
      <c r="Z290" s="51" t="inlineStr">
        <is>
          <t>/</t>
        </is>
      </c>
      <c r="AA290" s="51" t="inlineStr">
        <is>
          <t>/</t>
        </is>
      </c>
      <c r="AB290" s="51" t="inlineStr">
        <is>
          <t>/</t>
        </is>
      </c>
      <c r="AC290" s="46" t="inlineStr">
        <is>
          <t>/</t>
        </is>
      </c>
      <c r="AD290" s="232" t="n"/>
      <c r="AE290" s="25" t="inlineStr">
        <is>
          <t>1、签订期间：2026.2.1-2026.7.31；
2、指标按照全年换算；</t>
        </is>
      </c>
      <c r="AF290"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1" ht="132" customFormat="1" customHeight="1" s="209">
      <c r="A291" s="219" t="n">
        <v>289</v>
      </c>
      <c r="B291" s="14" t="inlineStr">
        <is>
          <t>KQCY0279</t>
        </is>
      </c>
      <c r="C291" s="221" t="inlineStr">
        <is>
          <t>餐饮五分部</t>
        </is>
      </c>
      <c r="D291" s="221" t="inlineStr">
        <is>
          <t>CF697</t>
        </is>
      </c>
      <c r="E291" s="221" t="inlineStr">
        <is>
          <t>兰交大百苑二楼食堂</t>
        </is>
      </c>
      <c r="F291" s="219" t="inlineStr">
        <is>
          <t>分组作业</t>
        </is>
      </c>
      <c r="G291" s="222" t="inlineStr">
        <is>
          <t>陆琪</t>
        </is>
      </c>
      <c r="H291" s="503" t="inlineStr">
        <is>
          <t>/</t>
        </is>
      </c>
      <c r="I291" s="237" t="inlineStr">
        <is>
          <t>脆皮鸡米饭</t>
        </is>
      </c>
      <c r="J291" s="503" t="inlineStr">
        <is>
          <t>王燕</t>
        </is>
      </c>
      <c r="K291" s="224" t="inlineStr">
        <is>
          <t>/</t>
        </is>
      </c>
      <c r="L291" s="651" t="n">
        <v>750857.142857143</v>
      </c>
      <c r="M291" s="113" t="n">
        <v>0.15</v>
      </c>
      <c r="N291" s="113" t="n">
        <v>0.01</v>
      </c>
      <c r="O291" s="502" t="inlineStr">
        <is>
          <t>/</t>
        </is>
      </c>
      <c r="P291" s="113" t="n">
        <v>0.02</v>
      </c>
      <c r="Q291" s="113" t="n">
        <v>0.01</v>
      </c>
      <c r="R291" s="113" t="n">
        <v>0.01</v>
      </c>
      <c r="S291" s="502" t="inlineStr">
        <is>
          <t>/</t>
        </is>
      </c>
      <c r="T291" s="653" t="n"/>
      <c r="U291" s="653" t="n"/>
      <c r="V291" s="502" t="inlineStr">
        <is>
          <t>/</t>
        </is>
      </c>
      <c r="W291" s="224" t="n">
        <v>0.5</v>
      </c>
      <c r="X291" s="51" t="inlineStr">
        <is>
          <t>/</t>
        </is>
      </c>
      <c r="Y291" s="51" t="inlineStr">
        <is>
          <t>/</t>
        </is>
      </c>
      <c r="Z291" s="51" t="inlineStr">
        <is>
          <t>/</t>
        </is>
      </c>
      <c r="AA291" s="51" t="inlineStr">
        <is>
          <t>/</t>
        </is>
      </c>
      <c r="AB291" s="51" t="inlineStr">
        <is>
          <t>/</t>
        </is>
      </c>
      <c r="AC291" s="46" t="inlineStr">
        <is>
          <t>/</t>
        </is>
      </c>
      <c r="AD291" s="232" t="n"/>
      <c r="AE291" s="25" t="inlineStr">
        <is>
          <t>1、签订期间：2026.2.1-2026.7.31；
2、指标按照全年换算；</t>
        </is>
      </c>
      <c r="AF291"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2" ht="132" customFormat="1" customHeight="1" s="209">
      <c r="A292" s="219" t="n">
        <v>290</v>
      </c>
      <c r="B292" s="14" t="inlineStr">
        <is>
          <t>KQCY0280</t>
        </is>
      </c>
      <c r="C292" s="221" t="inlineStr">
        <is>
          <t>餐饮五分部</t>
        </is>
      </c>
      <c r="D292" s="221" t="inlineStr">
        <is>
          <t>CF697</t>
        </is>
      </c>
      <c r="E292" s="221" t="inlineStr">
        <is>
          <t>兰交大百苑二楼食堂</t>
        </is>
      </c>
      <c r="F292" s="219" t="inlineStr">
        <is>
          <t>分组作业</t>
        </is>
      </c>
      <c r="G292" s="222" t="inlineStr">
        <is>
          <t>陆琪</t>
        </is>
      </c>
      <c r="H292" s="503" t="inlineStr">
        <is>
          <t>/</t>
        </is>
      </c>
      <c r="I292" s="237" t="inlineStr">
        <is>
          <t>羊杂面</t>
        </is>
      </c>
      <c r="J292" s="503" t="inlineStr">
        <is>
          <t>裴晓文</t>
        </is>
      </c>
      <c r="K292" s="224" t="inlineStr">
        <is>
          <t>/</t>
        </is>
      </c>
      <c r="L292" s="651" t="n">
        <v>992571.4285714281</v>
      </c>
      <c r="M292" s="113" t="n">
        <v>0.11</v>
      </c>
      <c r="N292" s="113" t="n">
        <v>0.01</v>
      </c>
      <c r="O292" s="502" t="inlineStr">
        <is>
          <t>/</t>
        </is>
      </c>
      <c r="P292" s="113" t="n">
        <v>0.02</v>
      </c>
      <c r="Q292" s="113" t="n">
        <v>0.01</v>
      </c>
      <c r="R292" s="113" t="n">
        <v>0.01</v>
      </c>
      <c r="S292" s="502" t="inlineStr">
        <is>
          <t>/</t>
        </is>
      </c>
      <c r="T292" s="653" t="n"/>
      <c r="U292" s="653" t="n"/>
      <c r="V292" s="502" t="inlineStr">
        <is>
          <t>/</t>
        </is>
      </c>
      <c r="W292" s="224" t="n">
        <v>0.5</v>
      </c>
      <c r="X292" s="51" t="inlineStr">
        <is>
          <t>/</t>
        </is>
      </c>
      <c r="Y292" s="51" t="inlineStr">
        <is>
          <t>/</t>
        </is>
      </c>
      <c r="Z292" s="51" t="inlineStr">
        <is>
          <t>/</t>
        </is>
      </c>
      <c r="AA292" s="51" t="inlineStr">
        <is>
          <t>/</t>
        </is>
      </c>
      <c r="AB292" s="51" t="inlineStr">
        <is>
          <t>/</t>
        </is>
      </c>
      <c r="AC292" s="46" t="inlineStr">
        <is>
          <t>/</t>
        </is>
      </c>
      <c r="AD292" s="232" t="n"/>
      <c r="AE292" s="25" t="inlineStr">
        <is>
          <t>1、签订期间：2026.2.1-2026.7.31；
2、指标按照全年换算；</t>
        </is>
      </c>
      <c r="AF292"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3" ht="132" customFormat="1" customHeight="1" s="209">
      <c r="A293" s="219" t="n">
        <v>291</v>
      </c>
      <c r="B293" s="14" t="inlineStr">
        <is>
          <t>KQCY0281</t>
        </is>
      </c>
      <c r="C293" s="221" t="inlineStr">
        <is>
          <t>餐饮五分部</t>
        </is>
      </c>
      <c r="D293" s="221" t="inlineStr">
        <is>
          <t>CF697</t>
        </is>
      </c>
      <c r="E293" s="221" t="inlineStr">
        <is>
          <t>兰交大百苑二楼食堂</t>
        </is>
      </c>
      <c r="F293" s="219" t="inlineStr">
        <is>
          <t>分组作业</t>
        </is>
      </c>
      <c r="G293" s="222" t="inlineStr">
        <is>
          <t>陆琪</t>
        </is>
      </c>
      <c r="H293" s="503" t="inlineStr">
        <is>
          <t>/</t>
        </is>
      </c>
      <c r="I293" s="237" t="inlineStr">
        <is>
          <t>快餐</t>
        </is>
      </c>
      <c r="J293" s="503" t="inlineStr">
        <is>
          <t>闫焕平</t>
        </is>
      </c>
      <c r="K293" s="224" t="inlineStr">
        <is>
          <t>/</t>
        </is>
      </c>
      <c r="L293" s="651" t="n">
        <v>480000</v>
      </c>
      <c r="M293" s="113" t="n">
        <v>0.06</v>
      </c>
      <c r="N293" s="113" t="n">
        <v>0.01</v>
      </c>
      <c r="O293" s="502" t="inlineStr">
        <is>
          <t>/</t>
        </is>
      </c>
      <c r="P293" s="113" t="n">
        <v>0.02</v>
      </c>
      <c r="Q293" s="113" t="n">
        <v>0.01</v>
      </c>
      <c r="R293" s="113" t="n">
        <v>0.01</v>
      </c>
      <c r="S293" s="502" t="inlineStr">
        <is>
          <t>/</t>
        </is>
      </c>
      <c r="T293" s="224" t="n">
        <v>0.04</v>
      </c>
      <c r="U293" s="113" t="n">
        <v>0.01</v>
      </c>
      <c r="V293" s="502" t="inlineStr">
        <is>
          <t>/</t>
        </is>
      </c>
      <c r="W293" s="224" t="n">
        <v>0.5</v>
      </c>
      <c r="X293" s="51" t="inlineStr">
        <is>
          <t>/</t>
        </is>
      </c>
      <c r="Y293" s="51" t="inlineStr">
        <is>
          <t>/</t>
        </is>
      </c>
      <c r="Z293" s="51" t="inlineStr">
        <is>
          <t>/</t>
        </is>
      </c>
      <c r="AA293" s="51" t="inlineStr">
        <is>
          <t>/</t>
        </is>
      </c>
      <c r="AB293" s="51" t="inlineStr">
        <is>
          <t>/</t>
        </is>
      </c>
      <c r="AC293" s="46" t="inlineStr">
        <is>
          <t>/</t>
        </is>
      </c>
      <c r="AD293" s="232" t="n"/>
      <c r="AE293" s="25" t="inlineStr">
        <is>
          <t>1、签订期间：2026.2.1-2026.7.31；
2、指标按照全年换算；</t>
        </is>
      </c>
      <c r="AF293"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4" ht="132" customFormat="1" customHeight="1" s="209">
      <c r="A294" s="219" t="n">
        <v>292</v>
      </c>
      <c r="B294" s="14" t="inlineStr">
        <is>
          <t>KQCY0282</t>
        </is>
      </c>
      <c r="C294" s="221" t="inlineStr">
        <is>
          <t>餐饮五分部</t>
        </is>
      </c>
      <c r="D294" s="221" t="inlineStr">
        <is>
          <t>CF697</t>
        </is>
      </c>
      <c r="E294" s="221" t="inlineStr">
        <is>
          <t>兰交大百苑二楼食堂</t>
        </is>
      </c>
      <c r="F294" s="219" t="inlineStr">
        <is>
          <t>分组作业</t>
        </is>
      </c>
      <c r="G294" s="222" t="inlineStr">
        <is>
          <t>陆琪</t>
        </is>
      </c>
      <c r="H294" s="503" t="inlineStr">
        <is>
          <t>/</t>
        </is>
      </c>
      <c r="I294" s="237" t="inlineStr">
        <is>
          <t>石锅菜</t>
        </is>
      </c>
      <c r="J294" s="503" t="inlineStr">
        <is>
          <t>李雄飞</t>
        </is>
      </c>
      <c r="K294" s="224" t="inlineStr">
        <is>
          <t>/</t>
        </is>
      </c>
      <c r="L294" s="651" t="n">
        <v>510000</v>
      </c>
      <c r="M294" s="113" t="n">
        <v>0.14</v>
      </c>
      <c r="N294" s="113" t="n">
        <v>0.01</v>
      </c>
      <c r="O294" s="502" t="inlineStr">
        <is>
          <t>/</t>
        </is>
      </c>
      <c r="P294" s="113" t="n">
        <v>0.02</v>
      </c>
      <c r="Q294" s="113" t="n">
        <v>0.01</v>
      </c>
      <c r="R294" s="113" t="n">
        <v>0.01</v>
      </c>
      <c r="S294" s="502" t="inlineStr">
        <is>
          <t>/</t>
        </is>
      </c>
      <c r="T294" s="653" t="n"/>
      <c r="U294" s="653" t="n"/>
      <c r="V294" s="502" t="inlineStr">
        <is>
          <t>/</t>
        </is>
      </c>
      <c r="W294" s="224" t="n">
        <v>0.5</v>
      </c>
      <c r="X294" s="51" t="inlineStr">
        <is>
          <t>/</t>
        </is>
      </c>
      <c r="Y294" s="51" t="inlineStr">
        <is>
          <t>/</t>
        </is>
      </c>
      <c r="Z294" s="51" t="inlineStr">
        <is>
          <t>/</t>
        </is>
      </c>
      <c r="AA294" s="51" t="inlineStr">
        <is>
          <t>/</t>
        </is>
      </c>
      <c r="AB294" s="51" t="inlineStr">
        <is>
          <t>/</t>
        </is>
      </c>
      <c r="AC294" s="46" t="inlineStr">
        <is>
          <t>/</t>
        </is>
      </c>
      <c r="AD294" s="232" t="n"/>
      <c r="AE294" s="25" t="inlineStr">
        <is>
          <t>1、签订期间：2026.2.1-2026.7.31；
2、指标按照全年换算；</t>
        </is>
      </c>
      <c r="AF294"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5" ht="132" customFormat="1" customHeight="1" s="209">
      <c r="A295" s="219" t="n">
        <v>293</v>
      </c>
      <c r="B295" s="14" t="inlineStr">
        <is>
          <t>KQCY0283</t>
        </is>
      </c>
      <c r="C295" s="221" t="inlineStr">
        <is>
          <t>餐饮五分部</t>
        </is>
      </c>
      <c r="D295" s="221" t="inlineStr">
        <is>
          <t>CF697</t>
        </is>
      </c>
      <c r="E295" s="221" t="inlineStr">
        <is>
          <t>兰交大百苑二楼食堂</t>
        </is>
      </c>
      <c r="F295" s="219" t="inlineStr">
        <is>
          <t>分组作业</t>
        </is>
      </c>
      <c r="G295" s="222" t="inlineStr">
        <is>
          <t>陆琪</t>
        </is>
      </c>
      <c r="H295" s="503" t="inlineStr">
        <is>
          <t>/</t>
        </is>
      </c>
      <c r="I295" s="237" t="inlineStr">
        <is>
          <t>米粉</t>
        </is>
      </c>
      <c r="J295" s="494" t="inlineStr">
        <is>
          <t>安平</t>
        </is>
      </c>
      <c r="K295" s="224" t="inlineStr">
        <is>
          <t>/</t>
        </is>
      </c>
      <c r="L295" s="651" t="n">
        <v>396000</v>
      </c>
      <c r="M295" s="113" t="n">
        <v>0.15</v>
      </c>
      <c r="N295" s="113" t="n">
        <v>0.01</v>
      </c>
      <c r="O295" s="502" t="inlineStr">
        <is>
          <t>/</t>
        </is>
      </c>
      <c r="P295" s="113" t="n">
        <v>0.02</v>
      </c>
      <c r="Q295" s="113" t="n">
        <v>0.01</v>
      </c>
      <c r="R295" s="113" t="n">
        <v>0.01</v>
      </c>
      <c r="S295" s="502" t="inlineStr">
        <is>
          <t>/</t>
        </is>
      </c>
      <c r="T295" s="653" t="n"/>
      <c r="U295" s="653" t="n"/>
      <c r="V295" s="502" t="inlineStr">
        <is>
          <t>/</t>
        </is>
      </c>
      <c r="W295" s="224" t="n">
        <v>0.5</v>
      </c>
      <c r="X295" s="51" t="inlineStr">
        <is>
          <t>/</t>
        </is>
      </c>
      <c r="Y295" s="51" t="inlineStr">
        <is>
          <t>/</t>
        </is>
      </c>
      <c r="Z295" s="51" t="inlineStr">
        <is>
          <t>/</t>
        </is>
      </c>
      <c r="AA295" s="51" t="inlineStr">
        <is>
          <t>/</t>
        </is>
      </c>
      <c r="AB295" s="51" t="inlineStr">
        <is>
          <t>/</t>
        </is>
      </c>
      <c r="AC295" s="46" t="inlineStr">
        <is>
          <t>/</t>
        </is>
      </c>
      <c r="AD295" s="232" t="n"/>
      <c r="AE295" s="25" t="inlineStr">
        <is>
          <t>1、签订期间：2026.2.1-2026.7.31；
2、指标按照全年换算；</t>
        </is>
      </c>
      <c r="AF295"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6" ht="132" customFormat="1" customHeight="1" s="209">
      <c r="A296" s="219" t="n">
        <v>294</v>
      </c>
      <c r="B296" s="14" t="inlineStr">
        <is>
          <t>KQCY0284</t>
        </is>
      </c>
      <c r="C296" s="221" t="inlineStr">
        <is>
          <t>餐饮五分部</t>
        </is>
      </c>
      <c r="D296" s="221" t="inlineStr">
        <is>
          <t>CF697</t>
        </is>
      </c>
      <c r="E296" s="221" t="inlineStr">
        <is>
          <t>兰交大百苑二楼食堂</t>
        </is>
      </c>
      <c r="F296" s="219" t="inlineStr">
        <is>
          <t>分组作业</t>
        </is>
      </c>
      <c r="G296" s="222" t="inlineStr">
        <is>
          <t>陆琪</t>
        </is>
      </c>
      <c r="H296" s="503" t="inlineStr">
        <is>
          <t>/</t>
        </is>
      </c>
      <c r="I296" s="237" t="inlineStr">
        <is>
          <t>猪脚饭</t>
        </is>
      </c>
      <c r="J296" s="494" t="inlineStr">
        <is>
          <t>张文权</t>
        </is>
      </c>
      <c r="K296" s="224" t="inlineStr">
        <is>
          <t>/</t>
        </is>
      </c>
      <c r="L296" s="651" t="n">
        <v>466285.714285714</v>
      </c>
      <c r="M296" s="113" t="n">
        <v>0.15</v>
      </c>
      <c r="N296" s="113" t="n">
        <v>0.01</v>
      </c>
      <c r="O296" s="502" t="inlineStr">
        <is>
          <t>/</t>
        </is>
      </c>
      <c r="P296" s="113" t="n">
        <v>0.02</v>
      </c>
      <c r="Q296" s="113" t="n">
        <v>0.01</v>
      </c>
      <c r="R296" s="113" t="n">
        <v>0.01</v>
      </c>
      <c r="S296" s="502" t="inlineStr">
        <is>
          <t>/</t>
        </is>
      </c>
      <c r="T296" s="653" t="n"/>
      <c r="U296" s="653" t="n"/>
      <c r="V296" s="502" t="inlineStr">
        <is>
          <t>/</t>
        </is>
      </c>
      <c r="W296" s="224" t="n">
        <v>0.5</v>
      </c>
      <c r="X296" s="51" t="inlineStr">
        <is>
          <t>/</t>
        </is>
      </c>
      <c r="Y296" s="51" t="inlineStr">
        <is>
          <t>/</t>
        </is>
      </c>
      <c r="Z296" s="51" t="inlineStr">
        <is>
          <t>/</t>
        </is>
      </c>
      <c r="AA296" s="51" t="inlineStr">
        <is>
          <t>/</t>
        </is>
      </c>
      <c r="AB296" s="51" t="inlineStr">
        <is>
          <t>/</t>
        </is>
      </c>
      <c r="AC296" s="46" t="inlineStr">
        <is>
          <t>/</t>
        </is>
      </c>
      <c r="AD296" s="232" t="n"/>
      <c r="AE296" s="25" t="inlineStr">
        <is>
          <t>1、签订期间：2026.2.1-2026.7.31；
2、指标按照全年换算；</t>
        </is>
      </c>
      <c r="AF296"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7" ht="132" customFormat="1" customHeight="1" s="209">
      <c r="A297" s="219" t="n">
        <v>295</v>
      </c>
      <c r="B297" s="14" t="inlineStr">
        <is>
          <t>KQCY0285</t>
        </is>
      </c>
      <c r="C297" s="221" t="inlineStr">
        <is>
          <t>餐饮五分部</t>
        </is>
      </c>
      <c r="D297" s="221" t="inlineStr">
        <is>
          <t>CF697</t>
        </is>
      </c>
      <c r="E297" s="221" t="inlineStr">
        <is>
          <t>兰交大百苑二楼食堂</t>
        </is>
      </c>
      <c r="F297" s="219" t="inlineStr">
        <is>
          <t>分组作业</t>
        </is>
      </c>
      <c r="G297" s="222" t="inlineStr">
        <is>
          <t>陆琪</t>
        </is>
      </c>
      <c r="H297" s="503" t="inlineStr">
        <is>
          <t>/</t>
        </is>
      </c>
      <c r="I297" s="237" t="inlineStr">
        <is>
          <t>宋曼烤串</t>
        </is>
      </c>
      <c r="J297" s="494" t="inlineStr">
        <is>
          <t>于金梅</t>
        </is>
      </c>
      <c r="K297" s="224" t="inlineStr">
        <is>
          <t>/</t>
        </is>
      </c>
      <c r="L297" s="651" t="n">
        <v>690857.142857143</v>
      </c>
      <c r="M297" s="113" t="n">
        <v>0.13</v>
      </c>
      <c r="N297" s="113" t="n">
        <v>0.01</v>
      </c>
      <c r="O297" s="502" t="inlineStr">
        <is>
          <t>/</t>
        </is>
      </c>
      <c r="P297" s="113" t="n">
        <v>0.02</v>
      </c>
      <c r="Q297" s="113" t="n">
        <v>0.01</v>
      </c>
      <c r="R297" s="113" t="n">
        <v>0.01</v>
      </c>
      <c r="S297" s="502" t="inlineStr">
        <is>
          <t>/</t>
        </is>
      </c>
      <c r="T297" s="653" t="n"/>
      <c r="U297" s="653" t="n"/>
      <c r="V297" s="502" t="inlineStr">
        <is>
          <t>/</t>
        </is>
      </c>
      <c r="W297" s="224" t="n">
        <v>0.5</v>
      </c>
      <c r="X297" s="51" t="inlineStr">
        <is>
          <t>/</t>
        </is>
      </c>
      <c r="Y297" s="51" t="inlineStr">
        <is>
          <t>/</t>
        </is>
      </c>
      <c r="Z297" s="51" t="inlineStr">
        <is>
          <t>/</t>
        </is>
      </c>
      <c r="AA297" s="51" t="inlineStr">
        <is>
          <t>/</t>
        </is>
      </c>
      <c r="AB297" s="51" t="inlineStr">
        <is>
          <t>/</t>
        </is>
      </c>
      <c r="AC297" s="46" t="inlineStr">
        <is>
          <t>/</t>
        </is>
      </c>
      <c r="AD297" s="232" t="n"/>
      <c r="AE297" s="25" t="inlineStr">
        <is>
          <t>1、签订期间：2026.2.1-2026.7.31；
2、指标按照全年换算；</t>
        </is>
      </c>
      <c r="AF297"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8" ht="132" customFormat="1" customHeight="1" s="209">
      <c r="A298" s="219" t="n">
        <v>296</v>
      </c>
      <c r="B298" s="14" t="inlineStr">
        <is>
          <t>KQCY0286</t>
        </is>
      </c>
      <c r="C298" s="221" t="inlineStr">
        <is>
          <t>餐饮五分部</t>
        </is>
      </c>
      <c r="D298" s="221" t="inlineStr">
        <is>
          <t>CF697</t>
        </is>
      </c>
      <c r="E298" s="221" t="inlineStr">
        <is>
          <t>兰交大百苑二楼食堂</t>
        </is>
      </c>
      <c r="F298" s="219" t="inlineStr">
        <is>
          <t>分组作业</t>
        </is>
      </c>
      <c r="G298" s="222" t="inlineStr">
        <is>
          <t>陆琪</t>
        </is>
      </c>
      <c r="H298" s="503" t="inlineStr">
        <is>
          <t>/</t>
        </is>
      </c>
      <c r="I298" s="237" t="inlineStr">
        <is>
          <t>汉堡</t>
        </is>
      </c>
      <c r="J298" s="494" t="inlineStr">
        <is>
          <t>陈发权</t>
        </is>
      </c>
      <c r="K298" s="224" t="inlineStr">
        <is>
          <t>/</t>
        </is>
      </c>
      <c r="L298" s="651" t="n">
        <v>459428.571428571</v>
      </c>
      <c r="M298" s="113" t="n">
        <v>0.07000000000000001</v>
      </c>
      <c r="N298" s="113" t="n">
        <v>0.01</v>
      </c>
      <c r="O298" s="502" t="inlineStr">
        <is>
          <t>/</t>
        </is>
      </c>
      <c r="P298" s="502" t="inlineStr">
        <is>
          <t>/</t>
        </is>
      </c>
      <c r="Q298" s="113" t="n">
        <v>0.01</v>
      </c>
      <c r="R298" s="113" t="n">
        <v>0.01</v>
      </c>
      <c r="S298" s="502" t="inlineStr">
        <is>
          <t>/</t>
        </is>
      </c>
      <c r="T298" s="653" t="n"/>
      <c r="U298" s="653" t="n"/>
      <c r="V298" s="502" t="inlineStr">
        <is>
          <t>/</t>
        </is>
      </c>
      <c r="W298" s="224" t="n">
        <v>0.5</v>
      </c>
      <c r="X298" s="51" t="inlineStr">
        <is>
          <t>/</t>
        </is>
      </c>
      <c r="Y298" s="51" t="inlineStr">
        <is>
          <t>/</t>
        </is>
      </c>
      <c r="Z298" s="51" t="inlineStr">
        <is>
          <t>/</t>
        </is>
      </c>
      <c r="AA298" s="51" t="inlineStr">
        <is>
          <t>/</t>
        </is>
      </c>
      <c r="AB298" s="51" t="inlineStr">
        <is>
          <t>/</t>
        </is>
      </c>
      <c r="AC298" s="46" t="inlineStr">
        <is>
          <t>/</t>
        </is>
      </c>
      <c r="AD298" s="232" t="n"/>
      <c r="AE298" s="25" t="inlineStr">
        <is>
          <t>1、签订期间：2026.2.1-2026.7.31；
2、指标按照全年换算；</t>
        </is>
      </c>
      <c r="AF298"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t>
        </is>
      </c>
    </row>
    <row r="299" ht="12" customFormat="1" customHeight="1" s="209">
      <c r="A299" s="219" t="n">
        <v>297</v>
      </c>
      <c r="B299" s="14" t="inlineStr">
        <is>
          <t>KQCY0287</t>
        </is>
      </c>
      <c r="C299" s="221" t="inlineStr">
        <is>
          <t>餐饮五分部</t>
        </is>
      </c>
      <c r="D299" s="221" t="inlineStr">
        <is>
          <t>CF698</t>
        </is>
      </c>
      <c r="E299" s="221" t="inlineStr">
        <is>
          <t>兰理工兰工坪校区一食堂</t>
        </is>
      </c>
      <c r="F299" s="219" t="inlineStr">
        <is>
          <t>自营</t>
        </is>
      </c>
      <c r="G299" s="222" t="inlineStr">
        <is>
          <t>陆琪</t>
        </is>
      </c>
      <c r="H299" s="222" t="inlineStr">
        <is>
          <t>/</t>
        </is>
      </c>
      <c r="I299" s="355" t="inlineStr">
        <is>
          <t>/</t>
        </is>
      </c>
      <c r="J299" s="134" t="inlineStr">
        <is>
          <t>/</t>
        </is>
      </c>
      <c r="K299" s="224" t="inlineStr">
        <is>
          <t>/</t>
        </is>
      </c>
      <c r="L299" s="651" t="inlineStr">
        <is>
          <t>/</t>
        </is>
      </c>
      <c r="M299" s="224" t="inlineStr">
        <is>
          <t>/</t>
        </is>
      </c>
      <c r="N299" s="224" t="inlineStr">
        <is>
          <t>/</t>
        </is>
      </c>
      <c r="O299" s="224" t="inlineStr">
        <is>
          <t>/</t>
        </is>
      </c>
      <c r="P299" s="224" t="inlineStr">
        <is>
          <t>/</t>
        </is>
      </c>
      <c r="Q299" s="224" t="inlineStr">
        <is>
          <t>/</t>
        </is>
      </c>
      <c r="R299" s="224" t="inlineStr">
        <is>
          <t>/</t>
        </is>
      </c>
      <c r="S299" s="224" t="inlineStr">
        <is>
          <t>/</t>
        </is>
      </c>
      <c r="T299" s="224" t="inlineStr">
        <is>
          <t>/</t>
        </is>
      </c>
      <c r="U299" s="503" t="inlineStr">
        <is>
          <t>/</t>
        </is>
      </c>
      <c r="V299" s="224" t="inlineStr">
        <is>
          <t>/</t>
        </is>
      </c>
      <c r="W299" s="503" t="inlineStr">
        <is>
          <t>/</t>
        </is>
      </c>
      <c r="X299" s="51" t="inlineStr">
        <is>
          <t>/</t>
        </is>
      </c>
      <c r="Y299" s="51" t="inlineStr">
        <is>
          <t>/</t>
        </is>
      </c>
      <c r="Z299" s="51" t="inlineStr">
        <is>
          <t>/</t>
        </is>
      </c>
      <c r="AA299" s="51" t="inlineStr">
        <is>
          <t>/</t>
        </is>
      </c>
      <c r="AB299" s="46" t="n">
        <v>0.045</v>
      </c>
      <c r="AC299" s="46" t="inlineStr">
        <is>
          <t>/</t>
        </is>
      </c>
      <c r="AD299" s="232" t="n"/>
      <c r="AE299" s="25" t="n"/>
      <c r="AF299" s="206" t="n"/>
    </row>
    <row r="300" ht="84" customFormat="1" customHeight="1" s="209">
      <c r="A300" s="219" t="n">
        <v>298</v>
      </c>
      <c r="B300" s="14" t="inlineStr">
        <is>
          <t>KQCY0288</t>
        </is>
      </c>
      <c r="C300" s="221" t="inlineStr">
        <is>
          <t>餐饮五分部</t>
        </is>
      </c>
      <c r="D300" s="221" t="inlineStr">
        <is>
          <t>CF698</t>
        </is>
      </c>
      <c r="E300" s="221" t="inlineStr">
        <is>
          <t>兰理工兰工坪校区一食堂</t>
        </is>
      </c>
      <c r="F300" s="219" t="inlineStr">
        <is>
          <t>分组作业</t>
        </is>
      </c>
      <c r="G300" s="222" t="inlineStr">
        <is>
          <t>陆琪</t>
        </is>
      </c>
      <c r="H300" s="503" t="inlineStr">
        <is>
          <t>/</t>
        </is>
      </c>
      <c r="I300" s="237" t="inlineStr">
        <is>
          <t>早餐（包子、粥、馅饼、饺子）</t>
        </is>
      </c>
      <c r="J300" s="494" t="inlineStr">
        <is>
          <t>杨文宏</t>
        </is>
      </c>
      <c r="K300" s="224" t="inlineStr">
        <is>
          <t>/</t>
        </is>
      </c>
      <c r="L300" s="651" t="n">
        <v>1140000</v>
      </c>
      <c r="M300" s="113" t="n">
        <v>0.17</v>
      </c>
      <c r="N300" s="502" t="inlineStr">
        <is>
          <t>/</t>
        </is>
      </c>
      <c r="O300" s="502" t="inlineStr">
        <is>
          <t>/</t>
        </is>
      </c>
      <c r="P300" s="502" t="inlineStr">
        <is>
          <t>/</t>
        </is>
      </c>
      <c r="Q300" s="502" t="inlineStr">
        <is>
          <t>/</t>
        </is>
      </c>
      <c r="R300" s="502" t="inlineStr">
        <is>
          <t>/</t>
        </is>
      </c>
      <c r="S300" s="502" t="inlineStr">
        <is>
          <t>/</t>
        </is>
      </c>
      <c r="T300" s="653" t="n"/>
      <c r="U300" s="653" t="n"/>
      <c r="V300" s="502" t="inlineStr">
        <is>
          <t>/</t>
        </is>
      </c>
      <c r="W300" s="224" t="n">
        <v>0.4</v>
      </c>
      <c r="X300" s="51" t="inlineStr">
        <is>
          <t>/</t>
        </is>
      </c>
      <c r="Y300" s="51" t="inlineStr">
        <is>
          <t>/</t>
        </is>
      </c>
      <c r="Z300" s="51" t="inlineStr">
        <is>
          <t>/</t>
        </is>
      </c>
      <c r="AA300" s="51" t="inlineStr">
        <is>
          <t>/</t>
        </is>
      </c>
      <c r="AB300" s="51" t="inlineStr">
        <is>
          <t>/</t>
        </is>
      </c>
      <c r="AC300" s="46" t="inlineStr">
        <is>
          <t>/</t>
        </is>
      </c>
      <c r="AD300" s="232" t="n"/>
      <c r="AE300" s="25" t="inlineStr">
        <is>
          <t>1、签订期间：2026.2.1-2026.7.31；
2、指标按照全年换算；</t>
        </is>
      </c>
      <c r="AF300"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1" ht="84" customFormat="1" customHeight="1" s="209">
      <c r="A301" s="219" t="n">
        <v>299</v>
      </c>
      <c r="B301" s="14" t="inlineStr">
        <is>
          <t>KQCY0289</t>
        </is>
      </c>
      <c r="C301" s="221" t="inlineStr">
        <is>
          <t>餐饮五分部</t>
        </is>
      </c>
      <c r="D301" s="221" t="inlineStr">
        <is>
          <t>CF698</t>
        </is>
      </c>
      <c r="E301" s="221" t="inlineStr">
        <is>
          <t>兰理工兰工坪校区一食堂</t>
        </is>
      </c>
      <c r="F301" s="219" t="inlineStr">
        <is>
          <t>分组作业</t>
        </is>
      </c>
      <c r="G301" s="222" t="inlineStr">
        <is>
          <t>陆琪</t>
        </is>
      </c>
      <c r="H301" s="503" t="inlineStr">
        <is>
          <t>/</t>
        </is>
      </c>
      <c r="I301" s="237" t="inlineStr">
        <is>
          <t>快餐（盖浇饭、锅仔）</t>
        </is>
      </c>
      <c r="J301" s="494" t="inlineStr">
        <is>
          <t>宋玉琴</t>
        </is>
      </c>
      <c r="K301" s="224" t="inlineStr">
        <is>
          <t>/</t>
        </is>
      </c>
      <c r="L301" s="651" t="n">
        <v>1106000</v>
      </c>
      <c r="M301" s="113" t="n">
        <v>0.17</v>
      </c>
      <c r="N301" s="502" t="inlineStr">
        <is>
          <t>/</t>
        </is>
      </c>
      <c r="O301" s="502" t="inlineStr">
        <is>
          <t>/</t>
        </is>
      </c>
      <c r="P301" s="502" t="inlineStr">
        <is>
          <t>/</t>
        </is>
      </c>
      <c r="Q301" s="502" t="inlineStr">
        <is>
          <t>/</t>
        </is>
      </c>
      <c r="R301" s="502" t="inlineStr">
        <is>
          <t>/</t>
        </is>
      </c>
      <c r="S301" s="502" t="inlineStr">
        <is>
          <t>/</t>
        </is>
      </c>
      <c r="T301" s="653" t="n"/>
      <c r="U301" s="653" t="n"/>
      <c r="V301" s="502" t="inlineStr">
        <is>
          <t>/</t>
        </is>
      </c>
      <c r="W301" s="224" t="n">
        <v>0.4</v>
      </c>
      <c r="X301" s="51" t="inlineStr">
        <is>
          <t>/</t>
        </is>
      </c>
      <c r="Y301" s="51" t="inlineStr">
        <is>
          <t>/</t>
        </is>
      </c>
      <c r="Z301" s="51" t="inlineStr">
        <is>
          <t>/</t>
        </is>
      </c>
      <c r="AA301" s="51" t="inlineStr">
        <is>
          <t>/</t>
        </is>
      </c>
      <c r="AB301" s="51" t="inlineStr">
        <is>
          <t>/</t>
        </is>
      </c>
      <c r="AC301" s="46" t="inlineStr">
        <is>
          <t>/</t>
        </is>
      </c>
      <c r="AD301" s="232" t="n"/>
      <c r="AE301" s="25" t="inlineStr">
        <is>
          <t>1、签订期间：2026.2.1-2026.7.31；
2、指标按照全年换算；</t>
        </is>
      </c>
      <c r="AF301"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2" ht="84" customFormat="1" customHeight="1" s="209">
      <c r="A302" s="219" t="n">
        <v>300</v>
      </c>
      <c r="B302" s="14" t="inlineStr">
        <is>
          <t>KQCY0290</t>
        </is>
      </c>
      <c r="C302" s="221" t="inlineStr">
        <is>
          <t>餐饮五分部</t>
        </is>
      </c>
      <c r="D302" s="221" t="inlineStr">
        <is>
          <t>CF698</t>
        </is>
      </c>
      <c r="E302" s="221" t="inlineStr">
        <is>
          <t>兰理工兰工坪校区一食堂</t>
        </is>
      </c>
      <c r="F302" s="219" t="inlineStr">
        <is>
          <t>分组作业</t>
        </is>
      </c>
      <c r="G302" s="222" t="inlineStr">
        <is>
          <t>陆琪</t>
        </is>
      </c>
      <c r="H302" s="503" t="inlineStr">
        <is>
          <t>/</t>
        </is>
      </c>
      <c r="I302" s="237" t="inlineStr">
        <is>
          <t>米粉</t>
        </is>
      </c>
      <c r="J302" s="494" t="inlineStr">
        <is>
          <t>尚伟伟</t>
        </is>
      </c>
      <c r="K302" s="224" t="inlineStr">
        <is>
          <t>/</t>
        </is>
      </c>
      <c r="L302" s="651" t="n">
        <v>680000</v>
      </c>
      <c r="M302" s="113" t="n">
        <v>0.2</v>
      </c>
      <c r="N302" s="502" t="inlineStr">
        <is>
          <t>/</t>
        </is>
      </c>
      <c r="O302" s="502" t="inlineStr">
        <is>
          <t>/</t>
        </is>
      </c>
      <c r="P302" s="502" t="inlineStr">
        <is>
          <t>/</t>
        </is>
      </c>
      <c r="Q302" s="502" t="inlineStr">
        <is>
          <t>/</t>
        </is>
      </c>
      <c r="R302" s="502" t="inlineStr">
        <is>
          <t>/</t>
        </is>
      </c>
      <c r="S302" s="502" t="inlineStr">
        <is>
          <t>/</t>
        </is>
      </c>
      <c r="T302" s="653" t="n"/>
      <c r="U302" s="653" t="n"/>
      <c r="V302" s="502" t="inlineStr">
        <is>
          <t>/</t>
        </is>
      </c>
      <c r="W302" s="224" t="n">
        <v>0.4</v>
      </c>
      <c r="X302" s="51" t="inlineStr">
        <is>
          <t>/</t>
        </is>
      </c>
      <c r="Y302" s="51" t="inlineStr">
        <is>
          <t>/</t>
        </is>
      </c>
      <c r="Z302" s="51" t="inlineStr">
        <is>
          <t>/</t>
        </is>
      </c>
      <c r="AA302" s="51" t="inlineStr">
        <is>
          <t>/</t>
        </is>
      </c>
      <c r="AB302" s="51" t="inlineStr">
        <is>
          <t>/</t>
        </is>
      </c>
      <c r="AC302" s="46" t="inlineStr">
        <is>
          <t>/</t>
        </is>
      </c>
      <c r="AD302" s="232" t="n"/>
      <c r="AE302" s="25" t="inlineStr">
        <is>
          <t>1、签订期间：2026.2.1-2026.7.31；
2、指标按照全年换算；</t>
        </is>
      </c>
      <c r="AF302"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3" ht="84" customFormat="1" customHeight="1" s="209">
      <c r="A303" s="219" t="n">
        <v>301</v>
      </c>
      <c r="B303" s="14" t="inlineStr">
        <is>
          <t>KQCY0291</t>
        </is>
      </c>
      <c r="C303" s="221" t="inlineStr">
        <is>
          <t>餐饮五分部</t>
        </is>
      </c>
      <c r="D303" s="221" t="inlineStr">
        <is>
          <t>CF698</t>
        </is>
      </c>
      <c r="E303" s="221" t="inlineStr">
        <is>
          <t>兰理工兰工坪校区一食堂</t>
        </is>
      </c>
      <c r="F303" s="219" t="inlineStr">
        <is>
          <t>分组作业</t>
        </is>
      </c>
      <c r="G303" s="222" t="inlineStr">
        <is>
          <t>陆琪</t>
        </is>
      </c>
      <c r="H303" s="503" t="inlineStr">
        <is>
          <t>/</t>
        </is>
      </c>
      <c r="I303" s="237" t="inlineStr">
        <is>
          <t>烤鸭饭</t>
        </is>
      </c>
      <c r="J303" s="494" t="inlineStr">
        <is>
          <t>何启发</t>
        </is>
      </c>
      <c r="K303" s="224" t="inlineStr">
        <is>
          <t>/</t>
        </is>
      </c>
      <c r="L303" s="651" t="n">
        <v>780000</v>
      </c>
      <c r="M303" s="113" t="n">
        <v>0.2</v>
      </c>
      <c r="N303" s="502" t="inlineStr">
        <is>
          <t>/</t>
        </is>
      </c>
      <c r="O303" s="502" t="inlineStr">
        <is>
          <t>/</t>
        </is>
      </c>
      <c r="P303" s="502" t="inlineStr">
        <is>
          <t>/</t>
        </is>
      </c>
      <c r="Q303" s="502" t="inlineStr">
        <is>
          <t>/</t>
        </is>
      </c>
      <c r="R303" s="502" t="inlineStr">
        <is>
          <t>/</t>
        </is>
      </c>
      <c r="S303" s="502" t="inlineStr">
        <is>
          <t>/</t>
        </is>
      </c>
      <c r="T303" s="653" t="n"/>
      <c r="U303" s="653" t="n"/>
      <c r="V303" s="502" t="inlineStr">
        <is>
          <t>/</t>
        </is>
      </c>
      <c r="W303" s="224" t="n">
        <v>0.4</v>
      </c>
      <c r="X303" s="51" t="inlineStr">
        <is>
          <t>/</t>
        </is>
      </c>
      <c r="Y303" s="51" t="inlineStr">
        <is>
          <t>/</t>
        </is>
      </c>
      <c r="Z303" s="51" t="inlineStr">
        <is>
          <t>/</t>
        </is>
      </c>
      <c r="AA303" s="51" t="inlineStr">
        <is>
          <t>/</t>
        </is>
      </c>
      <c r="AB303" s="51" t="inlineStr">
        <is>
          <t>/</t>
        </is>
      </c>
      <c r="AC303" s="46" t="inlineStr">
        <is>
          <t>/</t>
        </is>
      </c>
      <c r="AD303" s="232" t="n"/>
      <c r="AE303" s="25" t="inlineStr">
        <is>
          <t>1、签订期间：2026.2.1-2026.7.31；
2、指标按照全年换算；</t>
        </is>
      </c>
      <c r="AF303"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4" ht="84" customFormat="1" customHeight="1" s="209">
      <c r="A304" s="219" t="n">
        <v>302</v>
      </c>
      <c r="B304" s="14" t="inlineStr">
        <is>
          <t>KQCY0292</t>
        </is>
      </c>
      <c r="C304" s="221" t="inlineStr">
        <is>
          <t>餐饮五分部</t>
        </is>
      </c>
      <c r="D304" s="221" t="inlineStr">
        <is>
          <t>CF698</t>
        </is>
      </c>
      <c r="E304" s="221" t="inlineStr">
        <is>
          <t>兰理工兰工坪校区一食堂</t>
        </is>
      </c>
      <c r="F304" s="219" t="inlineStr">
        <is>
          <t>分组作业</t>
        </is>
      </c>
      <c r="G304" s="222" t="inlineStr">
        <is>
          <t>陆琪</t>
        </is>
      </c>
      <c r="H304" s="503" t="inlineStr">
        <is>
          <t>/</t>
        </is>
      </c>
      <c r="I304" s="237" t="inlineStr">
        <is>
          <t>香肉拌饭</t>
        </is>
      </c>
      <c r="J304" s="494" t="inlineStr">
        <is>
          <t>尚晓强</t>
        </is>
      </c>
      <c r="K304" s="224" t="inlineStr">
        <is>
          <t>/</t>
        </is>
      </c>
      <c r="L304" s="651" t="n">
        <v>700000</v>
      </c>
      <c r="M304" s="113" t="n">
        <v>0.2</v>
      </c>
      <c r="N304" s="502" t="inlineStr">
        <is>
          <t>/</t>
        </is>
      </c>
      <c r="O304" s="502" t="inlineStr">
        <is>
          <t>/</t>
        </is>
      </c>
      <c r="P304" s="502" t="inlineStr">
        <is>
          <t>/</t>
        </is>
      </c>
      <c r="Q304" s="502" t="inlineStr">
        <is>
          <t>/</t>
        </is>
      </c>
      <c r="R304" s="502" t="inlineStr">
        <is>
          <t>/</t>
        </is>
      </c>
      <c r="S304" s="502" t="inlineStr">
        <is>
          <t>/</t>
        </is>
      </c>
      <c r="T304" s="653" t="n"/>
      <c r="U304" s="653" t="n"/>
      <c r="V304" s="502" t="inlineStr">
        <is>
          <t>/</t>
        </is>
      </c>
      <c r="W304" s="224" t="n">
        <v>0.4</v>
      </c>
      <c r="X304" s="51" t="inlineStr">
        <is>
          <t>/</t>
        </is>
      </c>
      <c r="Y304" s="51" t="inlineStr">
        <is>
          <t>/</t>
        </is>
      </c>
      <c r="Z304" s="51" t="inlineStr">
        <is>
          <t>/</t>
        </is>
      </c>
      <c r="AA304" s="51" t="inlineStr">
        <is>
          <t>/</t>
        </is>
      </c>
      <c r="AB304" s="51" t="inlineStr">
        <is>
          <t>/</t>
        </is>
      </c>
      <c r="AC304" s="46" t="inlineStr">
        <is>
          <t>/</t>
        </is>
      </c>
      <c r="AD304" s="232" t="n"/>
      <c r="AE304" s="25" t="inlineStr">
        <is>
          <t>1、签订期间：2026.2.1-2026.7.31；
2、指标按照全年换算；</t>
        </is>
      </c>
      <c r="AF304"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5" ht="84" customFormat="1" customHeight="1" s="209">
      <c r="A305" s="219" t="n">
        <v>303</v>
      </c>
      <c r="B305" s="14" t="inlineStr">
        <is>
          <t>KQCY0293</t>
        </is>
      </c>
      <c r="C305" s="221" t="inlineStr">
        <is>
          <t>餐饮五分部</t>
        </is>
      </c>
      <c r="D305" s="221" t="inlineStr">
        <is>
          <t>CF698</t>
        </is>
      </c>
      <c r="E305" s="221" t="inlineStr">
        <is>
          <t>兰理工兰工坪校区一食堂</t>
        </is>
      </c>
      <c r="F305" s="219" t="inlineStr">
        <is>
          <t>分组作业</t>
        </is>
      </c>
      <c r="G305" s="222" t="inlineStr">
        <is>
          <t>陆琪</t>
        </is>
      </c>
      <c r="H305" s="503" t="inlineStr">
        <is>
          <t>/</t>
        </is>
      </c>
      <c r="I305" s="237" t="inlineStr">
        <is>
          <t>面夫子包子（煎饺）</t>
        </is>
      </c>
      <c r="J305" s="494" t="inlineStr">
        <is>
          <t>景波波</t>
        </is>
      </c>
      <c r="K305" s="224" t="inlineStr">
        <is>
          <t>/</t>
        </is>
      </c>
      <c r="L305" s="651" t="n">
        <v>620000</v>
      </c>
      <c r="M305" s="113" t="n">
        <v>0.17</v>
      </c>
      <c r="N305" s="502" t="inlineStr">
        <is>
          <t>/</t>
        </is>
      </c>
      <c r="O305" s="502" t="inlineStr">
        <is>
          <t>/</t>
        </is>
      </c>
      <c r="P305" s="502" t="inlineStr">
        <is>
          <t>/</t>
        </is>
      </c>
      <c r="Q305" s="502" t="inlineStr">
        <is>
          <t>/</t>
        </is>
      </c>
      <c r="R305" s="502" t="inlineStr">
        <is>
          <t>/</t>
        </is>
      </c>
      <c r="S305" s="502" t="inlineStr">
        <is>
          <t>/</t>
        </is>
      </c>
      <c r="T305" s="653" t="n"/>
      <c r="U305" s="653" t="n"/>
      <c r="V305" s="502" t="inlineStr">
        <is>
          <t>/</t>
        </is>
      </c>
      <c r="W305" s="224" t="n">
        <v>0.4</v>
      </c>
      <c r="X305" s="51" t="inlineStr">
        <is>
          <t>/</t>
        </is>
      </c>
      <c r="Y305" s="51" t="inlineStr">
        <is>
          <t>/</t>
        </is>
      </c>
      <c r="Z305" s="51" t="inlineStr">
        <is>
          <t>/</t>
        </is>
      </c>
      <c r="AA305" s="51" t="inlineStr">
        <is>
          <t>/</t>
        </is>
      </c>
      <c r="AB305" s="51" t="inlineStr">
        <is>
          <t>/</t>
        </is>
      </c>
      <c r="AC305" s="46" t="inlineStr">
        <is>
          <t>/</t>
        </is>
      </c>
      <c r="AD305" s="232" t="n"/>
      <c r="AE305" s="25" t="inlineStr">
        <is>
          <t>1、签订期间：2026.2.1-2026.7.31；
2、指标按照全年换算；</t>
        </is>
      </c>
      <c r="AF305"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6" ht="84" customFormat="1" customHeight="1" s="209">
      <c r="A306" s="219" t="n">
        <v>304</v>
      </c>
      <c r="B306" s="14" t="inlineStr">
        <is>
          <t>KQCY0294</t>
        </is>
      </c>
      <c r="C306" s="221" t="inlineStr">
        <is>
          <t>餐饮五分部</t>
        </is>
      </c>
      <c r="D306" s="221" t="inlineStr">
        <is>
          <t>CF698</t>
        </is>
      </c>
      <c r="E306" s="221" t="inlineStr">
        <is>
          <t>兰理工兰工坪校区一食堂</t>
        </is>
      </c>
      <c r="F306" s="219" t="inlineStr">
        <is>
          <t>分组作业</t>
        </is>
      </c>
      <c r="G306" s="222" t="inlineStr">
        <is>
          <t>陆琪</t>
        </is>
      </c>
      <c r="H306" s="503" t="inlineStr">
        <is>
          <t>/</t>
        </is>
      </c>
      <c r="I306" s="237" t="inlineStr">
        <is>
          <t>面小福菜拌面</t>
        </is>
      </c>
      <c r="J306" s="494" t="inlineStr">
        <is>
          <t>蔡晓娟</t>
        </is>
      </c>
      <c r="K306" s="224" t="inlineStr">
        <is>
          <t>/</t>
        </is>
      </c>
      <c r="L306" s="651" t="n">
        <v>620000</v>
      </c>
      <c r="M306" s="113" t="n">
        <v>0.19</v>
      </c>
      <c r="N306" s="502" t="inlineStr">
        <is>
          <t>/</t>
        </is>
      </c>
      <c r="O306" s="502" t="inlineStr">
        <is>
          <t>/</t>
        </is>
      </c>
      <c r="P306" s="502" t="inlineStr">
        <is>
          <t>/</t>
        </is>
      </c>
      <c r="Q306" s="502" t="inlineStr">
        <is>
          <t>/</t>
        </is>
      </c>
      <c r="R306" s="502" t="inlineStr">
        <is>
          <t>/</t>
        </is>
      </c>
      <c r="S306" s="502" t="inlineStr">
        <is>
          <t>/</t>
        </is>
      </c>
      <c r="T306" s="653" t="n"/>
      <c r="U306" s="653" t="n"/>
      <c r="V306" s="502" t="inlineStr">
        <is>
          <t>/</t>
        </is>
      </c>
      <c r="W306" s="224" t="n">
        <v>0.4</v>
      </c>
      <c r="X306" s="51" t="inlineStr">
        <is>
          <t>/</t>
        </is>
      </c>
      <c r="Y306" s="51" t="inlineStr">
        <is>
          <t>/</t>
        </is>
      </c>
      <c r="Z306" s="51" t="inlineStr">
        <is>
          <t>/</t>
        </is>
      </c>
      <c r="AA306" s="51" t="inlineStr">
        <is>
          <t>/</t>
        </is>
      </c>
      <c r="AB306" s="51" t="inlineStr">
        <is>
          <t>/</t>
        </is>
      </c>
      <c r="AC306" s="46" t="inlineStr">
        <is>
          <t>/</t>
        </is>
      </c>
      <c r="AD306" s="232" t="n"/>
      <c r="AE306" s="25" t="inlineStr">
        <is>
          <t>1、签订期间：2026.2.1-2026.7.31；
2、指标按照全年换算；</t>
        </is>
      </c>
      <c r="AF306"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7" ht="84" customFormat="1" customHeight="1" s="209">
      <c r="A307" s="219" t="n">
        <v>305</v>
      </c>
      <c r="B307" s="14" t="inlineStr">
        <is>
          <t>KQCY0295</t>
        </is>
      </c>
      <c r="C307" s="221" t="inlineStr">
        <is>
          <t>餐饮五分部</t>
        </is>
      </c>
      <c r="D307" s="221" t="inlineStr">
        <is>
          <t>CF698</t>
        </is>
      </c>
      <c r="E307" s="221" t="inlineStr">
        <is>
          <t>兰理工兰工坪校区一食堂</t>
        </is>
      </c>
      <c r="F307" s="219" t="inlineStr">
        <is>
          <t>分组作业</t>
        </is>
      </c>
      <c r="G307" s="222" t="inlineStr">
        <is>
          <t>陆琪</t>
        </is>
      </c>
      <c r="H307" s="503" t="inlineStr">
        <is>
          <t>/</t>
        </is>
      </c>
      <c r="I307" s="237" t="inlineStr">
        <is>
          <t>饶城湘辣椒炒肉</t>
        </is>
      </c>
      <c r="J307" s="494" t="inlineStr">
        <is>
          <t>蔡晓娟</t>
        </is>
      </c>
      <c r="K307" s="224" t="inlineStr">
        <is>
          <t>/</t>
        </is>
      </c>
      <c r="L307" s="651" t="n">
        <v>640000</v>
      </c>
      <c r="M307" s="113" t="n">
        <v>0.19</v>
      </c>
      <c r="N307" s="502" t="inlineStr">
        <is>
          <t>/</t>
        </is>
      </c>
      <c r="O307" s="502" t="inlineStr">
        <is>
          <t>/</t>
        </is>
      </c>
      <c r="P307" s="502" t="inlineStr">
        <is>
          <t>/</t>
        </is>
      </c>
      <c r="Q307" s="502" t="inlineStr">
        <is>
          <t>/</t>
        </is>
      </c>
      <c r="R307" s="502" t="inlineStr">
        <is>
          <t>/</t>
        </is>
      </c>
      <c r="S307" s="502" t="inlineStr">
        <is>
          <t>/</t>
        </is>
      </c>
      <c r="T307" s="653" t="n"/>
      <c r="U307" s="653" t="n"/>
      <c r="V307" s="502" t="inlineStr">
        <is>
          <t>/</t>
        </is>
      </c>
      <c r="W307" s="224" t="n">
        <v>0.4</v>
      </c>
      <c r="X307" s="51" t="inlineStr">
        <is>
          <t>/</t>
        </is>
      </c>
      <c r="Y307" s="51" t="inlineStr">
        <is>
          <t>/</t>
        </is>
      </c>
      <c r="Z307" s="51" t="inlineStr">
        <is>
          <t>/</t>
        </is>
      </c>
      <c r="AA307" s="51" t="inlineStr">
        <is>
          <t>/</t>
        </is>
      </c>
      <c r="AB307" s="51" t="inlineStr">
        <is>
          <t>/</t>
        </is>
      </c>
      <c r="AC307" s="46" t="inlineStr">
        <is>
          <t>/</t>
        </is>
      </c>
      <c r="AD307" s="232" t="n"/>
      <c r="AE307" s="25" t="inlineStr">
        <is>
          <t>1、签订期间：2026.2.1-2026.7.31；
2、指标按照全年换算；</t>
        </is>
      </c>
      <c r="AF307"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8" ht="84" customFormat="1" customHeight="1" s="209">
      <c r="A308" s="219" t="n">
        <v>306</v>
      </c>
      <c r="B308" s="14" t="inlineStr">
        <is>
          <t>KQCY0296</t>
        </is>
      </c>
      <c r="C308" s="221" t="inlineStr">
        <is>
          <t>餐饮五分部</t>
        </is>
      </c>
      <c r="D308" s="221" t="inlineStr">
        <is>
          <t>CF698</t>
        </is>
      </c>
      <c r="E308" s="221" t="inlineStr">
        <is>
          <t>兰理工兰工坪校区一食堂</t>
        </is>
      </c>
      <c r="F308" s="219" t="inlineStr">
        <is>
          <t>分组作业</t>
        </is>
      </c>
      <c r="G308" s="222" t="inlineStr">
        <is>
          <t>陆琪</t>
        </is>
      </c>
      <c r="H308" s="503" t="inlineStr">
        <is>
          <t>/</t>
        </is>
      </c>
      <c r="I308" s="237" t="inlineStr">
        <is>
          <t>一纸鸡牛肉饭</t>
        </is>
      </c>
      <c r="J308" s="494" t="inlineStr">
        <is>
          <t>王燕</t>
        </is>
      </c>
      <c r="K308" s="224" t="inlineStr">
        <is>
          <t>/</t>
        </is>
      </c>
      <c r="L308" s="651" t="n">
        <v>560000</v>
      </c>
      <c r="M308" s="113" t="n">
        <v>0.2</v>
      </c>
      <c r="N308" s="502" t="inlineStr">
        <is>
          <t>/</t>
        </is>
      </c>
      <c r="O308" s="502" t="inlineStr">
        <is>
          <t>/</t>
        </is>
      </c>
      <c r="P308" s="502" t="inlineStr">
        <is>
          <t>/</t>
        </is>
      </c>
      <c r="Q308" s="502" t="inlineStr">
        <is>
          <t>/</t>
        </is>
      </c>
      <c r="R308" s="502" t="inlineStr">
        <is>
          <t>/</t>
        </is>
      </c>
      <c r="S308" s="502" t="inlineStr">
        <is>
          <t>/</t>
        </is>
      </c>
      <c r="T308" s="653" t="n"/>
      <c r="U308" s="653" t="n"/>
      <c r="V308" s="502" t="inlineStr">
        <is>
          <t>/</t>
        </is>
      </c>
      <c r="W308" s="224" t="n">
        <v>0.4</v>
      </c>
      <c r="X308" s="51" t="inlineStr">
        <is>
          <t>/</t>
        </is>
      </c>
      <c r="Y308" s="51" t="inlineStr">
        <is>
          <t>/</t>
        </is>
      </c>
      <c r="Z308" s="51" t="inlineStr">
        <is>
          <t>/</t>
        </is>
      </c>
      <c r="AA308" s="51" t="inlineStr">
        <is>
          <t>/</t>
        </is>
      </c>
      <c r="AB308" s="51" t="inlineStr">
        <is>
          <t>/</t>
        </is>
      </c>
      <c r="AC308" s="46" t="inlineStr">
        <is>
          <t>/</t>
        </is>
      </c>
      <c r="AD308" s="232" t="n"/>
      <c r="AE308" s="25" t="inlineStr">
        <is>
          <t>1、签订期间：2026.2.1-2026.7.31；
2、指标按照全年换算；</t>
        </is>
      </c>
      <c r="AF308"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9" ht="84" customFormat="1" customHeight="1" s="209">
      <c r="A309" s="219" t="n">
        <v>307</v>
      </c>
      <c r="B309" s="14" t="inlineStr">
        <is>
          <t>KQCY0297</t>
        </is>
      </c>
      <c r="C309" s="221" t="inlineStr">
        <is>
          <t>餐饮五分部</t>
        </is>
      </c>
      <c r="D309" s="221" t="inlineStr">
        <is>
          <t>CF698</t>
        </is>
      </c>
      <c r="E309" s="221" t="inlineStr">
        <is>
          <t>兰理工兰工坪校区一食堂</t>
        </is>
      </c>
      <c r="F309" s="219" t="inlineStr">
        <is>
          <t>分组作业</t>
        </is>
      </c>
      <c r="G309" s="222" t="inlineStr">
        <is>
          <t>陆琪</t>
        </is>
      </c>
      <c r="H309" s="503" t="inlineStr">
        <is>
          <t>/</t>
        </is>
      </c>
      <c r="I309" s="237" t="inlineStr">
        <is>
          <t>波乐宝炸鸡汉堡</t>
        </is>
      </c>
      <c r="J309" s="503" t="inlineStr">
        <is>
          <t>周小鹏</t>
        </is>
      </c>
      <c r="K309" s="224" t="inlineStr">
        <is>
          <t>/</t>
        </is>
      </c>
      <c r="L309" s="651" t="n">
        <v>360000</v>
      </c>
      <c r="M309" s="502" t="n">
        <v>120000</v>
      </c>
      <c r="N309" s="502" t="inlineStr">
        <is>
          <t>/</t>
        </is>
      </c>
      <c r="O309" s="502" t="inlineStr">
        <is>
          <t>/</t>
        </is>
      </c>
      <c r="P309" s="116" t="n">
        <v>0.045</v>
      </c>
      <c r="Q309" s="502" t="inlineStr">
        <is>
          <t>/</t>
        </is>
      </c>
      <c r="R309" s="502" t="inlineStr">
        <is>
          <t>/</t>
        </is>
      </c>
      <c r="S309" s="502" t="inlineStr">
        <is>
          <t>/</t>
        </is>
      </c>
      <c r="T309" s="662" t="inlineStr">
        <is>
          <t>/</t>
        </is>
      </c>
      <c r="U309" s="653" t="n"/>
      <c r="V309" s="502" t="inlineStr">
        <is>
          <t>/</t>
        </is>
      </c>
      <c r="W309" s="224" t="n">
        <v>0.4</v>
      </c>
      <c r="X309" s="51" t="inlineStr">
        <is>
          <t>/</t>
        </is>
      </c>
      <c r="Y309" s="51" t="inlineStr">
        <is>
          <t>/</t>
        </is>
      </c>
      <c r="Z309" s="51" t="inlineStr">
        <is>
          <t>/</t>
        </is>
      </c>
      <c r="AA309" s="51" t="inlineStr">
        <is>
          <t>/</t>
        </is>
      </c>
      <c r="AB309" s="51" t="inlineStr">
        <is>
          <t>/</t>
        </is>
      </c>
      <c r="AC309" s="46" t="inlineStr">
        <is>
          <t>/</t>
        </is>
      </c>
      <c r="AD309" s="48" t="inlineStr">
        <is>
          <t>1、服务费：12万/年
2、项目确认不收卫生费</t>
        </is>
      </c>
      <c r="AE309" s="25" t="inlineStr">
        <is>
          <t>1、签订期间：2026.2.1-2026.7.31；
2、指标按照全年换算；</t>
        </is>
      </c>
      <c r="AF309"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10" ht="84" customFormat="1" customHeight="1" s="209">
      <c r="A310" s="219" t="n">
        <v>308</v>
      </c>
      <c r="B310" s="14" t="inlineStr">
        <is>
          <t>KQCY0298</t>
        </is>
      </c>
      <c r="C310" s="221" t="inlineStr">
        <is>
          <t>餐饮五分部</t>
        </is>
      </c>
      <c r="D310" s="221" t="inlineStr">
        <is>
          <t>CF698</t>
        </is>
      </c>
      <c r="E310" s="221" t="inlineStr">
        <is>
          <t>兰理工兰工坪校区一食堂</t>
        </is>
      </c>
      <c r="F310" s="219" t="inlineStr">
        <is>
          <t>分组作业</t>
        </is>
      </c>
      <c r="G310" s="222" t="inlineStr">
        <is>
          <t>陆琪</t>
        </is>
      </c>
      <c r="H310" s="503" t="inlineStr">
        <is>
          <t>/</t>
        </is>
      </c>
      <c r="I310" s="237" t="inlineStr">
        <is>
          <t>冒菜（小火锅）</t>
        </is>
      </c>
      <c r="J310" s="494" t="inlineStr">
        <is>
          <t>马娟娟</t>
        </is>
      </c>
      <c r="K310" s="224" t="inlineStr">
        <is>
          <t>/</t>
        </is>
      </c>
      <c r="L310" s="651" t="n">
        <v>920000</v>
      </c>
      <c r="M310" s="113" t="n">
        <v>0.2</v>
      </c>
      <c r="N310" s="502" t="inlineStr">
        <is>
          <t>/</t>
        </is>
      </c>
      <c r="O310" s="502" t="inlineStr">
        <is>
          <t>/</t>
        </is>
      </c>
      <c r="P310" s="502" t="inlineStr">
        <is>
          <t>/</t>
        </is>
      </c>
      <c r="Q310" s="502" t="inlineStr">
        <is>
          <t>/</t>
        </is>
      </c>
      <c r="R310" s="502" t="inlineStr">
        <is>
          <t>/</t>
        </is>
      </c>
      <c r="S310" s="502" t="inlineStr">
        <is>
          <t>/</t>
        </is>
      </c>
      <c r="T310" s="653" t="n"/>
      <c r="U310" s="653" t="n"/>
      <c r="V310" s="502" t="inlineStr">
        <is>
          <t>/</t>
        </is>
      </c>
      <c r="W310" s="224" t="n">
        <v>0.4</v>
      </c>
      <c r="X310" s="51" t="inlineStr">
        <is>
          <t>/</t>
        </is>
      </c>
      <c r="Y310" s="51" t="inlineStr">
        <is>
          <t>/</t>
        </is>
      </c>
      <c r="Z310" s="51" t="inlineStr">
        <is>
          <t>/</t>
        </is>
      </c>
      <c r="AA310" s="51" t="inlineStr">
        <is>
          <t>/</t>
        </is>
      </c>
      <c r="AB310" s="51" t="inlineStr">
        <is>
          <t>/</t>
        </is>
      </c>
      <c r="AC310" s="46" t="inlineStr">
        <is>
          <t>/</t>
        </is>
      </c>
      <c r="AD310" s="232" t="n"/>
      <c r="AE310" s="25" t="inlineStr">
        <is>
          <t>1、签订期间：2026.2.1-2026.7.31；
2、指标按照全年换算；</t>
        </is>
      </c>
      <c r="AF310"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11" ht="84" customFormat="1" customHeight="1" s="209">
      <c r="A311" s="219" t="n">
        <v>309</v>
      </c>
      <c r="B311" s="14" t="inlineStr">
        <is>
          <t>KQCY0299</t>
        </is>
      </c>
      <c r="C311" s="221" t="inlineStr">
        <is>
          <t>餐饮五分部</t>
        </is>
      </c>
      <c r="D311" s="221" t="inlineStr">
        <is>
          <t>CF698</t>
        </is>
      </c>
      <c r="E311" s="221" t="inlineStr">
        <is>
          <t>兰理工兰工坪校区一食堂</t>
        </is>
      </c>
      <c r="F311" s="219" t="inlineStr">
        <is>
          <t>分组作业</t>
        </is>
      </c>
      <c r="G311" s="222" t="inlineStr">
        <is>
          <t>陆琪</t>
        </is>
      </c>
      <c r="H311" s="503" t="inlineStr">
        <is>
          <t>/</t>
        </is>
      </c>
      <c r="I311" s="237" t="inlineStr">
        <is>
          <t>牛肉面（炒面）</t>
        </is>
      </c>
      <c r="J311" s="494" t="inlineStr">
        <is>
          <t>马娟娟</t>
        </is>
      </c>
      <c r="K311" s="224" t="inlineStr">
        <is>
          <t>/</t>
        </is>
      </c>
      <c r="L311" s="651" t="n">
        <v>700000</v>
      </c>
      <c r="M311" s="113" t="n">
        <v>0.1</v>
      </c>
      <c r="N311" s="502" t="inlineStr">
        <is>
          <t>/</t>
        </is>
      </c>
      <c r="O311" s="502" t="inlineStr">
        <is>
          <t>/</t>
        </is>
      </c>
      <c r="P311" s="502" t="inlineStr">
        <is>
          <t>/</t>
        </is>
      </c>
      <c r="Q311" s="502" t="inlineStr">
        <is>
          <t>/</t>
        </is>
      </c>
      <c r="R311" s="502" t="inlineStr">
        <is>
          <t>/</t>
        </is>
      </c>
      <c r="S311" s="502" t="inlineStr">
        <is>
          <t>/</t>
        </is>
      </c>
      <c r="T311" s="653" t="n"/>
      <c r="U311" s="653" t="n"/>
      <c r="V311" s="502" t="inlineStr">
        <is>
          <t>/</t>
        </is>
      </c>
      <c r="W311" s="224" t="n">
        <v>0.4</v>
      </c>
      <c r="X311" s="51" t="inlineStr">
        <is>
          <t>/</t>
        </is>
      </c>
      <c r="Y311" s="51" t="inlineStr">
        <is>
          <t>/</t>
        </is>
      </c>
      <c r="Z311" s="51" t="inlineStr">
        <is>
          <t>/</t>
        </is>
      </c>
      <c r="AA311" s="51" t="inlineStr">
        <is>
          <t>/</t>
        </is>
      </c>
      <c r="AB311" s="51" t="inlineStr">
        <is>
          <t>/</t>
        </is>
      </c>
      <c r="AC311" s="46" t="inlineStr">
        <is>
          <t>/</t>
        </is>
      </c>
      <c r="AD311" s="232" t="n"/>
      <c r="AE311" s="25" t="inlineStr">
        <is>
          <t>1、签订期间：2026.2.1-2026.7.31；
2、指标按照全年换算；</t>
        </is>
      </c>
      <c r="AF311"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12" ht="84" customFormat="1" customHeight="1" s="209">
      <c r="A312" s="219" t="n">
        <v>310</v>
      </c>
      <c r="B312" s="14" t="inlineStr">
        <is>
          <t>KQCY0300</t>
        </is>
      </c>
      <c r="C312" s="221" t="inlineStr">
        <is>
          <t>餐饮五分部</t>
        </is>
      </c>
      <c r="D312" s="221" t="inlineStr">
        <is>
          <t>CF698</t>
        </is>
      </c>
      <c r="E312" s="221" t="inlineStr">
        <is>
          <t>兰理工兰工坪校区一食堂</t>
        </is>
      </c>
      <c r="F312" s="219" t="inlineStr">
        <is>
          <t>分组作业</t>
        </is>
      </c>
      <c r="G312" s="222" t="inlineStr">
        <is>
          <t>陆琪</t>
        </is>
      </c>
      <c r="H312" s="503" t="inlineStr">
        <is>
          <t>/</t>
        </is>
      </c>
      <c r="I312" s="237" t="inlineStr">
        <is>
          <t>杂粮煎饼</t>
        </is>
      </c>
      <c r="J312" s="494" t="inlineStr">
        <is>
          <t>李超</t>
        </is>
      </c>
      <c r="K312" s="224" t="inlineStr">
        <is>
          <t>/</t>
        </is>
      </c>
      <c r="L312" s="651" t="n">
        <v>230000</v>
      </c>
      <c r="M312" s="113" t="n">
        <v>0.18</v>
      </c>
      <c r="N312" s="502" t="inlineStr">
        <is>
          <t>/</t>
        </is>
      </c>
      <c r="O312" s="502" t="inlineStr">
        <is>
          <t>/</t>
        </is>
      </c>
      <c r="P312" s="502" t="inlineStr">
        <is>
          <t>/</t>
        </is>
      </c>
      <c r="Q312" s="502" t="inlineStr">
        <is>
          <t>/</t>
        </is>
      </c>
      <c r="R312" s="502" t="inlineStr">
        <is>
          <t>/</t>
        </is>
      </c>
      <c r="S312" s="502" t="inlineStr">
        <is>
          <t>/</t>
        </is>
      </c>
      <c r="T312" s="653" t="n"/>
      <c r="U312" s="653" t="n"/>
      <c r="V312" s="502" t="inlineStr">
        <is>
          <t>/</t>
        </is>
      </c>
      <c r="W312" s="224" t="n">
        <v>0.4</v>
      </c>
      <c r="X312" s="51" t="inlineStr">
        <is>
          <t>/</t>
        </is>
      </c>
      <c r="Y312" s="51" t="inlineStr">
        <is>
          <t>/</t>
        </is>
      </c>
      <c r="Z312" s="51" t="inlineStr">
        <is>
          <t>/</t>
        </is>
      </c>
      <c r="AA312" s="51" t="inlineStr">
        <is>
          <t>/</t>
        </is>
      </c>
      <c r="AB312" s="51" t="inlineStr">
        <is>
          <t>/</t>
        </is>
      </c>
      <c r="AC312" s="46" t="inlineStr">
        <is>
          <t>/</t>
        </is>
      </c>
      <c r="AD312" s="232" t="n"/>
      <c r="AE312" s="25" t="inlineStr">
        <is>
          <t>1、签订期间：2026.2.1-2026.7.31；
2、指标按照全年换算；</t>
        </is>
      </c>
      <c r="AF312"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13" ht="36" customFormat="1" customHeight="1" s="209">
      <c r="A313" s="219" t="n">
        <v>311</v>
      </c>
      <c r="B313" s="14" t="inlineStr">
        <is>
          <t>KQCY0301</t>
        </is>
      </c>
      <c r="C313" s="221" t="inlineStr">
        <is>
          <t>餐饮五分部</t>
        </is>
      </c>
      <c r="D313" s="221" t="inlineStr">
        <is>
          <t>CF698</t>
        </is>
      </c>
      <c r="E313" s="221" t="inlineStr">
        <is>
          <t>兰理工兰工坪校区一食堂</t>
        </is>
      </c>
      <c r="F313" s="219" t="inlineStr">
        <is>
          <t>分组作业</t>
        </is>
      </c>
      <c r="G313" s="222" t="inlineStr">
        <is>
          <t>陆琪</t>
        </is>
      </c>
      <c r="H313" s="503" t="inlineStr">
        <is>
          <t>/</t>
        </is>
      </c>
      <c r="I313" s="237" t="inlineStr">
        <is>
          <t>蜜雪冰城</t>
        </is>
      </c>
      <c r="J313" s="494" t="inlineStr">
        <is>
          <t>陈发全</t>
        </is>
      </c>
      <c r="K313" s="224" t="inlineStr">
        <is>
          <t>/</t>
        </is>
      </c>
      <c r="L313" s="651" t="n">
        <v>520000</v>
      </c>
      <c r="M313" s="502" t="n">
        <v>200000</v>
      </c>
      <c r="N313" s="502" t="inlineStr">
        <is>
          <t>/</t>
        </is>
      </c>
      <c r="O313" s="502" t="inlineStr">
        <is>
          <t>/</t>
        </is>
      </c>
      <c r="P313" s="502" t="inlineStr">
        <is>
          <t>/</t>
        </is>
      </c>
      <c r="Q313" s="502" t="inlineStr">
        <is>
          <t>/</t>
        </is>
      </c>
      <c r="R313" s="502" t="inlineStr">
        <is>
          <t>/</t>
        </is>
      </c>
      <c r="S313" s="502" t="inlineStr">
        <is>
          <t>/</t>
        </is>
      </c>
      <c r="T313" s="480" t="inlineStr">
        <is>
          <t>/</t>
        </is>
      </c>
      <c r="U313" s="503" t="n"/>
      <c r="V313" s="502" t="inlineStr">
        <is>
          <t>/</t>
        </is>
      </c>
      <c r="W313" s="480" t="inlineStr">
        <is>
          <t>/</t>
        </is>
      </c>
      <c r="X313" s="51" t="inlineStr">
        <is>
          <t>/</t>
        </is>
      </c>
      <c r="Y313" s="51" t="inlineStr">
        <is>
          <t>/</t>
        </is>
      </c>
      <c r="Z313" s="51" t="inlineStr">
        <is>
          <t>/</t>
        </is>
      </c>
      <c r="AA313" s="51" t="inlineStr">
        <is>
          <t>/</t>
        </is>
      </c>
      <c r="AB313" s="51" t="inlineStr">
        <is>
          <t>/</t>
        </is>
      </c>
      <c r="AC313" s="46" t="inlineStr">
        <is>
          <t>/</t>
        </is>
      </c>
      <c r="AD313" s="48" t="inlineStr">
        <is>
          <t>1、服务费：20万/年
2、项目确认不收卫生费和原材料</t>
        </is>
      </c>
      <c r="AE313" s="25" t="inlineStr">
        <is>
          <t>1、签订期间：2025.8.1-2026.7.30；
2、指标按照会议纪要全年列示金额；</t>
        </is>
      </c>
      <c r="AF313" s="232" t="inlineStr">
        <is>
          <t>1、条款：技术合作方所有人员与公司签订劳动合同，签订劳动合同的技术合作方负责人必须参加公司社保，否则不予录用；
问题：非所有分组作业人员都入职到公司，非所有负责人缴纳社保；</t>
        </is>
      </c>
    </row>
    <row r="314" ht="12" customFormat="1" customHeight="1" s="209">
      <c r="A314" s="219" t="n">
        <v>312</v>
      </c>
      <c r="B314" s="14" t="inlineStr">
        <is>
          <t>KQCY0302</t>
        </is>
      </c>
      <c r="C314" s="221" t="inlineStr">
        <is>
          <t>餐饮五分部</t>
        </is>
      </c>
      <c r="D314" s="221" t="inlineStr">
        <is>
          <t>CF102</t>
        </is>
      </c>
      <c r="E314" s="221" t="inlineStr">
        <is>
          <t>苏大东区四食堂</t>
        </is>
      </c>
      <c r="F314" s="219" t="inlineStr">
        <is>
          <t>自营</t>
        </is>
      </c>
      <c r="G314" s="222" t="inlineStr">
        <is>
          <t>卫屹</t>
        </is>
      </c>
      <c r="H314" s="503" t="inlineStr">
        <is>
          <t>/</t>
        </is>
      </c>
      <c r="I314" s="355" t="inlineStr">
        <is>
          <t>/</t>
        </is>
      </c>
      <c r="J314" s="134" t="inlineStr">
        <is>
          <t>/</t>
        </is>
      </c>
      <c r="K314" s="224" t="inlineStr">
        <is>
          <t>/</t>
        </is>
      </c>
      <c r="L314" s="651" t="inlineStr">
        <is>
          <t>/</t>
        </is>
      </c>
      <c r="M314" s="224" t="inlineStr">
        <is>
          <t>/</t>
        </is>
      </c>
      <c r="N314" s="224" t="inlineStr">
        <is>
          <t>/</t>
        </is>
      </c>
      <c r="O314" s="224" t="inlineStr">
        <is>
          <t>/</t>
        </is>
      </c>
      <c r="P314" s="224" t="inlineStr">
        <is>
          <t>/</t>
        </is>
      </c>
      <c r="Q314" s="224" t="inlineStr">
        <is>
          <t>/</t>
        </is>
      </c>
      <c r="R314" s="224" t="inlineStr">
        <is>
          <t>/</t>
        </is>
      </c>
      <c r="S314" s="224" t="inlineStr">
        <is>
          <t>/</t>
        </is>
      </c>
      <c r="T314" s="224" t="inlineStr">
        <is>
          <t>/</t>
        </is>
      </c>
      <c r="U314" s="224" t="inlineStr">
        <is>
          <t>/</t>
        </is>
      </c>
      <c r="V314" s="224" t="inlineStr">
        <is>
          <t>/</t>
        </is>
      </c>
      <c r="W314" s="151" t="n">
        <v>0.52</v>
      </c>
      <c r="X314" s="461" t="inlineStr">
        <is>
          <t>/</t>
        </is>
      </c>
      <c r="Y314" s="461" t="inlineStr">
        <is>
          <t>/</t>
        </is>
      </c>
      <c r="Z314" s="461" t="inlineStr">
        <is>
          <t>/</t>
        </is>
      </c>
      <c r="AA314" s="461" t="inlineStr">
        <is>
          <t>/</t>
        </is>
      </c>
      <c r="AB314" s="46" t="n">
        <v>0.06</v>
      </c>
      <c r="AC314" s="46" t="n">
        <v>0.005</v>
      </c>
      <c r="AD314" s="232" t="inlineStr">
        <is>
          <t>1、原材料：根据与甲方合同约定执行；</t>
        </is>
      </c>
      <c r="AE314" s="25" t="n"/>
      <c r="AF314" s="232" t="n"/>
    </row>
    <row r="315" ht="36" customFormat="1" customHeight="1" s="209">
      <c r="A315" s="219" t="n">
        <v>313</v>
      </c>
      <c r="B315" s="14" t="inlineStr">
        <is>
          <t>KQCY0303</t>
        </is>
      </c>
      <c r="C315" s="221" t="inlineStr">
        <is>
          <t>餐饮五分部</t>
        </is>
      </c>
      <c r="D315" s="221" t="inlineStr">
        <is>
          <t>CF102</t>
        </is>
      </c>
      <c r="E315" s="221" t="inlineStr">
        <is>
          <t>苏大东区四食堂</t>
        </is>
      </c>
      <c r="F315" s="219" t="inlineStr">
        <is>
          <t>分组作业</t>
        </is>
      </c>
      <c r="G315" s="222" t="inlineStr">
        <is>
          <t>卫屹</t>
        </is>
      </c>
      <c r="H315" s="503" t="inlineStr">
        <is>
          <t>/</t>
        </is>
      </c>
      <c r="I315" s="355" t="inlineStr">
        <is>
          <t>苏秦味馆</t>
        </is>
      </c>
      <c r="J315" s="494" t="inlineStr">
        <is>
          <t>胡朝阳</t>
        </is>
      </c>
      <c r="K315" s="224" t="inlineStr">
        <is>
          <t>/</t>
        </is>
      </c>
      <c r="L315" s="651" t="n">
        <v>1080000</v>
      </c>
      <c r="M315" s="224" t="n">
        <v>0.14</v>
      </c>
      <c r="N315" s="224" t="inlineStr">
        <is>
          <t>/</t>
        </is>
      </c>
      <c r="O315" s="224" t="n">
        <v>0.02</v>
      </c>
      <c r="P315" s="224" t="inlineStr">
        <is>
          <t>/</t>
        </is>
      </c>
      <c r="Q315" s="224" t="inlineStr">
        <is>
          <t>/</t>
        </is>
      </c>
      <c r="R315" s="224" t="inlineStr">
        <is>
          <t>/</t>
        </is>
      </c>
      <c r="S315" s="224" t="inlineStr">
        <is>
          <t>/</t>
        </is>
      </c>
      <c r="T315" s="224" t="n">
        <v>0.02</v>
      </c>
      <c r="U315" s="224" t="n">
        <v>0.07000000000000001</v>
      </c>
      <c r="V315" s="224" t="inlineStr">
        <is>
          <t>/</t>
        </is>
      </c>
      <c r="W315" s="224" t="n">
        <v>0.52</v>
      </c>
      <c r="X315" s="461" t="inlineStr">
        <is>
          <t>/</t>
        </is>
      </c>
      <c r="Y315" s="461" t="inlineStr">
        <is>
          <t>/</t>
        </is>
      </c>
      <c r="Z315" s="461" t="inlineStr">
        <is>
          <t>/</t>
        </is>
      </c>
      <c r="AA315" s="461" t="inlineStr">
        <is>
          <t>/</t>
        </is>
      </c>
      <c r="AB315" s="652" t="inlineStr">
        <is>
          <t>/</t>
        </is>
      </c>
      <c r="AC315" s="652" t="inlineStr">
        <is>
          <t>/</t>
        </is>
      </c>
      <c r="AD315" s="48" t="inlineStr">
        <is>
          <t xml:space="preserve">
1、管理人员费：项目反馈不收取，包含在服务费中；
</t>
        </is>
      </c>
      <c r="AE315" s="25" t="inlineStr">
        <is>
          <t>1、签订期间：2026.2.26-2026.8.25；
2、指标按照全年换算；</t>
        </is>
      </c>
      <c r="AF315" s="232" t="inlineStr">
        <is>
          <t>1、条款：技术合作方所有人员与公司签订劳动合同，签订劳动合同的技术合作方负责人必须参加公司社保，否则不予录用；
问题：非所有分组作业人员都入职到公司，非所有负责人缴纳社保；</t>
        </is>
      </c>
    </row>
    <row r="316" ht="36" customFormat="1" customHeight="1" s="209">
      <c r="A316" s="219" t="n">
        <v>314</v>
      </c>
      <c r="B316" s="14" t="inlineStr">
        <is>
          <t>KQCY0304</t>
        </is>
      </c>
      <c r="C316" s="221" t="inlineStr">
        <is>
          <t>餐饮五分部</t>
        </is>
      </c>
      <c r="D316" s="221" t="inlineStr">
        <is>
          <t>CF102</t>
        </is>
      </c>
      <c r="E316" s="221" t="inlineStr">
        <is>
          <t>苏大东区四食堂</t>
        </is>
      </c>
      <c r="F316" s="219" t="inlineStr">
        <is>
          <t>分组作业</t>
        </is>
      </c>
      <c r="G316" s="222" t="inlineStr">
        <is>
          <t>卫屹</t>
        </is>
      </c>
      <c r="H316" s="503" t="inlineStr">
        <is>
          <t>/</t>
        </is>
      </c>
      <c r="I316" s="355" t="inlineStr">
        <is>
          <t>麻辣香锅</t>
        </is>
      </c>
      <c r="J316" s="134" t="inlineStr">
        <is>
          <t>祁从忙</t>
        </is>
      </c>
      <c r="K316" s="224" t="inlineStr">
        <is>
          <t>/</t>
        </is>
      </c>
      <c r="L316" s="651" t="n">
        <v>800000</v>
      </c>
      <c r="M316" s="224" t="n">
        <v>0.15</v>
      </c>
      <c r="N316" s="224" t="inlineStr">
        <is>
          <t>/</t>
        </is>
      </c>
      <c r="O316" s="224" t="n">
        <v>0.02</v>
      </c>
      <c r="P316" s="224" t="inlineStr">
        <is>
          <t>/</t>
        </is>
      </c>
      <c r="Q316" s="224" t="inlineStr">
        <is>
          <t>/</t>
        </is>
      </c>
      <c r="R316" s="224" t="inlineStr">
        <is>
          <t>/</t>
        </is>
      </c>
      <c r="S316" s="224" t="inlineStr">
        <is>
          <t>/</t>
        </is>
      </c>
      <c r="T316" s="224" t="n">
        <v>0.02</v>
      </c>
      <c r="U316" s="224" t="n">
        <v>0.07000000000000001</v>
      </c>
      <c r="V316" s="224" t="inlineStr">
        <is>
          <t>/</t>
        </is>
      </c>
      <c r="W316" s="224" t="n">
        <v>0.3</v>
      </c>
      <c r="X316" s="461" t="inlineStr">
        <is>
          <t>/</t>
        </is>
      </c>
      <c r="Y316" s="461" t="inlineStr">
        <is>
          <t>/</t>
        </is>
      </c>
      <c r="Z316" s="461" t="inlineStr">
        <is>
          <t>/</t>
        </is>
      </c>
      <c r="AA316" s="461" t="inlineStr">
        <is>
          <t>/</t>
        </is>
      </c>
      <c r="AB316" s="652" t="inlineStr">
        <is>
          <t>/</t>
        </is>
      </c>
      <c r="AC316" s="652" t="inlineStr">
        <is>
          <t>/</t>
        </is>
      </c>
      <c r="AD316" s="48" t="inlineStr">
        <is>
          <t xml:space="preserve">
1、管理人员费：项目反馈不收取，包含在服务费中；
</t>
        </is>
      </c>
      <c r="AE316" s="25" t="inlineStr">
        <is>
          <t>1、签订期间：2026.2.26-2026.8.25；
2、指标按照全年换算；</t>
        </is>
      </c>
      <c r="AF316" s="206" t="n"/>
    </row>
    <row r="317" ht="36" customFormat="1" customHeight="1" s="209">
      <c r="A317" s="219" t="n">
        <v>315</v>
      </c>
      <c r="B317" s="14" t="inlineStr">
        <is>
          <t>KQCY0305</t>
        </is>
      </c>
      <c r="C317" s="221" t="inlineStr">
        <is>
          <t>餐饮五分部</t>
        </is>
      </c>
      <c r="D317" s="221" t="inlineStr">
        <is>
          <t>CF102</t>
        </is>
      </c>
      <c r="E317" s="221" t="inlineStr">
        <is>
          <t>苏大东区四食堂</t>
        </is>
      </c>
      <c r="F317" s="219" t="inlineStr">
        <is>
          <t>分组作业</t>
        </is>
      </c>
      <c r="G317" s="222" t="inlineStr">
        <is>
          <t>卫屹</t>
        </is>
      </c>
      <c r="H317" s="503" t="inlineStr">
        <is>
          <t>/</t>
        </is>
      </c>
      <c r="I317" s="355" t="inlineStr">
        <is>
          <t>奉天朱家小馆</t>
        </is>
      </c>
      <c r="J317" s="134" t="inlineStr">
        <is>
          <t>闫闪闪</t>
        </is>
      </c>
      <c r="K317" s="224" t="inlineStr">
        <is>
          <t>/</t>
        </is>
      </c>
      <c r="L317" s="651" t="n">
        <v>800000</v>
      </c>
      <c r="M317" s="224" t="n">
        <v>0.15</v>
      </c>
      <c r="N317" s="224" t="inlineStr">
        <is>
          <t>/</t>
        </is>
      </c>
      <c r="O317" s="224" t="n">
        <v>0.02</v>
      </c>
      <c r="P317" s="224" t="inlineStr">
        <is>
          <t>/</t>
        </is>
      </c>
      <c r="Q317" s="224" t="inlineStr">
        <is>
          <t>/</t>
        </is>
      </c>
      <c r="R317" s="224" t="inlineStr">
        <is>
          <t>/</t>
        </is>
      </c>
      <c r="S317" s="224" t="inlineStr">
        <is>
          <t>/</t>
        </is>
      </c>
      <c r="T317" s="224" t="n">
        <v>0.02</v>
      </c>
      <c r="U317" s="224" t="n">
        <v>0.07000000000000001</v>
      </c>
      <c r="V317" s="224" t="inlineStr">
        <is>
          <t>/</t>
        </is>
      </c>
      <c r="W317" s="224" t="n">
        <v>0.3</v>
      </c>
      <c r="X317" s="461" t="inlineStr">
        <is>
          <t>/</t>
        </is>
      </c>
      <c r="Y317" s="461" t="inlineStr">
        <is>
          <t>/</t>
        </is>
      </c>
      <c r="Z317" s="461" t="inlineStr">
        <is>
          <t>/</t>
        </is>
      </c>
      <c r="AA317" s="461" t="inlineStr">
        <is>
          <t>/</t>
        </is>
      </c>
      <c r="AB317" s="652" t="inlineStr">
        <is>
          <t>/</t>
        </is>
      </c>
      <c r="AC317" s="652" t="inlineStr">
        <is>
          <t>/</t>
        </is>
      </c>
      <c r="AD317" s="48" t="inlineStr">
        <is>
          <t xml:space="preserve">
1、管理人员费：项目反馈不收取，包含在服务费中；
</t>
        </is>
      </c>
      <c r="AE317" s="25" t="inlineStr">
        <is>
          <t>1、签订期间：2026.2.26-2026.8.25；
2、指标按照全年换算；</t>
        </is>
      </c>
      <c r="AF317" s="206" t="n"/>
    </row>
    <row r="318" ht="36" customFormat="1" customHeight="1" s="209">
      <c r="A318" s="219" t="n">
        <v>316</v>
      </c>
      <c r="B318" s="14" t="inlineStr">
        <is>
          <t>KQCY0306</t>
        </is>
      </c>
      <c r="C318" s="221" t="inlineStr">
        <is>
          <t>餐饮五分部</t>
        </is>
      </c>
      <c r="D318" s="221" t="inlineStr">
        <is>
          <t>CF102</t>
        </is>
      </c>
      <c r="E318" s="221" t="inlineStr">
        <is>
          <t>苏大东区四食堂</t>
        </is>
      </c>
      <c r="F318" s="219" t="inlineStr">
        <is>
          <t>分组作业</t>
        </is>
      </c>
      <c r="G318" s="222" t="inlineStr">
        <is>
          <t>卫屹</t>
        </is>
      </c>
      <c r="H318" s="503" t="inlineStr">
        <is>
          <t>/</t>
        </is>
      </c>
      <c r="I318" s="355" t="inlineStr">
        <is>
          <t>李左奚香港肥汁米线</t>
        </is>
      </c>
      <c r="J318" s="134" t="inlineStr">
        <is>
          <t>杨伟明</t>
        </is>
      </c>
      <c r="K318" s="224" t="inlineStr">
        <is>
          <t>/</t>
        </is>
      </c>
      <c r="L318" s="651" t="n">
        <v>560000</v>
      </c>
      <c r="M318" s="224" t="n">
        <v>0.15</v>
      </c>
      <c r="N318" s="224" t="inlineStr">
        <is>
          <t>/</t>
        </is>
      </c>
      <c r="O318" s="224" t="n">
        <v>0.02</v>
      </c>
      <c r="P318" s="224" t="inlineStr">
        <is>
          <t>/</t>
        </is>
      </c>
      <c r="Q318" s="224" t="inlineStr">
        <is>
          <t>/</t>
        </is>
      </c>
      <c r="R318" s="224" t="inlineStr">
        <is>
          <t>/</t>
        </is>
      </c>
      <c r="S318" s="224" t="inlineStr">
        <is>
          <t>/</t>
        </is>
      </c>
      <c r="T318" s="224" t="n">
        <v>0.02</v>
      </c>
      <c r="U318" s="224" t="n">
        <v>0.07000000000000001</v>
      </c>
      <c r="V318" s="224" t="inlineStr">
        <is>
          <t>/</t>
        </is>
      </c>
      <c r="W318" s="224" t="n">
        <v>0.3</v>
      </c>
      <c r="X318" s="461" t="inlineStr">
        <is>
          <t>/</t>
        </is>
      </c>
      <c r="Y318" s="461" t="inlineStr">
        <is>
          <t>/</t>
        </is>
      </c>
      <c r="Z318" s="461" t="inlineStr">
        <is>
          <t>/</t>
        </is>
      </c>
      <c r="AA318" s="461" t="inlineStr">
        <is>
          <t>/</t>
        </is>
      </c>
      <c r="AB318" s="652" t="inlineStr">
        <is>
          <t>/</t>
        </is>
      </c>
      <c r="AC318" s="652" t="inlineStr">
        <is>
          <t>/</t>
        </is>
      </c>
      <c r="AD318" s="48" t="inlineStr">
        <is>
          <t xml:space="preserve">
1、管理人员费：项目反馈不收取，包含在服务费中；
</t>
        </is>
      </c>
      <c r="AE318" s="25" t="inlineStr">
        <is>
          <t>1、签订期间：2026.2.26-2026.8.25；
2、指标按照全年换算；</t>
        </is>
      </c>
      <c r="AF318" s="206" t="n"/>
    </row>
    <row r="319" ht="36" customFormat="1" customHeight="1" s="209">
      <c r="A319" s="219" t="n">
        <v>317</v>
      </c>
      <c r="B319" s="14" t="inlineStr">
        <is>
          <t>KQCY0307</t>
        </is>
      </c>
      <c r="C319" s="221" t="inlineStr">
        <is>
          <t>餐饮五分部</t>
        </is>
      </c>
      <c r="D319" s="221" t="inlineStr">
        <is>
          <t>CF102</t>
        </is>
      </c>
      <c r="E319" s="221" t="inlineStr">
        <is>
          <t>苏大东区四食堂</t>
        </is>
      </c>
      <c r="F319" s="219" t="inlineStr">
        <is>
          <t>分组作业</t>
        </is>
      </c>
      <c r="G319" s="222" t="inlineStr">
        <is>
          <t>卫屹</t>
        </is>
      </c>
      <c r="H319" s="503" t="inlineStr">
        <is>
          <t>/</t>
        </is>
      </c>
      <c r="I319" s="355" t="inlineStr">
        <is>
          <t>好粥道(卤味套餐饭)</t>
        </is>
      </c>
      <c r="J319" s="134" t="inlineStr">
        <is>
          <t>朱德国</t>
        </is>
      </c>
      <c r="K319" s="224" t="inlineStr">
        <is>
          <t>/</t>
        </is>
      </c>
      <c r="L319" s="651" t="n">
        <v>2760000</v>
      </c>
      <c r="M319" s="224" t="n">
        <v>0.15</v>
      </c>
      <c r="N319" s="224" t="inlineStr">
        <is>
          <t>/</t>
        </is>
      </c>
      <c r="O319" s="224" t="n">
        <v>0.02</v>
      </c>
      <c r="P319" s="224" t="inlineStr">
        <is>
          <t>/</t>
        </is>
      </c>
      <c r="Q319" s="224" t="inlineStr">
        <is>
          <t>/</t>
        </is>
      </c>
      <c r="R319" s="224" t="inlineStr">
        <is>
          <t>/</t>
        </is>
      </c>
      <c r="S319" s="224" t="inlineStr">
        <is>
          <t>/</t>
        </is>
      </c>
      <c r="T319" s="224" t="n">
        <v>0.02</v>
      </c>
      <c r="U319" s="224" t="n">
        <v>0.07000000000000001</v>
      </c>
      <c r="V319" s="224" t="inlineStr">
        <is>
          <t>/</t>
        </is>
      </c>
      <c r="W319" s="224" t="n">
        <v>0.3</v>
      </c>
      <c r="X319" s="461" t="inlineStr">
        <is>
          <t>/</t>
        </is>
      </c>
      <c r="Y319" s="461" t="inlineStr">
        <is>
          <t>/</t>
        </is>
      </c>
      <c r="Z319" s="461" t="inlineStr">
        <is>
          <t>/</t>
        </is>
      </c>
      <c r="AA319" s="461" t="inlineStr">
        <is>
          <t>/</t>
        </is>
      </c>
      <c r="AB319" s="652" t="inlineStr">
        <is>
          <t>/</t>
        </is>
      </c>
      <c r="AC319" s="652" t="inlineStr">
        <is>
          <t>/</t>
        </is>
      </c>
      <c r="AD319" s="48" t="inlineStr">
        <is>
          <t xml:space="preserve">
1、管理人员费：项目反馈不收取，包含在服务费中；
</t>
        </is>
      </c>
      <c r="AE319" s="25" t="inlineStr">
        <is>
          <t>1、签订期间：2026.2.26-2026.8.25；
2、指标按照全年换算；</t>
        </is>
      </c>
      <c r="AF319" s="206" t="n"/>
    </row>
    <row r="320" ht="36" customFormat="1" customHeight="1" s="209">
      <c r="A320" s="219" t="n">
        <v>318</v>
      </c>
      <c r="B320" s="14" t="inlineStr">
        <is>
          <t>KQCY0308</t>
        </is>
      </c>
      <c r="C320" s="221" t="inlineStr">
        <is>
          <t>餐饮五分部</t>
        </is>
      </c>
      <c r="D320" s="221" t="inlineStr">
        <is>
          <t>CF102</t>
        </is>
      </c>
      <c r="E320" s="221" t="inlineStr">
        <is>
          <t>苏大东区四食堂</t>
        </is>
      </c>
      <c r="F320" s="219" t="inlineStr">
        <is>
          <t>分组作业</t>
        </is>
      </c>
      <c r="G320" s="222" t="inlineStr">
        <is>
          <t>卫屹</t>
        </is>
      </c>
      <c r="H320" s="503" t="inlineStr">
        <is>
          <t>/</t>
        </is>
      </c>
      <c r="I320" s="355" t="inlineStr">
        <is>
          <t>炒饭.炖罐</t>
        </is>
      </c>
      <c r="J320" s="134" t="inlineStr">
        <is>
          <t>朱少谦</t>
        </is>
      </c>
      <c r="K320" s="224" t="inlineStr">
        <is>
          <t>/</t>
        </is>
      </c>
      <c r="L320" s="651" t="n">
        <v>580000</v>
      </c>
      <c r="M320" s="224" t="n">
        <v>0.15</v>
      </c>
      <c r="N320" s="224" t="inlineStr">
        <is>
          <t>/</t>
        </is>
      </c>
      <c r="O320" s="224" t="n">
        <v>0.02</v>
      </c>
      <c r="P320" s="224" t="inlineStr">
        <is>
          <t>/</t>
        </is>
      </c>
      <c r="Q320" s="224" t="inlineStr">
        <is>
          <t>/</t>
        </is>
      </c>
      <c r="R320" s="224" t="inlineStr">
        <is>
          <t>/</t>
        </is>
      </c>
      <c r="S320" s="224" t="inlineStr">
        <is>
          <t>/</t>
        </is>
      </c>
      <c r="T320" s="224" t="n">
        <v>0.02</v>
      </c>
      <c r="U320" s="224" t="n">
        <v>0.07000000000000001</v>
      </c>
      <c r="V320" s="224" t="inlineStr">
        <is>
          <t>/</t>
        </is>
      </c>
      <c r="W320" s="224" t="n">
        <v>0.3</v>
      </c>
      <c r="X320" s="461" t="inlineStr">
        <is>
          <t>/</t>
        </is>
      </c>
      <c r="Y320" s="461" t="inlineStr">
        <is>
          <t>/</t>
        </is>
      </c>
      <c r="Z320" s="461" t="inlineStr">
        <is>
          <t>/</t>
        </is>
      </c>
      <c r="AA320" s="461" t="inlineStr">
        <is>
          <t>/</t>
        </is>
      </c>
      <c r="AB320" s="652" t="inlineStr">
        <is>
          <t>/</t>
        </is>
      </c>
      <c r="AC320" s="652" t="inlineStr">
        <is>
          <t>/</t>
        </is>
      </c>
      <c r="AD320" s="48" t="inlineStr">
        <is>
          <t xml:space="preserve">
1、管理人员费：项目反馈不收取，包含在服务费中；
</t>
        </is>
      </c>
      <c r="AE320" s="25" t="inlineStr">
        <is>
          <t>1、签订期间：2026.2.26-2026.8.25；
2、指标按照全年换算；</t>
        </is>
      </c>
      <c r="AF320" s="206" t="n"/>
    </row>
    <row r="321" ht="36" customFormat="1" customHeight="1" s="209">
      <c r="A321" s="219" t="n">
        <v>319</v>
      </c>
      <c r="B321" s="14" t="inlineStr">
        <is>
          <t>KQCY0309</t>
        </is>
      </c>
      <c r="C321" s="221" t="inlineStr">
        <is>
          <t>餐饮五分部</t>
        </is>
      </c>
      <c r="D321" s="221" t="inlineStr">
        <is>
          <t>CF102</t>
        </is>
      </c>
      <c r="E321" s="221" t="inlineStr">
        <is>
          <t>苏大东区四食堂</t>
        </is>
      </c>
      <c r="F321" s="219" t="inlineStr">
        <is>
          <t>分组作业</t>
        </is>
      </c>
      <c r="G321" s="222" t="inlineStr">
        <is>
          <t>卫屹</t>
        </is>
      </c>
      <c r="H321" s="503" t="inlineStr">
        <is>
          <t>/</t>
        </is>
      </c>
      <c r="I321" s="355" t="inlineStr">
        <is>
          <t>七里糖</t>
        </is>
      </c>
      <c r="J321" s="134" t="inlineStr">
        <is>
          <t>任浩龙</t>
        </is>
      </c>
      <c r="K321" s="224" t="inlineStr">
        <is>
          <t>/</t>
        </is>
      </c>
      <c r="L321" s="651" t="n">
        <v>640000</v>
      </c>
      <c r="M321" s="224" t="n">
        <v>0.12</v>
      </c>
      <c r="N321" s="224" t="inlineStr">
        <is>
          <t>/</t>
        </is>
      </c>
      <c r="O321" s="224" t="n">
        <v>0.02</v>
      </c>
      <c r="P321" s="224" t="inlineStr">
        <is>
          <t>/</t>
        </is>
      </c>
      <c r="Q321" s="224" t="inlineStr">
        <is>
          <t>/</t>
        </is>
      </c>
      <c r="R321" s="224" t="inlineStr">
        <is>
          <t>/</t>
        </is>
      </c>
      <c r="S321" s="224" t="inlineStr">
        <is>
          <t>/</t>
        </is>
      </c>
      <c r="T321" s="224" t="n">
        <v>0.02</v>
      </c>
      <c r="U321" s="224" t="n">
        <v>0.07000000000000001</v>
      </c>
      <c r="V321" s="224" t="inlineStr">
        <is>
          <t>/</t>
        </is>
      </c>
      <c r="W321" s="224" t="n">
        <v>0.3</v>
      </c>
      <c r="X321" s="461" t="inlineStr">
        <is>
          <t>/</t>
        </is>
      </c>
      <c r="Y321" s="461" t="inlineStr">
        <is>
          <t>/</t>
        </is>
      </c>
      <c r="Z321" s="461" t="inlineStr">
        <is>
          <t>/</t>
        </is>
      </c>
      <c r="AA321" s="461" t="inlineStr">
        <is>
          <t>/</t>
        </is>
      </c>
      <c r="AB321" s="652" t="inlineStr">
        <is>
          <t>/</t>
        </is>
      </c>
      <c r="AC321" s="652" t="inlineStr">
        <is>
          <t>/</t>
        </is>
      </c>
      <c r="AD321" s="48" t="inlineStr">
        <is>
          <t xml:space="preserve">
1、管理人员费：项目反馈不收取，包含在服务费中；
</t>
        </is>
      </c>
      <c r="AE321" s="25" t="inlineStr">
        <is>
          <t>1、签订期间：2026.2.26-2026.8.25；
2、指标按照全年换算；</t>
        </is>
      </c>
      <c r="AF321" s="232" t="inlineStr">
        <is>
          <t>1、条款：技术合作方严格按照所报备的原料比例执行，具体如下:30%营业额，月度结算时若未达到所报比例，按以上比例结算。
问题：目前未按约定执行；</t>
        </is>
      </c>
    </row>
    <row r="322" ht="36" customFormat="1" customHeight="1" s="209">
      <c r="A322" s="219" t="n">
        <v>320</v>
      </c>
      <c r="B322" s="14" t="inlineStr">
        <is>
          <t>KQCY0310</t>
        </is>
      </c>
      <c r="C322" s="221" t="inlineStr">
        <is>
          <t>餐饮五分部</t>
        </is>
      </c>
      <c r="D322" s="221" t="inlineStr">
        <is>
          <t>CF102</t>
        </is>
      </c>
      <c r="E322" s="221" t="inlineStr">
        <is>
          <t>苏大东区四食堂</t>
        </is>
      </c>
      <c r="F322" s="219" t="inlineStr">
        <is>
          <t>分组作业</t>
        </is>
      </c>
      <c r="G322" s="222" t="inlineStr">
        <is>
          <t>卫屹</t>
        </is>
      </c>
      <c r="H322" s="503" t="inlineStr">
        <is>
          <t>/</t>
        </is>
      </c>
      <c r="I322" s="355" t="inlineStr">
        <is>
          <t>港式云吞</t>
        </is>
      </c>
      <c r="J322" s="134" t="inlineStr">
        <is>
          <t>杨华建</t>
        </is>
      </c>
      <c r="K322" s="224" t="inlineStr">
        <is>
          <t>/</t>
        </is>
      </c>
      <c r="L322" s="651" t="n">
        <v>300000</v>
      </c>
      <c r="M322" s="224" t="n">
        <v>0.1</v>
      </c>
      <c r="N322" s="224" t="inlineStr">
        <is>
          <t>/</t>
        </is>
      </c>
      <c r="O322" s="224" t="n">
        <v>0.02</v>
      </c>
      <c r="P322" s="224" t="inlineStr">
        <is>
          <t>/</t>
        </is>
      </c>
      <c r="Q322" s="224" t="inlineStr">
        <is>
          <t>/</t>
        </is>
      </c>
      <c r="R322" s="224" t="inlineStr">
        <is>
          <t>/</t>
        </is>
      </c>
      <c r="S322" s="224" t="inlineStr">
        <is>
          <t>/</t>
        </is>
      </c>
      <c r="T322" s="224" t="n">
        <v>0.02</v>
      </c>
      <c r="U322" s="224" t="n">
        <v>0.07000000000000001</v>
      </c>
      <c r="V322" s="224" t="inlineStr">
        <is>
          <t>/</t>
        </is>
      </c>
      <c r="W322" s="224" t="n">
        <v>0.3</v>
      </c>
      <c r="X322" s="461" t="inlineStr">
        <is>
          <t>/</t>
        </is>
      </c>
      <c r="Y322" s="461" t="inlineStr">
        <is>
          <t>/</t>
        </is>
      </c>
      <c r="Z322" s="461" t="inlineStr">
        <is>
          <t>/</t>
        </is>
      </c>
      <c r="AA322" s="461" t="inlineStr">
        <is>
          <t>/</t>
        </is>
      </c>
      <c r="AB322" s="652" t="inlineStr">
        <is>
          <t>/</t>
        </is>
      </c>
      <c r="AC322" s="652" t="inlineStr">
        <is>
          <t>/</t>
        </is>
      </c>
      <c r="AD322" s="48" t="inlineStr">
        <is>
          <t xml:space="preserve">
1、管理人员费：项目反馈不收取，包含在服务费中；
</t>
        </is>
      </c>
      <c r="AE322" s="25" t="inlineStr">
        <is>
          <t>1、签订期间：2026.2.26-2026.8.25；
2、指标按照全年换算；</t>
        </is>
      </c>
      <c r="AF322" s="206" t="n"/>
    </row>
    <row r="323" ht="36" customFormat="1" customHeight="1" s="209">
      <c r="A323" s="219" t="n">
        <v>321</v>
      </c>
      <c r="B323" s="14" t="inlineStr">
        <is>
          <t>KQCY0311</t>
        </is>
      </c>
      <c r="C323" s="221" t="inlineStr">
        <is>
          <t>餐饮五分部</t>
        </is>
      </c>
      <c r="D323" s="221" t="inlineStr">
        <is>
          <t>CF102</t>
        </is>
      </c>
      <c r="E323" s="221" t="inlineStr">
        <is>
          <t>苏大东区四食堂</t>
        </is>
      </c>
      <c r="F323" s="219" t="inlineStr">
        <is>
          <t>分组作业</t>
        </is>
      </c>
      <c r="G323" s="222" t="inlineStr">
        <is>
          <t>卫屹</t>
        </is>
      </c>
      <c r="H323" s="503" t="inlineStr">
        <is>
          <t>/</t>
        </is>
      </c>
      <c r="I323" s="355" t="inlineStr">
        <is>
          <t>烤肉拌饭</t>
        </is>
      </c>
      <c r="J323" s="134" t="inlineStr">
        <is>
          <t>李红利</t>
        </is>
      </c>
      <c r="K323" s="224" t="inlineStr">
        <is>
          <t>/</t>
        </is>
      </c>
      <c r="L323" s="651" t="n">
        <v>640000</v>
      </c>
      <c r="M323" s="224" t="n">
        <v>0.09</v>
      </c>
      <c r="N323" s="224" t="inlineStr">
        <is>
          <t>/</t>
        </is>
      </c>
      <c r="O323" s="224" t="n">
        <v>0.02</v>
      </c>
      <c r="P323" s="224" t="inlineStr">
        <is>
          <t>/</t>
        </is>
      </c>
      <c r="Q323" s="224" t="inlineStr">
        <is>
          <t>/</t>
        </is>
      </c>
      <c r="R323" s="224" t="inlineStr">
        <is>
          <t>/</t>
        </is>
      </c>
      <c r="S323" s="224" t="inlineStr">
        <is>
          <t>/</t>
        </is>
      </c>
      <c r="T323" s="224" t="n">
        <v>0.02</v>
      </c>
      <c r="U323" s="224" t="n">
        <v>0.07000000000000001</v>
      </c>
      <c r="V323" s="224" t="inlineStr">
        <is>
          <t>/</t>
        </is>
      </c>
      <c r="W323" s="224" t="n">
        <v>0.3</v>
      </c>
      <c r="X323" s="461" t="inlineStr">
        <is>
          <t>/</t>
        </is>
      </c>
      <c r="Y323" s="461" t="inlineStr">
        <is>
          <t>/</t>
        </is>
      </c>
      <c r="Z323" s="461" t="inlineStr">
        <is>
          <t>/</t>
        </is>
      </c>
      <c r="AA323" s="461" t="inlineStr">
        <is>
          <t>/</t>
        </is>
      </c>
      <c r="AB323" s="652" t="inlineStr">
        <is>
          <t>/</t>
        </is>
      </c>
      <c r="AC323" s="652" t="inlineStr">
        <is>
          <t>/</t>
        </is>
      </c>
      <c r="AD323" s="48" t="inlineStr">
        <is>
          <t xml:space="preserve">
1、管理人员费：项目反馈不收取，包含在服务费中；
</t>
        </is>
      </c>
      <c r="AE323" s="25" t="inlineStr">
        <is>
          <t>1、签订期间：2026.2.26-2026.8.25；
2、指标按照全年换算；</t>
        </is>
      </c>
      <c r="AF323" s="206" t="n"/>
    </row>
    <row r="324" ht="12" customFormat="1" customHeight="1" s="209">
      <c r="A324" s="219" t="n">
        <v>322</v>
      </c>
      <c r="B324" s="14" t="inlineStr">
        <is>
          <t>KQCY0312</t>
        </is>
      </c>
      <c r="C324" s="221" t="inlineStr">
        <is>
          <t>餐饮五分部</t>
        </is>
      </c>
      <c r="D324" s="221" t="inlineStr">
        <is>
          <t>CF108</t>
        </is>
      </c>
      <c r="E324" s="221" t="inlineStr">
        <is>
          <t>苏大北区六食堂</t>
        </is>
      </c>
      <c r="F324" s="219" t="inlineStr">
        <is>
          <t>自营</t>
        </is>
      </c>
      <c r="G324" s="222" t="inlineStr">
        <is>
          <t>卫屹</t>
        </is>
      </c>
      <c r="H324" s="503" t="inlineStr">
        <is>
          <t>/</t>
        </is>
      </c>
      <c r="I324" s="355" t="inlineStr">
        <is>
          <t>/</t>
        </is>
      </c>
      <c r="J324" s="222" t="inlineStr">
        <is>
          <t>/</t>
        </is>
      </c>
      <c r="K324" s="224" t="inlineStr">
        <is>
          <t>/</t>
        </is>
      </c>
      <c r="L324" s="651" t="inlineStr">
        <is>
          <t>/</t>
        </is>
      </c>
      <c r="M324" s="224" t="inlineStr">
        <is>
          <t>/</t>
        </is>
      </c>
      <c r="N324" s="224" t="inlineStr">
        <is>
          <t>/</t>
        </is>
      </c>
      <c r="O324" s="224" t="inlineStr">
        <is>
          <t>/</t>
        </is>
      </c>
      <c r="P324" s="224" t="inlineStr">
        <is>
          <t>/</t>
        </is>
      </c>
      <c r="Q324" s="224" t="inlineStr">
        <is>
          <t>/</t>
        </is>
      </c>
      <c r="R324" s="224" t="inlineStr">
        <is>
          <t>/</t>
        </is>
      </c>
      <c r="S324" s="224" t="inlineStr">
        <is>
          <t>/</t>
        </is>
      </c>
      <c r="T324" s="224" t="inlineStr">
        <is>
          <t>/</t>
        </is>
      </c>
      <c r="U324" s="224" t="inlineStr">
        <is>
          <t>/</t>
        </is>
      </c>
      <c r="V324" s="224" t="inlineStr">
        <is>
          <t>/</t>
        </is>
      </c>
      <c r="W324" s="47" t="n">
        <v>0.52</v>
      </c>
      <c r="X324" s="461" t="inlineStr">
        <is>
          <t>/</t>
        </is>
      </c>
      <c r="Y324" s="461" t="inlineStr">
        <is>
          <t>/</t>
        </is>
      </c>
      <c r="Z324" s="461" t="inlineStr">
        <is>
          <t>/</t>
        </is>
      </c>
      <c r="AA324" s="461" t="inlineStr">
        <is>
          <t>/</t>
        </is>
      </c>
      <c r="AB324" s="46" t="n">
        <v>0.06</v>
      </c>
      <c r="AC324" s="46" t="n">
        <v>0.005</v>
      </c>
      <c r="AD324" s="232" t="inlineStr">
        <is>
          <t>1、原材料：根据与甲方合同约定执行；</t>
        </is>
      </c>
      <c r="AE324" s="25" t="n"/>
      <c r="AF324" s="232" t="n"/>
    </row>
    <row r="325" ht="36" customFormat="1" customHeight="1" s="209">
      <c r="A325" s="219" t="n">
        <v>323</v>
      </c>
      <c r="B325" s="14" t="inlineStr">
        <is>
          <t>KQCY0313</t>
        </is>
      </c>
      <c r="C325" s="221" t="inlineStr">
        <is>
          <t>餐饮五分部</t>
        </is>
      </c>
      <c r="D325" s="221" t="inlineStr">
        <is>
          <t>CF108</t>
        </is>
      </c>
      <c r="E325" s="221" t="inlineStr">
        <is>
          <t>苏大北区六食堂</t>
        </is>
      </c>
      <c r="F325" s="219" t="inlineStr">
        <is>
          <t>分组作业</t>
        </is>
      </c>
      <c r="G325" s="222" t="inlineStr">
        <is>
          <t>卫屹</t>
        </is>
      </c>
      <c r="H325" s="503" t="inlineStr">
        <is>
          <t>/</t>
        </is>
      </c>
      <c r="I325" s="355" t="inlineStr">
        <is>
          <t>快餐</t>
        </is>
      </c>
      <c r="J325" s="222" t="inlineStr">
        <is>
          <t>刘立强</t>
        </is>
      </c>
      <c r="K325" s="224" t="inlineStr">
        <is>
          <t>/</t>
        </is>
      </c>
      <c r="L325" s="651" t="n">
        <v>1940000</v>
      </c>
      <c r="M325" s="224" t="n">
        <v>0.11</v>
      </c>
      <c r="N325" s="224" t="n">
        <v>0.01</v>
      </c>
      <c r="O325" s="224" t="inlineStr">
        <is>
          <t>/</t>
        </is>
      </c>
      <c r="P325" s="224" t="n">
        <v>0.01</v>
      </c>
      <c r="Q325" s="224" t="n">
        <v>0.01</v>
      </c>
      <c r="R325" s="224" t="inlineStr">
        <is>
          <t>/</t>
        </is>
      </c>
      <c r="S325" s="224" t="inlineStr">
        <is>
          <t>/</t>
        </is>
      </c>
      <c r="T325" s="503" t="n">
        <v>1000</v>
      </c>
      <c r="U325" s="224" t="n">
        <v>0.07000000000000001</v>
      </c>
      <c r="V325" s="224" t="inlineStr">
        <is>
          <t>/</t>
        </is>
      </c>
      <c r="W325" s="47" t="n">
        <v>0.5</v>
      </c>
      <c r="X325" s="461" t="inlineStr">
        <is>
          <t>/</t>
        </is>
      </c>
      <c r="Y325" s="461" t="inlineStr">
        <is>
          <t>/</t>
        </is>
      </c>
      <c r="Z325" s="349" t="inlineStr">
        <is>
          <t>/</t>
        </is>
      </c>
      <c r="AA325" s="349" t="inlineStr">
        <is>
          <t>/</t>
        </is>
      </c>
      <c r="AB325" s="652" t="inlineStr">
        <is>
          <t>/</t>
        </is>
      </c>
      <c r="AC325" s="652" t="inlineStr">
        <is>
          <t>/</t>
        </is>
      </c>
      <c r="AD325" s="150" t="inlineStr">
        <is>
          <t xml:space="preserve">1、服务费：包含甲方人员工资、甲方捐赠，不单独分摊
</t>
        </is>
      </c>
      <c r="AE325" s="25" t="inlineStr">
        <is>
          <t>1、签订期间：2026.1.26-2026.7.25；
2、指标按照全年换算；</t>
        </is>
      </c>
      <c r="AF325" s="232" t="inlineStr">
        <is>
          <t>1、会议纪要中约定了各项费用比例，但实际账务处理中未按照各费用比例分别收取；
建议：项目收支明细表按会议纪要签订的要求进行统计；</t>
        </is>
      </c>
    </row>
    <row r="326" ht="36" customFormat="1" customHeight="1" s="209">
      <c r="A326" s="219" t="n">
        <v>324</v>
      </c>
      <c r="B326" s="14" t="inlineStr">
        <is>
          <t>KQCY0314</t>
        </is>
      </c>
      <c r="C326" s="221" t="inlineStr">
        <is>
          <t>餐饮五分部</t>
        </is>
      </c>
      <c r="D326" s="221" t="inlineStr">
        <is>
          <t>CF108</t>
        </is>
      </c>
      <c r="E326" s="221" t="inlineStr">
        <is>
          <t>苏大北区六食堂</t>
        </is>
      </c>
      <c r="F326" s="219" t="inlineStr">
        <is>
          <t>分组作业</t>
        </is>
      </c>
      <c r="G326" s="222" t="inlineStr">
        <is>
          <t>卫屹</t>
        </is>
      </c>
      <c r="H326" s="503" t="inlineStr">
        <is>
          <t>/</t>
        </is>
      </c>
      <c r="I326" s="355" t="inlineStr">
        <is>
          <t>香锅</t>
        </is>
      </c>
      <c r="J326" s="222" t="inlineStr">
        <is>
          <t>吕金春</t>
        </is>
      </c>
      <c r="K326" s="224" t="inlineStr">
        <is>
          <t>/</t>
        </is>
      </c>
      <c r="L326" s="651" t="n">
        <v>420000</v>
      </c>
      <c r="M326" s="224" t="n">
        <v>0.14</v>
      </c>
      <c r="N326" s="224" t="n">
        <v>0.01</v>
      </c>
      <c r="O326" s="224" t="inlineStr">
        <is>
          <t>/</t>
        </is>
      </c>
      <c r="P326" s="224" t="n">
        <v>0.01</v>
      </c>
      <c r="Q326" s="224" t="n">
        <v>0.01</v>
      </c>
      <c r="R326" s="224" t="inlineStr">
        <is>
          <t>/</t>
        </is>
      </c>
      <c r="S326" s="224" t="inlineStr">
        <is>
          <t>/</t>
        </is>
      </c>
      <c r="T326" s="503" t="n">
        <v>1000</v>
      </c>
      <c r="U326" s="224" t="n">
        <v>0.07000000000000001</v>
      </c>
      <c r="V326" s="224" t="inlineStr">
        <is>
          <t>/</t>
        </is>
      </c>
      <c r="W326" s="47" t="n">
        <v>0.3</v>
      </c>
      <c r="X326" s="461" t="inlineStr">
        <is>
          <t>/</t>
        </is>
      </c>
      <c r="Y326" s="461" t="inlineStr">
        <is>
          <t>/</t>
        </is>
      </c>
      <c r="Z326" s="349" t="inlineStr">
        <is>
          <t>/</t>
        </is>
      </c>
      <c r="AA326" s="349" t="inlineStr">
        <is>
          <t>/</t>
        </is>
      </c>
      <c r="AB326" s="652" t="inlineStr">
        <is>
          <t>/</t>
        </is>
      </c>
      <c r="AC326" s="652" t="inlineStr">
        <is>
          <t>/</t>
        </is>
      </c>
      <c r="AD326" s="150" t="inlineStr">
        <is>
          <t xml:space="preserve">1、服务费：包含甲方人员工资、甲方捐赠，不单独分摊
</t>
        </is>
      </c>
      <c r="AE326" s="25" t="inlineStr">
        <is>
          <t>1、签订期间：2026.1.26-2026.7.25；
2、指标按照全年换算；</t>
        </is>
      </c>
      <c r="AF326" s="232" t="inlineStr">
        <is>
          <t>1、会议纪要中约定了各项费用比例，但实际账务处理中未按照各费用比例分别收取；
建议：项目收支明细表按会议纪要签订的要求进行统计；</t>
        </is>
      </c>
    </row>
    <row r="327" ht="36" customFormat="1" customHeight="1" s="209">
      <c r="A327" s="219" t="n">
        <v>325</v>
      </c>
      <c r="B327" s="14" t="inlineStr">
        <is>
          <t>KQCY0315</t>
        </is>
      </c>
      <c r="C327" s="221" t="inlineStr">
        <is>
          <t>餐饮五分部</t>
        </is>
      </c>
      <c r="D327" s="221" t="inlineStr">
        <is>
          <t>CF108</t>
        </is>
      </c>
      <c r="E327" s="221" t="inlineStr">
        <is>
          <t>苏大北区六食堂</t>
        </is>
      </c>
      <c r="F327" s="219" t="inlineStr">
        <is>
          <t>分组作业</t>
        </is>
      </c>
      <c r="G327" s="222" t="inlineStr">
        <is>
          <t>卫屹</t>
        </is>
      </c>
      <c r="H327" s="503" t="inlineStr">
        <is>
          <t>/</t>
        </is>
      </c>
      <c r="I327" s="355" t="inlineStr">
        <is>
          <t>黄焖鸡</t>
        </is>
      </c>
      <c r="J327" s="222" t="inlineStr">
        <is>
          <t>许可</t>
        </is>
      </c>
      <c r="K327" s="224" t="inlineStr">
        <is>
          <t>/</t>
        </is>
      </c>
      <c r="L327" s="651" t="n">
        <v>420000</v>
      </c>
      <c r="M327" s="224" t="n">
        <v>0.14</v>
      </c>
      <c r="N327" s="224" t="n">
        <v>0.01</v>
      </c>
      <c r="O327" s="224" t="inlineStr">
        <is>
          <t>/</t>
        </is>
      </c>
      <c r="P327" s="224" t="n">
        <v>0.01</v>
      </c>
      <c r="Q327" s="224" t="n">
        <v>0.01</v>
      </c>
      <c r="R327" s="224" t="inlineStr">
        <is>
          <t>/</t>
        </is>
      </c>
      <c r="S327" s="224" t="inlineStr">
        <is>
          <t>/</t>
        </is>
      </c>
      <c r="T327" s="503" t="n">
        <v>1000</v>
      </c>
      <c r="U327" s="224" t="n">
        <v>0.07000000000000001</v>
      </c>
      <c r="V327" s="224" t="inlineStr">
        <is>
          <t>/</t>
        </is>
      </c>
      <c r="W327" s="47" t="n">
        <v>0.3</v>
      </c>
      <c r="X327" s="461" t="inlineStr">
        <is>
          <t>/</t>
        </is>
      </c>
      <c r="Y327" s="461" t="inlineStr">
        <is>
          <t>/</t>
        </is>
      </c>
      <c r="Z327" s="349" t="inlineStr">
        <is>
          <t>/</t>
        </is>
      </c>
      <c r="AA327" s="349" t="inlineStr">
        <is>
          <t>/</t>
        </is>
      </c>
      <c r="AB327" s="652" t="inlineStr">
        <is>
          <t>/</t>
        </is>
      </c>
      <c r="AC327" s="652" t="inlineStr">
        <is>
          <t>/</t>
        </is>
      </c>
      <c r="AD327" s="150" t="inlineStr">
        <is>
          <t xml:space="preserve">1、服务费：包含甲方人员工资、甲方捐赠，不单独分摊
</t>
        </is>
      </c>
      <c r="AE327" s="25" t="inlineStr">
        <is>
          <t>1、签订期间：2026.1.26-2026.7.25；
2、指标按照全年换算；</t>
        </is>
      </c>
      <c r="AF327" s="232" t="inlineStr">
        <is>
          <t>1、会议纪要中约定了各项费用比例，但实际账务处理中未按照各费用比例分别收取；
建议：项目收支明细表按会议纪要签订的要求进行统计；</t>
        </is>
      </c>
    </row>
    <row r="328" ht="36" customFormat="1" customHeight="1" s="209">
      <c r="A328" s="219" t="n">
        <v>326</v>
      </c>
      <c r="B328" s="14" t="inlineStr">
        <is>
          <t>KQCY0316</t>
        </is>
      </c>
      <c r="C328" s="221" t="inlineStr">
        <is>
          <t>餐饮五分部</t>
        </is>
      </c>
      <c r="D328" s="221" t="inlineStr">
        <is>
          <t>CF108</t>
        </is>
      </c>
      <c r="E328" s="221" t="inlineStr">
        <is>
          <t>苏大北区六食堂</t>
        </is>
      </c>
      <c r="F328" s="219" t="inlineStr">
        <is>
          <t>分组作业</t>
        </is>
      </c>
      <c r="G328" s="222" t="inlineStr">
        <is>
          <t>卫屹</t>
        </is>
      </c>
      <c r="H328" s="503" t="inlineStr">
        <is>
          <t>/</t>
        </is>
      </c>
      <c r="I328" s="355" t="inlineStr">
        <is>
          <t>千里香</t>
        </is>
      </c>
      <c r="J328" s="222" t="inlineStr">
        <is>
          <t>刘立强</t>
        </is>
      </c>
      <c r="K328" s="224" t="inlineStr">
        <is>
          <t>/</t>
        </is>
      </c>
      <c r="L328" s="651" t="n">
        <v>780000</v>
      </c>
      <c r="M328" s="224" t="n">
        <v>0.16</v>
      </c>
      <c r="N328" s="224" t="n">
        <v>0.01</v>
      </c>
      <c r="O328" s="224" t="inlineStr">
        <is>
          <t>/</t>
        </is>
      </c>
      <c r="P328" s="224" t="n">
        <v>0.01</v>
      </c>
      <c r="Q328" s="224" t="n">
        <v>0.01</v>
      </c>
      <c r="R328" s="224" t="inlineStr">
        <is>
          <t>/</t>
        </is>
      </c>
      <c r="S328" s="224" t="inlineStr">
        <is>
          <t>/</t>
        </is>
      </c>
      <c r="T328" s="503" t="n">
        <v>1000</v>
      </c>
      <c r="U328" s="224" t="n">
        <v>0.07000000000000001</v>
      </c>
      <c r="V328" s="224" t="inlineStr">
        <is>
          <t>/</t>
        </is>
      </c>
      <c r="W328" s="47" t="n">
        <v>0.3</v>
      </c>
      <c r="X328" s="461" t="inlineStr">
        <is>
          <t>/</t>
        </is>
      </c>
      <c r="Y328" s="461" t="inlineStr">
        <is>
          <t>/</t>
        </is>
      </c>
      <c r="Z328" s="349" t="inlineStr">
        <is>
          <t>/</t>
        </is>
      </c>
      <c r="AA328" s="349" t="inlineStr">
        <is>
          <t>/</t>
        </is>
      </c>
      <c r="AB328" s="652" t="inlineStr">
        <is>
          <t>/</t>
        </is>
      </c>
      <c r="AC328" s="652" t="inlineStr">
        <is>
          <t>/</t>
        </is>
      </c>
      <c r="AD328" s="150" t="inlineStr">
        <is>
          <t xml:space="preserve">1、服务费：包含甲方人员工资、甲方捐赠，不单独分摊
</t>
        </is>
      </c>
      <c r="AE328" s="25" t="inlineStr">
        <is>
          <t>1、签订期间：2026.1.26-2026.7.25；
2、指标按照全年换算；</t>
        </is>
      </c>
      <c r="AF328" s="232" t="inlineStr">
        <is>
          <t>1、会议纪要中约定了各项费用比例，但实际账务处理中未按照各费用比例分别收取；
建议：项目收支明细表按会议纪要签订的要求进行统计；</t>
        </is>
      </c>
    </row>
    <row r="329" ht="36" customFormat="1" customHeight="1" s="209">
      <c r="A329" s="219" t="n">
        <v>327</v>
      </c>
      <c r="B329" s="14" t="inlineStr">
        <is>
          <t>KQCY0317</t>
        </is>
      </c>
      <c r="C329" s="221" t="inlineStr">
        <is>
          <t>餐饮五分部</t>
        </is>
      </c>
      <c r="D329" s="221" t="inlineStr">
        <is>
          <t>CF108</t>
        </is>
      </c>
      <c r="E329" s="221" t="inlineStr">
        <is>
          <t>苏大北区六食堂</t>
        </is>
      </c>
      <c r="F329" s="219" t="inlineStr">
        <is>
          <t>分组作业</t>
        </is>
      </c>
      <c r="G329" s="222" t="inlineStr">
        <is>
          <t>卫屹</t>
        </is>
      </c>
      <c r="H329" s="503" t="inlineStr">
        <is>
          <t>/</t>
        </is>
      </c>
      <c r="I329" s="355" t="inlineStr">
        <is>
          <t>拌面</t>
        </is>
      </c>
      <c r="J329" s="222" t="inlineStr">
        <is>
          <t>龚文涛</t>
        </is>
      </c>
      <c r="K329" s="224" t="inlineStr">
        <is>
          <t>/</t>
        </is>
      </c>
      <c r="L329" s="651" t="n">
        <v>420000</v>
      </c>
      <c r="M329" s="224" t="n">
        <v>0.16</v>
      </c>
      <c r="N329" s="224" t="n">
        <v>0.01</v>
      </c>
      <c r="O329" s="224" t="inlineStr">
        <is>
          <t>/</t>
        </is>
      </c>
      <c r="P329" s="224" t="n">
        <v>0.01</v>
      </c>
      <c r="Q329" s="224" t="n">
        <v>0.01</v>
      </c>
      <c r="R329" s="224" t="inlineStr">
        <is>
          <t>/</t>
        </is>
      </c>
      <c r="S329" s="224" t="inlineStr">
        <is>
          <t>/</t>
        </is>
      </c>
      <c r="T329" s="503" t="n">
        <v>1000</v>
      </c>
      <c r="U329" s="224" t="n">
        <v>0.07000000000000001</v>
      </c>
      <c r="V329" s="224" t="inlineStr">
        <is>
          <t>/</t>
        </is>
      </c>
      <c r="W329" s="47" t="n">
        <v>0.3</v>
      </c>
      <c r="X329" s="461" t="inlineStr">
        <is>
          <t>/</t>
        </is>
      </c>
      <c r="Y329" s="461" t="inlineStr">
        <is>
          <t>/</t>
        </is>
      </c>
      <c r="Z329" s="349" t="inlineStr">
        <is>
          <t>/</t>
        </is>
      </c>
      <c r="AA329" s="349" t="inlineStr">
        <is>
          <t>/</t>
        </is>
      </c>
      <c r="AB329" s="652" t="inlineStr">
        <is>
          <t>/</t>
        </is>
      </c>
      <c r="AC329" s="652" t="inlineStr">
        <is>
          <t>/</t>
        </is>
      </c>
      <c r="AD329" s="150" t="inlineStr">
        <is>
          <t xml:space="preserve">1、服务费：包含甲方人员工资、甲方捐赠，不单独分摊
</t>
        </is>
      </c>
      <c r="AE329" s="25" t="inlineStr">
        <is>
          <t>1、签订期间：2026.1.26-2026.7.25；
2、指标按照全年换算；</t>
        </is>
      </c>
      <c r="AF329" s="232" t="inlineStr">
        <is>
          <t>1、会议纪要中约定了各项费用比例，但实际账务处理中未按照各费用比例分别收取；
建议：项目收支明细表按会议纪要签订的要求进行统计；</t>
        </is>
      </c>
    </row>
    <row r="330" ht="36" customFormat="1" customHeight="1" s="209">
      <c r="A330" s="219" t="n">
        <v>328</v>
      </c>
      <c r="B330" s="14" t="inlineStr">
        <is>
          <t>KQCY0318</t>
        </is>
      </c>
      <c r="C330" s="221" t="inlineStr">
        <is>
          <t>餐饮五分部</t>
        </is>
      </c>
      <c r="D330" s="221" t="inlineStr">
        <is>
          <t>CF108</t>
        </is>
      </c>
      <c r="E330" s="221" t="inlineStr">
        <is>
          <t>苏大北区六食堂</t>
        </is>
      </c>
      <c r="F330" s="219" t="inlineStr">
        <is>
          <t>分组作业</t>
        </is>
      </c>
      <c r="G330" s="222" t="inlineStr">
        <is>
          <t>卫屹</t>
        </is>
      </c>
      <c r="H330" s="503" t="inlineStr">
        <is>
          <t>/</t>
        </is>
      </c>
      <c r="I330" s="355" t="inlineStr">
        <is>
          <t>煎饼</t>
        </is>
      </c>
      <c r="J330" s="222" t="inlineStr">
        <is>
          <t>李秀德</t>
        </is>
      </c>
      <c r="K330" s="224" t="inlineStr">
        <is>
          <t>/</t>
        </is>
      </c>
      <c r="L330" s="651" t="n">
        <v>200000</v>
      </c>
      <c r="M330" s="224" t="n">
        <v>0.12</v>
      </c>
      <c r="N330" s="224" t="n">
        <v>0.01</v>
      </c>
      <c r="O330" s="224" t="inlineStr">
        <is>
          <t>/</t>
        </is>
      </c>
      <c r="P330" s="224" t="n">
        <v>0.01</v>
      </c>
      <c r="Q330" s="224" t="n">
        <v>0.01</v>
      </c>
      <c r="R330" s="224" t="inlineStr">
        <is>
          <t>/</t>
        </is>
      </c>
      <c r="S330" s="224" t="inlineStr">
        <is>
          <t>/</t>
        </is>
      </c>
      <c r="T330" s="503" t="n">
        <v>500</v>
      </c>
      <c r="U330" s="224" t="n">
        <v>0.07000000000000001</v>
      </c>
      <c r="V330" s="224" t="inlineStr">
        <is>
          <t>/</t>
        </is>
      </c>
      <c r="W330" s="47" t="n">
        <v>0.3</v>
      </c>
      <c r="X330" s="461" t="inlineStr">
        <is>
          <t>/</t>
        </is>
      </c>
      <c r="Y330" s="461" t="inlineStr">
        <is>
          <t>/</t>
        </is>
      </c>
      <c r="Z330" s="349" t="inlineStr">
        <is>
          <t>/</t>
        </is>
      </c>
      <c r="AA330" s="349" t="inlineStr">
        <is>
          <t>/</t>
        </is>
      </c>
      <c r="AB330" s="652" t="inlineStr">
        <is>
          <t>/</t>
        </is>
      </c>
      <c r="AC330" s="652" t="inlineStr">
        <is>
          <t>/</t>
        </is>
      </c>
      <c r="AD330" s="150" t="inlineStr">
        <is>
          <t xml:space="preserve">1、服务费：包含甲方人员工资、甲方捐赠，不单独分摊
</t>
        </is>
      </c>
      <c r="AE330" s="25" t="inlineStr">
        <is>
          <t>1、签订期间：2026.1.26-2026.7.25；
2、指标按照全年换算；</t>
        </is>
      </c>
      <c r="AF330" s="232" t="inlineStr">
        <is>
          <t>1、会议纪要中约定了各项费用比例，但实际账务处理中未按照各费用比例分别收取；
建议：项目收支明细表按会议纪要签订的要求进行统计；</t>
        </is>
      </c>
    </row>
    <row r="331" ht="84" customFormat="1" customHeight="1" s="209">
      <c r="A331" s="219" t="n">
        <v>329</v>
      </c>
      <c r="B331" s="14" t="inlineStr">
        <is>
          <t>KQCY0319</t>
        </is>
      </c>
      <c r="C331" s="221" t="inlineStr">
        <is>
          <t>餐饮五分部</t>
        </is>
      </c>
      <c r="D331" s="221" t="inlineStr">
        <is>
          <t>CF108</t>
        </is>
      </c>
      <c r="E331" s="221" t="inlineStr">
        <is>
          <t>苏大北区六食堂</t>
        </is>
      </c>
      <c r="F331" s="219" t="inlineStr">
        <is>
          <t>分组作业</t>
        </is>
      </c>
      <c r="G331" s="222" t="inlineStr">
        <is>
          <t>卫屹</t>
        </is>
      </c>
      <c r="H331" s="503" t="inlineStr">
        <is>
          <t>/</t>
        </is>
      </c>
      <c r="I331" s="355" t="inlineStr">
        <is>
          <t>汉堡</t>
        </is>
      </c>
      <c r="J331" s="222" t="inlineStr">
        <is>
          <t>吴梦醒</t>
        </is>
      </c>
      <c r="K331" s="224" t="inlineStr">
        <is>
          <t>/</t>
        </is>
      </c>
      <c r="L331" s="651" t="n">
        <v>380000</v>
      </c>
      <c r="M331" s="224" t="n">
        <v>0.11</v>
      </c>
      <c r="N331" s="224" t="n">
        <v>0.01</v>
      </c>
      <c r="O331" s="224" t="inlineStr">
        <is>
          <t>/</t>
        </is>
      </c>
      <c r="P331" s="224" t="n">
        <v>0.01</v>
      </c>
      <c r="Q331" s="224" t="n">
        <v>0.01</v>
      </c>
      <c r="R331" s="224" t="inlineStr">
        <is>
          <t>/</t>
        </is>
      </c>
      <c r="S331" s="224" t="inlineStr">
        <is>
          <t>/</t>
        </is>
      </c>
      <c r="T331" s="503" t="n">
        <v>500</v>
      </c>
      <c r="U331" s="224" t="n">
        <v>0.07000000000000001</v>
      </c>
      <c r="V331" s="224" t="inlineStr">
        <is>
          <t>/</t>
        </is>
      </c>
      <c r="W331" s="44" t="n"/>
      <c r="X331" s="461" t="inlineStr">
        <is>
          <t>/</t>
        </is>
      </c>
      <c r="Y331" s="461" t="inlineStr">
        <is>
          <t>/</t>
        </is>
      </c>
      <c r="Z331" s="349" t="inlineStr">
        <is>
          <t>/</t>
        </is>
      </c>
      <c r="AA331" s="349" t="inlineStr">
        <is>
          <t>/</t>
        </is>
      </c>
      <c r="AB331" s="652" t="inlineStr">
        <is>
          <t>/</t>
        </is>
      </c>
      <c r="AC331" s="652" t="inlineStr">
        <is>
          <t>/</t>
        </is>
      </c>
      <c r="AD331" s="150" t="inlineStr">
        <is>
          <t xml:space="preserve">1、服务费：包含甲方人员工资、甲方捐赠，不单独分摊
</t>
        </is>
      </c>
      <c r="AE331" s="25" t="inlineStr">
        <is>
          <t>1、签订期间：2026.1.26-2026.7.25；
2、指标按照全年换算；</t>
        </is>
      </c>
      <c r="AF331"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t>
        </is>
      </c>
    </row>
    <row r="332" ht="12" customFormat="1" customHeight="1" s="209">
      <c r="A332" s="219" t="n">
        <v>330</v>
      </c>
      <c r="B332" s="14" t="inlineStr">
        <is>
          <t>KQCY0320</t>
        </is>
      </c>
      <c r="C332" s="221" t="inlineStr">
        <is>
          <t>餐饮五分部</t>
        </is>
      </c>
      <c r="D332" s="221" t="inlineStr">
        <is>
          <t>CF101</t>
        </is>
      </c>
      <c r="E332" s="221" t="inlineStr">
        <is>
          <t>苏大本部方塔食堂</t>
        </is>
      </c>
      <c r="F332" s="219" t="inlineStr">
        <is>
          <t>强责</t>
        </is>
      </c>
      <c r="G332" s="222" t="inlineStr">
        <is>
          <t>卫屹</t>
        </is>
      </c>
      <c r="H332" s="222" t="inlineStr">
        <is>
          <t>/</t>
        </is>
      </c>
      <c r="I332" s="232" t="inlineStr">
        <is>
          <t>/</t>
        </is>
      </c>
      <c r="J332" s="222" t="inlineStr">
        <is>
          <t>蒋德生</t>
        </is>
      </c>
      <c r="K332" s="224" t="inlineStr">
        <is>
          <t>/</t>
        </is>
      </c>
      <c r="L332" s="651" t="n">
        <v>8000000</v>
      </c>
      <c r="M332" s="224" t="inlineStr">
        <is>
          <t>/</t>
        </is>
      </c>
      <c r="N332" s="224" t="inlineStr">
        <is>
          <t>/</t>
        </is>
      </c>
      <c r="O332" s="224" t="inlineStr">
        <is>
          <t>/</t>
        </is>
      </c>
      <c r="P332" s="224" t="n">
        <v>0.02</v>
      </c>
      <c r="Q332" s="224" t="inlineStr">
        <is>
          <t>/</t>
        </is>
      </c>
      <c r="R332" s="224" t="inlineStr">
        <is>
          <t>/</t>
        </is>
      </c>
      <c r="S332" s="224" t="inlineStr">
        <is>
          <t>/</t>
        </is>
      </c>
      <c r="T332" s="224" t="inlineStr">
        <is>
          <t>/</t>
        </is>
      </c>
      <c r="U332" s="224" t="inlineStr">
        <is>
          <t>/</t>
        </is>
      </c>
      <c r="V332" s="224" t="inlineStr">
        <is>
          <t>/</t>
        </is>
      </c>
      <c r="W332" s="47" t="n">
        <v>0.52</v>
      </c>
      <c r="X332" s="461" t="inlineStr">
        <is>
          <t>/</t>
        </is>
      </c>
      <c r="Y332" s="461" t="inlineStr">
        <is>
          <t>/</t>
        </is>
      </c>
      <c r="Z332" s="461" t="inlineStr">
        <is>
          <t>/</t>
        </is>
      </c>
      <c r="AA332" s="461" t="inlineStr">
        <is>
          <t>/</t>
        </is>
      </c>
      <c r="AB332" s="46" t="n">
        <v>0.05</v>
      </c>
      <c r="AC332" s="46" t="n">
        <v>0.005</v>
      </c>
      <c r="AD332" s="152" t="inlineStr">
        <is>
          <t>1、原材料：根据与甲方合同约定执行；</t>
        </is>
      </c>
      <c r="AE332" s="25" t="n"/>
      <c r="AF332" s="206" t="n"/>
    </row>
    <row r="333" ht="12" customFormat="1" customHeight="1" s="209">
      <c r="A333" s="219" t="n">
        <v>331</v>
      </c>
      <c r="B333" s="14" t="inlineStr">
        <is>
          <t>KQCY0321</t>
        </is>
      </c>
      <c r="C333" s="221" t="inlineStr">
        <is>
          <t>餐饮五分部</t>
        </is>
      </c>
      <c r="D333" s="221" t="inlineStr">
        <is>
          <t>CF107</t>
        </is>
      </c>
      <c r="E333" s="221" t="inlineStr">
        <is>
          <t>苏大东区教工食堂</t>
        </is>
      </c>
      <c r="F333" s="222" t="inlineStr">
        <is>
          <t>人员服务外包</t>
        </is>
      </c>
      <c r="G333" s="222" t="inlineStr">
        <is>
          <t>卫屹</t>
        </is>
      </c>
      <c r="H333" s="222" t="inlineStr">
        <is>
          <t>/</t>
        </is>
      </c>
      <c r="I333" s="355" t="inlineStr">
        <is>
          <t>/</t>
        </is>
      </c>
      <c r="J333" s="222" t="inlineStr">
        <is>
          <t>/</t>
        </is>
      </c>
      <c r="K333" s="224" t="inlineStr">
        <is>
          <t>/</t>
        </is>
      </c>
      <c r="L333" s="651" t="n">
        <v>612000</v>
      </c>
      <c r="M333" s="224" t="inlineStr">
        <is>
          <t>/</t>
        </is>
      </c>
      <c r="N333" s="224" t="inlineStr">
        <is>
          <t>/</t>
        </is>
      </c>
      <c r="O333" s="224" t="inlineStr">
        <is>
          <t>/</t>
        </is>
      </c>
      <c r="P333" s="224" t="inlineStr">
        <is>
          <t>/</t>
        </is>
      </c>
      <c r="Q333" s="224" t="inlineStr">
        <is>
          <t>/</t>
        </is>
      </c>
      <c r="R333" s="224" t="inlineStr">
        <is>
          <t>/</t>
        </is>
      </c>
      <c r="S333" s="224" t="inlineStr">
        <is>
          <t>/</t>
        </is>
      </c>
      <c r="T333" s="224" t="inlineStr">
        <is>
          <t>/</t>
        </is>
      </c>
      <c r="U333" s="224" t="inlineStr">
        <is>
          <t>/</t>
        </is>
      </c>
      <c r="V333" s="224" t="inlineStr">
        <is>
          <t>/</t>
        </is>
      </c>
      <c r="W333" s="503" t="inlineStr">
        <is>
          <t>/</t>
        </is>
      </c>
      <c r="X333" s="461" t="inlineStr">
        <is>
          <t>/</t>
        </is>
      </c>
      <c r="Y333" s="461" t="inlineStr">
        <is>
          <t>/</t>
        </is>
      </c>
      <c r="Z333" s="461" t="inlineStr">
        <is>
          <t>/</t>
        </is>
      </c>
      <c r="AA333" s="461" t="inlineStr">
        <is>
          <t>/</t>
        </is>
      </c>
      <c r="AB333" s="652" t="inlineStr">
        <is>
          <t>/</t>
        </is>
      </c>
      <c r="AC333" s="652" t="inlineStr">
        <is>
          <t>/</t>
        </is>
      </c>
      <c r="AD333" s="152" t="n"/>
      <c r="AE333" s="25" t="n"/>
      <c r="AF333" s="206" t="n"/>
    </row>
    <row r="334" ht="12" customFormat="1" customHeight="1" s="209">
      <c r="A334" s="219" t="n">
        <v>332</v>
      </c>
      <c r="B334" s="14" t="inlineStr">
        <is>
          <t>KQCY0322</t>
        </is>
      </c>
      <c r="C334" s="221" t="inlineStr">
        <is>
          <t>餐饮五分部</t>
        </is>
      </c>
      <c r="D334" s="221" t="inlineStr">
        <is>
          <t>CF120</t>
        </is>
      </c>
      <c r="E334" s="221" t="inlineStr">
        <is>
          <t>苏大独墅湖一食堂</t>
        </is>
      </c>
      <c r="F334" s="219" t="inlineStr">
        <is>
          <t>强责</t>
        </is>
      </c>
      <c r="G334" s="222" t="inlineStr">
        <is>
          <t>吉沐牛</t>
        </is>
      </c>
      <c r="H334" s="222" t="inlineStr">
        <is>
          <t>/</t>
        </is>
      </c>
      <c r="I334" s="232" t="inlineStr">
        <is>
          <t>/</t>
        </is>
      </c>
      <c r="J334" s="222" t="inlineStr">
        <is>
          <t>杨登钟</t>
        </is>
      </c>
      <c r="K334" s="224" t="inlineStr">
        <is>
          <t>/</t>
        </is>
      </c>
      <c r="L334" s="651" t="inlineStr">
        <is>
          <t>/</t>
        </is>
      </c>
      <c r="M334" s="395" t="inlineStr">
        <is>
          <t>/</t>
        </is>
      </c>
      <c r="N334" s="395" t="inlineStr">
        <is>
          <t>/</t>
        </is>
      </c>
      <c r="O334" s="395" t="inlineStr">
        <is>
          <t>/</t>
        </is>
      </c>
      <c r="P334" s="395" t="inlineStr">
        <is>
          <t>/</t>
        </is>
      </c>
      <c r="Q334" s="395" t="inlineStr">
        <is>
          <t>/</t>
        </is>
      </c>
      <c r="R334" s="395" t="inlineStr">
        <is>
          <t>/</t>
        </is>
      </c>
      <c r="S334" s="395" t="inlineStr">
        <is>
          <t>/</t>
        </is>
      </c>
      <c r="T334" s="44" t="n"/>
      <c r="U334" s="106" t="n"/>
      <c r="V334" s="395" t="inlineStr">
        <is>
          <t>/</t>
        </is>
      </c>
      <c r="W334" s="47" t="n">
        <v>0.52</v>
      </c>
      <c r="X334" s="397" t="inlineStr">
        <is>
          <t>/</t>
        </is>
      </c>
      <c r="Y334" s="397" t="inlineStr">
        <is>
          <t>/</t>
        </is>
      </c>
      <c r="Z334" s="397" t="inlineStr">
        <is>
          <t>/</t>
        </is>
      </c>
      <c r="AA334" s="397" t="inlineStr">
        <is>
          <t>/</t>
        </is>
      </c>
      <c r="AB334" s="46" t="n">
        <v>0.06</v>
      </c>
      <c r="AC334" s="46" t="inlineStr">
        <is>
          <t>/</t>
        </is>
      </c>
      <c r="AD334" s="48" t="inlineStr">
        <is>
          <t>1、原材料：根据与甲方合同约定执行；</t>
        </is>
      </c>
      <c r="AE334" s="25" t="n"/>
      <c r="AF334" s="206" t="n"/>
    </row>
    <row r="335" ht="24" customFormat="1" customHeight="1" s="209">
      <c r="A335" s="219" t="n">
        <v>333</v>
      </c>
      <c r="B335" s="14" t="inlineStr">
        <is>
          <t>KQCY0323</t>
        </is>
      </c>
      <c r="C335" s="221" t="inlineStr">
        <is>
          <t>餐饮五分部</t>
        </is>
      </c>
      <c r="D335" s="221" t="inlineStr">
        <is>
          <t>CF120</t>
        </is>
      </c>
      <c r="E335" s="221" t="inlineStr">
        <is>
          <t>苏大独墅湖一食堂</t>
        </is>
      </c>
      <c r="F335" s="219" t="inlineStr">
        <is>
          <t>强责</t>
        </is>
      </c>
      <c r="G335" s="222" t="inlineStr">
        <is>
          <t>吉沐牛</t>
        </is>
      </c>
      <c r="H335" s="503" t="inlineStr">
        <is>
          <t>/</t>
        </is>
      </c>
      <c r="I335" s="355" t="inlineStr">
        <is>
          <t>麻辣香锅</t>
        </is>
      </c>
      <c r="J335" s="222" t="inlineStr">
        <is>
          <t>周文影</t>
        </is>
      </c>
      <c r="K335" s="224" t="inlineStr">
        <is>
          <t>/</t>
        </is>
      </c>
      <c r="L335" s="651" t="n">
        <v>3830000</v>
      </c>
      <c r="M335" s="153" t="n">
        <v>0.18</v>
      </c>
      <c r="N335" s="67" t="inlineStr">
        <is>
          <t>/</t>
        </is>
      </c>
      <c r="O335" s="67" t="inlineStr">
        <is>
          <t>/</t>
        </is>
      </c>
      <c r="P335" s="107" t="inlineStr">
        <is>
          <t>/</t>
        </is>
      </c>
      <c r="Q335" s="107" t="inlineStr">
        <is>
          <t>/</t>
        </is>
      </c>
      <c r="R335" s="107" t="inlineStr">
        <is>
          <t>/</t>
        </is>
      </c>
      <c r="S335" s="67" t="inlineStr">
        <is>
          <t>/</t>
        </is>
      </c>
      <c r="T335" s="397" t="n"/>
      <c r="U335" s="395" t="n"/>
      <c r="V335" s="67" t="inlineStr">
        <is>
          <t>/</t>
        </is>
      </c>
      <c r="W335" s="154" t="n"/>
      <c r="X335" s="397" t="inlineStr">
        <is>
          <t>/</t>
        </is>
      </c>
      <c r="Y335" s="397" t="inlineStr">
        <is>
          <t>/</t>
        </is>
      </c>
      <c r="Z335" s="67" t="inlineStr">
        <is>
          <t>/</t>
        </is>
      </c>
      <c r="AA335" s="67" t="inlineStr">
        <is>
          <t>/</t>
        </is>
      </c>
      <c r="AB335" s="51" t="inlineStr">
        <is>
          <t>/</t>
        </is>
      </c>
      <c r="AC335" s="46" t="inlineStr">
        <is>
          <t>/</t>
        </is>
      </c>
      <c r="AD335" s="155" t="n"/>
      <c r="AE335" s="25" t="inlineStr">
        <is>
          <t>1、签订期间：2026.1-2026.12；
2、指标按照全年换算；</t>
        </is>
      </c>
      <c r="AF335" s="206" t="n"/>
    </row>
    <row r="336" ht="24" customFormat="1" customHeight="1" s="209">
      <c r="A336" s="219" t="n">
        <v>334</v>
      </c>
      <c r="B336" s="14" t="inlineStr">
        <is>
          <t>KQCY0324</t>
        </is>
      </c>
      <c r="C336" s="221" t="inlineStr">
        <is>
          <t>餐饮五分部</t>
        </is>
      </c>
      <c r="D336" s="221" t="inlineStr">
        <is>
          <t>CF120</t>
        </is>
      </c>
      <c r="E336" s="221" t="inlineStr">
        <is>
          <t>苏大独墅湖一食堂</t>
        </is>
      </c>
      <c r="F336" s="219" t="inlineStr">
        <is>
          <t>强责</t>
        </is>
      </c>
      <c r="G336" s="222" t="inlineStr">
        <is>
          <t>吉沐牛</t>
        </is>
      </c>
      <c r="H336" s="503" t="inlineStr">
        <is>
          <t>/</t>
        </is>
      </c>
      <c r="I336" s="355" t="inlineStr">
        <is>
          <t>板煮</t>
        </is>
      </c>
      <c r="J336" s="222" t="inlineStr">
        <is>
          <t>郁亚勇</t>
        </is>
      </c>
      <c r="K336" s="224" t="inlineStr">
        <is>
          <t>/</t>
        </is>
      </c>
      <c r="L336" s="651" t="n">
        <v>930000</v>
      </c>
      <c r="M336" s="153" t="n">
        <v>0.19</v>
      </c>
      <c r="N336" s="67" t="inlineStr">
        <is>
          <t>/</t>
        </is>
      </c>
      <c r="O336" s="67" t="inlineStr">
        <is>
          <t>/</t>
        </is>
      </c>
      <c r="P336" s="107" t="inlineStr">
        <is>
          <t>/</t>
        </is>
      </c>
      <c r="Q336" s="107" t="inlineStr">
        <is>
          <t>/</t>
        </is>
      </c>
      <c r="R336" s="107" t="inlineStr">
        <is>
          <t>/</t>
        </is>
      </c>
      <c r="S336" s="67" t="inlineStr">
        <is>
          <t>/</t>
        </is>
      </c>
      <c r="T336" s="397" t="n"/>
      <c r="U336" s="395" t="n"/>
      <c r="V336" s="67" t="inlineStr">
        <is>
          <t>/</t>
        </is>
      </c>
      <c r="W336" s="154" t="n"/>
      <c r="X336" s="397" t="inlineStr">
        <is>
          <t>/</t>
        </is>
      </c>
      <c r="Y336" s="397" t="inlineStr">
        <is>
          <t>/</t>
        </is>
      </c>
      <c r="Z336" s="67" t="inlineStr">
        <is>
          <t>/</t>
        </is>
      </c>
      <c r="AA336" s="67" t="inlineStr">
        <is>
          <t>/</t>
        </is>
      </c>
      <c r="AB336" s="51" t="inlineStr">
        <is>
          <t>/</t>
        </is>
      </c>
      <c r="AC336" s="46" t="inlineStr">
        <is>
          <t>/</t>
        </is>
      </c>
      <c r="AD336" s="155" t="n"/>
      <c r="AE336" s="25" t="inlineStr">
        <is>
          <t>1、签订期间：2026.1-2026.12；
2、指标按照全年换算；</t>
        </is>
      </c>
      <c r="AF336" s="206" t="n"/>
    </row>
    <row r="337" ht="36" customFormat="1" customHeight="1" s="209">
      <c r="A337" s="219" t="n">
        <v>335</v>
      </c>
      <c r="B337" s="14" t="inlineStr">
        <is>
          <t>KQCY0325</t>
        </is>
      </c>
      <c r="C337" s="221" t="inlineStr">
        <is>
          <t>餐饮五分部</t>
        </is>
      </c>
      <c r="D337" s="221" t="inlineStr">
        <is>
          <t>CF121</t>
        </is>
      </c>
      <c r="E337" s="221" t="inlineStr">
        <is>
          <t>苏大独墅湖六食堂</t>
        </is>
      </c>
      <c r="F337" s="219" t="inlineStr">
        <is>
          <t>强责</t>
        </is>
      </c>
      <c r="G337" s="222" t="inlineStr">
        <is>
          <t>吉沐牛</t>
        </is>
      </c>
      <c r="H337" s="222" t="inlineStr">
        <is>
          <t>/</t>
        </is>
      </c>
      <c r="I337" s="232" t="inlineStr">
        <is>
          <t>/</t>
        </is>
      </c>
      <c r="J337" s="222" t="inlineStr">
        <is>
          <t>杨登钟</t>
        </is>
      </c>
      <c r="K337" s="224" t="inlineStr">
        <is>
          <t>/</t>
        </is>
      </c>
      <c r="L337" s="651" t="inlineStr">
        <is>
          <t>/</t>
        </is>
      </c>
      <c r="M337" s="395" t="inlineStr">
        <is>
          <t>/</t>
        </is>
      </c>
      <c r="N337" s="395" t="inlineStr">
        <is>
          <t>/</t>
        </is>
      </c>
      <c r="O337" s="395" t="inlineStr">
        <is>
          <t>/</t>
        </is>
      </c>
      <c r="P337" s="395" t="inlineStr">
        <is>
          <t>/</t>
        </is>
      </c>
      <c r="Q337" s="395" t="inlineStr">
        <is>
          <t>/</t>
        </is>
      </c>
      <c r="R337" s="395" t="inlineStr">
        <is>
          <t>/</t>
        </is>
      </c>
      <c r="S337" s="395" t="inlineStr">
        <is>
          <t>/</t>
        </is>
      </c>
      <c r="T337" s="44" t="n"/>
      <c r="U337" s="106" t="n"/>
      <c r="V337" s="395" t="inlineStr">
        <is>
          <t>/</t>
        </is>
      </c>
      <c r="W337" s="154" t="n">
        <v>0.52</v>
      </c>
      <c r="X337" s="397" t="inlineStr">
        <is>
          <t>/</t>
        </is>
      </c>
      <c r="Y337" s="397" t="inlineStr">
        <is>
          <t>/</t>
        </is>
      </c>
      <c r="Z337" s="397" t="inlineStr">
        <is>
          <t>/</t>
        </is>
      </c>
      <c r="AA337" s="397" t="inlineStr">
        <is>
          <t>/</t>
        </is>
      </c>
      <c r="AB337" s="46" t="n">
        <v>0.05</v>
      </c>
      <c r="AC337" s="46" t="n">
        <v>0.005</v>
      </c>
      <c r="AD337" s="48" t="inlineStr">
        <is>
          <t>1、原材料：根据与甲方合同约定执行；
2、分部管理费：不含青海拉面营业额；
3、业务费：不含青海拉面营业额；</t>
        </is>
      </c>
      <c r="AE337" s="25" t="n"/>
      <c r="AF337" s="206" t="n"/>
    </row>
    <row r="338" ht="24" customFormat="1" customHeight="1" s="209">
      <c r="A338" s="219" t="n">
        <v>336</v>
      </c>
      <c r="B338" s="14" t="inlineStr">
        <is>
          <t>KQCY0326</t>
        </is>
      </c>
      <c r="C338" s="221" t="inlineStr">
        <is>
          <t>餐饮五分部</t>
        </is>
      </c>
      <c r="D338" s="221" t="inlineStr">
        <is>
          <t>CF121</t>
        </is>
      </c>
      <c r="E338" s="221" t="inlineStr">
        <is>
          <t>苏大独墅湖六食堂</t>
        </is>
      </c>
      <c r="F338" s="219" t="inlineStr">
        <is>
          <t>强责</t>
        </is>
      </c>
      <c r="G338" s="222" t="inlineStr">
        <is>
          <t>吉沐牛</t>
        </is>
      </c>
      <c r="H338" s="503" t="inlineStr">
        <is>
          <t>/</t>
        </is>
      </c>
      <c r="I338" s="355" t="inlineStr">
        <is>
          <t>青海拉面</t>
        </is>
      </c>
      <c r="J338" s="222" t="inlineStr">
        <is>
          <t>韩应努四</t>
        </is>
      </c>
      <c r="K338" s="224" t="inlineStr">
        <is>
          <t>/</t>
        </is>
      </c>
      <c r="L338" s="651" t="n">
        <v>1280000</v>
      </c>
      <c r="M338" s="153" t="n">
        <v>0.1</v>
      </c>
      <c r="N338" s="67" t="inlineStr">
        <is>
          <t>/</t>
        </is>
      </c>
      <c r="O338" s="67" t="inlineStr">
        <is>
          <t>/</t>
        </is>
      </c>
      <c r="P338" s="107" t="inlineStr">
        <is>
          <t>/</t>
        </is>
      </c>
      <c r="Q338" s="107" t="inlineStr">
        <is>
          <t>/</t>
        </is>
      </c>
      <c r="R338" s="107" t="inlineStr">
        <is>
          <t>/</t>
        </is>
      </c>
      <c r="S338" s="67" t="inlineStr">
        <is>
          <t>/</t>
        </is>
      </c>
      <c r="T338" s="395" t="inlineStr">
        <is>
          <t>/</t>
        </is>
      </c>
      <c r="U338" s="395" t="inlineStr">
        <is>
          <t>/</t>
        </is>
      </c>
      <c r="V338" s="67" t="inlineStr">
        <is>
          <t>/</t>
        </is>
      </c>
      <c r="W338" s="156" t="n"/>
      <c r="X338" s="397" t="inlineStr">
        <is>
          <t>/</t>
        </is>
      </c>
      <c r="Y338" s="397" t="inlineStr">
        <is>
          <t>/</t>
        </is>
      </c>
      <c r="Z338" s="397" t="inlineStr">
        <is>
          <t>/</t>
        </is>
      </c>
      <c r="AA338" s="397" t="inlineStr">
        <is>
          <t>/</t>
        </is>
      </c>
      <c r="AB338" s="51" t="inlineStr">
        <is>
          <t>/</t>
        </is>
      </c>
      <c r="AC338" s="46" t="inlineStr">
        <is>
          <t>/</t>
        </is>
      </c>
      <c r="AD338" s="69" t="n"/>
      <c r="AE338" s="25" t="inlineStr">
        <is>
          <t>1、签订期间：2026.1-2026.12；
2、指标按照全年换算；</t>
        </is>
      </c>
      <c r="AF338" s="206" t="n"/>
    </row>
    <row r="339" ht="12" customFormat="1" customHeight="1" s="209">
      <c r="A339" s="219" t="n">
        <v>337</v>
      </c>
      <c r="B339" s="14" t="inlineStr">
        <is>
          <t>KQCY0327</t>
        </is>
      </c>
      <c r="C339" s="221" t="inlineStr">
        <is>
          <t>餐饮五分部</t>
        </is>
      </c>
      <c r="D339" s="221" t="inlineStr">
        <is>
          <t>CF121</t>
        </is>
      </c>
      <c r="E339" s="221" t="inlineStr">
        <is>
          <t>苏大独墅湖二食堂</t>
        </is>
      </c>
      <c r="F339" s="219" t="inlineStr">
        <is>
          <t>强责</t>
        </is>
      </c>
      <c r="G339" s="222" t="inlineStr">
        <is>
          <t>吉沐牛</t>
        </is>
      </c>
      <c r="H339" s="222" t="inlineStr">
        <is>
          <t>/</t>
        </is>
      </c>
      <c r="I339" s="232" t="inlineStr">
        <is>
          <t>/</t>
        </is>
      </c>
      <c r="J339" s="222" t="inlineStr">
        <is>
          <t>徐小林</t>
        </is>
      </c>
      <c r="K339" s="224" t="inlineStr">
        <is>
          <t>/</t>
        </is>
      </c>
      <c r="L339" s="651" t="inlineStr">
        <is>
          <t>/</t>
        </is>
      </c>
      <c r="M339" s="395" t="inlineStr">
        <is>
          <t>/</t>
        </is>
      </c>
      <c r="N339" s="395" t="inlineStr">
        <is>
          <t>/</t>
        </is>
      </c>
      <c r="O339" s="395" t="inlineStr">
        <is>
          <t>/</t>
        </is>
      </c>
      <c r="P339" s="395" t="inlineStr">
        <is>
          <t>/</t>
        </is>
      </c>
      <c r="Q339" s="395" t="inlineStr">
        <is>
          <t>/</t>
        </is>
      </c>
      <c r="R339" s="395" t="inlineStr">
        <is>
          <t>/</t>
        </is>
      </c>
      <c r="S339" s="395" t="inlineStr">
        <is>
          <t>/</t>
        </is>
      </c>
      <c r="T339" s="397" t="inlineStr">
        <is>
          <t>/</t>
        </is>
      </c>
      <c r="U339" s="106" t="n"/>
      <c r="V339" s="395" t="inlineStr">
        <is>
          <t>/</t>
        </is>
      </c>
      <c r="W339" s="154" t="n">
        <v>0.52</v>
      </c>
      <c r="X339" s="397" t="inlineStr">
        <is>
          <t>/</t>
        </is>
      </c>
      <c r="Y339" s="397" t="inlineStr">
        <is>
          <t>/</t>
        </is>
      </c>
      <c r="Z339" s="397" t="inlineStr">
        <is>
          <t>/</t>
        </is>
      </c>
      <c r="AA339" s="397" t="inlineStr">
        <is>
          <t>/</t>
        </is>
      </c>
      <c r="AB339" s="46" t="n">
        <v>0.06</v>
      </c>
      <c r="AC339" s="46" t="n">
        <v>0.005</v>
      </c>
      <c r="AD339" s="69" t="n"/>
      <c r="AE339" s="25" t="n"/>
      <c r="AF339" s="206" t="n"/>
    </row>
    <row r="340" ht="24" customFormat="1" customHeight="1" s="209">
      <c r="A340" s="219" t="n">
        <v>338</v>
      </c>
      <c r="B340" s="14" t="inlineStr">
        <is>
          <t>KQCY0328</t>
        </is>
      </c>
      <c r="C340" s="221" t="inlineStr">
        <is>
          <t>餐饮五分部</t>
        </is>
      </c>
      <c r="D340" s="221" t="inlineStr">
        <is>
          <t>CF121</t>
        </is>
      </c>
      <c r="E340" s="221" t="inlineStr">
        <is>
          <t>苏大独墅湖二食堂</t>
        </is>
      </c>
      <c r="F340" s="219" t="inlineStr">
        <is>
          <t>强责</t>
        </is>
      </c>
      <c r="G340" s="222" t="inlineStr">
        <is>
          <t>吉沐牛</t>
        </is>
      </c>
      <c r="H340" s="503" t="inlineStr">
        <is>
          <t>/</t>
        </is>
      </c>
      <c r="I340" s="355" t="inlineStr">
        <is>
          <t>手工水饺(山东煎饼)</t>
        </is>
      </c>
      <c r="J340" s="222" t="inlineStr">
        <is>
          <t>李俊</t>
        </is>
      </c>
      <c r="K340" s="224" t="inlineStr">
        <is>
          <t>/</t>
        </is>
      </c>
      <c r="L340" s="651" t="n">
        <v>730000</v>
      </c>
      <c r="M340" s="153" t="n">
        <v>0.25</v>
      </c>
      <c r="N340" s="67" t="inlineStr">
        <is>
          <t>/</t>
        </is>
      </c>
      <c r="O340" s="67" t="inlineStr">
        <is>
          <t>/</t>
        </is>
      </c>
      <c r="P340" s="107" t="inlineStr">
        <is>
          <t>/</t>
        </is>
      </c>
      <c r="Q340" s="107" t="inlineStr">
        <is>
          <t>/</t>
        </is>
      </c>
      <c r="R340" s="107" t="inlineStr">
        <is>
          <t>/</t>
        </is>
      </c>
      <c r="S340" s="67" t="inlineStr">
        <is>
          <t>/</t>
        </is>
      </c>
      <c r="T340" s="395" t="inlineStr">
        <is>
          <t>/</t>
        </is>
      </c>
      <c r="U340" s="63" t="inlineStr">
        <is>
          <t>/</t>
        </is>
      </c>
      <c r="V340" s="67" t="inlineStr">
        <is>
          <t>/</t>
        </is>
      </c>
      <c r="W340" s="67" t="n">
        <v>0.52</v>
      </c>
      <c r="X340" s="397" t="inlineStr">
        <is>
          <t>/</t>
        </is>
      </c>
      <c r="Y340" s="397" t="inlineStr">
        <is>
          <t>/</t>
        </is>
      </c>
      <c r="Z340" s="397" t="inlineStr">
        <is>
          <t>/</t>
        </is>
      </c>
      <c r="AA340" s="397" t="inlineStr">
        <is>
          <t>/</t>
        </is>
      </c>
      <c r="AB340" s="51" t="inlineStr">
        <is>
          <t>/</t>
        </is>
      </c>
      <c r="AC340" s="46" t="inlineStr">
        <is>
          <t>/</t>
        </is>
      </c>
      <c r="AD340" s="69" t="n"/>
      <c r="AE340" s="25" t="inlineStr">
        <is>
          <t>1、签订期间：2026.1-2026.12；
2、指标按照全年换算；</t>
        </is>
      </c>
      <c r="AF340" s="206" t="n"/>
    </row>
    <row r="341" ht="24" customFormat="1" customHeight="1" s="209">
      <c r="A341" s="219" t="n">
        <v>339</v>
      </c>
      <c r="B341" s="14" t="inlineStr">
        <is>
          <t>KQCY0329</t>
        </is>
      </c>
      <c r="C341" s="221" t="inlineStr">
        <is>
          <t>餐饮五分部</t>
        </is>
      </c>
      <c r="D341" s="221" t="inlineStr">
        <is>
          <t>CF121</t>
        </is>
      </c>
      <c r="E341" s="221" t="inlineStr">
        <is>
          <t>苏大独墅湖二食堂</t>
        </is>
      </c>
      <c r="F341" s="219" t="inlineStr">
        <is>
          <t>强责</t>
        </is>
      </c>
      <c r="G341" s="222" t="inlineStr">
        <is>
          <t>吉沐牛</t>
        </is>
      </c>
      <c r="H341" s="503" t="inlineStr">
        <is>
          <t>/</t>
        </is>
      </c>
      <c r="I341" s="355" t="inlineStr">
        <is>
          <t>苏式汤面</t>
        </is>
      </c>
      <c r="J341" s="222" t="inlineStr">
        <is>
          <t>孙建平</t>
        </is>
      </c>
      <c r="K341" s="224" t="inlineStr">
        <is>
          <t>/</t>
        </is>
      </c>
      <c r="L341" s="651" t="n">
        <v>1250000</v>
      </c>
      <c r="M341" s="153" t="n">
        <v>0.25</v>
      </c>
      <c r="N341" s="67" t="inlineStr">
        <is>
          <t>/</t>
        </is>
      </c>
      <c r="O341" s="67" t="inlineStr">
        <is>
          <t>/</t>
        </is>
      </c>
      <c r="P341" s="107" t="inlineStr">
        <is>
          <t>/</t>
        </is>
      </c>
      <c r="Q341" s="107" t="inlineStr">
        <is>
          <t>/</t>
        </is>
      </c>
      <c r="R341" s="107" t="inlineStr">
        <is>
          <t>/</t>
        </is>
      </c>
      <c r="S341" s="67" t="inlineStr">
        <is>
          <t>/</t>
        </is>
      </c>
      <c r="T341" s="395" t="inlineStr">
        <is>
          <t>/</t>
        </is>
      </c>
      <c r="U341" s="63" t="inlineStr">
        <is>
          <t>/</t>
        </is>
      </c>
      <c r="V341" s="67" t="inlineStr">
        <is>
          <t>/</t>
        </is>
      </c>
      <c r="W341" s="67" t="n">
        <v>0.52</v>
      </c>
      <c r="X341" s="397" t="inlineStr">
        <is>
          <t>/</t>
        </is>
      </c>
      <c r="Y341" s="397" t="inlineStr">
        <is>
          <t>/</t>
        </is>
      </c>
      <c r="Z341" s="397" t="inlineStr">
        <is>
          <t>/</t>
        </is>
      </c>
      <c r="AA341" s="397" t="inlineStr">
        <is>
          <t>/</t>
        </is>
      </c>
      <c r="AB341" s="51" t="inlineStr">
        <is>
          <t>/</t>
        </is>
      </c>
      <c r="AC341" s="46" t="inlineStr">
        <is>
          <t>/</t>
        </is>
      </c>
      <c r="AD341" s="69" t="n"/>
      <c r="AE341" s="25" t="inlineStr">
        <is>
          <t>1、签订期间：2026.1-2026.12；
2、指标按照全年换算；</t>
        </is>
      </c>
      <c r="AF341" s="206" t="n"/>
    </row>
    <row r="342" ht="24" customFormat="1" customHeight="1" s="209">
      <c r="A342" s="219" t="n">
        <v>340</v>
      </c>
      <c r="B342" s="14" t="inlineStr">
        <is>
          <t>KQCY0330</t>
        </is>
      </c>
      <c r="C342" s="221" t="inlineStr">
        <is>
          <t>餐饮五分部</t>
        </is>
      </c>
      <c r="D342" s="221" t="inlineStr">
        <is>
          <t>CF121</t>
        </is>
      </c>
      <c r="E342" s="221" t="inlineStr">
        <is>
          <t>苏大独墅湖二食堂</t>
        </is>
      </c>
      <c r="F342" s="219" t="inlineStr">
        <is>
          <t>强责</t>
        </is>
      </c>
      <c r="G342" s="222" t="inlineStr">
        <is>
          <t>吉沐牛</t>
        </is>
      </c>
      <c r="H342" s="503" t="inlineStr">
        <is>
          <t>/</t>
        </is>
      </c>
      <c r="I342" s="355" t="inlineStr">
        <is>
          <t>烤盘饭</t>
        </is>
      </c>
      <c r="J342" s="222" t="inlineStr">
        <is>
          <t>梁宇</t>
        </is>
      </c>
      <c r="K342" s="224" t="inlineStr">
        <is>
          <t>/</t>
        </is>
      </c>
      <c r="L342" s="651" t="n">
        <v>890000</v>
      </c>
      <c r="M342" s="153" t="n">
        <v>0.25</v>
      </c>
      <c r="N342" s="67" t="inlineStr">
        <is>
          <t>/</t>
        </is>
      </c>
      <c r="O342" s="67" t="inlineStr">
        <is>
          <t>/</t>
        </is>
      </c>
      <c r="P342" s="107" t="inlineStr">
        <is>
          <t>/</t>
        </is>
      </c>
      <c r="Q342" s="107" t="inlineStr">
        <is>
          <t>/</t>
        </is>
      </c>
      <c r="R342" s="107" t="inlineStr">
        <is>
          <t>/</t>
        </is>
      </c>
      <c r="S342" s="67" t="inlineStr">
        <is>
          <t>/</t>
        </is>
      </c>
      <c r="T342" s="395" t="inlineStr">
        <is>
          <t>/</t>
        </is>
      </c>
      <c r="U342" s="63" t="inlineStr">
        <is>
          <t>/</t>
        </is>
      </c>
      <c r="V342" s="67" t="inlineStr">
        <is>
          <t>/</t>
        </is>
      </c>
      <c r="W342" s="67" t="n">
        <v>0.52</v>
      </c>
      <c r="X342" s="397" t="inlineStr">
        <is>
          <t>/</t>
        </is>
      </c>
      <c r="Y342" s="397" t="inlineStr">
        <is>
          <t>/</t>
        </is>
      </c>
      <c r="Z342" s="397" t="inlineStr">
        <is>
          <t>/</t>
        </is>
      </c>
      <c r="AA342" s="397" t="inlineStr">
        <is>
          <t>/</t>
        </is>
      </c>
      <c r="AB342" s="51" t="inlineStr">
        <is>
          <t>/</t>
        </is>
      </c>
      <c r="AC342" s="46" t="inlineStr">
        <is>
          <t>/</t>
        </is>
      </c>
      <c r="AD342" s="69" t="n"/>
      <c r="AE342" s="25" t="inlineStr">
        <is>
          <t>1、签订期间：2026.1-2026.12；
2、指标按照全年换算；</t>
        </is>
      </c>
      <c r="AF342" s="206" t="n"/>
    </row>
    <row r="343" ht="12" customFormat="1" customHeight="1" s="209">
      <c r="A343" s="219" t="n">
        <v>341</v>
      </c>
      <c r="B343" s="535" t="n"/>
      <c r="C343" s="86" t="inlineStr">
        <is>
          <t>餐饮五分部</t>
        </is>
      </c>
      <c r="D343" s="86" t="inlineStr">
        <is>
          <t>CF134</t>
        </is>
      </c>
      <c r="E343" s="86" t="inlineStr">
        <is>
          <t>苏大独墅湖五食堂</t>
        </is>
      </c>
      <c r="F343" s="335" t="inlineStr">
        <is>
          <t>自营</t>
        </is>
      </c>
      <c r="G343" s="243" t="inlineStr">
        <is>
          <t>吉沐牛</t>
        </is>
      </c>
      <c r="H343" s="480" t="inlineStr">
        <is>
          <t>/</t>
        </is>
      </c>
      <c r="I343" s="243" t="inlineStr">
        <is>
          <t>/</t>
        </is>
      </c>
      <c r="J343" s="243" t="inlineStr">
        <is>
          <t>/</t>
        </is>
      </c>
      <c r="K343" s="349" t="inlineStr">
        <is>
          <t>/</t>
        </is>
      </c>
      <c r="L343" s="651" t="inlineStr">
        <is>
          <t>/</t>
        </is>
      </c>
      <c r="M343" s="349" t="inlineStr">
        <is>
          <t>/</t>
        </is>
      </c>
      <c r="N343" s="47" t="n"/>
      <c r="O343" s="349" t="inlineStr">
        <is>
          <t>/</t>
        </is>
      </c>
      <c r="P343" s="47" t="n"/>
      <c r="Q343" s="349" t="inlineStr">
        <is>
          <t>/</t>
        </is>
      </c>
      <c r="R343" s="349" t="inlineStr">
        <is>
          <t>/</t>
        </is>
      </c>
      <c r="S343" s="349" t="inlineStr">
        <is>
          <t>/</t>
        </is>
      </c>
      <c r="T343" s="47" t="n"/>
      <c r="U343" s="47" t="n"/>
      <c r="V343" s="480" t="inlineStr">
        <is>
          <t>/</t>
        </is>
      </c>
      <c r="W343" s="349" t="inlineStr">
        <is>
          <t>/</t>
        </is>
      </c>
      <c r="X343" s="480" t="inlineStr">
        <is>
          <t>/</t>
        </is>
      </c>
      <c r="Y343" s="480" t="inlineStr">
        <is>
          <t>/</t>
        </is>
      </c>
      <c r="Z343" s="44" t="n"/>
      <c r="AA343" s="44" t="n"/>
      <c r="AB343" s="46" t="n">
        <v>0.06</v>
      </c>
      <c r="AC343" s="46" t="n">
        <v>0.005</v>
      </c>
      <c r="AD343" s="48" t="inlineStr">
        <is>
          <t>1、自营未实际经营；</t>
        </is>
      </c>
      <c r="AE343" s="25" t="n"/>
      <c r="AF343" s="232" t="n"/>
    </row>
    <row r="344" ht="72" customFormat="1" customHeight="1" s="209">
      <c r="A344" s="219" t="n">
        <v>342</v>
      </c>
      <c r="B344" s="14" t="inlineStr">
        <is>
          <t>KQCY0331</t>
        </is>
      </c>
      <c r="C344" s="221" t="inlineStr">
        <is>
          <t>餐饮五分部</t>
        </is>
      </c>
      <c r="D344" s="221" t="inlineStr">
        <is>
          <t>CF134</t>
        </is>
      </c>
      <c r="E344" s="221" t="inlineStr">
        <is>
          <t>苏大独墅湖五食堂</t>
        </is>
      </c>
      <c r="F344" s="219" t="inlineStr">
        <is>
          <t>分组作业</t>
        </is>
      </c>
      <c r="G344" s="222" t="inlineStr">
        <is>
          <t>吉沐牛</t>
        </is>
      </c>
      <c r="H344" s="503" t="inlineStr">
        <is>
          <t>/</t>
        </is>
      </c>
      <c r="I344" s="355" t="inlineStr">
        <is>
          <t>快餐</t>
        </is>
      </c>
      <c r="J344" s="222" t="inlineStr">
        <is>
          <t>赵广伟</t>
        </is>
      </c>
      <c r="K344" s="224" t="inlineStr">
        <is>
          <t>/</t>
        </is>
      </c>
      <c r="L344" s="651" t="n">
        <v>1720000</v>
      </c>
      <c r="M344" s="67" t="n">
        <v>0.12</v>
      </c>
      <c r="N344" s="67" t="inlineStr">
        <is>
          <t>/</t>
        </is>
      </c>
      <c r="O344" s="67" t="inlineStr">
        <is>
          <t>/</t>
        </is>
      </c>
      <c r="P344" s="67" t="inlineStr">
        <is>
          <t>/</t>
        </is>
      </c>
      <c r="Q344" s="67" t="inlineStr">
        <is>
          <t>/</t>
        </is>
      </c>
      <c r="R344" s="67" t="inlineStr">
        <is>
          <t>/</t>
        </is>
      </c>
      <c r="S344" s="67" t="inlineStr">
        <is>
          <t>/</t>
        </is>
      </c>
      <c r="T344" s="154" t="n"/>
      <c r="U344" s="67" t="n">
        <v>0.05</v>
      </c>
      <c r="V344" s="397" t="inlineStr">
        <is>
          <t>/</t>
        </is>
      </c>
      <c r="W344" s="67" t="n">
        <v>0.52</v>
      </c>
      <c r="X344" s="397" t="inlineStr">
        <is>
          <t>/</t>
        </is>
      </c>
      <c r="Y344" s="397" t="inlineStr">
        <is>
          <t>/</t>
        </is>
      </c>
      <c r="Z344" s="397" t="inlineStr">
        <is>
          <t>/</t>
        </is>
      </c>
      <c r="AA344" s="397" t="inlineStr">
        <is>
          <t>/</t>
        </is>
      </c>
      <c r="AB344" s="51" t="inlineStr">
        <is>
          <t>/</t>
        </is>
      </c>
      <c r="AC344" s="46" t="inlineStr">
        <is>
          <t>/</t>
        </is>
      </c>
      <c r="AD344" s="69" t="inlineStr">
        <is>
          <t>1、虫害消杀：项目反馈不收取，包含在服务费中；
2、装修折旧费：项目反馈不收取，包含在服务费中；
3、甲方人员工资：项目反馈不收取，包含在服务费中；
4、甲方捐赠：项目反馈不收取，包含在服务费中；</t>
        </is>
      </c>
      <c r="AE344" s="25" t="inlineStr">
        <is>
          <t>1、签订期间：2026.1-7月；
2、指标按照全年换算；</t>
        </is>
      </c>
      <c r="AF344"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45" ht="72" customFormat="1" customHeight="1" s="209">
      <c r="A345" s="219" t="n">
        <v>343</v>
      </c>
      <c r="B345" s="14" t="inlineStr">
        <is>
          <t>KQCY0332</t>
        </is>
      </c>
      <c r="C345" s="221" t="inlineStr">
        <is>
          <t>餐饮五分部</t>
        </is>
      </c>
      <c r="D345" s="221" t="inlineStr">
        <is>
          <t>CF134</t>
        </is>
      </c>
      <c r="E345" s="221" t="inlineStr">
        <is>
          <t>苏大独墅湖五食堂</t>
        </is>
      </c>
      <c r="F345" s="219" t="inlineStr">
        <is>
          <t>分组作业</t>
        </is>
      </c>
      <c r="G345" s="222" t="inlineStr">
        <is>
          <t>吉沐牛</t>
        </is>
      </c>
      <c r="H345" s="503" t="inlineStr">
        <is>
          <t>/</t>
        </is>
      </c>
      <c r="I345" s="355" t="inlineStr">
        <is>
          <t>生烫牛肉米线</t>
        </is>
      </c>
      <c r="J345" s="222" t="inlineStr">
        <is>
          <t>胡振强</t>
        </is>
      </c>
      <c r="K345" s="224" t="inlineStr">
        <is>
          <t>/</t>
        </is>
      </c>
      <c r="L345" s="651" t="n">
        <v>820000</v>
      </c>
      <c r="M345" s="77" t="n">
        <v>0.15</v>
      </c>
      <c r="N345" s="77" t="inlineStr">
        <is>
          <t>/</t>
        </is>
      </c>
      <c r="O345" s="77" t="inlineStr">
        <is>
          <t>/</t>
        </is>
      </c>
      <c r="P345" s="77" t="inlineStr">
        <is>
          <t>/</t>
        </is>
      </c>
      <c r="Q345" s="77" t="inlineStr">
        <is>
          <t>/</t>
        </is>
      </c>
      <c r="R345" s="77" t="inlineStr">
        <is>
          <t>/</t>
        </is>
      </c>
      <c r="S345" s="77" t="inlineStr">
        <is>
          <t>/</t>
        </is>
      </c>
      <c r="T345" s="79" t="n"/>
      <c r="U345" s="77" t="n">
        <v>0.03</v>
      </c>
      <c r="V345" s="72" t="inlineStr">
        <is>
          <t>/</t>
        </is>
      </c>
      <c r="W345" s="77" t="n">
        <v>0.52</v>
      </c>
      <c r="X345" s="72" t="inlineStr">
        <is>
          <t>/</t>
        </is>
      </c>
      <c r="Y345" s="72" t="inlineStr">
        <is>
          <t>/</t>
        </is>
      </c>
      <c r="Z345" s="72" t="inlineStr">
        <is>
          <t>/</t>
        </is>
      </c>
      <c r="AA345" s="72" t="inlineStr">
        <is>
          <t>/</t>
        </is>
      </c>
      <c r="AB345" s="51" t="inlineStr">
        <is>
          <t>/</t>
        </is>
      </c>
      <c r="AC345" s="46" t="inlineStr">
        <is>
          <t>/</t>
        </is>
      </c>
      <c r="AD345" s="82" t="inlineStr">
        <is>
          <t>1、虫害消杀：项目反馈不收取，包含在服务费中；
2、装修折旧费：项目反馈不收取，包含在服务费中；
3、甲方人员工资：项目反馈不收取，包含在服务费中；
4、甲方捐赠：项目反馈不收取，包含在服务费中；</t>
        </is>
      </c>
      <c r="AE345" s="25" t="inlineStr">
        <is>
          <t>1、签订期间：2026.1-7月；
2、指标按照全年换算；</t>
        </is>
      </c>
      <c r="AF345"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46" ht="72" customFormat="1" customHeight="1" s="209">
      <c r="A346" s="219" t="n">
        <v>344</v>
      </c>
      <c r="B346" s="14" t="inlineStr">
        <is>
          <t>KQCY0333</t>
        </is>
      </c>
      <c r="C346" s="221" t="inlineStr">
        <is>
          <t>餐饮五分部</t>
        </is>
      </c>
      <c r="D346" s="221" t="inlineStr">
        <is>
          <t>CF134</t>
        </is>
      </c>
      <c r="E346" s="221" t="inlineStr">
        <is>
          <t>苏大独墅湖五食堂</t>
        </is>
      </c>
      <c r="F346" s="219" t="inlineStr">
        <is>
          <t>分组作业</t>
        </is>
      </c>
      <c r="G346" s="222" t="inlineStr">
        <is>
          <t>吉沐牛</t>
        </is>
      </c>
      <c r="H346" s="503" t="inlineStr">
        <is>
          <t>/</t>
        </is>
      </c>
      <c r="I346" s="355" t="inlineStr">
        <is>
          <t xml:space="preserve">旋转小火锅 </t>
        </is>
      </c>
      <c r="J346" s="222" t="inlineStr">
        <is>
          <t>段姗姗</t>
        </is>
      </c>
      <c r="K346" s="224" t="inlineStr">
        <is>
          <t>/</t>
        </is>
      </c>
      <c r="L346" s="651" t="n">
        <v>730000</v>
      </c>
      <c r="M346" s="77" t="n">
        <v>0.18</v>
      </c>
      <c r="N346" s="77" t="inlineStr">
        <is>
          <t>/</t>
        </is>
      </c>
      <c r="O346" s="77" t="inlineStr">
        <is>
          <t>/</t>
        </is>
      </c>
      <c r="P346" s="77" t="inlineStr">
        <is>
          <t>/</t>
        </is>
      </c>
      <c r="Q346" s="77" t="inlineStr">
        <is>
          <t>/</t>
        </is>
      </c>
      <c r="R346" s="77" t="inlineStr">
        <is>
          <t>/</t>
        </is>
      </c>
      <c r="S346" s="77" t="inlineStr">
        <is>
          <t>/</t>
        </is>
      </c>
      <c r="T346" s="79" t="n"/>
      <c r="U346" s="77" t="n">
        <v>0.04</v>
      </c>
      <c r="V346" s="71" t="inlineStr">
        <is>
          <t>/</t>
        </is>
      </c>
      <c r="W346" s="77" t="n">
        <v>0.52</v>
      </c>
      <c r="X346" s="72" t="inlineStr">
        <is>
          <t>/</t>
        </is>
      </c>
      <c r="Y346" s="72" t="inlineStr">
        <is>
          <t>/</t>
        </is>
      </c>
      <c r="Z346" s="72" t="inlineStr">
        <is>
          <t>/</t>
        </is>
      </c>
      <c r="AA346" s="72" t="inlineStr">
        <is>
          <t>/</t>
        </is>
      </c>
      <c r="AB346" s="51" t="inlineStr">
        <is>
          <t>/</t>
        </is>
      </c>
      <c r="AC346" s="46" t="inlineStr">
        <is>
          <t>/</t>
        </is>
      </c>
      <c r="AD346" s="82" t="inlineStr">
        <is>
          <t>1、虫害消杀：项目反馈不收取，包含在服务费中；
2、装修折旧费：项目反馈不收取，包含在服务费中；
3、甲方人员工资：项目反馈不收取，包含在服务费中；
4、甲方捐赠：项目反馈不收取，包含在服务费中；</t>
        </is>
      </c>
      <c r="AE346" s="25" t="inlineStr">
        <is>
          <t>1、签订期间：2026.1-7月；
2、指标按照全年换算；</t>
        </is>
      </c>
      <c r="AF346"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47" ht="72" customFormat="1" customHeight="1" s="209">
      <c r="A347" s="219" t="n">
        <v>345</v>
      </c>
      <c r="B347" s="14" t="inlineStr">
        <is>
          <t>KQCY0334</t>
        </is>
      </c>
      <c r="C347" s="221" t="inlineStr">
        <is>
          <t>餐饮五分部</t>
        </is>
      </c>
      <c r="D347" s="221" t="inlineStr">
        <is>
          <t>CF134</t>
        </is>
      </c>
      <c r="E347" s="221" t="inlineStr">
        <is>
          <t>苏大独墅湖五食堂</t>
        </is>
      </c>
      <c r="F347" s="219" t="inlineStr">
        <is>
          <t>分组作业</t>
        </is>
      </c>
      <c r="G347" s="222" t="inlineStr">
        <is>
          <t>吉沐牛</t>
        </is>
      </c>
      <c r="H347" s="503" t="inlineStr">
        <is>
          <t>/</t>
        </is>
      </c>
      <c r="I347" s="355" t="inlineStr">
        <is>
          <t>北京烤鸭</t>
        </is>
      </c>
      <c r="J347" s="222" t="inlineStr">
        <is>
          <t>韩少卫</t>
        </is>
      </c>
      <c r="K347" s="224" t="inlineStr">
        <is>
          <t>/</t>
        </is>
      </c>
      <c r="L347" s="651" t="n">
        <v>670000</v>
      </c>
      <c r="M347" s="77" t="n">
        <v>0.18</v>
      </c>
      <c r="N347" s="77" t="inlineStr">
        <is>
          <t>/</t>
        </is>
      </c>
      <c r="O347" s="77" t="inlineStr">
        <is>
          <t>/</t>
        </is>
      </c>
      <c r="P347" s="77" t="inlineStr">
        <is>
          <t>/</t>
        </is>
      </c>
      <c r="Q347" s="77" t="inlineStr">
        <is>
          <t>/</t>
        </is>
      </c>
      <c r="R347" s="77" t="inlineStr">
        <is>
          <t>/</t>
        </is>
      </c>
      <c r="S347" s="77" t="inlineStr">
        <is>
          <t>/</t>
        </is>
      </c>
      <c r="T347" s="79" t="n"/>
      <c r="U347" s="77" t="n">
        <v>0.05</v>
      </c>
      <c r="V347" s="71" t="inlineStr">
        <is>
          <t>/</t>
        </is>
      </c>
      <c r="W347" s="77" t="n">
        <v>0.52</v>
      </c>
      <c r="X347" s="72" t="inlineStr">
        <is>
          <t>/</t>
        </is>
      </c>
      <c r="Y347" s="72" t="inlineStr">
        <is>
          <t>/</t>
        </is>
      </c>
      <c r="Z347" s="72" t="inlineStr">
        <is>
          <t>/</t>
        </is>
      </c>
      <c r="AA347" s="72" t="inlineStr">
        <is>
          <t>/</t>
        </is>
      </c>
      <c r="AB347" s="51" t="inlineStr">
        <is>
          <t>/</t>
        </is>
      </c>
      <c r="AC347" s="46" t="inlineStr">
        <is>
          <t>/</t>
        </is>
      </c>
      <c r="AD347" s="82" t="inlineStr">
        <is>
          <t>1、虫害消杀：项目反馈不收取，包含在服务费中；
2、装修折旧费：项目反馈不收取，包含在服务费中；
3、甲方人员工资：项目反馈不收取，包含在服务费中；
4、甲方捐赠：项目反馈不收取，包含在服务费中；</t>
        </is>
      </c>
      <c r="AE347" s="25" t="inlineStr">
        <is>
          <t>1、签订期间：2026.1-7月；
2、指标按照全年换算；</t>
        </is>
      </c>
      <c r="AF347"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48" ht="72" customFormat="1" customHeight="1" s="209">
      <c r="A348" s="219" t="n">
        <v>346</v>
      </c>
      <c r="B348" s="14" t="inlineStr">
        <is>
          <t>KQCY0335</t>
        </is>
      </c>
      <c r="C348" s="221" t="inlineStr">
        <is>
          <t>餐饮五分部</t>
        </is>
      </c>
      <c r="D348" s="221" t="inlineStr">
        <is>
          <t>CF134</t>
        </is>
      </c>
      <c r="E348" s="221" t="inlineStr">
        <is>
          <t>苏大独墅湖五食堂</t>
        </is>
      </c>
      <c r="F348" s="219" t="inlineStr">
        <is>
          <t>分组作业</t>
        </is>
      </c>
      <c r="G348" s="222" t="inlineStr">
        <is>
          <t>吉沐牛</t>
        </is>
      </c>
      <c r="H348" s="503" t="inlineStr">
        <is>
          <t>/</t>
        </is>
      </c>
      <c r="I348" s="355" t="inlineStr">
        <is>
          <t>山东炒鸡</t>
        </is>
      </c>
      <c r="J348" s="222" t="inlineStr">
        <is>
          <t>马明华</t>
        </is>
      </c>
      <c r="K348" s="224" t="inlineStr">
        <is>
          <t>/</t>
        </is>
      </c>
      <c r="L348" s="651" t="n">
        <v>770000</v>
      </c>
      <c r="M348" s="77" t="n">
        <v>0.18</v>
      </c>
      <c r="N348" s="77" t="inlineStr">
        <is>
          <t>/</t>
        </is>
      </c>
      <c r="O348" s="77" t="inlineStr">
        <is>
          <t>/</t>
        </is>
      </c>
      <c r="P348" s="77" t="inlineStr">
        <is>
          <t>/</t>
        </is>
      </c>
      <c r="Q348" s="77" t="inlineStr">
        <is>
          <t>/</t>
        </is>
      </c>
      <c r="R348" s="77" t="inlineStr">
        <is>
          <t>/</t>
        </is>
      </c>
      <c r="S348" s="77" t="inlineStr">
        <is>
          <t>/</t>
        </is>
      </c>
      <c r="T348" s="79" t="n"/>
      <c r="U348" s="77" t="n">
        <v>0.05</v>
      </c>
      <c r="V348" s="71" t="inlineStr">
        <is>
          <t>/</t>
        </is>
      </c>
      <c r="W348" s="77" t="n">
        <v>0.52</v>
      </c>
      <c r="X348" s="72" t="inlineStr">
        <is>
          <t>/</t>
        </is>
      </c>
      <c r="Y348" s="72" t="inlineStr">
        <is>
          <t>/</t>
        </is>
      </c>
      <c r="Z348" s="72" t="inlineStr">
        <is>
          <t>/</t>
        </is>
      </c>
      <c r="AA348" s="72" t="inlineStr">
        <is>
          <t>/</t>
        </is>
      </c>
      <c r="AB348" s="51" t="inlineStr">
        <is>
          <t>/</t>
        </is>
      </c>
      <c r="AC348" s="46" t="inlineStr">
        <is>
          <t>/</t>
        </is>
      </c>
      <c r="AD348" s="82" t="inlineStr">
        <is>
          <t>1、虫害消杀：项目反馈不收取，包含在服务费中；
2、装修折旧费：项目反馈不收取，包含在服务费中；
3、甲方人员工资：项目反馈不收取，包含在服务费中；
4、甲方捐赠：项目反馈不收取，包含在服务费中；</t>
        </is>
      </c>
      <c r="AE348" s="25" t="inlineStr">
        <is>
          <t>1、签订期间：2026.1-7月；
2、指标按照全年换算；</t>
        </is>
      </c>
      <c r="AF348"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49" ht="72" customFormat="1" customHeight="1" s="209">
      <c r="A349" s="219" t="n">
        <v>347</v>
      </c>
      <c r="B349" s="14" t="inlineStr">
        <is>
          <t>KQCY0336</t>
        </is>
      </c>
      <c r="C349" s="221" t="inlineStr">
        <is>
          <t>餐饮五分部</t>
        </is>
      </c>
      <c r="D349" s="221" t="inlineStr">
        <is>
          <t>CF134</t>
        </is>
      </c>
      <c r="E349" s="221" t="inlineStr">
        <is>
          <t>苏大独墅湖五食堂</t>
        </is>
      </c>
      <c r="F349" s="219" t="inlineStr">
        <is>
          <t>分组作业</t>
        </is>
      </c>
      <c r="G349" s="222" t="inlineStr">
        <is>
          <t>吉沐牛</t>
        </is>
      </c>
      <c r="H349" s="503" t="inlineStr">
        <is>
          <t>/</t>
        </is>
      </c>
      <c r="I349" s="355" t="inlineStr">
        <is>
          <t>拌饭(套餐饭)</t>
        </is>
      </c>
      <c r="J349" s="222" t="inlineStr">
        <is>
          <t>刘兆安</t>
        </is>
      </c>
      <c r="K349" s="224" t="inlineStr">
        <is>
          <t>/</t>
        </is>
      </c>
      <c r="L349" s="651" t="n">
        <v>1480000</v>
      </c>
      <c r="M349" s="77" t="n">
        <v>0.18</v>
      </c>
      <c r="N349" s="77" t="inlineStr">
        <is>
          <t>/</t>
        </is>
      </c>
      <c r="O349" s="77" t="inlineStr">
        <is>
          <t>/</t>
        </is>
      </c>
      <c r="P349" s="77" t="inlineStr">
        <is>
          <t>/</t>
        </is>
      </c>
      <c r="Q349" s="77" t="inlineStr">
        <is>
          <t>/</t>
        </is>
      </c>
      <c r="R349" s="77" t="inlineStr">
        <is>
          <t>/</t>
        </is>
      </c>
      <c r="S349" s="77" t="inlineStr">
        <is>
          <t>/</t>
        </is>
      </c>
      <c r="T349" s="79" t="n"/>
      <c r="U349" s="84" t="n">
        <v>0.05</v>
      </c>
      <c r="V349" s="71" t="inlineStr">
        <is>
          <t>/</t>
        </is>
      </c>
      <c r="W349" s="157" t="n">
        <v>0.52</v>
      </c>
      <c r="X349" s="72" t="inlineStr">
        <is>
          <t>/</t>
        </is>
      </c>
      <c r="Y349" s="72" t="inlineStr">
        <is>
          <t>/</t>
        </is>
      </c>
      <c r="Z349" s="72" t="inlineStr">
        <is>
          <t>/</t>
        </is>
      </c>
      <c r="AA349" s="72" t="inlineStr">
        <is>
          <t>/</t>
        </is>
      </c>
      <c r="AB349" s="51" t="inlineStr">
        <is>
          <t>/</t>
        </is>
      </c>
      <c r="AC349" s="46" t="inlineStr">
        <is>
          <t>/</t>
        </is>
      </c>
      <c r="AD349" s="82" t="inlineStr">
        <is>
          <t>1、虫害消杀：项目反馈不收取，包含在服务费中；
2、装修折旧费：项目反馈不收取，包含在服务费中；
3、甲方人员工资：项目反馈不收取，包含在服务费中；
4、甲方捐赠：项目反馈不收取，包含在服务费中；</t>
        </is>
      </c>
      <c r="AE349" s="25" t="inlineStr">
        <is>
          <t>1、签订期间：2026.1-7月；
2、指标按照全年换算；</t>
        </is>
      </c>
      <c r="AF349"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50" ht="72" customFormat="1" customHeight="1" s="209">
      <c r="A350" s="219" t="n">
        <v>348</v>
      </c>
      <c r="B350" s="14" t="inlineStr">
        <is>
          <t>KQCY0337</t>
        </is>
      </c>
      <c r="C350" s="221" t="inlineStr">
        <is>
          <t>餐饮五分部</t>
        </is>
      </c>
      <c r="D350" s="221" t="inlineStr">
        <is>
          <t>CF134</t>
        </is>
      </c>
      <c r="E350" s="221" t="inlineStr">
        <is>
          <t>苏大独墅湖五食堂</t>
        </is>
      </c>
      <c r="F350" s="219" t="inlineStr">
        <is>
          <t>分组作业</t>
        </is>
      </c>
      <c r="G350" s="222" t="inlineStr">
        <is>
          <t>吉沐牛</t>
        </is>
      </c>
      <c r="H350" s="503" t="inlineStr">
        <is>
          <t>/</t>
        </is>
      </c>
      <c r="I350" s="355" t="inlineStr">
        <is>
          <t>辣椒炒肉</t>
        </is>
      </c>
      <c r="J350" s="222" t="inlineStr">
        <is>
          <t>李美蓉</t>
        </is>
      </c>
      <c r="K350" s="224" t="inlineStr">
        <is>
          <t>/</t>
        </is>
      </c>
      <c r="L350" s="651" t="n">
        <v>680000</v>
      </c>
      <c r="M350" s="77" t="n">
        <v>0.18</v>
      </c>
      <c r="N350" s="77" t="inlineStr">
        <is>
          <t>/</t>
        </is>
      </c>
      <c r="O350" s="77" t="inlineStr">
        <is>
          <t>/</t>
        </is>
      </c>
      <c r="P350" s="77" t="inlineStr">
        <is>
          <t>/</t>
        </is>
      </c>
      <c r="Q350" s="77" t="inlineStr">
        <is>
          <t>/</t>
        </is>
      </c>
      <c r="R350" s="77" t="inlineStr">
        <is>
          <t>/</t>
        </is>
      </c>
      <c r="S350" s="77" t="inlineStr">
        <is>
          <t>/</t>
        </is>
      </c>
      <c r="T350" s="79" t="n"/>
      <c r="U350" s="84" t="n">
        <v>0.05</v>
      </c>
      <c r="V350" s="158" t="inlineStr">
        <is>
          <t>/</t>
        </is>
      </c>
      <c r="W350" s="77" t="n">
        <v>0.52</v>
      </c>
      <c r="X350" s="159" t="inlineStr">
        <is>
          <t>/</t>
        </is>
      </c>
      <c r="Y350" s="72" t="inlineStr">
        <is>
          <t>/</t>
        </is>
      </c>
      <c r="Z350" s="72" t="inlineStr">
        <is>
          <t>/</t>
        </is>
      </c>
      <c r="AA350" s="72" t="inlineStr">
        <is>
          <t>/</t>
        </is>
      </c>
      <c r="AB350" s="51" t="inlineStr">
        <is>
          <t>/</t>
        </is>
      </c>
      <c r="AC350" s="46" t="inlineStr">
        <is>
          <t>/</t>
        </is>
      </c>
      <c r="AD350" s="82" t="inlineStr">
        <is>
          <t>1、虫害消杀：项目反馈不收取，包含在服务费中；
2、装修折旧费：项目反馈不收取，包含在服务费中；
3、甲方人员工资：项目反馈不收取，包含在服务费中；
4、甲方捐赠：项目反馈不收取，包含在服务费中；</t>
        </is>
      </c>
      <c r="AE350" s="25" t="inlineStr">
        <is>
          <t>1、签订期间：2026.1-7月；
2、指标按照全年换算；</t>
        </is>
      </c>
      <c r="AF350"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51" ht="72" customFormat="1" customHeight="1" s="209">
      <c r="A351" s="219" t="n">
        <v>349</v>
      </c>
      <c r="B351" s="14" t="inlineStr">
        <is>
          <t>KQCY0338</t>
        </is>
      </c>
      <c r="C351" s="221" t="inlineStr">
        <is>
          <t>餐饮五分部</t>
        </is>
      </c>
      <c r="D351" s="221" t="inlineStr">
        <is>
          <t>CF134</t>
        </is>
      </c>
      <c r="E351" s="221" t="inlineStr">
        <is>
          <t>苏大独墅湖五食堂</t>
        </is>
      </c>
      <c r="F351" s="219" t="inlineStr">
        <is>
          <t>分组作业</t>
        </is>
      </c>
      <c r="G351" s="222" t="inlineStr">
        <is>
          <t>吉沐牛</t>
        </is>
      </c>
      <c r="H351" s="503" t="inlineStr">
        <is>
          <t>/</t>
        </is>
      </c>
      <c r="I351" s="355" t="inlineStr">
        <is>
          <t>手工水饺</t>
        </is>
      </c>
      <c r="J351" s="222" t="inlineStr">
        <is>
          <t>王光芬</t>
        </is>
      </c>
      <c r="K351" s="224" t="inlineStr">
        <is>
          <t>/</t>
        </is>
      </c>
      <c r="L351" s="651" t="n">
        <v>780000</v>
      </c>
      <c r="M351" s="77" t="n">
        <v>0.18</v>
      </c>
      <c r="N351" s="77" t="inlineStr">
        <is>
          <t>/</t>
        </is>
      </c>
      <c r="O351" s="77" t="inlineStr">
        <is>
          <t>/</t>
        </is>
      </c>
      <c r="P351" s="77" t="inlineStr">
        <is>
          <t>/</t>
        </is>
      </c>
      <c r="Q351" s="77" t="inlineStr">
        <is>
          <t>/</t>
        </is>
      </c>
      <c r="R351" s="77" t="inlineStr">
        <is>
          <t>/</t>
        </is>
      </c>
      <c r="S351" s="77" t="inlineStr">
        <is>
          <t>/</t>
        </is>
      </c>
      <c r="T351" s="79" t="n"/>
      <c r="U351" s="84" t="n">
        <v>0.04</v>
      </c>
      <c r="V351" s="158" t="inlineStr">
        <is>
          <t>/</t>
        </is>
      </c>
      <c r="W351" s="77" t="n">
        <v>0.52</v>
      </c>
      <c r="X351" s="159" t="inlineStr">
        <is>
          <t>/</t>
        </is>
      </c>
      <c r="Y351" s="72" t="inlineStr">
        <is>
          <t>/</t>
        </is>
      </c>
      <c r="Z351" s="72" t="inlineStr">
        <is>
          <t>/</t>
        </is>
      </c>
      <c r="AA351" s="72" t="inlineStr">
        <is>
          <t>/</t>
        </is>
      </c>
      <c r="AB351" s="51" t="inlineStr">
        <is>
          <t>/</t>
        </is>
      </c>
      <c r="AC351" s="46" t="inlineStr">
        <is>
          <t>/</t>
        </is>
      </c>
      <c r="AD351" s="82" t="inlineStr">
        <is>
          <t>1、虫害消杀：项目反馈不收取，包含在服务费中；
2、装修折旧费：项目反馈不收取，包含在服务费中；
3、甲方人员工资：项目反馈不收取，包含在服务费中；
4、甲方捐赠：项目反馈不收取，包含在服务费中；</t>
        </is>
      </c>
      <c r="AE351" s="25" t="inlineStr">
        <is>
          <t>1、签订期间：2026.1-7月；
2、指标按照全年换算；</t>
        </is>
      </c>
      <c r="AF351"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52" ht="72" customFormat="1" customHeight="1" s="209">
      <c r="A352" s="219" t="n">
        <v>350</v>
      </c>
      <c r="B352" s="14" t="inlineStr">
        <is>
          <t>KQCY0339</t>
        </is>
      </c>
      <c r="C352" s="221" t="inlineStr">
        <is>
          <t>餐饮五分部</t>
        </is>
      </c>
      <c r="D352" s="221" t="inlineStr">
        <is>
          <t>CF134</t>
        </is>
      </c>
      <c r="E352" s="221" t="inlineStr">
        <is>
          <t>苏大独墅湖五食堂</t>
        </is>
      </c>
      <c r="F352" s="219" t="inlineStr">
        <is>
          <t>分组作业</t>
        </is>
      </c>
      <c r="G352" s="222" t="inlineStr">
        <is>
          <t>吉沐牛</t>
        </is>
      </c>
      <c r="H352" s="503" t="inlineStr">
        <is>
          <t>/</t>
        </is>
      </c>
      <c r="I352" s="355" t="inlineStr">
        <is>
          <t>刀削面</t>
        </is>
      </c>
      <c r="J352" s="222" t="inlineStr">
        <is>
          <t>刘红东</t>
        </is>
      </c>
      <c r="K352" s="224" t="inlineStr">
        <is>
          <t>/</t>
        </is>
      </c>
      <c r="L352" s="651" t="n">
        <v>720000</v>
      </c>
      <c r="M352" s="77" t="n">
        <v>0.18</v>
      </c>
      <c r="N352" s="77" t="inlineStr">
        <is>
          <t>/</t>
        </is>
      </c>
      <c r="O352" s="77" t="inlineStr">
        <is>
          <t>/</t>
        </is>
      </c>
      <c r="P352" s="77" t="inlineStr">
        <is>
          <t>/</t>
        </is>
      </c>
      <c r="Q352" s="77" t="inlineStr">
        <is>
          <t>/</t>
        </is>
      </c>
      <c r="R352" s="77" t="inlineStr">
        <is>
          <t>/</t>
        </is>
      </c>
      <c r="S352" s="77" t="inlineStr">
        <is>
          <t>/</t>
        </is>
      </c>
      <c r="T352" s="79" t="n"/>
      <c r="U352" s="84" t="n">
        <v>0.05</v>
      </c>
      <c r="V352" s="158" t="inlineStr">
        <is>
          <t>/</t>
        </is>
      </c>
      <c r="W352" s="77" t="n">
        <v>0.52</v>
      </c>
      <c r="X352" s="159" t="inlineStr">
        <is>
          <t>/</t>
        </is>
      </c>
      <c r="Y352" s="72" t="inlineStr">
        <is>
          <t>/</t>
        </is>
      </c>
      <c r="Z352" s="72" t="inlineStr">
        <is>
          <t>/</t>
        </is>
      </c>
      <c r="AA352" s="72" t="inlineStr">
        <is>
          <t>/</t>
        </is>
      </c>
      <c r="AB352" s="51" t="inlineStr">
        <is>
          <t>/</t>
        </is>
      </c>
      <c r="AC352" s="46" t="inlineStr">
        <is>
          <t>/</t>
        </is>
      </c>
      <c r="AD352" s="82" t="inlineStr">
        <is>
          <t>1、虫害消杀：项目反馈不收取，包含在服务费中；
2、装修折旧费：项目反馈不收取，包含在服务费中；
3、甲方人员工资：项目反馈不收取，包含在服务费中；
4、甲方捐赠：项目反馈不收取，包含在服务费中；</t>
        </is>
      </c>
      <c r="AE352" s="25" t="inlineStr">
        <is>
          <t>1、签订期间：2026.1-7月；
2、指标按照全年换算；</t>
        </is>
      </c>
      <c r="AF352"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53" ht="72" customFormat="1" customHeight="1" s="209">
      <c r="A353" s="219" t="n">
        <v>351</v>
      </c>
      <c r="B353" s="14" t="inlineStr">
        <is>
          <t>KQCY0340</t>
        </is>
      </c>
      <c r="C353" s="221" t="inlineStr">
        <is>
          <t>餐饮五分部</t>
        </is>
      </c>
      <c r="D353" s="221" t="inlineStr">
        <is>
          <t>CF134</t>
        </is>
      </c>
      <c r="E353" s="221" t="inlineStr">
        <is>
          <t>苏大独墅湖五食堂</t>
        </is>
      </c>
      <c r="F353" s="219" t="inlineStr">
        <is>
          <t>分组作业</t>
        </is>
      </c>
      <c r="G353" s="222" t="inlineStr">
        <is>
          <t>吉沐牛</t>
        </is>
      </c>
      <c r="H353" s="503" t="inlineStr">
        <is>
          <t>/</t>
        </is>
      </c>
      <c r="I353" s="355" t="inlineStr">
        <is>
          <t>奶茶、炸鸡</t>
        </is>
      </c>
      <c r="J353" s="222" t="inlineStr">
        <is>
          <t>张斌</t>
        </is>
      </c>
      <c r="K353" s="224" t="inlineStr">
        <is>
          <t>/</t>
        </is>
      </c>
      <c r="L353" s="651" t="n">
        <v>1100000</v>
      </c>
      <c r="M353" s="77" t="n">
        <v>0.1</v>
      </c>
      <c r="N353" s="77" t="inlineStr">
        <is>
          <t>/</t>
        </is>
      </c>
      <c r="O353" s="77" t="inlineStr">
        <is>
          <t>/</t>
        </is>
      </c>
      <c r="P353" s="77" t="inlineStr">
        <is>
          <t>/</t>
        </is>
      </c>
      <c r="Q353" s="77" t="inlineStr">
        <is>
          <t>/</t>
        </is>
      </c>
      <c r="R353" s="77" t="inlineStr">
        <is>
          <t>/</t>
        </is>
      </c>
      <c r="S353" s="77" t="inlineStr">
        <is>
          <t>/</t>
        </is>
      </c>
      <c r="T353" s="79" t="n"/>
      <c r="U353" s="84" t="n">
        <v>0.03</v>
      </c>
      <c r="V353" s="158" t="inlineStr">
        <is>
          <t>/</t>
        </is>
      </c>
      <c r="W353" s="77" t="n">
        <v>0.52</v>
      </c>
      <c r="X353" s="159" t="inlineStr">
        <is>
          <t>/</t>
        </is>
      </c>
      <c r="Y353" s="72" t="inlineStr">
        <is>
          <t>/</t>
        </is>
      </c>
      <c r="Z353" s="72" t="inlineStr">
        <is>
          <t>/</t>
        </is>
      </c>
      <c r="AA353" s="72" t="inlineStr">
        <is>
          <t>/</t>
        </is>
      </c>
      <c r="AB353" s="51" t="inlineStr">
        <is>
          <t>/</t>
        </is>
      </c>
      <c r="AC353" s="46" t="inlineStr">
        <is>
          <t>/</t>
        </is>
      </c>
      <c r="AD353" s="82" t="inlineStr">
        <is>
          <t>1、虫害消杀：项目反馈不收取，包含在服务费中；
2、装修折旧费：项目反馈不收取，包含在服务费中；
3、甲方人员工资：项目反馈不收取，包含在服务费中；
4、甲方捐赠：项目反馈不收取，包含在服务费中；</t>
        </is>
      </c>
      <c r="AE353" s="25" t="inlineStr">
        <is>
          <t>1、签订期间：2026.1-7月；
2、指标按照全年换算；</t>
        </is>
      </c>
      <c r="AF353"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54" ht="12" customFormat="1" customHeight="1" s="209">
      <c r="A354" s="219" t="n">
        <v>352</v>
      </c>
      <c r="B354" s="14" t="inlineStr">
        <is>
          <t>KQCY0341</t>
        </is>
      </c>
      <c r="C354" s="221" t="inlineStr">
        <is>
          <t>餐饮六分部</t>
        </is>
      </c>
      <c r="D354" s="221" t="inlineStr">
        <is>
          <t>CF293</t>
        </is>
      </c>
      <c r="E354" s="221" t="inlineStr">
        <is>
          <t>江苏二师石湫校区食堂</t>
        </is>
      </c>
      <c r="F354" s="219" t="inlineStr">
        <is>
          <t>自营</t>
        </is>
      </c>
      <c r="G354" s="222" t="inlineStr">
        <is>
          <t>吉沐牛</t>
        </is>
      </c>
      <c r="H354" s="222" t="inlineStr">
        <is>
          <t>/</t>
        </is>
      </c>
      <c r="I354" s="355" t="inlineStr">
        <is>
          <t>/</t>
        </is>
      </c>
      <c r="J354" s="222" t="inlineStr">
        <is>
          <t>/</t>
        </is>
      </c>
      <c r="K354" s="224" t="inlineStr">
        <is>
          <t>/</t>
        </is>
      </c>
      <c r="L354" s="651" t="inlineStr">
        <is>
          <t>/</t>
        </is>
      </c>
      <c r="M354" s="77" t="inlineStr">
        <is>
          <t>/</t>
        </is>
      </c>
      <c r="N354" s="78" t="n"/>
      <c r="O354" s="77" t="inlineStr">
        <is>
          <t>/</t>
        </is>
      </c>
      <c r="P354" s="78" t="n"/>
      <c r="Q354" s="77" t="inlineStr">
        <is>
          <t>/</t>
        </is>
      </c>
      <c r="R354" s="77" t="inlineStr">
        <is>
          <t>/</t>
        </is>
      </c>
      <c r="S354" s="77" t="inlineStr">
        <is>
          <t>/</t>
        </is>
      </c>
      <c r="T354" s="78" t="n"/>
      <c r="U354" s="78" t="n"/>
      <c r="V354" s="160" t="inlineStr">
        <is>
          <t>/</t>
        </is>
      </c>
      <c r="W354" s="161" t="n"/>
      <c r="X354" s="162" t="n">
        <v>0.03</v>
      </c>
      <c r="Y354" s="72" t="inlineStr">
        <is>
          <t>/</t>
        </is>
      </c>
      <c r="Z354" s="80" t="n"/>
      <c r="AA354" s="80" t="n"/>
      <c r="AB354" s="46" t="n">
        <v>0.045</v>
      </c>
      <c r="AC354" s="46" t="inlineStr">
        <is>
          <t>/</t>
        </is>
      </c>
      <c r="AD354" s="76" t="n"/>
      <c r="AE354" s="25" t="n"/>
      <c r="AF354" s="206" t="n"/>
    </row>
    <row r="355" ht="84" customFormat="1" customHeight="1" s="209">
      <c r="A355" s="219" t="n">
        <v>353</v>
      </c>
      <c r="B355" s="14" t="inlineStr">
        <is>
          <t>KQCY0342</t>
        </is>
      </c>
      <c r="C355" s="221" t="inlineStr">
        <is>
          <t>餐饮六分部</t>
        </is>
      </c>
      <c r="D355" s="221" t="inlineStr">
        <is>
          <t>CF293</t>
        </is>
      </c>
      <c r="E355" s="221" t="inlineStr">
        <is>
          <t>江苏二师石湫校区食堂</t>
        </is>
      </c>
      <c r="F355" s="219" t="inlineStr">
        <is>
          <t>分组作业</t>
        </is>
      </c>
      <c r="G355" s="222" t="inlineStr">
        <is>
          <t>吉沐牛</t>
        </is>
      </c>
      <c r="H355" s="219" t="inlineStr">
        <is>
          <t>第二班组</t>
        </is>
      </c>
      <c r="I355" s="237" t="inlineStr">
        <is>
          <t>水饺面条</t>
        </is>
      </c>
      <c r="J355" s="219" t="inlineStr">
        <is>
          <t>申亮</t>
        </is>
      </c>
      <c r="K355" s="224" t="inlineStr">
        <is>
          <t>/</t>
        </is>
      </c>
      <c r="L355" s="651" t="n">
        <v>375000</v>
      </c>
      <c r="M355" s="84" t="n">
        <v>0.19</v>
      </c>
      <c r="N355" s="77" t="inlineStr">
        <is>
          <t>/</t>
        </is>
      </c>
      <c r="O355" s="77" t="inlineStr">
        <is>
          <t>/</t>
        </is>
      </c>
      <c r="P355" s="81" t="inlineStr">
        <is>
          <t>/</t>
        </is>
      </c>
      <c r="Q355" s="81" t="inlineStr">
        <is>
          <t>/</t>
        </is>
      </c>
      <c r="R355" s="81" t="inlineStr">
        <is>
          <t>/</t>
        </is>
      </c>
      <c r="S355" s="71" t="inlineStr">
        <is>
          <t>/</t>
        </is>
      </c>
      <c r="T355" s="81" t="n">
        <v>0.035</v>
      </c>
      <c r="U355" s="70" t="n">
        <v>0.055</v>
      </c>
      <c r="V355" s="71" t="inlineStr">
        <is>
          <t>/</t>
        </is>
      </c>
      <c r="W355" s="163" t="n">
        <v>0.2</v>
      </c>
      <c r="X355" s="77" t="inlineStr">
        <is>
          <t>/</t>
        </is>
      </c>
      <c r="Y355" s="72" t="inlineStr">
        <is>
          <t>/</t>
        </is>
      </c>
      <c r="Z355" s="72" t="inlineStr">
        <is>
          <t>/</t>
        </is>
      </c>
      <c r="AA355" s="72" t="inlineStr">
        <is>
          <t>/</t>
        </is>
      </c>
      <c r="AB355" s="46" t="inlineStr">
        <is>
          <t>/</t>
        </is>
      </c>
      <c r="AC355" s="46" t="inlineStr">
        <is>
          <t>/</t>
        </is>
      </c>
      <c r="AD355" s="76" t="inlineStr">
        <is>
          <t>1、装修折旧费：项目反馈不收取，包含在服务费中；
2、甲方管理费：项目反馈不收取，包含在服务费中；
3、甲方人员工资：项目反馈不收取，包含在服务费中；
4、甲方捐赠：项目反馈不收取，包含在服务费中；</t>
        </is>
      </c>
      <c r="AE355" s="25" t="inlineStr">
        <is>
          <t>1、签订期间：2026.3-2027.2月；
2、指标按照全年换算；</t>
        </is>
      </c>
      <c r="AF355"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20%营业额，月度结算时若未达到所报比例，按以上比例结算。
问题：目前未按约定执行，待明确；</t>
        </is>
      </c>
    </row>
    <row r="356" ht="84" customFormat="1" customHeight="1" s="209">
      <c r="A356" s="219" t="n">
        <v>354</v>
      </c>
      <c r="B356" s="14" t="inlineStr">
        <is>
          <t>KQCY0343</t>
        </is>
      </c>
      <c r="C356" s="221" t="inlineStr">
        <is>
          <t>餐饮六分部</t>
        </is>
      </c>
      <c r="D356" s="221" t="inlineStr">
        <is>
          <t>CF293</t>
        </is>
      </c>
      <c r="E356" s="221" t="inlineStr">
        <is>
          <t>江苏二师石湫校区食堂</t>
        </is>
      </c>
      <c r="F356" s="219" t="inlineStr">
        <is>
          <t>分组作业</t>
        </is>
      </c>
      <c r="G356" s="222" t="inlineStr">
        <is>
          <t>吉沐牛</t>
        </is>
      </c>
      <c r="H356" s="219" t="inlineStr">
        <is>
          <t>第三班组</t>
        </is>
      </c>
      <c r="I356" s="237" t="inlineStr">
        <is>
          <t>湘西小炒</t>
        </is>
      </c>
      <c r="J356" s="219" t="inlineStr">
        <is>
          <t>李帮</t>
        </is>
      </c>
      <c r="K356" s="224" t="inlineStr">
        <is>
          <t>/</t>
        </is>
      </c>
      <c r="L356" s="651" t="n">
        <v>395000</v>
      </c>
      <c r="M356" s="84" t="n">
        <v>0.19</v>
      </c>
      <c r="N356" s="77" t="inlineStr">
        <is>
          <t>/</t>
        </is>
      </c>
      <c r="O356" s="77" t="inlineStr">
        <is>
          <t>/</t>
        </is>
      </c>
      <c r="P356" s="81" t="inlineStr">
        <is>
          <t>/</t>
        </is>
      </c>
      <c r="Q356" s="81" t="inlineStr">
        <is>
          <t>/</t>
        </is>
      </c>
      <c r="R356" s="81" t="inlineStr">
        <is>
          <t>/</t>
        </is>
      </c>
      <c r="S356" s="71" t="inlineStr">
        <is>
          <t>/</t>
        </is>
      </c>
      <c r="T356" s="81" t="n">
        <v>0.035</v>
      </c>
      <c r="U356" s="70" t="n">
        <v>0.055</v>
      </c>
      <c r="V356" s="71" t="inlineStr">
        <is>
          <t>/</t>
        </is>
      </c>
      <c r="W356" s="77" t="n">
        <v>0.2</v>
      </c>
      <c r="X356" s="77" t="inlineStr">
        <is>
          <t>/</t>
        </is>
      </c>
      <c r="Y356" s="72" t="inlineStr">
        <is>
          <t>/</t>
        </is>
      </c>
      <c r="Z356" s="72" t="inlineStr">
        <is>
          <t>/</t>
        </is>
      </c>
      <c r="AA356" s="72" t="inlineStr">
        <is>
          <t>/</t>
        </is>
      </c>
      <c r="AB356" s="46" t="inlineStr">
        <is>
          <t>/</t>
        </is>
      </c>
      <c r="AC356" s="46" t="inlineStr">
        <is>
          <t>/</t>
        </is>
      </c>
      <c r="AD356" s="76" t="inlineStr">
        <is>
          <t>1、装修折旧费：项目反馈不收取，包含在服务费中；
2、甲方管理费：项目反馈不收取，包含在服务费中；
3、甲方人员工资：项目反馈不收取，包含在服务费中；
4、甲方捐赠：项目反馈不收取，包含在服务费中；</t>
        </is>
      </c>
      <c r="AE356" s="25" t="inlineStr">
        <is>
          <t>1、签订期间：2026.3-2027.2月；
2、指标按照全年换算；</t>
        </is>
      </c>
      <c r="AF356"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20%营业额，月度结算时若未达到所报比例，按以上比例结算。
问题：目前未按约定执行，待明确；</t>
        </is>
      </c>
    </row>
    <row r="357" ht="84" customFormat="1" customHeight="1" s="209">
      <c r="A357" s="219" t="n">
        <v>355</v>
      </c>
      <c r="B357" s="14" t="inlineStr">
        <is>
          <t>KQCY0344</t>
        </is>
      </c>
      <c r="C357" s="221" t="inlineStr">
        <is>
          <t>餐饮六分部</t>
        </is>
      </c>
      <c r="D357" s="221" t="inlineStr">
        <is>
          <t>CF293</t>
        </is>
      </c>
      <c r="E357" s="221" t="inlineStr">
        <is>
          <t>江苏二师石湫校区食堂</t>
        </is>
      </c>
      <c r="F357" s="219" t="inlineStr">
        <is>
          <t>分组作业</t>
        </is>
      </c>
      <c r="G357" s="222" t="inlineStr">
        <is>
          <t>吉沐牛</t>
        </is>
      </c>
      <c r="H357" s="219" t="inlineStr">
        <is>
          <t>第七班组</t>
        </is>
      </c>
      <c r="I357" s="237" t="inlineStr">
        <is>
          <t>早餐</t>
        </is>
      </c>
      <c r="J357" s="219" t="inlineStr">
        <is>
          <t>李帮</t>
        </is>
      </c>
      <c r="K357" s="224" t="inlineStr">
        <is>
          <t>/</t>
        </is>
      </c>
      <c r="L357" s="651" t="n">
        <v>968000</v>
      </c>
      <c r="M357" s="84" t="n">
        <v>0.19</v>
      </c>
      <c r="N357" s="77" t="inlineStr">
        <is>
          <t>/</t>
        </is>
      </c>
      <c r="O357" s="77" t="inlineStr">
        <is>
          <t>/</t>
        </is>
      </c>
      <c r="P357" s="81" t="inlineStr">
        <is>
          <t>/</t>
        </is>
      </c>
      <c r="Q357" s="81" t="inlineStr">
        <is>
          <t>/</t>
        </is>
      </c>
      <c r="R357" s="81" t="inlineStr">
        <is>
          <t>/</t>
        </is>
      </c>
      <c r="S357" s="71" t="inlineStr">
        <is>
          <t>/</t>
        </is>
      </c>
      <c r="T357" s="81" t="n">
        <v>0.025</v>
      </c>
      <c r="U357" s="70" t="n">
        <v>0.055</v>
      </c>
      <c r="V357" s="71" t="inlineStr">
        <is>
          <t>/</t>
        </is>
      </c>
      <c r="W357" s="77" t="n">
        <v>0.2</v>
      </c>
      <c r="X357" s="77" t="inlineStr">
        <is>
          <t>/</t>
        </is>
      </c>
      <c r="Y357" s="72" t="inlineStr">
        <is>
          <t>/</t>
        </is>
      </c>
      <c r="Z357" s="74" t="n">
        <v>7500</v>
      </c>
      <c r="AA357" s="72" t="inlineStr">
        <is>
          <t>/</t>
        </is>
      </c>
      <c r="AB357" s="46" t="inlineStr">
        <is>
          <t>/</t>
        </is>
      </c>
      <c r="AC357" s="46" t="inlineStr">
        <is>
          <t>/</t>
        </is>
      </c>
      <c r="AD357" s="76" t="inlineStr">
        <is>
          <t>1、装修折旧费：项目反馈不收取，包含在服务费中；
2、甲方管理费：项目反馈不收取，包含在服务费中；
3、甲方人员工资：甲方人员工资：7500/月，寒暑假/；
4、甲方捐赠：项目反馈不收取，包含在服务费中；</t>
        </is>
      </c>
      <c r="AE357" s="25" t="inlineStr">
        <is>
          <t>1、签订期间：2026.3-2027.2月；
2、指标按照全年换算；</t>
        </is>
      </c>
      <c r="AF357"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20%营业额，月度结算时若未达到所报比例，按以上比例结算。
问题：目前未按约定执行，待明确；</t>
        </is>
      </c>
    </row>
    <row r="358" ht="84" customFormat="1" customHeight="1" s="209">
      <c r="A358" s="219" t="n">
        <v>356</v>
      </c>
      <c r="B358" s="14" t="inlineStr">
        <is>
          <t>KQCY0345</t>
        </is>
      </c>
      <c r="C358" s="221" t="inlineStr">
        <is>
          <t>餐饮六分部</t>
        </is>
      </c>
      <c r="D358" s="221" t="inlineStr">
        <is>
          <t>CF293</t>
        </is>
      </c>
      <c r="E358" s="221" t="inlineStr">
        <is>
          <t>江苏二师石湫校区食堂</t>
        </is>
      </c>
      <c r="F358" s="219" t="inlineStr">
        <is>
          <t>分组作业</t>
        </is>
      </c>
      <c r="G358" s="222" t="inlineStr">
        <is>
          <t>吉沐牛</t>
        </is>
      </c>
      <c r="H358" s="219" t="inlineStr">
        <is>
          <t>第一班组</t>
        </is>
      </c>
      <c r="I358" s="237" t="inlineStr">
        <is>
          <t>营养粥(肠粉)</t>
        </is>
      </c>
      <c r="J358" s="219" t="inlineStr">
        <is>
          <t>申亮</t>
        </is>
      </c>
      <c r="K358" s="224" t="inlineStr">
        <is>
          <t>/</t>
        </is>
      </c>
      <c r="L358" s="651" t="n">
        <v>810000</v>
      </c>
      <c r="M358" s="84" t="n">
        <v>0.19</v>
      </c>
      <c r="N358" s="77" t="inlineStr">
        <is>
          <t>/</t>
        </is>
      </c>
      <c r="O358" s="77" t="inlineStr">
        <is>
          <t>/</t>
        </is>
      </c>
      <c r="P358" s="81" t="inlineStr">
        <is>
          <t>/</t>
        </is>
      </c>
      <c r="Q358" s="81" t="inlineStr">
        <is>
          <t>/</t>
        </is>
      </c>
      <c r="R358" s="81" t="inlineStr">
        <is>
          <t>/</t>
        </is>
      </c>
      <c r="S358" s="71" t="inlineStr">
        <is>
          <t>/</t>
        </is>
      </c>
      <c r="T358" s="81" t="n"/>
      <c r="U358" s="70" t="n"/>
      <c r="V358" s="71" t="inlineStr">
        <is>
          <t>/</t>
        </is>
      </c>
      <c r="W358" s="77" t="n">
        <v>0.53</v>
      </c>
      <c r="X358" s="77" t="inlineStr">
        <is>
          <t>/</t>
        </is>
      </c>
      <c r="Y358" s="72" t="inlineStr">
        <is>
          <t>/</t>
        </is>
      </c>
      <c r="Z358" s="72" t="inlineStr">
        <is>
          <t>/</t>
        </is>
      </c>
      <c r="AA358" s="72" t="inlineStr">
        <is>
          <t>/</t>
        </is>
      </c>
      <c r="AB358" s="46" t="inlineStr">
        <is>
          <t>/</t>
        </is>
      </c>
      <c r="AC358" s="46" t="inlineStr">
        <is>
          <t>/</t>
        </is>
      </c>
      <c r="AD358" s="76" t="inlineStr">
        <is>
          <t>1、装修折旧费：项目反馈不收取，包含在服务费中；
2、甲方管理费：项目反馈不收取，包含在服务费中；
3、甲方人员工资：项目反馈不收取，包含在服务费中；
4、甲方捐赠：项目反馈不收取，包含在服务费中；</t>
        </is>
      </c>
      <c r="AE358" s="25" t="inlineStr">
        <is>
          <t>1、签订期间：2025.8-2026.8月；
2、指标按照全年换算；</t>
        </is>
      </c>
      <c r="AF358"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53%营业额，月度结算时若未达到所报比例，按以上比例结算。
问题：目前未按约定执行，待明确；</t>
        </is>
      </c>
    </row>
    <row r="359" ht="84" customFormat="1" customHeight="1" s="209">
      <c r="A359" s="219" t="n">
        <v>357</v>
      </c>
      <c r="B359" s="14" t="inlineStr">
        <is>
          <t>KQCY0346</t>
        </is>
      </c>
      <c r="C359" s="221" t="inlineStr">
        <is>
          <t>餐饮六分部</t>
        </is>
      </c>
      <c r="D359" s="221" t="inlineStr">
        <is>
          <t>CF293</t>
        </is>
      </c>
      <c r="E359" s="221" t="inlineStr">
        <is>
          <t>江苏二师石湫校区食堂</t>
        </is>
      </c>
      <c r="F359" s="219" t="inlineStr">
        <is>
          <t>分组作业</t>
        </is>
      </c>
      <c r="G359" s="222" t="inlineStr">
        <is>
          <t>吉沐牛</t>
        </is>
      </c>
      <c r="H359" s="219" t="inlineStr">
        <is>
          <t>第五班组</t>
        </is>
      </c>
      <c r="I359" s="237" t="inlineStr">
        <is>
          <t>米线</t>
        </is>
      </c>
      <c r="J359" s="219" t="inlineStr">
        <is>
          <t>汪芳</t>
        </is>
      </c>
      <c r="K359" s="224" t="inlineStr">
        <is>
          <t>/</t>
        </is>
      </c>
      <c r="L359" s="651" t="n">
        <v>745000</v>
      </c>
      <c r="M359" s="84" t="n">
        <v>0.19</v>
      </c>
      <c r="N359" s="77" t="inlineStr">
        <is>
          <t>/</t>
        </is>
      </c>
      <c r="O359" s="77" t="inlineStr">
        <is>
          <t>/</t>
        </is>
      </c>
      <c r="P359" s="81" t="inlineStr">
        <is>
          <t>/</t>
        </is>
      </c>
      <c r="Q359" s="81" t="inlineStr">
        <is>
          <t>/</t>
        </is>
      </c>
      <c r="R359" s="81" t="inlineStr">
        <is>
          <t>/</t>
        </is>
      </c>
      <c r="S359" s="71" t="inlineStr">
        <is>
          <t>/</t>
        </is>
      </c>
      <c r="T359" s="81" t="n"/>
      <c r="U359" s="70" t="n"/>
      <c r="V359" s="71" t="inlineStr">
        <is>
          <t>/</t>
        </is>
      </c>
      <c r="W359" s="77" t="n">
        <v>0.53</v>
      </c>
      <c r="X359" s="77" t="inlineStr">
        <is>
          <t>/</t>
        </is>
      </c>
      <c r="Y359" s="72" t="inlineStr">
        <is>
          <t>/</t>
        </is>
      </c>
      <c r="Z359" s="72" t="inlineStr">
        <is>
          <t>/</t>
        </is>
      </c>
      <c r="AA359" s="72" t="inlineStr">
        <is>
          <t>/</t>
        </is>
      </c>
      <c r="AB359" s="46" t="inlineStr">
        <is>
          <t>/</t>
        </is>
      </c>
      <c r="AC359" s="46" t="inlineStr">
        <is>
          <t>/</t>
        </is>
      </c>
      <c r="AD359" s="76" t="inlineStr">
        <is>
          <t>1、装修折旧费：项目反馈不收取，包含在服务费中；
2、甲方管理费：项目反馈不收取，包含在服务费中；
3、甲方人员工资：项目反馈不收取，包含在服务费中；
4、甲方捐赠：项目反馈不收取，包含在服务费中；</t>
        </is>
      </c>
      <c r="AE359" s="25" t="inlineStr">
        <is>
          <t>1、签订期间：2025.8-2026.8月；
2、指标按照全年换算；</t>
        </is>
      </c>
      <c r="AF359"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53%营业额，月度结算时若未达到所报比例，按以上比例结算。
问题：目前未按约定执行，待明确；</t>
        </is>
      </c>
    </row>
    <row r="360" ht="84" customFormat="1" customHeight="1" s="209">
      <c r="A360" s="219" t="n">
        <v>358</v>
      </c>
      <c r="B360" s="14" t="inlineStr">
        <is>
          <t>KQCY0347</t>
        </is>
      </c>
      <c r="C360" s="221" t="inlineStr">
        <is>
          <t>餐饮六分部</t>
        </is>
      </c>
      <c r="D360" s="221" t="inlineStr">
        <is>
          <t>CF293</t>
        </is>
      </c>
      <c r="E360" s="221" t="inlineStr">
        <is>
          <t>江苏二师石湫校区食堂</t>
        </is>
      </c>
      <c r="F360" s="219" t="inlineStr">
        <is>
          <t>分组作业</t>
        </is>
      </c>
      <c r="G360" s="222" t="inlineStr">
        <is>
          <t>吉沐牛</t>
        </is>
      </c>
      <c r="H360" s="219" t="inlineStr">
        <is>
          <t>第六班组</t>
        </is>
      </c>
      <c r="I360" s="237" t="inlineStr">
        <is>
          <t>麻辣烫(麻辣拌)</t>
        </is>
      </c>
      <c r="J360" s="219" t="inlineStr">
        <is>
          <t>汪芳</t>
        </is>
      </c>
      <c r="K360" s="224" t="inlineStr">
        <is>
          <t>/</t>
        </is>
      </c>
      <c r="L360" s="651" t="n">
        <v>770000</v>
      </c>
      <c r="M360" s="84" t="n">
        <v>0.19</v>
      </c>
      <c r="N360" s="77" t="inlineStr">
        <is>
          <t>/</t>
        </is>
      </c>
      <c r="O360" s="77" t="inlineStr">
        <is>
          <t>/</t>
        </is>
      </c>
      <c r="P360" s="81" t="inlineStr">
        <is>
          <t>/</t>
        </is>
      </c>
      <c r="Q360" s="81" t="inlineStr">
        <is>
          <t>/</t>
        </is>
      </c>
      <c r="R360" s="81" t="inlineStr">
        <is>
          <t>/</t>
        </is>
      </c>
      <c r="S360" s="71" t="inlineStr">
        <is>
          <t>/</t>
        </is>
      </c>
      <c r="T360" s="81" t="n"/>
      <c r="U360" s="70" t="n"/>
      <c r="V360" s="71" t="inlineStr">
        <is>
          <t>/</t>
        </is>
      </c>
      <c r="W360" s="77" t="n">
        <v>0.53</v>
      </c>
      <c r="X360" s="77" t="inlineStr">
        <is>
          <t>/</t>
        </is>
      </c>
      <c r="Y360" s="72" t="inlineStr">
        <is>
          <t>/</t>
        </is>
      </c>
      <c r="Z360" s="72" t="inlineStr">
        <is>
          <t>/</t>
        </is>
      </c>
      <c r="AA360" s="72" t="inlineStr">
        <is>
          <t>/</t>
        </is>
      </c>
      <c r="AB360" s="46" t="inlineStr">
        <is>
          <t>/</t>
        </is>
      </c>
      <c r="AC360" s="46" t="inlineStr">
        <is>
          <t>/</t>
        </is>
      </c>
      <c r="AD360" s="76" t="inlineStr">
        <is>
          <t>1、装修折旧费：项目反馈不收取，包含在服务费中；
2、甲方管理费：项目反馈不收取，包含在服务费中；
3、甲方人员工资：项目反馈不收取，包含在服务费中；
4、甲方捐赠：项目反馈不收取，包含在服务费中；</t>
        </is>
      </c>
      <c r="AE360" s="25" t="inlineStr">
        <is>
          <t>1、签订期间：2025.8-2026.8月；
2、指标按照全年换算；</t>
        </is>
      </c>
      <c r="AF360"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53%营业额，月度结算时若未达到所报比例，按以上比例结算。
问题：目前未按约定执行，待明确；</t>
        </is>
      </c>
    </row>
    <row r="361" ht="84" customFormat="1" customHeight="1" s="209">
      <c r="A361" s="219" t="n">
        <v>359</v>
      </c>
      <c r="B361" s="14" t="inlineStr">
        <is>
          <t>KQCY0348</t>
        </is>
      </c>
      <c r="C361" s="221" t="inlineStr">
        <is>
          <t>餐饮六分部</t>
        </is>
      </c>
      <c r="D361" s="221" t="inlineStr">
        <is>
          <t>CF293</t>
        </is>
      </c>
      <c r="E361" s="221" t="inlineStr">
        <is>
          <t>江苏二师石湫校区食堂</t>
        </is>
      </c>
      <c r="F361" s="219" t="inlineStr">
        <is>
          <t>分组作业</t>
        </is>
      </c>
      <c r="G361" s="222" t="inlineStr">
        <is>
          <t>吉沐牛</t>
        </is>
      </c>
      <c r="H361" s="219" t="inlineStr">
        <is>
          <t>第八班组</t>
        </is>
      </c>
      <c r="I361" s="237" t="inlineStr">
        <is>
          <t>炸鸡(汉堡)</t>
        </is>
      </c>
      <c r="J361" s="219" t="inlineStr">
        <is>
          <t>熊跳</t>
        </is>
      </c>
      <c r="K361" s="224" t="inlineStr">
        <is>
          <t>/</t>
        </is>
      </c>
      <c r="L361" s="651" t="n">
        <v>745000</v>
      </c>
      <c r="M361" s="84" t="n">
        <v>0.14</v>
      </c>
      <c r="N361" s="77" t="inlineStr">
        <is>
          <t>/</t>
        </is>
      </c>
      <c r="O361" s="77" t="inlineStr">
        <is>
          <t>/</t>
        </is>
      </c>
      <c r="P361" s="81" t="inlineStr">
        <is>
          <t>/</t>
        </is>
      </c>
      <c r="Q361" s="81" t="inlineStr">
        <is>
          <t>/</t>
        </is>
      </c>
      <c r="R361" s="81" t="inlineStr">
        <is>
          <t>/</t>
        </is>
      </c>
      <c r="S361" s="71" t="inlineStr">
        <is>
          <t>/</t>
        </is>
      </c>
      <c r="T361" s="81" t="inlineStr">
        <is>
          <t>/</t>
        </is>
      </c>
      <c r="U361" s="70" t="n"/>
      <c r="V361" s="71" t="inlineStr">
        <is>
          <t>/</t>
        </is>
      </c>
      <c r="W361" s="77" t="n">
        <v>0.53</v>
      </c>
      <c r="X361" s="77" t="inlineStr">
        <is>
          <t>/</t>
        </is>
      </c>
      <c r="Y361" s="72" t="inlineStr">
        <is>
          <t>/</t>
        </is>
      </c>
      <c r="Z361" s="72" t="inlineStr">
        <is>
          <t>/</t>
        </is>
      </c>
      <c r="AA361" s="72" t="inlineStr">
        <is>
          <t>/</t>
        </is>
      </c>
      <c r="AB361" s="46" t="inlineStr">
        <is>
          <t>/</t>
        </is>
      </c>
      <c r="AC361" s="46" t="inlineStr">
        <is>
          <t>/</t>
        </is>
      </c>
      <c r="AD361" s="76"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AE361" s="25" t="inlineStr">
        <is>
          <t>1、签订期间：2025.8-2026.8月；
2、指标按照全年换算；</t>
        </is>
      </c>
      <c r="AF361"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53%营业额，月度结算时若未达到所报比例，按以上比例结算。
问题：目前未按约定执行，待明确；</t>
        </is>
      </c>
    </row>
    <row r="362" ht="84" customFormat="1" customHeight="1" s="209">
      <c r="A362" s="219" t="n">
        <v>360</v>
      </c>
      <c r="B362" s="14" t="inlineStr">
        <is>
          <t>KQCY0349</t>
        </is>
      </c>
      <c r="C362" s="221" t="inlineStr">
        <is>
          <t>餐饮六分部</t>
        </is>
      </c>
      <c r="D362" s="221" t="inlineStr">
        <is>
          <t>CF293</t>
        </is>
      </c>
      <c r="E362" s="221" t="inlineStr">
        <is>
          <t>江苏二师石湫校区食堂</t>
        </is>
      </c>
      <c r="F362" s="219" t="inlineStr">
        <is>
          <t>分组作业</t>
        </is>
      </c>
      <c r="G362" s="222" t="inlineStr">
        <is>
          <t>吉沐牛</t>
        </is>
      </c>
      <c r="H362" s="219" t="inlineStr">
        <is>
          <t>第九班组</t>
        </is>
      </c>
      <c r="I362" s="237" t="inlineStr">
        <is>
          <t>七分甜</t>
        </is>
      </c>
      <c r="J362" s="219" t="inlineStr">
        <is>
          <t>熊跳</t>
        </is>
      </c>
      <c r="K362" s="224" t="inlineStr">
        <is>
          <t>/</t>
        </is>
      </c>
      <c r="L362" s="651" t="n">
        <v>820000</v>
      </c>
      <c r="M362" s="84" t="n">
        <v>0.14</v>
      </c>
      <c r="N362" s="77" t="inlineStr">
        <is>
          <t>/</t>
        </is>
      </c>
      <c r="O362" s="77" t="inlineStr">
        <is>
          <t>/</t>
        </is>
      </c>
      <c r="P362" s="81" t="inlineStr">
        <is>
          <t>/</t>
        </is>
      </c>
      <c r="Q362" s="81" t="inlineStr">
        <is>
          <t>/</t>
        </is>
      </c>
      <c r="R362" s="81" t="inlineStr">
        <is>
          <t>/</t>
        </is>
      </c>
      <c r="S362" s="71" t="inlineStr">
        <is>
          <t>/</t>
        </is>
      </c>
      <c r="T362" s="81" t="inlineStr">
        <is>
          <t>/</t>
        </is>
      </c>
      <c r="U362" s="70" t="n"/>
      <c r="V362" s="71" t="inlineStr">
        <is>
          <t>/</t>
        </is>
      </c>
      <c r="W362" s="77" t="n">
        <v>0.53</v>
      </c>
      <c r="X362" s="77" t="inlineStr">
        <is>
          <t>/</t>
        </is>
      </c>
      <c r="Y362" s="72" t="inlineStr">
        <is>
          <t>/</t>
        </is>
      </c>
      <c r="Z362" s="72" t="inlineStr">
        <is>
          <t>/</t>
        </is>
      </c>
      <c r="AA362" s="72" t="inlineStr">
        <is>
          <t>/</t>
        </is>
      </c>
      <c r="AB362" s="46" t="inlineStr">
        <is>
          <t>/</t>
        </is>
      </c>
      <c r="AC362" s="46" t="inlineStr">
        <is>
          <t>/</t>
        </is>
      </c>
      <c r="AD362" s="76"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AE362" s="25" t="inlineStr">
        <is>
          <t>1、签订期间：2025.8-2026.8月；
2、指标按照全年换算；</t>
        </is>
      </c>
      <c r="AF362"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53%营业额，月度结算时若未达到所报比例，按以上比例结算。
问题：目前未按约定执行，待明确；</t>
        </is>
      </c>
    </row>
    <row r="363" ht="84" customFormat="1" customHeight="1" s="209">
      <c r="A363" s="219" t="n">
        <v>361</v>
      </c>
      <c r="B363" s="14" t="inlineStr">
        <is>
          <t>KQCY0350</t>
        </is>
      </c>
      <c r="C363" s="221" t="inlineStr">
        <is>
          <t>餐饮六分部</t>
        </is>
      </c>
      <c r="D363" s="221" t="inlineStr">
        <is>
          <t>CF293</t>
        </is>
      </c>
      <c r="E363" s="221" t="inlineStr">
        <is>
          <t>江苏二师石湫校区食堂</t>
        </is>
      </c>
      <c r="F363" s="219" t="inlineStr">
        <is>
          <t>分组作业</t>
        </is>
      </c>
      <c r="G363" s="222" t="inlineStr">
        <is>
          <t>吉沐牛</t>
        </is>
      </c>
      <c r="H363" s="219" t="inlineStr">
        <is>
          <t>第四班组</t>
        </is>
      </c>
      <c r="I363" s="237" t="inlineStr">
        <is>
          <t>土豆泥拌饭</t>
        </is>
      </c>
      <c r="J363" s="219" t="inlineStr">
        <is>
          <t>端和伟</t>
        </is>
      </c>
      <c r="K363" s="224" t="inlineStr">
        <is>
          <t>/</t>
        </is>
      </c>
      <c r="L363" s="651" t="n">
        <v>480000</v>
      </c>
      <c r="M363" s="84" t="n">
        <v>0.19</v>
      </c>
      <c r="N363" s="77" t="inlineStr">
        <is>
          <t>/</t>
        </is>
      </c>
      <c r="O363" s="77" t="inlineStr">
        <is>
          <t>/</t>
        </is>
      </c>
      <c r="P363" s="81" t="inlineStr">
        <is>
          <t>/</t>
        </is>
      </c>
      <c r="Q363" s="81" t="inlineStr">
        <is>
          <t>/</t>
        </is>
      </c>
      <c r="R363" s="81" t="inlineStr">
        <is>
          <t>/</t>
        </is>
      </c>
      <c r="S363" s="71" t="inlineStr">
        <is>
          <t>/</t>
        </is>
      </c>
      <c r="T363" s="81" t="n">
        <v>0.035</v>
      </c>
      <c r="U363" s="70" t="n">
        <v>0.055</v>
      </c>
      <c r="V363" s="71" t="inlineStr">
        <is>
          <t>/</t>
        </is>
      </c>
      <c r="W363" s="77" t="n">
        <v>0.53</v>
      </c>
      <c r="X363" s="77" t="inlineStr">
        <is>
          <t>/</t>
        </is>
      </c>
      <c r="Y363" s="72" t="inlineStr">
        <is>
          <t>/</t>
        </is>
      </c>
      <c r="Z363" s="72" t="inlineStr">
        <is>
          <t>/</t>
        </is>
      </c>
      <c r="AA363" s="72" t="inlineStr">
        <is>
          <t>/</t>
        </is>
      </c>
      <c r="AB363" s="46" t="inlineStr">
        <is>
          <t>/</t>
        </is>
      </c>
      <c r="AC363" s="46" t="inlineStr">
        <is>
          <t>/</t>
        </is>
      </c>
      <c r="AD363" s="76" t="inlineStr">
        <is>
          <t>1、装修折旧费：项目反馈不收取，包含在服务费中；
2、甲方管理费：项目反馈不收取，包含在服务费中；
3、甲方人员工资：项目反馈不收取，包含在服务费中；
4、甲方捐赠：项目反馈不收取，包含在服务费中；</t>
        </is>
      </c>
      <c r="AE363" s="25" t="inlineStr">
        <is>
          <t>1、签订期间：2026.4-2027.4月；
2、指标按照全年换算；</t>
        </is>
      </c>
      <c r="AF363"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53%营业额，月度结算时若未达到所报比例，按以上比例结算。
问题：目前未按约定执行，待明确；</t>
        </is>
      </c>
    </row>
    <row r="364" ht="12" customFormat="1" customHeight="1" s="209">
      <c r="A364" s="219" t="n">
        <v>362</v>
      </c>
      <c r="B364" s="535" t="n"/>
      <c r="C364" s="221" t="inlineStr">
        <is>
          <t>餐饮六分部</t>
        </is>
      </c>
      <c r="D364" s="221" t="inlineStr">
        <is>
          <t>CF480</t>
        </is>
      </c>
      <c r="E364" s="221" t="inlineStr">
        <is>
          <t>江苏旅游学生食堂二楼</t>
        </is>
      </c>
      <c r="F364" s="219" t="inlineStr">
        <is>
          <t>分组作业</t>
        </is>
      </c>
      <c r="G364" s="222" t="inlineStr">
        <is>
          <t>吉沐牛</t>
        </is>
      </c>
      <c r="H364" s="503" t="inlineStr">
        <is>
          <t>/</t>
        </is>
      </c>
      <c r="I364" s="243" t="inlineStr">
        <is>
          <t>/</t>
        </is>
      </c>
      <c r="J364" s="335" t="inlineStr">
        <is>
          <t>/</t>
        </is>
      </c>
      <c r="K364" s="349" t="inlineStr">
        <is>
          <t>/</t>
        </is>
      </c>
      <c r="L364" s="651" t="inlineStr">
        <is>
          <t>/</t>
        </is>
      </c>
      <c r="M364" s="349" t="inlineStr">
        <is>
          <t>/</t>
        </is>
      </c>
      <c r="N364" s="47" t="n"/>
      <c r="O364" s="349" t="inlineStr">
        <is>
          <t>/</t>
        </is>
      </c>
      <c r="P364" s="140" t="n"/>
      <c r="Q364" s="59" t="inlineStr">
        <is>
          <t>/</t>
        </is>
      </c>
      <c r="R364" s="59" t="inlineStr">
        <is>
          <t>/</t>
        </is>
      </c>
      <c r="S364" s="349" t="inlineStr">
        <is>
          <t>/</t>
        </is>
      </c>
      <c r="T364" s="106" t="n"/>
      <c r="U364" s="106" t="n"/>
      <c r="V364" s="349" t="inlineStr">
        <is>
          <t>/</t>
        </is>
      </c>
      <c r="W364" s="480" t="inlineStr">
        <is>
          <t>/</t>
        </is>
      </c>
      <c r="X364" s="480" t="inlineStr">
        <is>
          <t>/</t>
        </is>
      </c>
      <c r="Y364" s="480" t="inlineStr">
        <is>
          <t>/</t>
        </is>
      </c>
      <c r="Z364" s="480" t="inlineStr">
        <is>
          <t>/</t>
        </is>
      </c>
      <c r="AA364" s="480" t="inlineStr">
        <is>
          <t>/</t>
        </is>
      </c>
      <c r="AB364" s="46" t="n">
        <v>0.05</v>
      </c>
      <c r="AC364" s="46" t="n">
        <v>0.005</v>
      </c>
      <c r="AD364" s="48" t="inlineStr">
        <is>
          <t>1、自营未实际经营；</t>
        </is>
      </c>
      <c r="AE364" s="25" t="n"/>
      <c r="AF364" s="232" t="n"/>
    </row>
    <row r="365" ht="132" customFormat="1" customHeight="1" s="209">
      <c r="A365" s="219" t="n">
        <v>363</v>
      </c>
      <c r="B365" s="14" t="inlineStr">
        <is>
          <t>KQCY0351</t>
        </is>
      </c>
      <c r="C365" s="221" t="inlineStr">
        <is>
          <t>餐饮六分部</t>
        </is>
      </c>
      <c r="D365" s="221" t="inlineStr">
        <is>
          <t>CF480</t>
        </is>
      </c>
      <c r="E365" s="221" t="inlineStr">
        <is>
          <t>江苏旅游学生食堂二楼</t>
        </is>
      </c>
      <c r="F365" s="219" t="inlineStr">
        <is>
          <t>分组作业</t>
        </is>
      </c>
      <c r="G365" s="222" t="inlineStr">
        <is>
          <t>吉沐牛</t>
        </is>
      </c>
      <c r="H365" s="503" t="inlineStr">
        <is>
          <t>/</t>
        </is>
      </c>
      <c r="I365" s="355" t="inlineStr">
        <is>
          <t>全福记热卤拌饭(牛肉汤)</t>
        </is>
      </c>
      <c r="J365" s="219" t="inlineStr">
        <is>
          <t>张文泉</t>
        </is>
      </c>
      <c r="K365" s="224" t="inlineStr">
        <is>
          <t>/</t>
        </is>
      </c>
      <c r="L365" s="651" t="inlineStr">
        <is>
          <t>/</t>
        </is>
      </c>
      <c r="M365" s="77" t="n">
        <v>0.28</v>
      </c>
      <c r="N365" s="77" t="inlineStr">
        <is>
          <t>/</t>
        </is>
      </c>
      <c r="O365" s="77" t="inlineStr">
        <is>
          <t>/</t>
        </is>
      </c>
      <c r="P365" s="81" t="inlineStr">
        <is>
          <t>/</t>
        </is>
      </c>
      <c r="Q365" s="81" t="inlineStr">
        <is>
          <t>/</t>
        </is>
      </c>
      <c r="R365" s="81" t="inlineStr">
        <is>
          <t>/</t>
        </is>
      </c>
      <c r="S365" s="77" t="inlineStr">
        <is>
          <t>/</t>
        </is>
      </c>
      <c r="T365" s="71" t="inlineStr">
        <is>
          <t>/</t>
        </is>
      </c>
      <c r="U365" s="71" t="inlineStr">
        <is>
          <t>/</t>
        </is>
      </c>
      <c r="V365" s="77" t="inlineStr">
        <is>
          <t>/</t>
        </is>
      </c>
      <c r="W365" s="72" t="inlineStr">
        <is>
          <t>50%±3%</t>
        </is>
      </c>
      <c r="X365" s="573" t="inlineStr">
        <is>
          <t>/</t>
        </is>
      </c>
      <c r="Y365" s="72" t="inlineStr">
        <is>
          <t>/</t>
        </is>
      </c>
      <c r="Z365" s="72" t="inlineStr">
        <is>
          <t>/</t>
        </is>
      </c>
      <c r="AA365" s="72" t="inlineStr">
        <is>
          <t>/</t>
        </is>
      </c>
      <c r="AB365" s="51" t="inlineStr">
        <is>
          <t>/</t>
        </is>
      </c>
      <c r="AC365" s="46" t="inlineStr">
        <is>
          <t>/</t>
        </is>
      </c>
      <c r="AD365" s="76" t="inlineStr">
        <is>
          <t>1、虫害消杀：项目反馈不收取，包含在服务费中；
2、装修折旧费：项目反馈不收取，包含在服务费中；
3、卫生费：项目反馈不收取，包含在服务费中；
4、能源费：项目反馈不收取，包含在服务费中；</t>
        </is>
      </c>
      <c r="AE365" s="25" t="n"/>
      <c r="AF365"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66" ht="132" customFormat="1" customHeight="1" s="209">
      <c r="A366" s="219" t="n">
        <v>364</v>
      </c>
      <c r="B366" s="14" t="inlineStr">
        <is>
          <t>KQCY0352</t>
        </is>
      </c>
      <c r="C366" s="221" t="inlineStr">
        <is>
          <t>餐饮六分部</t>
        </is>
      </c>
      <c r="D366" s="221" t="inlineStr">
        <is>
          <t>CF480</t>
        </is>
      </c>
      <c r="E366" s="221" t="inlineStr">
        <is>
          <t>江苏旅游学生食堂二楼</t>
        </is>
      </c>
      <c r="F366" s="219" t="inlineStr">
        <is>
          <t>分组作业</t>
        </is>
      </c>
      <c r="G366" s="222" t="inlineStr">
        <is>
          <t>吉沐牛</t>
        </is>
      </c>
      <c r="H366" s="503" t="inlineStr">
        <is>
          <t>/</t>
        </is>
      </c>
      <c r="I366" s="355" t="inlineStr">
        <is>
          <t>盖浇饭(套餐饭)</t>
        </is>
      </c>
      <c r="J366" s="219" t="inlineStr">
        <is>
          <t>刘宝峰</t>
        </is>
      </c>
      <c r="K366" s="224" t="inlineStr">
        <is>
          <t>/</t>
        </is>
      </c>
      <c r="L366" s="651" t="inlineStr">
        <is>
          <t>/</t>
        </is>
      </c>
      <c r="M366" s="77" t="n">
        <v>0.28</v>
      </c>
      <c r="N366" s="77" t="inlineStr">
        <is>
          <t>/</t>
        </is>
      </c>
      <c r="O366" s="77" t="inlineStr">
        <is>
          <t>/</t>
        </is>
      </c>
      <c r="P366" s="81" t="inlineStr">
        <is>
          <t>/</t>
        </is>
      </c>
      <c r="Q366" s="81" t="inlineStr">
        <is>
          <t>/</t>
        </is>
      </c>
      <c r="R366" s="81" t="inlineStr">
        <is>
          <t>/</t>
        </is>
      </c>
      <c r="S366" s="77" t="inlineStr">
        <is>
          <t>/</t>
        </is>
      </c>
      <c r="T366" s="71" t="inlineStr">
        <is>
          <t>/</t>
        </is>
      </c>
      <c r="U366" s="71" t="inlineStr">
        <is>
          <t>/</t>
        </is>
      </c>
      <c r="V366" s="77" t="inlineStr">
        <is>
          <t>/</t>
        </is>
      </c>
      <c r="W366" s="72" t="inlineStr">
        <is>
          <t>50%±3%</t>
        </is>
      </c>
      <c r="X366" s="573" t="inlineStr">
        <is>
          <t>/</t>
        </is>
      </c>
      <c r="Y366" s="72" t="inlineStr">
        <is>
          <t>/</t>
        </is>
      </c>
      <c r="Z366" s="72" t="inlineStr">
        <is>
          <t>/</t>
        </is>
      </c>
      <c r="AA366" s="72" t="inlineStr">
        <is>
          <t>/</t>
        </is>
      </c>
      <c r="AB366" s="51" t="inlineStr">
        <is>
          <t>/</t>
        </is>
      </c>
      <c r="AC366" s="46" t="inlineStr">
        <is>
          <t>/</t>
        </is>
      </c>
      <c r="AD366" s="82" t="inlineStr">
        <is>
          <t>1、虫害消杀：项目反馈不收取，包含在服务费中；
2、装修折旧费：项目反馈不收取，包含在服务费中；
3、卫生费：项目反馈不收取，包含在服务费中；
4、能源费：项目反馈不收取，包含在服务费中；</t>
        </is>
      </c>
      <c r="AE366" s="25" t="n"/>
      <c r="AF366"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67" ht="132" customFormat="1" customHeight="1" s="209">
      <c r="A367" s="219" t="n">
        <v>365</v>
      </c>
      <c r="B367" s="14" t="inlineStr">
        <is>
          <t>KQCY0353</t>
        </is>
      </c>
      <c r="C367" s="221" t="inlineStr">
        <is>
          <t>餐饮六分部</t>
        </is>
      </c>
      <c r="D367" s="221" t="inlineStr">
        <is>
          <t>CF480</t>
        </is>
      </c>
      <c r="E367" s="221" t="inlineStr">
        <is>
          <t>江苏旅游学生食堂二楼</t>
        </is>
      </c>
      <c r="F367" s="219" t="inlineStr">
        <is>
          <t>分组作业</t>
        </is>
      </c>
      <c r="G367" s="222" t="inlineStr">
        <is>
          <t>吉沐牛</t>
        </is>
      </c>
      <c r="H367" s="503" t="inlineStr">
        <is>
          <t>/</t>
        </is>
      </c>
      <c r="I367" s="355" t="inlineStr">
        <is>
          <t>煎饼(鸡蛋灌饼)</t>
        </is>
      </c>
      <c r="J367" s="219" t="inlineStr">
        <is>
          <t>李中怀</t>
        </is>
      </c>
      <c r="K367" s="224" t="inlineStr">
        <is>
          <t>/</t>
        </is>
      </c>
      <c r="L367" s="651" t="inlineStr">
        <is>
          <t>/</t>
        </is>
      </c>
      <c r="M367" s="77" t="n">
        <v>0.28</v>
      </c>
      <c r="N367" s="77" t="inlineStr">
        <is>
          <t>/</t>
        </is>
      </c>
      <c r="O367" s="77" t="inlineStr">
        <is>
          <t>/</t>
        </is>
      </c>
      <c r="P367" s="81" t="inlineStr">
        <is>
          <t>/</t>
        </is>
      </c>
      <c r="Q367" s="81" t="inlineStr">
        <is>
          <t>/</t>
        </is>
      </c>
      <c r="R367" s="81" t="inlineStr">
        <is>
          <t>/</t>
        </is>
      </c>
      <c r="S367" s="77" t="inlineStr">
        <is>
          <t>/</t>
        </is>
      </c>
      <c r="T367" s="71" t="inlineStr">
        <is>
          <t>/</t>
        </is>
      </c>
      <c r="U367" s="71" t="inlineStr">
        <is>
          <t>/</t>
        </is>
      </c>
      <c r="V367" s="77" t="inlineStr">
        <is>
          <t>/</t>
        </is>
      </c>
      <c r="W367" s="72" t="inlineStr">
        <is>
          <t>50%±3%</t>
        </is>
      </c>
      <c r="X367" s="573" t="inlineStr">
        <is>
          <t>/</t>
        </is>
      </c>
      <c r="Y367" s="72" t="inlineStr">
        <is>
          <t>/</t>
        </is>
      </c>
      <c r="Z367" s="72" t="inlineStr">
        <is>
          <t>/</t>
        </is>
      </c>
      <c r="AA367" s="72" t="inlineStr">
        <is>
          <t>/</t>
        </is>
      </c>
      <c r="AB367" s="51" t="inlineStr">
        <is>
          <t>/</t>
        </is>
      </c>
      <c r="AC367" s="46" t="inlineStr">
        <is>
          <t>/</t>
        </is>
      </c>
      <c r="AD367" s="76" t="inlineStr">
        <is>
          <t>1、虫害消杀：项目反馈不收取，包含在服务费中；
2、装修折旧费：项目反馈不收取，包含在服务费中；
3、卫生费：项目反馈不收取，包含在服务费中；
4、能源费：项目反馈不收取，包含在服务费中；</t>
        </is>
      </c>
      <c r="AE367" s="25" t="n"/>
      <c r="AF367"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68" ht="132" customFormat="1" customHeight="1" s="209">
      <c r="A368" s="219" t="n">
        <v>366</v>
      </c>
      <c r="B368" s="14" t="inlineStr">
        <is>
          <t>KQCY0354</t>
        </is>
      </c>
      <c r="C368" s="221" t="inlineStr">
        <is>
          <t>餐饮六分部</t>
        </is>
      </c>
      <c r="D368" s="221" t="inlineStr">
        <is>
          <t>CF480</t>
        </is>
      </c>
      <c r="E368" s="221" t="inlineStr">
        <is>
          <t>江苏旅游学生食堂二楼</t>
        </is>
      </c>
      <c r="F368" s="219" t="inlineStr">
        <is>
          <t>分组作业</t>
        </is>
      </c>
      <c r="G368" s="222" t="inlineStr">
        <is>
          <t>吉沐牛</t>
        </is>
      </c>
      <c r="H368" s="503" t="inlineStr">
        <is>
          <t>/</t>
        </is>
      </c>
      <c r="I368" s="355" t="inlineStr">
        <is>
          <t>柒公主焖饭</t>
        </is>
      </c>
      <c r="J368" s="219" t="inlineStr">
        <is>
          <t>张月红</t>
        </is>
      </c>
      <c r="K368" s="224" t="inlineStr">
        <is>
          <t>/</t>
        </is>
      </c>
      <c r="L368" s="651" t="inlineStr">
        <is>
          <t>/</t>
        </is>
      </c>
      <c r="M368" s="77" t="n">
        <v>0.28</v>
      </c>
      <c r="N368" s="77" t="inlineStr">
        <is>
          <t>/</t>
        </is>
      </c>
      <c r="O368" s="77" t="inlineStr">
        <is>
          <t>/</t>
        </is>
      </c>
      <c r="P368" s="81" t="inlineStr">
        <is>
          <t>/</t>
        </is>
      </c>
      <c r="Q368" s="81" t="inlineStr">
        <is>
          <t>/</t>
        </is>
      </c>
      <c r="R368" s="81" t="inlineStr">
        <is>
          <t>/</t>
        </is>
      </c>
      <c r="S368" s="77" t="inlineStr">
        <is>
          <t>/</t>
        </is>
      </c>
      <c r="T368" s="71" t="inlineStr">
        <is>
          <t>/</t>
        </is>
      </c>
      <c r="U368" s="71" t="inlineStr">
        <is>
          <t>/</t>
        </is>
      </c>
      <c r="V368" s="77" t="inlineStr">
        <is>
          <t>/</t>
        </is>
      </c>
      <c r="W368" s="72" t="inlineStr">
        <is>
          <t>50%±3%</t>
        </is>
      </c>
      <c r="X368" s="573" t="inlineStr">
        <is>
          <t>/</t>
        </is>
      </c>
      <c r="Y368" s="72" t="inlineStr">
        <is>
          <t>/</t>
        </is>
      </c>
      <c r="Z368" s="72" t="inlineStr">
        <is>
          <t>/</t>
        </is>
      </c>
      <c r="AA368" s="72" t="inlineStr">
        <is>
          <t>/</t>
        </is>
      </c>
      <c r="AB368" s="51" t="inlineStr">
        <is>
          <t>/</t>
        </is>
      </c>
      <c r="AC368" s="46" t="inlineStr">
        <is>
          <t>/</t>
        </is>
      </c>
      <c r="AD368" s="76" t="inlineStr">
        <is>
          <t>1、虫害消杀：项目反馈不收取，包含在服务费中；
2、装修折旧费：项目反馈不收取，包含在服务费中；
3、卫生费：项目反馈不收取，包含在服务费中；
4、能源费：项目反馈不收取，包含在服务费中；</t>
        </is>
      </c>
      <c r="AE368" s="25" t="n"/>
      <c r="AF368"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69" ht="132" customFormat="1" customHeight="1" s="209">
      <c r="A369" s="219" t="n">
        <v>367</v>
      </c>
      <c r="B369" s="14" t="inlineStr">
        <is>
          <t>KQCY0355</t>
        </is>
      </c>
      <c r="C369" s="221" t="inlineStr">
        <is>
          <t>餐饮六分部</t>
        </is>
      </c>
      <c r="D369" s="221" t="inlineStr">
        <is>
          <t>CF480</t>
        </is>
      </c>
      <c r="E369" s="221" t="inlineStr">
        <is>
          <t>江苏旅游学生食堂二楼</t>
        </is>
      </c>
      <c r="F369" s="219" t="inlineStr">
        <is>
          <t>分组作业</t>
        </is>
      </c>
      <c r="G369" s="222" t="inlineStr">
        <is>
          <t>吉沐牛</t>
        </is>
      </c>
      <c r="H369" s="503" t="inlineStr">
        <is>
          <t>/</t>
        </is>
      </c>
      <c r="I369" s="355" t="inlineStr">
        <is>
          <t>掉渣饼</t>
        </is>
      </c>
      <c r="J369" s="219" t="inlineStr">
        <is>
          <t>郭保君</t>
        </is>
      </c>
      <c r="K369" s="224" t="inlineStr">
        <is>
          <t>/</t>
        </is>
      </c>
      <c r="L369" s="651" t="inlineStr">
        <is>
          <t>/</t>
        </is>
      </c>
      <c r="M369" s="77" t="n">
        <v>0.28</v>
      </c>
      <c r="N369" s="77" t="inlineStr">
        <is>
          <t>/</t>
        </is>
      </c>
      <c r="O369" s="77" t="inlineStr">
        <is>
          <t>/</t>
        </is>
      </c>
      <c r="P369" s="81" t="inlineStr">
        <is>
          <t>/</t>
        </is>
      </c>
      <c r="Q369" s="81" t="inlineStr">
        <is>
          <t>/</t>
        </is>
      </c>
      <c r="R369" s="81" t="inlineStr">
        <is>
          <t>/</t>
        </is>
      </c>
      <c r="S369" s="77" t="inlineStr">
        <is>
          <t>/</t>
        </is>
      </c>
      <c r="T369" s="71" t="inlineStr">
        <is>
          <t>/</t>
        </is>
      </c>
      <c r="U369" s="71" t="inlineStr">
        <is>
          <t>/</t>
        </is>
      </c>
      <c r="V369" s="77" t="inlineStr">
        <is>
          <t>/</t>
        </is>
      </c>
      <c r="W369" s="72" t="inlineStr">
        <is>
          <t>50%±3%</t>
        </is>
      </c>
      <c r="X369" s="573" t="inlineStr">
        <is>
          <t>/</t>
        </is>
      </c>
      <c r="Y369" s="72" t="inlineStr">
        <is>
          <t>/</t>
        </is>
      </c>
      <c r="Z369" s="72" t="inlineStr">
        <is>
          <t>/</t>
        </is>
      </c>
      <c r="AA369" s="72" t="inlineStr">
        <is>
          <t>/</t>
        </is>
      </c>
      <c r="AB369" s="51" t="inlineStr">
        <is>
          <t>/</t>
        </is>
      </c>
      <c r="AC369" s="46" t="inlineStr">
        <is>
          <t>/</t>
        </is>
      </c>
      <c r="AD369" s="76" t="inlineStr">
        <is>
          <t>1、虫害消杀：项目反馈不收取，包含在服务费中；
2、装修折旧费：项目反馈不收取，包含在服务费中；
3、卫生费：项目反馈不收取，包含在服务费中；
4、能源费：项目反馈不收取，包含在服务费中；</t>
        </is>
      </c>
      <c r="AE369" s="25" t="n"/>
      <c r="AF369"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70" ht="132" customFormat="1" customHeight="1" s="209">
      <c r="A370" s="219" t="n">
        <v>368</v>
      </c>
      <c r="B370" s="14" t="inlineStr">
        <is>
          <t>KQCY0356</t>
        </is>
      </c>
      <c r="C370" s="221" t="inlineStr">
        <is>
          <t>餐饮六分部</t>
        </is>
      </c>
      <c r="D370" s="221" t="inlineStr">
        <is>
          <t>CF480</t>
        </is>
      </c>
      <c r="E370" s="221" t="inlineStr">
        <is>
          <t>江苏旅游学生食堂二楼</t>
        </is>
      </c>
      <c r="F370" s="219" t="inlineStr">
        <is>
          <t>分组作业</t>
        </is>
      </c>
      <c r="G370" s="222" t="inlineStr">
        <is>
          <t>吉沐牛</t>
        </is>
      </c>
      <c r="H370" s="503" t="inlineStr">
        <is>
          <t>/</t>
        </is>
      </c>
      <c r="I370" s="355" t="inlineStr">
        <is>
          <t>擂椒拌饭(烤鸭饭)</t>
        </is>
      </c>
      <c r="J370" s="219" t="inlineStr">
        <is>
          <t>崔建美</t>
        </is>
      </c>
      <c r="K370" s="224" t="inlineStr">
        <is>
          <t>/</t>
        </is>
      </c>
      <c r="L370" s="651" t="inlineStr">
        <is>
          <t>/</t>
        </is>
      </c>
      <c r="M370" s="77" t="n">
        <v>0.28</v>
      </c>
      <c r="N370" s="77" t="inlineStr">
        <is>
          <t>/</t>
        </is>
      </c>
      <c r="O370" s="77" t="inlineStr">
        <is>
          <t>/</t>
        </is>
      </c>
      <c r="P370" s="81" t="inlineStr">
        <is>
          <t>/</t>
        </is>
      </c>
      <c r="Q370" s="81" t="inlineStr">
        <is>
          <t>/</t>
        </is>
      </c>
      <c r="R370" s="81" t="inlineStr">
        <is>
          <t>/</t>
        </is>
      </c>
      <c r="S370" s="77" t="inlineStr">
        <is>
          <t>/</t>
        </is>
      </c>
      <c r="T370" s="71" t="inlineStr">
        <is>
          <t>/</t>
        </is>
      </c>
      <c r="U370" s="71" t="inlineStr">
        <is>
          <t>/</t>
        </is>
      </c>
      <c r="V370" s="77" t="inlineStr">
        <is>
          <t>/</t>
        </is>
      </c>
      <c r="W370" s="72" t="inlineStr">
        <is>
          <t>50%±3%</t>
        </is>
      </c>
      <c r="X370" s="573" t="inlineStr">
        <is>
          <t>/</t>
        </is>
      </c>
      <c r="Y370" s="72" t="inlineStr">
        <is>
          <t>/</t>
        </is>
      </c>
      <c r="Z370" s="72" t="inlineStr">
        <is>
          <t>/</t>
        </is>
      </c>
      <c r="AA370" s="72" t="inlineStr">
        <is>
          <t>/</t>
        </is>
      </c>
      <c r="AB370" s="51" t="inlineStr">
        <is>
          <t>/</t>
        </is>
      </c>
      <c r="AC370" s="46" t="inlineStr">
        <is>
          <t>/</t>
        </is>
      </c>
      <c r="AD370" s="76" t="inlineStr">
        <is>
          <t>1、虫害消杀：项目反馈不收取，包含在服务费中；
2、装修折旧费：项目反馈不收取，包含在服务费中；
3、卫生费：项目反馈不收取，包含在服务费中；
4、能源费：项目反馈不收取，包含在服务费中；</t>
        </is>
      </c>
      <c r="AE370" s="25" t="n"/>
      <c r="AF370"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71" ht="132" customFormat="1" customHeight="1" s="209">
      <c r="A371" s="219" t="n">
        <v>369</v>
      </c>
      <c r="B371" s="14" t="inlineStr">
        <is>
          <t>KQCY0357</t>
        </is>
      </c>
      <c r="C371" s="221" t="inlineStr">
        <is>
          <t>餐饮六分部</t>
        </is>
      </c>
      <c r="D371" s="221" t="inlineStr">
        <is>
          <t>CF480</t>
        </is>
      </c>
      <c r="E371" s="221" t="inlineStr">
        <is>
          <t>江苏旅游学生食堂二楼</t>
        </is>
      </c>
      <c r="F371" s="219" t="inlineStr">
        <is>
          <t>分组作业</t>
        </is>
      </c>
      <c r="G371" s="222" t="inlineStr">
        <is>
          <t>吉沐牛</t>
        </is>
      </c>
      <c r="H371" s="503" t="inlineStr">
        <is>
          <t>/</t>
        </is>
      </c>
      <c r="I371" s="355" t="inlineStr">
        <is>
          <t>老成都面(猪脚饭)</t>
        </is>
      </c>
      <c r="J371" s="219" t="inlineStr">
        <is>
          <t>顾卫君</t>
        </is>
      </c>
      <c r="K371" s="224" t="inlineStr">
        <is>
          <t>/</t>
        </is>
      </c>
      <c r="L371" s="651" t="inlineStr">
        <is>
          <t>/</t>
        </is>
      </c>
      <c r="M371" s="77" t="n">
        <v>0.28</v>
      </c>
      <c r="N371" s="77" t="inlineStr">
        <is>
          <t>/</t>
        </is>
      </c>
      <c r="O371" s="77" t="inlineStr">
        <is>
          <t>/</t>
        </is>
      </c>
      <c r="P371" s="81" t="inlineStr">
        <is>
          <t>/</t>
        </is>
      </c>
      <c r="Q371" s="81" t="inlineStr">
        <is>
          <t>/</t>
        </is>
      </c>
      <c r="R371" s="81" t="inlineStr">
        <is>
          <t>/</t>
        </is>
      </c>
      <c r="S371" s="77" t="inlineStr">
        <is>
          <t>/</t>
        </is>
      </c>
      <c r="T371" s="71" t="inlineStr">
        <is>
          <t>/</t>
        </is>
      </c>
      <c r="U371" s="71" t="inlineStr">
        <is>
          <t>/</t>
        </is>
      </c>
      <c r="V371" s="77" t="inlineStr">
        <is>
          <t>/</t>
        </is>
      </c>
      <c r="W371" s="72" t="inlineStr">
        <is>
          <t>50%±3%</t>
        </is>
      </c>
      <c r="X371" s="573" t="inlineStr">
        <is>
          <t>/</t>
        </is>
      </c>
      <c r="Y371" s="72" t="inlineStr">
        <is>
          <t>/</t>
        </is>
      </c>
      <c r="Z371" s="72" t="inlineStr">
        <is>
          <t>/</t>
        </is>
      </c>
      <c r="AA371" s="72" t="inlineStr">
        <is>
          <t>/</t>
        </is>
      </c>
      <c r="AB371" s="51" t="inlineStr">
        <is>
          <t>/</t>
        </is>
      </c>
      <c r="AC371" s="46" t="inlineStr">
        <is>
          <t>/</t>
        </is>
      </c>
      <c r="AD371" s="76" t="inlineStr">
        <is>
          <t>1、虫害消杀：项目反馈不收取，包含在服务费中；
2、装修折旧费：项目反馈不收取，包含在服务费中；
3、卫生费：项目反馈不收取，包含在服务费中；
4、能源费：项目反馈不收取，包含在服务费中；</t>
        </is>
      </c>
      <c r="AE371" s="25" t="n"/>
      <c r="AF371"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72" ht="132" customFormat="1" customHeight="1" s="209">
      <c r="A372" s="219" t="n">
        <v>370</v>
      </c>
      <c r="B372" s="14" t="inlineStr">
        <is>
          <t>KQCY0358</t>
        </is>
      </c>
      <c r="C372" s="221" t="inlineStr">
        <is>
          <t>餐饮六分部</t>
        </is>
      </c>
      <c r="D372" s="221" t="inlineStr">
        <is>
          <t>CF480</t>
        </is>
      </c>
      <c r="E372" s="221" t="inlineStr">
        <is>
          <t>江苏旅游学生食堂二楼</t>
        </is>
      </c>
      <c r="F372" s="219" t="inlineStr">
        <is>
          <t>分组作业</t>
        </is>
      </c>
      <c r="G372" s="222" t="inlineStr">
        <is>
          <t>吉沐牛</t>
        </is>
      </c>
      <c r="H372" s="503" t="inlineStr">
        <is>
          <t>/</t>
        </is>
      </c>
      <c r="I372" s="355" t="inlineStr">
        <is>
          <t>一纸鸡</t>
        </is>
      </c>
      <c r="J372" s="219" t="inlineStr">
        <is>
          <t>熊朝秀</t>
        </is>
      </c>
      <c r="K372" s="224" t="inlineStr">
        <is>
          <t>/</t>
        </is>
      </c>
      <c r="L372" s="651" t="inlineStr">
        <is>
          <t>/</t>
        </is>
      </c>
      <c r="M372" s="77" t="n">
        <v>0.28</v>
      </c>
      <c r="N372" s="77" t="inlineStr">
        <is>
          <t>/</t>
        </is>
      </c>
      <c r="O372" s="77" t="inlineStr">
        <is>
          <t>/</t>
        </is>
      </c>
      <c r="P372" s="81" t="inlineStr">
        <is>
          <t>/</t>
        </is>
      </c>
      <c r="Q372" s="81" t="inlineStr">
        <is>
          <t>/</t>
        </is>
      </c>
      <c r="R372" s="81" t="inlineStr">
        <is>
          <t>/</t>
        </is>
      </c>
      <c r="S372" s="77" t="inlineStr">
        <is>
          <t>/</t>
        </is>
      </c>
      <c r="T372" s="71" t="inlineStr">
        <is>
          <t>/</t>
        </is>
      </c>
      <c r="U372" s="71" t="inlineStr">
        <is>
          <t>/</t>
        </is>
      </c>
      <c r="V372" s="77" t="inlineStr">
        <is>
          <t>/</t>
        </is>
      </c>
      <c r="W372" s="72" t="inlineStr">
        <is>
          <t>50%±3%</t>
        </is>
      </c>
      <c r="X372" s="573" t="inlineStr">
        <is>
          <t>/</t>
        </is>
      </c>
      <c r="Y372" s="72" t="inlineStr">
        <is>
          <t>/</t>
        </is>
      </c>
      <c r="Z372" s="72" t="inlineStr">
        <is>
          <t>/</t>
        </is>
      </c>
      <c r="AA372" s="72" t="inlineStr">
        <is>
          <t>/</t>
        </is>
      </c>
      <c r="AB372" s="51" t="inlineStr">
        <is>
          <t>/</t>
        </is>
      </c>
      <c r="AC372" s="46" t="inlineStr">
        <is>
          <t>/</t>
        </is>
      </c>
      <c r="AD372" s="76" t="inlineStr">
        <is>
          <t>1、虫害消杀：项目反馈不收取，包含在服务费中；
2、装修折旧费：项目反馈不收取，包含在服务费中；
3、卫生费：项目反馈不收取，包含在服务费中；
4、能源费：项目反馈不收取，包含在服务费中；</t>
        </is>
      </c>
      <c r="AE372" s="25" t="n"/>
      <c r="AF372"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73" ht="132" customFormat="1" customHeight="1" s="209">
      <c r="A373" s="219" t="n">
        <v>371</v>
      </c>
      <c r="B373" s="14" t="inlineStr">
        <is>
          <t>KQCY0359</t>
        </is>
      </c>
      <c r="C373" s="221" t="inlineStr">
        <is>
          <t>餐饮六分部</t>
        </is>
      </c>
      <c r="D373" s="221" t="inlineStr">
        <is>
          <t>CF480</t>
        </is>
      </c>
      <c r="E373" s="221" t="inlineStr">
        <is>
          <t>江苏旅游学生食堂二楼</t>
        </is>
      </c>
      <c r="F373" s="219" t="inlineStr">
        <is>
          <t>分组作业</t>
        </is>
      </c>
      <c r="G373" s="222" t="inlineStr">
        <is>
          <t>吉沐牛</t>
        </is>
      </c>
      <c r="H373" s="503" t="inlineStr">
        <is>
          <t>/</t>
        </is>
      </c>
      <c r="I373" s="237" t="inlineStr">
        <is>
          <t>炸鸡</t>
        </is>
      </c>
      <c r="J373" s="219" t="inlineStr">
        <is>
          <t>单良</t>
        </is>
      </c>
      <c r="K373" s="224" t="inlineStr">
        <is>
          <t>/</t>
        </is>
      </c>
      <c r="L373" s="651" t="inlineStr">
        <is>
          <t>/</t>
        </is>
      </c>
      <c r="M373" s="77" t="n">
        <v>0.24</v>
      </c>
      <c r="N373" s="77" t="inlineStr">
        <is>
          <t>/</t>
        </is>
      </c>
      <c r="O373" s="77" t="inlineStr">
        <is>
          <t>/</t>
        </is>
      </c>
      <c r="P373" s="81" t="inlineStr">
        <is>
          <t>/</t>
        </is>
      </c>
      <c r="Q373" s="81" t="inlineStr">
        <is>
          <t>/</t>
        </is>
      </c>
      <c r="R373" s="81" t="inlineStr">
        <is>
          <t>/</t>
        </is>
      </c>
      <c r="S373" s="77" t="inlineStr">
        <is>
          <t>/</t>
        </is>
      </c>
      <c r="T373" s="71" t="inlineStr">
        <is>
          <t>/</t>
        </is>
      </c>
      <c r="U373" s="71" t="inlineStr">
        <is>
          <t>/</t>
        </is>
      </c>
      <c r="V373" s="77" t="inlineStr">
        <is>
          <t>/</t>
        </is>
      </c>
      <c r="W373" s="72" t="inlineStr">
        <is>
          <t>50%±3%</t>
        </is>
      </c>
      <c r="X373" s="573" t="inlineStr">
        <is>
          <t>/</t>
        </is>
      </c>
      <c r="Y373" s="72" t="inlineStr">
        <is>
          <t>/</t>
        </is>
      </c>
      <c r="Z373" s="72" t="inlineStr">
        <is>
          <t>/</t>
        </is>
      </c>
      <c r="AA373" s="72" t="inlineStr">
        <is>
          <t>/</t>
        </is>
      </c>
      <c r="AB373" s="51" t="inlineStr">
        <is>
          <t>/</t>
        </is>
      </c>
      <c r="AC373" s="46" t="inlineStr">
        <is>
          <t>/</t>
        </is>
      </c>
      <c r="AD373" s="76" t="inlineStr">
        <is>
          <t>1、虫害消杀：项目反馈不收取，包含在服务费中；
2、装修折旧费：项目反馈不收取，包含在服务费中；
3、卫生费：项目反馈不收取，包含在服务费中；
4、能源费：项目反馈不收取，包含在服务费中；</t>
        </is>
      </c>
      <c r="AE373" s="25" t="n"/>
      <c r="AF373"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74" ht="132" customFormat="1" customHeight="1" s="209">
      <c r="A374" s="219" t="n">
        <v>372</v>
      </c>
      <c r="B374" s="14" t="inlineStr">
        <is>
          <t>KQCY0360</t>
        </is>
      </c>
      <c r="C374" s="221" t="inlineStr">
        <is>
          <t>餐饮六分部</t>
        </is>
      </c>
      <c r="D374" s="221" t="inlineStr">
        <is>
          <t>CF480</t>
        </is>
      </c>
      <c r="E374" s="221" t="inlineStr">
        <is>
          <t>江苏旅游学生食堂二楼</t>
        </is>
      </c>
      <c r="F374" s="219" t="inlineStr">
        <is>
          <t>分组作业</t>
        </is>
      </c>
      <c r="G374" s="222" t="inlineStr">
        <is>
          <t>吉沐牛</t>
        </is>
      </c>
      <c r="H374" s="503" t="inlineStr">
        <is>
          <t>/</t>
        </is>
      </c>
      <c r="I374" s="237" t="inlineStr">
        <is>
          <t>快餐自选</t>
        </is>
      </c>
      <c r="J374" s="219" t="inlineStr">
        <is>
          <t>王明辉</t>
        </is>
      </c>
      <c r="K374" s="224" t="inlineStr">
        <is>
          <t>/</t>
        </is>
      </c>
      <c r="L374" s="651" t="inlineStr">
        <is>
          <t>/</t>
        </is>
      </c>
      <c r="M374" s="77" t="n">
        <v>0.22</v>
      </c>
      <c r="N374" s="77" t="inlineStr">
        <is>
          <t>/</t>
        </is>
      </c>
      <c r="O374" s="77" t="inlineStr">
        <is>
          <t>/</t>
        </is>
      </c>
      <c r="P374" s="81" t="inlineStr">
        <is>
          <t>/</t>
        </is>
      </c>
      <c r="Q374" s="81" t="inlineStr">
        <is>
          <t>/</t>
        </is>
      </c>
      <c r="R374" s="81" t="inlineStr">
        <is>
          <t>/</t>
        </is>
      </c>
      <c r="S374" s="77" t="inlineStr">
        <is>
          <t>/</t>
        </is>
      </c>
      <c r="T374" s="71" t="inlineStr">
        <is>
          <t>/</t>
        </is>
      </c>
      <c r="U374" s="71" t="inlineStr">
        <is>
          <t>/</t>
        </is>
      </c>
      <c r="V374" s="77" t="inlineStr">
        <is>
          <t>/</t>
        </is>
      </c>
      <c r="W374" s="72" t="inlineStr">
        <is>
          <t>50%±3%</t>
        </is>
      </c>
      <c r="X374" s="573" t="inlineStr">
        <is>
          <t>/</t>
        </is>
      </c>
      <c r="Y374" s="72" t="inlineStr">
        <is>
          <t>/</t>
        </is>
      </c>
      <c r="Z374" s="72" t="inlineStr">
        <is>
          <t>/</t>
        </is>
      </c>
      <c r="AA374" s="72" t="inlineStr">
        <is>
          <t>/</t>
        </is>
      </c>
      <c r="AB374" s="51" t="inlineStr">
        <is>
          <t>/</t>
        </is>
      </c>
      <c r="AC374" s="46" t="inlineStr">
        <is>
          <t>/</t>
        </is>
      </c>
      <c r="AD374" s="76" t="inlineStr">
        <is>
          <t>1、虫害消杀：项目反馈不收取，包含在服务费中；
2、装修折旧费：项目反馈不收取，包含在服务费中；
3、卫生费：项目反馈不收取，包含在服务费中；
4、能源费：项目反馈不收取，包含在服务费中；</t>
        </is>
      </c>
      <c r="AE374" s="25" t="n"/>
      <c r="AF374"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75" ht="132" customFormat="1" customHeight="1" s="209">
      <c r="A375" s="219" t="n">
        <v>373</v>
      </c>
      <c r="B375" s="14" t="inlineStr">
        <is>
          <t>KQCY0361</t>
        </is>
      </c>
      <c r="C375" s="221" t="inlineStr">
        <is>
          <t>餐饮六分部</t>
        </is>
      </c>
      <c r="D375" s="221" t="inlineStr">
        <is>
          <t>CF480</t>
        </is>
      </c>
      <c r="E375" s="221" t="inlineStr">
        <is>
          <t>江苏旅游学生食堂二楼</t>
        </is>
      </c>
      <c r="F375" s="219" t="inlineStr">
        <is>
          <t>分组作业</t>
        </is>
      </c>
      <c r="G375" s="222" t="inlineStr">
        <is>
          <t>吉沐牛</t>
        </is>
      </c>
      <c r="H375" s="503" t="inlineStr">
        <is>
          <t>/</t>
        </is>
      </c>
      <c r="I375" s="237" t="inlineStr">
        <is>
          <t>早餐</t>
        </is>
      </c>
      <c r="J375" s="219" t="inlineStr">
        <is>
          <t>王明辉</t>
        </is>
      </c>
      <c r="K375" s="224" t="inlineStr">
        <is>
          <t>/</t>
        </is>
      </c>
      <c r="L375" s="651" t="inlineStr">
        <is>
          <t>/</t>
        </is>
      </c>
      <c r="M375" s="77" t="n">
        <v>0.16</v>
      </c>
      <c r="N375" s="77" t="inlineStr">
        <is>
          <t>/</t>
        </is>
      </c>
      <c r="O375" s="77" t="inlineStr">
        <is>
          <t>/</t>
        </is>
      </c>
      <c r="P375" s="81" t="inlineStr">
        <is>
          <t>/</t>
        </is>
      </c>
      <c r="Q375" s="81" t="inlineStr">
        <is>
          <t>/</t>
        </is>
      </c>
      <c r="R375" s="81" t="inlineStr">
        <is>
          <t>/</t>
        </is>
      </c>
      <c r="S375" s="77" t="inlineStr">
        <is>
          <t>/</t>
        </is>
      </c>
      <c r="T375" s="71" t="inlineStr">
        <is>
          <t>/</t>
        </is>
      </c>
      <c r="U375" s="71" t="inlineStr">
        <is>
          <t>/</t>
        </is>
      </c>
      <c r="V375" s="77" t="inlineStr">
        <is>
          <t>/</t>
        </is>
      </c>
      <c r="W375" s="72" t="inlineStr">
        <is>
          <t>50%±3%</t>
        </is>
      </c>
      <c r="X375" s="573" t="inlineStr">
        <is>
          <t>/</t>
        </is>
      </c>
      <c r="Y375" s="72" t="inlineStr">
        <is>
          <t>/</t>
        </is>
      </c>
      <c r="Z375" s="72" t="inlineStr">
        <is>
          <t>/</t>
        </is>
      </c>
      <c r="AA375" s="72" t="inlineStr">
        <is>
          <t>/</t>
        </is>
      </c>
      <c r="AB375" s="51" t="inlineStr">
        <is>
          <t>/</t>
        </is>
      </c>
      <c r="AC375" s="46" t="inlineStr">
        <is>
          <t>/</t>
        </is>
      </c>
      <c r="AD375" s="76" t="inlineStr">
        <is>
          <t>1、虫害消杀：项目反馈不收取，包含在服务费中；
2、装修折旧费：项目反馈不收取，包含在服务费中；
3、卫生费：项目反馈不收取，包含在服务费中；
4、能源费：项目反馈不收取，包含在服务费中；</t>
        </is>
      </c>
      <c r="AE375" s="25" t="n"/>
      <c r="AF375"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76" ht="12" customFormat="1" customHeight="1" s="209">
      <c r="A376" s="219" t="n">
        <v>374</v>
      </c>
      <c r="B376" s="535" t="n"/>
      <c r="C376" s="221" t="inlineStr">
        <is>
          <t>餐饮六分部</t>
        </is>
      </c>
      <c r="D376" s="221" t="inlineStr">
        <is>
          <t>CF341</t>
        </is>
      </c>
      <c r="E376" s="221" t="inlineStr">
        <is>
          <t>扬大荷花池校区二楼食堂</t>
        </is>
      </c>
      <c r="F376" s="219" t="inlineStr">
        <is>
          <t>人员服务外包</t>
        </is>
      </c>
      <c r="G376" s="222" t="inlineStr">
        <is>
          <t>吉沐牛</t>
        </is>
      </c>
      <c r="H376" s="480" t="inlineStr">
        <is>
          <t>/</t>
        </is>
      </c>
      <c r="I376" s="335" t="inlineStr">
        <is>
          <t>/</t>
        </is>
      </c>
      <c r="J376" s="335" t="inlineStr">
        <is>
          <t>/</t>
        </is>
      </c>
      <c r="K376" s="349" t="inlineStr">
        <is>
          <t>/</t>
        </is>
      </c>
      <c r="L376" s="651" t="inlineStr">
        <is>
          <t>/</t>
        </is>
      </c>
      <c r="M376" s="349" t="inlineStr">
        <is>
          <t>/</t>
        </is>
      </c>
      <c r="N376" s="349" t="inlineStr">
        <is>
          <t>/</t>
        </is>
      </c>
      <c r="O376" s="349" t="inlineStr">
        <is>
          <t>/</t>
        </is>
      </c>
      <c r="P376" s="349" t="inlineStr">
        <is>
          <t>/</t>
        </is>
      </c>
      <c r="Q376" s="349" t="inlineStr">
        <is>
          <t>/</t>
        </is>
      </c>
      <c r="R376" s="349" t="inlineStr">
        <is>
          <t>/</t>
        </is>
      </c>
      <c r="S376" s="349" t="inlineStr">
        <is>
          <t>/</t>
        </is>
      </c>
      <c r="T376" s="106" t="n"/>
      <c r="U376" s="462" t="inlineStr">
        <is>
          <t>/</t>
        </is>
      </c>
      <c r="V376" s="349" t="inlineStr">
        <is>
          <t>/</t>
        </is>
      </c>
      <c r="W376" s="480" t="inlineStr">
        <is>
          <t>/</t>
        </is>
      </c>
      <c r="X376" s="662" t="inlineStr">
        <is>
          <t>/</t>
        </is>
      </c>
      <c r="Y376" s="480" t="inlineStr">
        <is>
          <t>/</t>
        </is>
      </c>
      <c r="Z376" s="480" t="inlineStr">
        <is>
          <t>/</t>
        </is>
      </c>
      <c r="AA376" s="480" t="inlineStr">
        <is>
          <t>/</t>
        </is>
      </c>
      <c r="AB376" s="46" t="n">
        <v>0.11</v>
      </c>
      <c r="AC376" s="118" t="inlineStr">
        <is>
          <t>/</t>
        </is>
      </c>
      <c r="AD376" s="48" t="inlineStr">
        <is>
          <t>1、自营未实际经营；</t>
        </is>
      </c>
      <c r="AE376" s="25" t="n"/>
      <c r="AF376" s="232" t="n"/>
    </row>
    <row r="377" ht="48" customFormat="1" customHeight="1" s="209">
      <c r="A377" s="219" t="n">
        <v>375</v>
      </c>
      <c r="B377" s="14" t="inlineStr">
        <is>
          <t>KQCY0362</t>
        </is>
      </c>
      <c r="C377" s="221" t="inlineStr">
        <is>
          <t>餐饮六分部</t>
        </is>
      </c>
      <c r="D377" s="221" t="inlineStr">
        <is>
          <t>CF341</t>
        </is>
      </c>
      <c r="E377" s="221" t="inlineStr">
        <is>
          <t>扬大荷花池校区二楼食堂</t>
        </is>
      </c>
      <c r="F377" s="219" t="inlineStr">
        <is>
          <t>人员服务外包</t>
        </is>
      </c>
      <c r="G377" s="222" t="inlineStr">
        <is>
          <t>吉沐牛</t>
        </is>
      </c>
      <c r="H377" s="219" t="inlineStr">
        <is>
          <t>第一班组</t>
        </is>
      </c>
      <c r="I377" s="237" t="inlineStr">
        <is>
          <t>麻辣烫(麻辣拌、麻酱拌、小碗菜、盖浇饭、猪脚饭)</t>
        </is>
      </c>
      <c r="J377" s="219" t="inlineStr">
        <is>
          <t>于士位</t>
        </is>
      </c>
      <c r="K377" s="224" t="inlineStr">
        <is>
          <t>/</t>
        </is>
      </c>
      <c r="L377" s="651" t="n">
        <v>1668000</v>
      </c>
      <c r="M377" s="75" t="n">
        <v>0.08500000000000001</v>
      </c>
      <c r="N377" s="77" t="inlineStr">
        <is>
          <t>/</t>
        </is>
      </c>
      <c r="O377" s="77" t="inlineStr">
        <is>
          <t>/</t>
        </is>
      </c>
      <c r="P377" s="77" t="inlineStr">
        <is>
          <t>/</t>
        </is>
      </c>
      <c r="Q377" s="77" t="inlineStr">
        <is>
          <t>/</t>
        </is>
      </c>
      <c r="R377" s="77" t="inlineStr">
        <is>
          <t>/</t>
        </is>
      </c>
      <c r="S377" s="77" t="inlineStr">
        <is>
          <t>/</t>
        </is>
      </c>
      <c r="T377" s="77" t="inlineStr">
        <is>
          <t>/</t>
        </is>
      </c>
      <c r="U377" s="77" t="inlineStr">
        <is>
          <t>/</t>
        </is>
      </c>
      <c r="V377" s="72" t="inlineStr">
        <is>
          <t>/</t>
        </is>
      </c>
      <c r="W377" s="77" t="n">
        <v>0.45</v>
      </c>
      <c r="X377" s="573" t="inlineStr">
        <is>
          <t>/</t>
        </is>
      </c>
      <c r="Y377" s="72" t="inlineStr">
        <is>
          <t>/</t>
        </is>
      </c>
      <c r="Z377" s="72" t="inlineStr">
        <is>
          <t>/</t>
        </is>
      </c>
      <c r="AA377" s="72" t="inlineStr">
        <is>
          <t>/</t>
        </is>
      </c>
      <c r="AB377" s="51" t="inlineStr">
        <is>
          <t>/</t>
        </is>
      </c>
      <c r="AC377" s="46" t="inlineStr">
        <is>
          <t>/</t>
        </is>
      </c>
      <c r="AD377" s="76" t="inlineStr">
        <is>
          <t>1、卫生费：项目反馈不收取，包含在服务费中；</t>
        </is>
      </c>
      <c r="AE377" s="25" t="inlineStr">
        <is>
          <t xml:space="preserve">1、签订期间：2026.3-7月；
2、指标按照全年换算；
</t>
        </is>
      </c>
      <c r="AF377" s="232" t="inlineStr">
        <is>
          <t>1、会议纪要中未填写分组作业需收取的费用内容；
问题：待明确；</t>
        </is>
      </c>
    </row>
    <row r="378" ht="48" customFormat="1" customHeight="1" s="209">
      <c r="A378" s="219" t="n">
        <v>376</v>
      </c>
      <c r="B378" s="14" t="inlineStr">
        <is>
          <t>KQCY0363</t>
        </is>
      </c>
      <c r="C378" s="221" t="inlineStr">
        <is>
          <t>餐饮六分部</t>
        </is>
      </c>
      <c r="D378" s="221" t="inlineStr">
        <is>
          <t>CF341</t>
        </is>
      </c>
      <c r="E378" s="221" t="inlineStr">
        <is>
          <t>扬大荷花池校区二楼食堂</t>
        </is>
      </c>
      <c r="F378" s="219" t="inlineStr">
        <is>
          <t>人员服务外包</t>
        </is>
      </c>
      <c r="G378" s="222" t="inlineStr">
        <is>
          <t>吉沐牛</t>
        </is>
      </c>
      <c r="H378" s="219" t="inlineStr">
        <is>
          <t>第二班组</t>
        </is>
      </c>
      <c r="I378" s="237" t="inlineStr">
        <is>
          <t>烤鸭饭</t>
        </is>
      </c>
      <c r="J378" s="219" t="inlineStr">
        <is>
          <t>吴异</t>
        </is>
      </c>
      <c r="K378" s="224" t="inlineStr">
        <is>
          <t>/</t>
        </is>
      </c>
      <c r="L378" s="651" t="n">
        <v>984000</v>
      </c>
      <c r="M378" s="75" t="n">
        <v>0.08500000000000001</v>
      </c>
      <c r="N378" s="77" t="inlineStr">
        <is>
          <t>/</t>
        </is>
      </c>
      <c r="O378" s="77" t="inlineStr">
        <is>
          <t>/</t>
        </is>
      </c>
      <c r="P378" s="77" t="inlineStr">
        <is>
          <t>/</t>
        </is>
      </c>
      <c r="Q378" s="77" t="inlineStr">
        <is>
          <t>/</t>
        </is>
      </c>
      <c r="R378" s="77" t="inlineStr">
        <is>
          <t>/</t>
        </is>
      </c>
      <c r="S378" s="77" t="inlineStr">
        <is>
          <t>/</t>
        </is>
      </c>
      <c r="T378" s="77" t="inlineStr">
        <is>
          <t>/</t>
        </is>
      </c>
      <c r="U378" s="77" t="inlineStr">
        <is>
          <t>/</t>
        </is>
      </c>
      <c r="V378" s="72" t="inlineStr">
        <is>
          <t>/</t>
        </is>
      </c>
      <c r="W378" s="77" t="n">
        <v>0.45</v>
      </c>
      <c r="X378" s="573" t="inlineStr">
        <is>
          <t>/</t>
        </is>
      </c>
      <c r="Y378" s="72" t="inlineStr">
        <is>
          <t>/</t>
        </is>
      </c>
      <c r="Z378" s="72" t="inlineStr">
        <is>
          <t>/</t>
        </is>
      </c>
      <c r="AA378" s="72" t="inlineStr">
        <is>
          <t>/</t>
        </is>
      </c>
      <c r="AB378" s="51" t="inlineStr">
        <is>
          <t>/</t>
        </is>
      </c>
      <c r="AC378" s="46" t="inlineStr">
        <is>
          <t>/</t>
        </is>
      </c>
      <c r="AD378" s="76" t="inlineStr">
        <is>
          <t>1、卫生费：项目反馈不收取，包含在服务费中；</t>
        </is>
      </c>
      <c r="AE378" s="25" t="inlineStr">
        <is>
          <t xml:space="preserve">1、签订期间：2026.3-7月；
2、指标按照全年换算；
</t>
        </is>
      </c>
      <c r="AF378" s="232" t="inlineStr">
        <is>
          <t>1、会议纪要中未填写分组作业需收取的费用内容；
问题：待明确；</t>
        </is>
      </c>
    </row>
    <row r="379" ht="48" customFormat="1" customHeight="1" s="209">
      <c r="A379" s="219" t="n">
        <v>377</v>
      </c>
      <c r="B379" s="14" t="inlineStr">
        <is>
          <t>KQCY0364</t>
        </is>
      </c>
      <c r="C379" s="221" t="inlineStr">
        <is>
          <t>餐饮六分部</t>
        </is>
      </c>
      <c r="D379" s="221" t="inlineStr">
        <is>
          <t>CF341</t>
        </is>
      </c>
      <c r="E379" s="221" t="inlineStr">
        <is>
          <t>扬大荷花池校区二楼食堂</t>
        </is>
      </c>
      <c r="F379" s="219" t="inlineStr">
        <is>
          <t>人员服务外包</t>
        </is>
      </c>
      <c r="G379" s="222" t="inlineStr">
        <is>
          <t>吉沐牛</t>
        </is>
      </c>
      <c r="H379" s="219" t="inlineStr">
        <is>
          <t>第三班组</t>
        </is>
      </c>
      <c r="I379" s="237" t="inlineStr">
        <is>
          <t>酸菜鱼(砂锅)</t>
        </is>
      </c>
      <c r="J379" s="219" t="inlineStr">
        <is>
          <t>邱康兴</t>
        </is>
      </c>
      <c r="K379" s="224" t="inlineStr">
        <is>
          <t>/</t>
        </is>
      </c>
      <c r="L379" s="651" t="n">
        <v>662400</v>
      </c>
      <c r="M379" s="75" t="n">
        <v>0.08500000000000001</v>
      </c>
      <c r="N379" s="77" t="inlineStr">
        <is>
          <t>/</t>
        </is>
      </c>
      <c r="O379" s="77" t="inlineStr">
        <is>
          <t>/</t>
        </is>
      </c>
      <c r="P379" s="77" t="inlineStr">
        <is>
          <t>/</t>
        </is>
      </c>
      <c r="Q379" s="77" t="inlineStr">
        <is>
          <t>/</t>
        </is>
      </c>
      <c r="R379" s="77" t="inlineStr">
        <is>
          <t>/</t>
        </is>
      </c>
      <c r="S379" s="77" t="inlineStr">
        <is>
          <t>/</t>
        </is>
      </c>
      <c r="T379" s="77" t="inlineStr">
        <is>
          <t>/</t>
        </is>
      </c>
      <c r="U379" s="77" t="inlineStr">
        <is>
          <t>/</t>
        </is>
      </c>
      <c r="V379" s="72" t="inlineStr">
        <is>
          <t>/</t>
        </is>
      </c>
      <c r="W379" s="77" t="n">
        <v>0.45</v>
      </c>
      <c r="X379" s="573" t="inlineStr">
        <is>
          <t>/</t>
        </is>
      </c>
      <c r="Y379" s="72" t="inlineStr">
        <is>
          <t>/</t>
        </is>
      </c>
      <c r="Z379" s="72" t="inlineStr">
        <is>
          <t>/</t>
        </is>
      </c>
      <c r="AA379" s="72" t="inlineStr">
        <is>
          <t>/</t>
        </is>
      </c>
      <c r="AB379" s="51" t="inlineStr">
        <is>
          <t>/</t>
        </is>
      </c>
      <c r="AC379" s="46" t="inlineStr">
        <is>
          <t>/</t>
        </is>
      </c>
      <c r="AD379" s="76" t="inlineStr">
        <is>
          <t>1、卫生费：项目反馈不收取，包含在服务费中；</t>
        </is>
      </c>
      <c r="AE379" s="25" t="inlineStr">
        <is>
          <t xml:space="preserve">1、签订期间：2026.3-7月；
2、指标按照全年换算；
</t>
        </is>
      </c>
      <c r="AF379" s="232" t="inlineStr">
        <is>
          <t>1、会议纪要中未填写分组作业需收取的费用内容；
问题：待明确；</t>
        </is>
      </c>
    </row>
    <row r="380" ht="48" customFormat="1" customHeight="1" s="209">
      <c r="A380" s="219" t="n">
        <v>378</v>
      </c>
      <c r="B380" s="14" t="inlineStr">
        <is>
          <t>KQCY0365</t>
        </is>
      </c>
      <c r="C380" s="221" t="inlineStr">
        <is>
          <t>餐饮六分部</t>
        </is>
      </c>
      <c r="D380" s="221" t="inlineStr">
        <is>
          <t>CF341</t>
        </is>
      </c>
      <c r="E380" s="221" t="inlineStr">
        <is>
          <t>扬大荷花池校区二楼食堂</t>
        </is>
      </c>
      <c r="F380" s="219" t="inlineStr">
        <is>
          <t>人员服务外包</t>
        </is>
      </c>
      <c r="G380" s="222" t="inlineStr">
        <is>
          <t>吉沐牛</t>
        </is>
      </c>
      <c r="H380" s="219" t="inlineStr">
        <is>
          <t>第四班组</t>
        </is>
      </c>
      <c r="I380" s="237" t="inlineStr">
        <is>
          <t>瓦香鸡</t>
        </is>
      </c>
      <c r="J380" s="219" t="inlineStr">
        <is>
          <t>董伟</t>
        </is>
      </c>
      <c r="K380" s="224" t="inlineStr">
        <is>
          <t>/</t>
        </is>
      </c>
      <c r="L380" s="651" t="n">
        <v>367200</v>
      </c>
      <c r="M380" s="75" t="n">
        <v>0.08500000000000001</v>
      </c>
      <c r="N380" s="77" t="inlineStr">
        <is>
          <t>/</t>
        </is>
      </c>
      <c r="O380" s="77" t="inlineStr">
        <is>
          <t>/</t>
        </is>
      </c>
      <c r="P380" s="77" t="inlineStr">
        <is>
          <t>/</t>
        </is>
      </c>
      <c r="Q380" s="77" t="inlineStr">
        <is>
          <t>/</t>
        </is>
      </c>
      <c r="R380" s="77" t="inlineStr">
        <is>
          <t>/</t>
        </is>
      </c>
      <c r="S380" s="77" t="inlineStr">
        <is>
          <t>/</t>
        </is>
      </c>
      <c r="T380" s="77" t="inlineStr">
        <is>
          <t>/</t>
        </is>
      </c>
      <c r="U380" s="77" t="inlineStr">
        <is>
          <t>/</t>
        </is>
      </c>
      <c r="V380" s="72" t="inlineStr">
        <is>
          <t>/</t>
        </is>
      </c>
      <c r="W380" s="77" t="n">
        <v>0.45</v>
      </c>
      <c r="X380" s="573" t="inlineStr">
        <is>
          <t>/</t>
        </is>
      </c>
      <c r="Y380" s="72" t="inlineStr">
        <is>
          <t>/</t>
        </is>
      </c>
      <c r="Z380" s="72" t="inlineStr">
        <is>
          <t>/</t>
        </is>
      </c>
      <c r="AA380" s="72" t="inlineStr">
        <is>
          <t>/</t>
        </is>
      </c>
      <c r="AB380" s="51" t="inlineStr">
        <is>
          <t>/</t>
        </is>
      </c>
      <c r="AC380" s="46" t="inlineStr">
        <is>
          <t>/</t>
        </is>
      </c>
      <c r="AD380" s="76" t="inlineStr">
        <is>
          <t>1、卫生费：项目反馈不收取，包含在服务费中；</t>
        </is>
      </c>
      <c r="AE380" s="25" t="inlineStr">
        <is>
          <t xml:space="preserve">1、签订期间：2026.3-7月；
2、指标按照全年换算；
</t>
        </is>
      </c>
      <c r="AF380" s="232" t="inlineStr">
        <is>
          <t>1、会议纪要中未填写分组作业需收取的费用内容；
问题：待明确；</t>
        </is>
      </c>
    </row>
    <row r="381" ht="48" customFormat="1" customHeight="1" s="209">
      <c r="A381" s="219" t="n">
        <v>379</v>
      </c>
      <c r="B381" s="14" t="inlineStr">
        <is>
          <t>KQCY0366</t>
        </is>
      </c>
      <c r="C381" s="221" t="inlineStr">
        <is>
          <t>餐饮六分部</t>
        </is>
      </c>
      <c r="D381" s="221" t="inlineStr">
        <is>
          <t>CF341</t>
        </is>
      </c>
      <c r="E381" s="221" t="inlineStr">
        <is>
          <t>扬大荷花池校区二楼食堂</t>
        </is>
      </c>
      <c r="F381" s="219" t="inlineStr">
        <is>
          <t>人员服务外包</t>
        </is>
      </c>
      <c r="G381" s="222" t="inlineStr">
        <is>
          <t>吉沐牛</t>
        </is>
      </c>
      <c r="H381" s="219" t="inlineStr">
        <is>
          <t>第五班组</t>
        </is>
      </c>
      <c r="I381" s="237" t="inlineStr">
        <is>
          <t>水饺(馄饨)</t>
        </is>
      </c>
      <c r="J381" s="219" t="inlineStr">
        <is>
          <t>周凯</t>
        </is>
      </c>
      <c r="K381" s="224" t="inlineStr">
        <is>
          <t>/</t>
        </is>
      </c>
      <c r="L381" s="651" t="n">
        <v>316800</v>
      </c>
      <c r="M381" s="75" t="n">
        <v>0.08500000000000001</v>
      </c>
      <c r="N381" s="77" t="inlineStr">
        <is>
          <t>/</t>
        </is>
      </c>
      <c r="O381" s="77" t="inlineStr">
        <is>
          <t>/</t>
        </is>
      </c>
      <c r="P381" s="77" t="inlineStr">
        <is>
          <t>/</t>
        </is>
      </c>
      <c r="Q381" s="77" t="inlineStr">
        <is>
          <t>/</t>
        </is>
      </c>
      <c r="R381" s="77" t="inlineStr">
        <is>
          <t>/</t>
        </is>
      </c>
      <c r="S381" s="77" t="inlineStr">
        <is>
          <t>/</t>
        </is>
      </c>
      <c r="T381" s="77" t="inlineStr">
        <is>
          <t>/</t>
        </is>
      </c>
      <c r="U381" s="77" t="inlineStr">
        <is>
          <t>/</t>
        </is>
      </c>
      <c r="V381" s="72" t="inlineStr">
        <is>
          <t>/</t>
        </is>
      </c>
      <c r="W381" s="77" t="n">
        <v>0.45</v>
      </c>
      <c r="X381" s="573" t="inlineStr">
        <is>
          <t>/</t>
        </is>
      </c>
      <c r="Y381" s="72" t="inlineStr">
        <is>
          <t>/</t>
        </is>
      </c>
      <c r="Z381" s="72" t="inlineStr">
        <is>
          <t>/</t>
        </is>
      </c>
      <c r="AA381" s="72" t="inlineStr">
        <is>
          <t>/</t>
        </is>
      </c>
      <c r="AB381" s="51" t="inlineStr">
        <is>
          <t>/</t>
        </is>
      </c>
      <c r="AC381" s="46" t="inlineStr">
        <is>
          <t>/</t>
        </is>
      </c>
      <c r="AD381" s="76" t="inlineStr">
        <is>
          <t>1、卫生费：项目反馈不收取，包含在服务费中；</t>
        </is>
      </c>
      <c r="AE381" s="25" t="inlineStr">
        <is>
          <t xml:space="preserve">1、签订期间：2026.3-7月；
2、指标按照全年换算；
</t>
        </is>
      </c>
      <c r="AF381" s="232" t="inlineStr">
        <is>
          <t>1、会议纪要中未填写分组作业需收取的费用内容；
问题：待明确；</t>
        </is>
      </c>
    </row>
    <row r="382" ht="48" customFormat="1" customHeight="1" s="209">
      <c r="A382" s="219" t="n">
        <v>380</v>
      </c>
      <c r="B382" s="14" t="inlineStr">
        <is>
          <t>KQCY0367</t>
        </is>
      </c>
      <c r="C382" s="221" t="inlineStr">
        <is>
          <t>餐饮六分部</t>
        </is>
      </c>
      <c r="D382" s="221" t="inlineStr">
        <is>
          <t>CF341</t>
        </is>
      </c>
      <c r="E382" s="221" t="inlineStr">
        <is>
          <t>扬大荷花池校区二楼食堂</t>
        </is>
      </c>
      <c r="F382" s="219" t="inlineStr">
        <is>
          <t>人员服务外包</t>
        </is>
      </c>
      <c r="G382" s="222" t="inlineStr">
        <is>
          <t>吉沐牛</t>
        </is>
      </c>
      <c r="H382" s="219" t="inlineStr">
        <is>
          <t>第六班组</t>
        </is>
      </c>
      <c r="I382" s="237" t="inlineStr">
        <is>
          <t>川湘菜</t>
        </is>
      </c>
      <c r="J382" s="219" t="inlineStr">
        <is>
          <t>刘诚诚</t>
        </is>
      </c>
      <c r="K382" s="224" t="inlineStr">
        <is>
          <t>/</t>
        </is>
      </c>
      <c r="L382" s="651" t="n">
        <v>2232000</v>
      </c>
      <c r="M382" s="75" t="n">
        <v>0.08500000000000001</v>
      </c>
      <c r="N382" s="77" t="inlineStr">
        <is>
          <t>/</t>
        </is>
      </c>
      <c r="O382" s="77" t="inlineStr">
        <is>
          <t>/</t>
        </is>
      </c>
      <c r="P382" s="77" t="inlineStr">
        <is>
          <t>/</t>
        </is>
      </c>
      <c r="Q382" s="77" t="inlineStr">
        <is>
          <t>/</t>
        </is>
      </c>
      <c r="R382" s="77" t="inlineStr">
        <is>
          <t>/</t>
        </is>
      </c>
      <c r="S382" s="77" t="inlineStr">
        <is>
          <t>/</t>
        </is>
      </c>
      <c r="T382" s="77" t="inlineStr">
        <is>
          <t>/</t>
        </is>
      </c>
      <c r="U382" s="77" t="inlineStr">
        <is>
          <t>/</t>
        </is>
      </c>
      <c r="V382" s="72" t="inlineStr">
        <is>
          <t>/</t>
        </is>
      </c>
      <c r="W382" s="77" t="n">
        <v>0.45</v>
      </c>
      <c r="X382" s="573" t="inlineStr">
        <is>
          <t>/</t>
        </is>
      </c>
      <c r="Y382" s="72" t="inlineStr">
        <is>
          <t>/</t>
        </is>
      </c>
      <c r="Z382" s="72" t="inlineStr">
        <is>
          <t>/</t>
        </is>
      </c>
      <c r="AA382" s="72" t="inlineStr">
        <is>
          <t>/</t>
        </is>
      </c>
      <c r="AB382" s="51" t="inlineStr">
        <is>
          <t>/</t>
        </is>
      </c>
      <c r="AC382" s="46" t="inlineStr">
        <is>
          <t>/</t>
        </is>
      </c>
      <c r="AD382" s="76" t="inlineStr">
        <is>
          <t>1、卫生费：项目反馈不收取，包含在服务费中；</t>
        </is>
      </c>
      <c r="AE382" s="25" t="inlineStr">
        <is>
          <t xml:space="preserve">1、签订期间：2026.3-7月；
2、指标按照全年换算；
</t>
        </is>
      </c>
      <c r="AF382" s="232" t="inlineStr">
        <is>
          <t>1、会议纪要中未填写分组作业需收取的费用内容；
问题：待明确；</t>
        </is>
      </c>
    </row>
    <row r="383" ht="48" customFormat="1" customHeight="1" s="209">
      <c r="A383" s="219" t="n">
        <v>381</v>
      </c>
      <c r="B383" s="14" t="inlineStr">
        <is>
          <t>KQCY0368</t>
        </is>
      </c>
      <c r="C383" s="221" t="inlineStr">
        <is>
          <t>餐饮六分部</t>
        </is>
      </c>
      <c r="D383" s="221" t="inlineStr">
        <is>
          <t>CF341</t>
        </is>
      </c>
      <c r="E383" s="221" t="inlineStr">
        <is>
          <t>扬大荷花池校区二楼食堂</t>
        </is>
      </c>
      <c r="F383" s="219" t="inlineStr">
        <is>
          <t>人员服务外包</t>
        </is>
      </c>
      <c r="G383" s="222" t="inlineStr">
        <is>
          <t>吉沐牛</t>
        </is>
      </c>
      <c r="H383" s="219" t="inlineStr">
        <is>
          <t>第七班组</t>
        </is>
      </c>
      <c r="I383" s="237" t="inlineStr">
        <is>
          <t>烤盘饭</t>
        </is>
      </c>
      <c r="J383" s="219" t="inlineStr">
        <is>
          <t>曹清红</t>
        </is>
      </c>
      <c r="K383" s="224" t="inlineStr">
        <is>
          <t>/</t>
        </is>
      </c>
      <c r="L383" s="651" t="n">
        <v>655200</v>
      </c>
      <c r="M383" s="75" t="n">
        <v>0.08500000000000001</v>
      </c>
      <c r="N383" s="77" t="inlineStr">
        <is>
          <t>/</t>
        </is>
      </c>
      <c r="O383" s="77" t="inlineStr">
        <is>
          <t>/</t>
        </is>
      </c>
      <c r="P383" s="77" t="inlineStr">
        <is>
          <t>/</t>
        </is>
      </c>
      <c r="Q383" s="77" t="inlineStr">
        <is>
          <t>/</t>
        </is>
      </c>
      <c r="R383" s="77" t="inlineStr">
        <is>
          <t>/</t>
        </is>
      </c>
      <c r="S383" s="77" t="inlineStr">
        <is>
          <t>/</t>
        </is>
      </c>
      <c r="T383" s="77" t="inlineStr">
        <is>
          <t>/</t>
        </is>
      </c>
      <c r="U383" s="77" t="inlineStr">
        <is>
          <t>/</t>
        </is>
      </c>
      <c r="V383" s="72" t="inlineStr">
        <is>
          <t>/</t>
        </is>
      </c>
      <c r="W383" s="77" t="n">
        <v>0.45</v>
      </c>
      <c r="X383" s="573" t="inlineStr">
        <is>
          <t>/</t>
        </is>
      </c>
      <c r="Y383" s="72" t="inlineStr">
        <is>
          <t>/</t>
        </is>
      </c>
      <c r="Z383" s="72" t="inlineStr">
        <is>
          <t>/</t>
        </is>
      </c>
      <c r="AA383" s="72" t="inlineStr">
        <is>
          <t>/</t>
        </is>
      </c>
      <c r="AB383" s="51" t="inlineStr">
        <is>
          <t>/</t>
        </is>
      </c>
      <c r="AC383" s="46" t="inlineStr">
        <is>
          <t>/</t>
        </is>
      </c>
      <c r="AD383" s="76" t="inlineStr">
        <is>
          <t>1、卫生费：项目反馈不收取，包含在服务费中；</t>
        </is>
      </c>
      <c r="AE383" s="25" t="inlineStr">
        <is>
          <t xml:space="preserve">1、签订期间：2026.3-7月；
2、指标按照全年换算；
</t>
        </is>
      </c>
      <c r="AF383" s="232" t="inlineStr">
        <is>
          <t>1、会议纪要中未填写分组作业需收取的费用内容；
问题：待明确；</t>
        </is>
      </c>
    </row>
    <row r="384" ht="24" customFormat="1" customHeight="1" s="209">
      <c r="A384" s="219" t="n">
        <v>382</v>
      </c>
      <c r="B384" s="14" t="inlineStr">
        <is>
          <t>KQCY0369</t>
        </is>
      </c>
      <c r="C384" s="221" t="inlineStr">
        <is>
          <t>餐饮六分部</t>
        </is>
      </c>
      <c r="D384" s="221" t="inlineStr">
        <is>
          <t>CF341</t>
        </is>
      </c>
      <c r="E384" s="221" t="inlineStr">
        <is>
          <t>扬大荷花池校区二楼食堂</t>
        </is>
      </c>
      <c r="F384" s="219" t="inlineStr">
        <is>
          <t>人员服务外包</t>
        </is>
      </c>
      <c r="G384" s="222" t="inlineStr">
        <is>
          <t>吉沐牛</t>
        </is>
      </c>
      <c r="H384" s="219" t="inlineStr">
        <is>
          <t>第八班组</t>
        </is>
      </c>
      <c r="I384" s="237" t="inlineStr">
        <is>
          <t>黄焖鸡(黑鸭煲、拌面拌粉)</t>
        </is>
      </c>
      <c r="J384" s="219" t="inlineStr">
        <is>
          <t>刘发治</t>
        </is>
      </c>
      <c r="K384" s="224" t="inlineStr">
        <is>
          <t>/</t>
        </is>
      </c>
      <c r="L384" s="651" t="n">
        <v>662400</v>
      </c>
      <c r="M384" s="75" t="n">
        <v>0.08500000000000001</v>
      </c>
      <c r="N384" s="77" t="inlineStr">
        <is>
          <t>/</t>
        </is>
      </c>
      <c r="O384" s="77" t="inlineStr">
        <is>
          <t>/</t>
        </is>
      </c>
      <c r="P384" s="77" t="inlineStr">
        <is>
          <t>/</t>
        </is>
      </c>
      <c r="Q384" s="77" t="inlineStr">
        <is>
          <t>/</t>
        </is>
      </c>
      <c r="R384" s="77" t="inlineStr">
        <is>
          <t>/</t>
        </is>
      </c>
      <c r="S384" s="77" t="inlineStr">
        <is>
          <t>/</t>
        </is>
      </c>
      <c r="T384" s="77" t="inlineStr">
        <is>
          <t>/</t>
        </is>
      </c>
      <c r="U384" s="77" t="inlineStr">
        <is>
          <t>/</t>
        </is>
      </c>
      <c r="V384" s="72" t="inlineStr">
        <is>
          <t>/</t>
        </is>
      </c>
      <c r="W384" s="77" t="n">
        <v>0.45</v>
      </c>
      <c r="X384" s="573" t="inlineStr">
        <is>
          <t>/</t>
        </is>
      </c>
      <c r="Y384" s="72" t="inlineStr">
        <is>
          <t>/</t>
        </is>
      </c>
      <c r="Z384" s="72" t="inlineStr">
        <is>
          <t>/</t>
        </is>
      </c>
      <c r="AA384" s="72" t="inlineStr">
        <is>
          <t>/</t>
        </is>
      </c>
      <c r="AB384" s="51" t="inlineStr">
        <is>
          <t>/</t>
        </is>
      </c>
      <c r="AC384" s="46" t="inlineStr">
        <is>
          <t>/</t>
        </is>
      </c>
      <c r="AD384" s="76" t="inlineStr">
        <is>
          <t>1、卫生费：项目反馈不收取，包含在服务费中；</t>
        </is>
      </c>
      <c r="AE384" s="25" t="inlineStr">
        <is>
          <t>1、签订期间：2026.3-7月；
2、指标按照全年换算；</t>
        </is>
      </c>
      <c r="AF384" s="232" t="inlineStr">
        <is>
          <t>1、会议纪要中未填写分组作业需收取的费用内容；
问题：待明确；</t>
        </is>
      </c>
    </row>
    <row r="385" ht="12" customFormat="1" customHeight="1" s="209">
      <c r="A385" s="219" t="n">
        <v>383</v>
      </c>
      <c r="B385" s="14" t="inlineStr">
        <is>
          <t>KQCY0370</t>
        </is>
      </c>
      <c r="C385" s="221" t="inlineStr">
        <is>
          <t>餐饮六分部</t>
        </is>
      </c>
      <c r="D385" s="221" t="inlineStr">
        <is>
          <t>CF213</t>
        </is>
      </c>
      <c r="E385" s="221" t="inlineStr">
        <is>
          <t>苏州大脑营行餐厅</t>
        </is>
      </c>
      <c r="F385" s="219" t="inlineStr">
        <is>
          <t>自营</t>
        </is>
      </c>
      <c r="G385" s="222" t="inlineStr">
        <is>
          <t>位军浩</t>
        </is>
      </c>
      <c r="H385" s="222" t="inlineStr">
        <is>
          <t>/</t>
        </is>
      </c>
      <c r="I385" s="355" t="inlineStr">
        <is>
          <t>/</t>
        </is>
      </c>
      <c r="J385" s="222" t="inlineStr">
        <is>
          <t>/</t>
        </is>
      </c>
      <c r="K385" s="224" t="inlineStr">
        <is>
          <t>/</t>
        </is>
      </c>
      <c r="L385" s="651" t="inlineStr">
        <is>
          <t>/</t>
        </is>
      </c>
      <c r="M385" s="97" t="inlineStr">
        <is>
          <t>/</t>
        </is>
      </c>
      <c r="N385" s="97" t="inlineStr">
        <is>
          <t>/</t>
        </is>
      </c>
      <c r="O385" s="83" t="n">
        <v>0.02</v>
      </c>
      <c r="P385" s="97" t="inlineStr">
        <is>
          <t>/</t>
        </is>
      </c>
      <c r="Q385" s="97" t="inlineStr">
        <is>
          <t>/</t>
        </is>
      </c>
      <c r="R385" s="97" t="inlineStr">
        <is>
          <t>/</t>
        </is>
      </c>
      <c r="S385" s="97" t="inlineStr">
        <is>
          <t>/</t>
        </is>
      </c>
      <c r="T385" s="97" t="inlineStr">
        <is>
          <t>/</t>
        </is>
      </c>
      <c r="U385" s="97" t="inlineStr">
        <is>
          <t>/</t>
        </is>
      </c>
      <c r="V385" s="97" t="inlineStr">
        <is>
          <t>/</t>
        </is>
      </c>
      <c r="W385" s="78" t="n"/>
      <c r="X385" s="83" t="n">
        <v>0.05</v>
      </c>
      <c r="Y385" s="512" t="inlineStr">
        <is>
          <t>/</t>
        </is>
      </c>
      <c r="Z385" s="512" t="inlineStr">
        <is>
          <t>/</t>
        </is>
      </c>
      <c r="AA385" s="512" t="inlineStr">
        <is>
          <t>/</t>
        </is>
      </c>
      <c r="AB385" s="22" t="n">
        <v>0.07000000000000001</v>
      </c>
      <c r="AC385" s="503" t="inlineStr">
        <is>
          <t>/</t>
        </is>
      </c>
      <c r="AD385" s="152" t="n"/>
      <c r="AE385" s="25" t="n"/>
      <c r="AF385" s="206" t="n"/>
    </row>
    <row r="386" ht="72" customFormat="1" customHeight="1" s="209">
      <c r="A386" s="219" t="n">
        <v>384</v>
      </c>
      <c r="B386" s="14" t="inlineStr">
        <is>
          <t>KQCY0371</t>
        </is>
      </c>
      <c r="C386" s="221" t="inlineStr">
        <is>
          <t>餐饮六分部</t>
        </is>
      </c>
      <c r="D386" s="221" t="inlineStr">
        <is>
          <t>CF213</t>
        </is>
      </c>
      <c r="E386" s="221" t="inlineStr">
        <is>
          <t>苏州大脑营行餐厅</t>
        </is>
      </c>
      <c r="F386" s="219" t="inlineStr">
        <is>
          <t>分组作业</t>
        </is>
      </c>
      <c r="G386" s="222" t="inlineStr">
        <is>
          <t>位军浩</t>
        </is>
      </c>
      <c r="H386" s="222" t="inlineStr">
        <is>
          <t>第一班组</t>
        </is>
      </c>
      <c r="I386" s="355" t="inlineStr">
        <is>
          <t>湘菜</t>
        </is>
      </c>
      <c r="J386" s="222" t="inlineStr">
        <is>
          <t>李勇</t>
        </is>
      </c>
      <c r="K386" s="224" t="inlineStr">
        <is>
          <t>/</t>
        </is>
      </c>
      <c r="L386" s="651" t="n">
        <v>621000</v>
      </c>
      <c r="M386" s="102" t="n">
        <v>0.12</v>
      </c>
      <c r="N386" s="97" t="n">
        <v>0.01</v>
      </c>
      <c r="O386" s="164" t="inlineStr">
        <is>
          <t>/</t>
        </is>
      </c>
      <c r="P386" s="164" t="inlineStr">
        <is>
          <t>/</t>
        </is>
      </c>
      <c r="Q386" s="102" t="inlineStr">
        <is>
          <t>/</t>
        </is>
      </c>
      <c r="R386" s="102" t="inlineStr">
        <is>
          <t>/</t>
        </is>
      </c>
      <c r="S386" s="97" t="inlineStr">
        <is>
          <t>/</t>
        </is>
      </c>
      <c r="T386" s="102" t="n">
        <v>0.03</v>
      </c>
      <c r="U386" s="102" t="n">
        <v>0.08</v>
      </c>
      <c r="V386" s="165" t="n">
        <v>0.06</v>
      </c>
      <c r="W386" s="78" t="n"/>
      <c r="X386" s="164" t="inlineStr">
        <is>
          <t>/</t>
        </is>
      </c>
      <c r="Y386" s="512" t="inlineStr">
        <is>
          <t>/</t>
        </is>
      </c>
      <c r="Z386" s="512" t="inlineStr">
        <is>
          <t>/</t>
        </is>
      </c>
      <c r="AA386" s="512" t="inlineStr">
        <is>
          <t>/</t>
        </is>
      </c>
      <c r="AB386" s="22" t="inlineStr">
        <is>
          <t>/</t>
        </is>
      </c>
      <c r="AC386" s="503" t="inlineStr">
        <is>
          <t>/</t>
        </is>
      </c>
      <c r="AD386" s="166" t="inlineStr">
        <is>
          <t>1、采购费：收取2%，分组作业未分摊，服务费已包含；
2、甲方管理费：收取5%，分组作业未分摊，服务费已包含</t>
        </is>
      </c>
      <c r="AE386" s="25" t="inlineStr">
        <is>
          <t xml:space="preserve">
1、签订期间：2026.1.1-2026.12.31；</t>
        </is>
      </c>
      <c r="AF386" s="60" t="inlineStr">
        <is>
          <t>1、条款：技术合作方所有人员与公司签订劳动合同，签订劳动合同的技术合作方负责人必须参加公司社保，否则不予录用；
问题：非所有分组作业人员都入职到公司，非所有负责人缴纳社保；
2、会议纪要中未约定收取垃圾清运费500元，实际收取；
建议：会议纪要中明确是否收取；</t>
        </is>
      </c>
    </row>
    <row r="387" ht="72" customFormat="1" customHeight="1" s="209">
      <c r="A387" s="219" t="n">
        <v>385</v>
      </c>
      <c r="B387" s="14" t="inlineStr">
        <is>
          <t>KQCY0372</t>
        </is>
      </c>
      <c r="C387" s="221" t="inlineStr">
        <is>
          <t>餐饮六分部</t>
        </is>
      </c>
      <c r="D387" s="221" t="inlineStr">
        <is>
          <t>CF213</t>
        </is>
      </c>
      <c r="E387" s="221" t="inlineStr">
        <is>
          <t>苏州大脑营行餐厅</t>
        </is>
      </c>
      <c r="F387" s="219" t="inlineStr">
        <is>
          <t>分组作业</t>
        </is>
      </c>
      <c r="G387" s="222" t="inlineStr">
        <is>
          <t>位军浩</t>
        </is>
      </c>
      <c r="H387" s="222" t="inlineStr">
        <is>
          <t>第二班组</t>
        </is>
      </c>
      <c r="I387" s="355" t="inlineStr">
        <is>
          <t>猪脚饭（酸菜鱼、米线、鸭血粉丝）</t>
        </is>
      </c>
      <c r="J387" s="222" t="inlineStr">
        <is>
          <t>黄永利</t>
        </is>
      </c>
      <c r="K387" s="224" t="inlineStr">
        <is>
          <t>/</t>
        </is>
      </c>
      <c r="L387" s="651" t="n">
        <v>610000</v>
      </c>
      <c r="M387" s="102" t="n">
        <v>0.12</v>
      </c>
      <c r="N387" s="97" t="n">
        <v>0.01</v>
      </c>
      <c r="O387" s="164" t="inlineStr">
        <is>
          <t>/</t>
        </is>
      </c>
      <c r="P387" s="164" t="inlineStr">
        <is>
          <t>/</t>
        </is>
      </c>
      <c r="Q387" s="102" t="inlineStr">
        <is>
          <t>/</t>
        </is>
      </c>
      <c r="R387" s="102" t="inlineStr">
        <is>
          <t>/</t>
        </is>
      </c>
      <c r="S387" s="97" t="inlineStr">
        <is>
          <t>/</t>
        </is>
      </c>
      <c r="T387" s="102" t="n">
        <v>0.03</v>
      </c>
      <c r="U387" s="102" t="n">
        <v>0.08</v>
      </c>
      <c r="V387" s="165" t="n">
        <v>0.06</v>
      </c>
      <c r="W387" s="78" t="n"/>
      <c r="X387" s="164" t="inlineStr">
        <is>
          <t>/</t>
        </is>
      </c>
      <c r="Y387" s="512" t="inlineStr">
        <is>
          <t>/</t>
        </is>
      </c>
      <c r="Z387" s="512" t="inlineStr">
        <is>
          <t>/</t>
        </is>
      </c>
      <c r="AA387" s="512" t="inlineStr">
        <is>
          <t>/</t>
        </is>
      </c>
      <c r="AB387" s="22" t="inlineStr">
        <is>
          <t>/</t>
        </is>
      </c>
      <c r="AC387" s="503" t="inlineStr">
        <is>
          <t>/</t>
        </is>
      </c>
      <c r="AD387" s="166" t="inlineStr">
        <is>
          <t>1、采购费：收取2%，分组作业未分摊，服务费已包含；
2、甲方管理费：收取5%，分组作业未分摊，服务费已包含；</t>
        </is>
      </c>
      <c r="AE387" s="25" t="inlineStr">
        <is>
          <t xml:space="preserve">
1、签订期间：2026.1.1-2026.12.31；</t>
        </is>
      </c>
      <c r="AF387" s="60" t="inlineStr">
        <is>
          <t>1、条款：技术合作方所有人员与公司签订劳动合同，签订劳动合同的技术合作方负责人必须参加公司社保，否则不予录用；
问题：非所有分组作业人员都入职到公司，非所有负责人缴纳社保；
2、会议纪要中未约定收取垃圾清运费500元，实际收取；
建议：会议纪要中明确是否收取；</t>
        </is>
      </c>
    </row>
    <row r="388" ht="12" customFormat="1" customHeight="1" s="209">
      <c r="A388" s="219" t="n">
        <v>386</v>
      </c>
      <c r="B388" s="14" t="inlineStr">
        <is>
          <t>KQCY0373</t>
        </is>
      </c>
      <c r="C388" s="221" t="inlineStr">
        <is>
          <t>餐饮六分部</t>
        </is>
      </c>
      <c r="D388" s="221" t="inlineStr">
        <is>
          <t>CF275</t>
        </is>
      </c>
      <c r="E388" s="221" t="inlineStr">
        <is>
          <t>南大苏州校区西区二食堂</t>
        </is>
      </c>
      <c r="F388" s="219" t="inlineStr">
        <is>
          <t>自营</t>
        </is>
      </c>
      <c r="G388" s="222" t="inlineStr">
        <is>
          <t>位军浩</t>
        </is>
      </c>
      <c r="H388" s="222" t="inlineStr">
        <is>
          <t>/</t>
        </is>
      </c>
      <c r="I388" s="355" t="inlineStr">
        <is>
          <t>/</t>
        </is>
      </c>
      <c r="J388" s="222" t="inlineStr">
        <is>
          <t>/</t>
        </is>
      </c>
      <c r="K388" s="224" t="inlineStr">
        <is>
          <t>/</t>
        </is>
      </c>
      <c r="L388" s="651" t="inlineStr">
        <is>
          <t>/</t>
        </is>
      </c>
      <c r="M388" s="97" t="inlineStr">
        <is>
          <t>/</t>
        </is>
      </c>
      <c r="N388" s="97" t="inlineStr">
        <is>
          <t>/</t>
        </is>
      </c>
      <c r="O388" s="78" t="n">
        <v>0.05</v>
      </c>
      <c r="P388" s="97" t="inlineStr">
        <is>
          <t>/</t>
        </is>
      </c>
      <c r="Q388" s="97" t="inlineStr">
        <is>
          <t>/</t>
        </is>
      </c>
      <c r="R388" s="97" t="inlineStr">
        <is>
          <t>/</t>
        </is>
      </c>
      <c r="S388" s="97" t="inlineStr">
        <is>
          <t>/</t>
        </is>
      </c>
      <c r="T388" s="97" t="inlineStr">
        <is>
          <t>/</t>
        </is>
      </c>
      <c r="U388" s="97" t="inlineStr">
        <is>
          <t>/</t>
        </is>
      </c>
      <c r="V388" s="97" t="inlineStr">
        <is>
          <t>/</t>
        </is>
      </c>
      <c r="W388" s="168" t="n"/>
      <c r="X388" s="512" t="inlineStr">
        <is>
          <t>/</t>
        </is>
      </c>
      <c r="Y388" s="512" t="inlineStr">
        <is>
          <t>/</t>
        </is>
      </c>
      <c r="Z388" s="512" t="inlineStr">
        <is>
          <t>/</t>
        </is>
      </c>
      <c r="AA388" s="512" t="inlineStr">
        <is>
          <t>/</t>
        </is>
      </c>
      <c r="AB388" s="22" t="n">
        <v>0.05</v>
      </c>
      <c r="AC388" s="503" t="inlineStr">
        <is>
          <t>/</t>
        </is>
      </c>
      <c r="AD388" s="152" t="inlineStr">
        <is>
          <t>1、采购费：采购额的5%</t>
        </is>
      </c>
      <c r="AE388" s="25" t="n"/>
      <c r="AF388" s="232" t="n"/>
    </row>
    <row r="389" ht="48" customFormat="1" customHeight="1" s="209">
      <c r="A389" s="219" t="n">
        <v>387</v>
      </c>
      <c r="B389" s="14" t="inlineStr">
        <is>
          <t>KQCY0374</t>
        </is>
      </c>
      <c r="C389" s="221" t="inlineStr">
        <is>
          <t>餐饮六分部</t>
        </is>
      </c>
      <c r="D389" s="221" t="inlineStr">
        <is>
          <t>CF275</t>
        </is>
      </c>
      <c r="E389" s="221" t="inlineStr">
        <is>
          <t>南大苏州校区西区二食堂</t>
        </is>
      </c>
      <c r="F389" s="219" t="inlineStr">
        <is>
          <t>分组作业</t>
        </is>
      </c>
      <c r="G389" s="222" t="inlineStr">
        <is>
          <t>位军浩</t>
        </is>
      </c>
      <c r="H389" s="222" t="inlineStr">
        <is>
          <t>第一班组</t>
        </is>
      </c>
      <c r="I389" s="355" t="inlineStr">
        <is>
          <t>自选</t>
        </is>
      </c>
      <c r="J389" s="222" t="inlineStr">
        <is>
          <t>刘岩艳</t>
        </is>
      </c>
      <c r="K389" s="224" t="inlineStr">
        <is>
          <t>/</t>
        </is>
      </c>
      <c r="L389" s="651" t="n">
        <v>800000</v>
      </c>
      <c r="M389" s="102" t="n">
        <v>0.19</v>
      </c>
      <c r="N389" s="97" t="inlineStr">
        <is>
          <t>/</t>
        </is>
      </c>
      <c r="O389" s="169" t="n">
        <v>0.017</v>
      </c>
      <c r="P389" s="663" t="n">
        <v>500</v>
      </c>
      <c r="Q389" s="102" t="inlineStr">
        <is>
          <t>/</t>
        </is>
      </c>
      <c r="R389" s="102" t="inlineStr">
        <is>
          <t>/</t>
        </is>
      </c>
      <c r="S389" s="97" t="inlineStr">
        <is>
          <t>/</t>
        </is>
      </c>
      <c r="T389" s="102" t="n">
        <v>0.03</v>
      </c>
      <c r="U389" s="149" t="inlineStr">
        <is>
          <t>/</t>
        </is>
      </c>
      <c r="V389" s="664" t="inlineStr">
        <is>
          <t>/</t>
        </is>
      </c>
      <c r="W389" s="97" t="n">
        <v>0.1</v>
      </c>
      <c r="X389" s="512" t="inlineStr">
        <is>
          <t>/</t>
        </is>
      </c>
      <c r="Y389" s="512" t="inlineStr">
        <is>
          <t>/</t>
        </is>
      </c>
      <c r="Z389" s="512" t="inlineStr">
        <is>
          <t>/</t>
        </is>
      </c>
      <c r="AA389" s="512" t="inlineStr">
        <is>
          <t>/</t>
        </is>
      </c>
      <c r="AB389" s="22" t="inlineStr">
        <is>
          <t>/</t>
        </is>
      </c>
      <c r="AC389" s="503" t="inlineStr">
        <is>
          <t>/</t>
        </is>
      </c>
      <c r="AD389" s="150" t="inlineStr">
        <is>
          <t xml:space="preserve">1、采购费：按采购额比例5%收取，分组作业应分摊未分摊，已补分摊，采购费比例应做相应调整；                             2、服务费，分组作业应分摊未分摊，已补分摊，服务费比例应做相应调整；            </t>
        </is>
      </c>
      <c r="AE389" s="25" t="inlineStr">
        <is>
          <t xml:space="preserve">
1、签订期间：2026.1.1-2026.7.31；
2、指标按照全年换算；</t>
        </is>
      </c>
      <c r="AF389" s="232" t="inlineStr">
        <is>
          <t>1、条款：班组严格按照所报备的原料比例执行，具体如下:10%营业额，月度结算时若未达到所报比例，按以上比例结算。
问题：目前未按约定执行，待明确；</t>
        </is>
      </c>
    </row>
    <row r="390" ht="48" customFormat="1" customHeight="1" s="209">
      <c r="A390" s="219" t="n">
        <v>388</v>
      </c>
      <c r="B390" s="14" t="inlineStr">
        <is>
          <t>KQCY0375</t>
        </is>
      </c>
      <c r="C390" s="221" t="inlineStr">
        <is>
          <t>餐饮六分部</t>
        </is>
      </c>
      <c r="D390" s="221" t="inlineStr">
        <is>
          <t>CF275</t>
        </is>
      </c>
      <c r="E390" s="221" t="inlineStr">
        <is>
          <t>南大苏州校区西区二食堂</t>
        </is>
      </c>
      <c r="F390" s="219" t="inlineStr">
        <is>
          <t>分组作业</t>
        </is>
      </c>
      <c r="G390" s="222" t="inlineStr">
        <is>
          <t>位军浩</t>
        </is>
      </c>
      <c r="H390" s="222" t="inlineStr">
        <is>
          <t>第二班组</t>
        </is>
      </c>
      <c r="I390" s="355" t="inlineStr">
        <is>
          <t>特色</t>
        </is>
      </c>
      <c r="J390" s="222" t="inlineStr">
        <is>
          <t>朱传兴</t>
        </is>
      </c>
      <c r="K390" s="224" t="inlineStr">
        <is>
          <t>/</t>
        </is>
      </c>
      <c r="L390" s="651" t="n">
        <v>640000</v>
      </c>
      <c r="M390" s="102" t="n">
        <v>0.19</v>
      </c>
      <c r="N390" s="97" t="inlineStr">
        <is>
          <t>/</t>
        </is>
      </c>
      <c r="O390" s="169" t="n">
        <v>0.017</v>
      </c>
      <c r="P390" s="663" t="n">
        <v>500</v>
      </c>
      <c r="Q390" s="102" t="inlineStr">
        <is>
          <t>/</t>
        </is>
      </c>
      <c r="R390" s="102" t="inlineStr">
        <is>
          <t>/</t>
        </is>
      </c>
      <c r="S390" s="97" t="inlineStr">
        <is>
          <t>/</t>
        </is>
      </c>
      <c r="T390" s="102" t="n">
        <v>0.03</v>
      </c>
      <c r="U390" s="149" t="inlineStr">
        <is>
          <t>/</t>
        </is>
      </c>
      <c r="V390" s="664" t="inlineStr">
        <is>
          <t>/</t>
        </is>
      </c>
      <c r="W390" s="97" t="n">
        <v>0.1</v>
      </c>
      <c r="X390" s="512" t="inlineStr">
        <is>
          <t>/</t>
        </is>
      </c>
      <c r="Y390" s="512" t="inlineStr">
        <is>
          <t>/</t>
        </is>
      </c>
      <c r="Z390" s="512" t="inlineStr">
        <is>
          <t>/</t>
        </is>
      </c>
      <c r="AA390" s="512" t="inlineStr">
        <is>
          <t>/</t>
        </is>
      </c>
      <c r="AB390" s="22" t="inlineStr">
        <is>
          <t>/</t>
        </is>
      </c>
      <c r="AC390" s="503" t="inlineStr">
        <is>
          <t>/</t>
        </is>
      </c>
      <c r="AD390" s="148" t="inlineStr">
        <is>
          <t>1、采购费：按采购额比例5%收取，分组作业应分摊未分摊，已补分摊，采购费比例应做相应调整；                             2、服务费，分组作业应分摊未分摊，已补分摊，服务费比例应做相应调整；</t>
        </is>
      </c>
      <c r="AE390" s="25" t="inlineStr">
        <is>
          <t xml:space="preserve">
1、签订期间：2026.1.1-2026.7.31；
2、指标按照全年换算；</t>
        </is>
      </c>
      <c r="AF390" s="232" t="n"/>
    </row>
    <row r="391" ht="48" customFormat="1" customHeight="1" s="209">
      <c r="A391" s="219" t="n">
        <v>389</v>
      </c>
      <c r="B391" s="14" t="inlineStr">
        <is>
          <t>KQCY0376</t>
        </is>
      </c>
      <c r="C391" s="221" t="inlineStr">
        <is>
          <t>餐饮六分部</t>
        </is>
      </c>
      <c r="D391" s="221" t="inlineStr">
        <is>
          <t>CF275</t>
        </is>
      </c>
      <c r="E391" s="221" t="inlineStr">
        <is>
          <t>南大苏州校区西区二食堂</t>
        </is>
      </c>
      <c r="F391" s="219" t="inlineStr">
        <is>
          <t>分组作业</t>
        </is>
      </c>
      <c r="G391" s="222" t="inlineStr">
        <is>
          <t>位军浩</t>
        </is>
      </c>
      <c r="H391" s="222" t="inlineStr">
        <is>
          <t>第三班组</t>
        </is>
      </c>
      <c r="I391" s="355" t="inlineStr">
        <is>
          <t>早餐</t>
        </is>
      </c>
      <c r="J391" s="222" t="inlineStr">
        <is>
          <t>李嵩</t>
        </is>
      </c>
      <c r="K391" s="224" t="inlineStr">
        <is>
          <t>/</t>
        </is>
      </c>
      <c r="L391" s="651" t="n">
        <v>160000</v>
      </c>
      <c r="M391" s="102" t="n">
        <v>0.19</v>
      </c>
      <c r="N391" s="97" t="inlineStr">
        <is>
          <t>/</t>
        </is>
      </c>
      <c r="O391" s="169" t="n">
        <v>0.017</v>
      </c>
      <c r="P391" s="663" t="n">
        <v>500</v>
      </c>
      <c r="Q391" s="102" t="inlineStr">
        <is>
          <t>/</t>
        </is>
      </c>
      <c r="R391" s="102" t="inlineStr">
        <is>
          <t>/</t>
        </is>
      </c>
      <c r="S391" s="97" t="inlineStr">
        <is>
          <t>/</t>
        </is>
      </c>
      <c r="T391" s="102" t="n">
        <v>0.03</v>
      </c>
      <c r="U391" s="149" t="inlineStr">
        <is>
          <t>/</t>
        </is>
      </c>
      <c r="V391" s="664" t="inlineStr">
        <is>
          <t>/</t>
        </is>
      </c>
      <c r="W391" s="78" t="n"/>
      <c r="X391" s="512" t="inlineStr">
        <is>
          <t>/</t>
        </is>
      </c>
      <c r="Y391" s="512" t="inlineStr">
        <is>
          <t>/</t>
        </is>
      </c>
      <c r="Z391" s="512" t="inlineStr">
        <is>
          <t>/</t>
        </is>
      </c>
      <c r="AA391" s="512" t="inlineStr">
        <is>
          <t>/</t>
        </is>
      </c>
      <c r="AB391" s="22" t="inlineStr">
        <is>
          <t>/</t>
        </is>
      </c>
      <c r="AC391" s="503" t="inlineStr">
        <is>
          <t>/</t>
        </is>
      </c>
      <c r="AD391" s="148" t="inlineStr">
        <is>
          <t xml:space="preserve">1、采购费：按采购额比例5%收取，分组作业应分摊未分摊，已补分摊，采购费比例应做相应调整；                             2、服务费，分组作业应分摊未分摊，已补分摊，服务费比例应做相应调整；            </t>
        </is>
      </c>
      <c r="AE391" s="25" t="inlineStr">
        <is>
          <t xml:space="preserve">
1、签订期间：2026.1.1-2026.7.31；
2、指标按照全年换算；</t>
        </is>
      </c>
      <c r="AF391" s="60" t="inlineStr">
        <is>
          <t xml:space="preserve">1、条款：技术合作方所有人员与公司签订劳动合同，签订劳动合同的技术合作方负责人必须参加公司社保，否则不予录用；
问题：非所有分组作业人员都入职到公司，非所有负责人缴纳社保；
</t>
        </is>
      </c>
    </row>
    <row r="392" ht="48" customFormat="1" customHeight="1" s="209">
      <c r="A392" s="219" t="n">
        <v>390</v>
      </c>
      <c r="B392" s="14" t="inlineStr">
        <is>
          <t>KQCY0377</t>
        </is>
      </c>
      <c r="C392" s="221" t="inlineStr">
        <is>
          <t>餐饮六分部</t>
        </is>
      </c>
      <c r="D392" s="221" t="inlineStr">
        <is>
          <t>CF275</t>
        </is>
      </c>
      <c r="E392" s="221" t="inlineStr">
        <is>
          <t>南大苏州校区西区二食堂</t>
        </is>
      </c>
      <c r="F392" s="219" t="inlineStr">
        <is>
          <t>分组作业</t>
        </is>
      </c>
      <c r="G392" s="222" t="inlineStr">
        <is>
          <t>位军浩</t>
        </is>
      </c>
      <c r="H392" s="222" t="inlineStr">
        <is>
          <t>第四班组</t>
        </is>
      </c>
      <c r="I392" s="355" t="inlineStr">
        <is>
          <t>民族风味</t>
        </is>
      </c>
      <c r="J392" s="222" t="inlineStr">
        <is>
          <t>马奴海</t>
        </is>
      </c>
      <c r="K392" s="224" t="inlineStr">
        <is>
          <t>/</t>
        </is>
      </c>
      <c r="L392" s="651" t="n">
        <v>240000</v>
      </c>
      <c r="M392" s="102" t="n">
        <v>0.17</v>
      </c>
      <c r="N392" s="97" t="inlineStr">
        <is>
          <t>/</t>
        </is>
      </c>
      <c r="O392" s="169" t="n">
        <v>0.017</v>
      </c>
      <c r="P392" s="663" t="n">
        <v>1000</v>
      </c>
      <c r="Q392" s="102" t="inlineStr">
        <is>
          <t>/</t>
        </is>
      </c>
      <c r="R392" s="102" t="inlineStr">
        <is>
          <t>/</t>
        </is>
      </c>
      <c r="S392" s="97" t="inlineStr">
        <is>
          <t>/</t>
        </is>
      </c>
      <c r="T392" s="102" t="n">
        <v>0.03</v>
      </c>
      <c r="U392" s="149" t="inlineStr">
        <is>
          <t>/</t>
        </is>
      </c>
      <c r="V392" s="664" t="inlineStr">
        <is>
          <t>/</t>
        </is>
      </c>
      <c r="W392" s="78" t="n"/>
      <c r="X392" s="512" t="inlineStr">
        <is>
          <t>/</t>
        </is>
      </c>
      <c r="Y392" s="512" t="inlineStr">
        <is>
          <t>/</t>
        </is>
      </c>
      <c r="Z392" s="512" t="inlineStr">
        <is>
          <t>/</t>
        </is>
      </c>
      <c r="AA392" s="512" t="inlineStr">
        <is>
          <t>/</t>
        </is>
      </c>
      <c r="AB392" s="22" t="inlineStr">
        <is>
          <t>/</t>
        </is>
      </c>
      <c r="AC392" s="503" t="inlineStr">
        <is>
          <t>/</t>
        </is>
      </c>
      <c r="AD392" s="148" t="inlineStr">
        <is>
          <t>1、采购费：按采购额比例5%收取，分组作业应分摊未分摊，已补分摊，采购费比例应做相应调整；                             2、服务费，分组作业应分摊未分摊，已补分摊，服务费比例应做相应调整；            3、原材料：据实收取</t>
        </is>
      </c>
      <c r="AE392" s="25" t="inlineStr">
        <is>
          <t xml:space="preserve">
1、签订期间：2026.1.1-2026.7.31；
2、指标按照全年换算；</t>
        </is>
      </c>
      <c r="AF392" s="206" t="n"/>
    </row>
    <row r="393" ht="48" customFormat="1" customHeight="1" s="209">
      <c r="A393" s="219" t="n">
        <v>391</v>
      </c>
      <c r="B393" s="14" t="inlineStr">
        <is>
          <t>KQCY0378</t>
        </is>
      </c>
      <c r="C393" s="221" t="inlineStr">
        <is>
          <t>餐饮六分部</t>
        </is>
      </c>
      <c r="D393" s="221" t="inlineStr">
        <is>
          <t>CF275</t>
        </is>
      </c>
      <c r="E393" s="221" t="inlineStr">
        <is>
          <t>南大苏州校区西区二食堂</t>
        </is>
      </c>
      <c r="F393" s="219" t="inlineStr">
        <is>
          <t>分组作业</t>
        </is>
      </c>
      <c r="G393" s="222" t="inlineStr">
        <is>
          <t>位军浩</t>
        </is>
      </c>
      <c r="H393" s="222" t="inlineStr">
        <is>
          <t>第五班组</t>
        </is>
      </c>
      <c r="I393" s="355" t="inlineStr">
        <is>
          <t>卤肉饭</t>
        </is>
      </c>
      <c r="J393" s="222" t="inlineStr">
        <is>
          <t>周文琳</t>
        </is>
      </c>
      <c r="K393" s="224" t="inlineStr">
        <is>
          <t>/</t>
        </is>
      </c>
      <c r="L393" s="651" t="n">
        <v>320000</v>
      </c>
      <c r="M393" s="102" t="n">
        <v>0.23</v>
      </c>
      <c r="N393" s="97" t="inlineStr">
        <is>
          <t>/</t>
        </is>
      </c>
      <c r="O393" s="169" t="n">
        <v>0.017</v>
      </c>
      <c r="P393" s="663" t="n">
        <v>1000</v>
      </c>
      <c r="Q393" s="102" t="inlineStr">
        <is>
          <t>/</t>
        </is>
      </c>
      <c r="R393" s="102" t="inlineStr">
        <is>
          <t>/</t>
        </is>
      </c>
      <c r="S393" s="97" t="inlineStr">
        <is>
          <t>/</t>
        </is>
      </c>
      <c r="T393" s="102" t="n">
        <v>0.03</v>
      </c>
      <c r="U393" s="149" t="inlineStr">
        <is>
          <t>/</t>
        </is>
      </c>
      <c r="V393" s="664" t="inlineStr">
        <is>
          <t>/</t>
        </is>
      </c>
      <c r="W393" s="97" t="n">
        <v>0.1</v>
      </c>
      <c r="X393" s="512" t="inlineStr">
        <is>
          <t>/</t>
        </is>
      </c>
      <c r="Y393" s="512" t="inlineStr">
        <is>
          <t>/</t>
        </is>
      </c>
      <c r="Z393" s="512" t="inlineStr">
        <is>
          <t>/</t>
        </is>
      </c>
      <c r="AA393" s="512" t="inlineStr">
        <is>
          <t>/</t>
        </is>
      </c>
      <c r="AB393" s="22" t="inlineStr">
        <is>
          <t>/</t>
        </is>
      </c>
      <c r="AC393" s="503" t="inlineStr">
        <is>
          <t>/</t>
        </is>
      </c>
      <c r="AD393" s="148" t="inlineStr">
        <is>
          <t xml:space="preserve">1、采购费：按采购额比例5%收取，分组作业应分摊未分摊，已补分摊，采购费比例应做相应调整；                             2、服务费，分组作业应分摊未分摊，已补分摊，服务费比例应做相应调整；            </t>
        </is>
      </c>
      <c r="AE393" s="25" t="inlineStr">
        <is>
          <t xml:space="preserve">
1、签订期间：2026.1.1-2026.7.31；
2、指标按照全年换算；</t>
        </is>
      </c>
      <c r="AF393" s="232" t="inlineStr">
        <is>
          <t>1、条款：班组严格按照所报备的原料比例执行，具体如下:10%营业额，月度结算时若未达到所报比例，按以上比例结算。
问题：目前未按约定执行，待明确；</t>
        </is>
      </c>
    </row>
    <row r="394" ht="84" customFormat="1" customHeight="1" s="209">
      <c r="A394" s="219" t="n">
        <v>392</v>
      </c>
      <c r="B394" s="14" t="inlineStr">
        <is>
          <t>KQCY0379</t>
        </is>
      </c>
      <c r="C394" s="221" t="inlineStr">
        <is>
          <t>餐饮六分部</t>
        </is>
      </c>
      <c r="D394" s="221" t="inlineStr">
        <is>
          <t>CF275</t>
        </is>
      </c>
      <c r="E394" s="221" t="inlineStr">
        <is>
          <t>南大苏州校区西区二食堂</t>
        </is>
      </c>
      <c r="F394" s="219" t="inlineStr">
        <is>
          <t>分组作业</t>
        </is>
      </c>
      <c r="G394" s="222" t="inlineStr">
        <is>
          <t>位军浩</t>
        </is>
      </c>
      <c r="H394" s="222" t="inlineStr">
        <is>
          <t>第六班组</t>
        </is>
      </c>
      <c r="I394" s="355" t="inlineStr">
        <is>
          <t>麻辣烫</t>
        </is>
      </c>
      <c r="J394" s="222" t="inlineStr">
        <is>
          <t>余红莹</t>
        </is>
      </c>
      <c r="K394" s="224" t="inlineStr">
        <is>
          <t>/</t>
        </is>
      </c>
      <c r="L394" s="651" t="n">
        <v>320000</v>
      </c>
      <c r="M394" s="102" t="n">
        <v>0.23</v>
      </c>
      <c r="N394" s="97" t="inlineStr">
        <is>
          <t>/</t>
        </is>
      </c>
      <c r="O394" s="169" t="n">
        <v>0.017</v>
      </c>
      <c r="P394" s="663" t="n">
        <v>1000</v>
      </c>
      <c r="Q394" s="102" t="inlineStr">
        <is>
          <t>/</t>
        </is>
      </c>
      <c r="R394" s="102" t="inlineStr">
        <is>
          <t>/</t>
        </is>
      </c>
      <c r="S394" s="97" t="inlineStr">
        <is>
          <t>/</t>
        </is>
      </c>
      <c r="T394" s="102" t="n">
        <v>0.03</v>
      </c>
      <c r="U394" s="149" t="inlineStr">
        <is>
          <t>/</t>
        </is>
      </c>
      <c r="V394" s="664" t="inlineStr">
        <is>
          <t>/</t>
        </is>
      </c>
      <c r="W394" s="97" t="n">
        <v>0.1</v>
      </c>
      <c r="X394" s="512" t="inlineStr">
        <is>
          <t>/</t>
        </is>
      </c>
      <c r="Y394" s="512" t="inlineStr">
        <is>
          <t>/</t>
        </is>
      </c>
      <c r="Z394" s="512" t="inlineStr">
        <is>
          <t>/</t>
        </is>
      </c>
      <c r="AA394" s="512" t="inlineStr">
        <is>
          <t>/</t>
        </is>
      </c>
      <c r="AB394" s="22" t="inlineStr">
        <is>
          <t>/</t>
        </is>
      </c>
      <c r="AC394" s="503" t="inlineStr">
        <is>
          <t>/</t>
        </is>
      </c>
      <c r="AD394" s="148" t="inlineStr">
        <is>
          <t xml:space="preserve">1、采购费：按采购额比例5%收取，分组作业应分摊未分摊，已补分摊，采购费比例应做相应调整；                             2、服务费，分组作业应分摊未分摊，已补分摊，服务费比例应做相应调整；            </t>
        </is>
      </c>
      <c r="AE394" s="25" t="inlineStr">
        <is>
          <t xml:space="preserve">
1、签订期间：2026.1.1-2026.7.31；
2、指标按照全年换算；</t>
        </is>
      </c>
      <c r="AF394" s="60"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2、条款：班组严格按照所报备的原料比例执行，具体如下:10%营业额，月度结算时若未达到所报比例，按以上比例结算。
问题：目前未按约定执行，待明确；</t>
        </is>
      </c>
    </row>
    <row r="395" ht="48" customFormat="1" customHeight="1" s="209">
      <c r="A395" s="219" t="n">
        <v>393</v>
      </c>
      <c r="B395" s="14" t="inlineStr">
        <is>
          <t>KQCY0380</t>
        </is>
      </c>
      <c r="C395" s="221" t="inlineStr">
        <is>
          <t>餐饮六分部</t>
        </is>
      </c>
      <c r="D395" s="221" t="inlineStr">
        <is>
          <t>CF275</t>
        </is>
      </c>
      <c r="E395" s="221" t="inlineStr">
        <is>
          <t>南大苏州校区西区二食堂</t>
        </is>
      </c>
      <c r="F395" s="219" t="inlineStr">
        <is>
          <t>分组作业</t>
        </is>
      </c>
      <c r="G395" s="222" t="inlineStr">
        <is>
          <t>位军浩</t>
        </is>
      </c>
      <c r="H395" s="222" t="inlineStr">
        <is>
          <t>第七班组</t>
        </is>
      </c>
      <c r="I395" s="355" t="inlineStr">
        <is>
          <t>面条</t>
        </is>
      </c>
      <c r="J395" s="222" t="inlineStr">
        <is>
          <t>许铭鼎</t>
        </is>
      </c>
      <c r="K395" s="224" t="inlineStr">
        <is>
          <t>/</t>
        </is>
      </c>
      <c r="L395" s="651" t="n">
        <v>240000</v>
      </c>
      <c r="M395" s="102" t="n">
        <v>0.23</v>
      </c>
      <c r="N395" s="97" t="inlineStr">
        <is>
          <t>/</t>
        </is>
      </c>
      <c r="O395" s="169" t="n">
        <v>0.017</v>
      </c>
      <c r="P395" s="663" t="n">
        <v>1000</v>
      </c>
      <c r="Q395" s="102" t="inlineStr">
        <is>
          <t>/</t>
        </is>
      </c>
      <c r="R395" s="102" t="inlineStr">
        <is>
          <t>/</t>
        </is>
      </c>
      <c r="S395" s="97" t="inlineStr">
        <is>
          <t>/</t>
        </is>
      </c>
      <c r="T395" s="102" t="n">
        <v>0.03</v>
      </c>
      <c r="U395" s="149" t="inlineStr">
        <is>
          <t>/</t>
        </is>
      </c>
      <c r="V395" s="664" t="inlineStr">
        <is>
          <t>/</t>
        </is>
      </c>
      <c r="W395" s="97" t="n">
        <v>0.1</v>
      </c>
      <c r="X395" s="512" t="inlineStr">
        <is>
          <t>/</t>
        </is>
      </c>
      <c r="Y395" s="512" t="inlineStr">
        <is>
          <t>/</t>
        </is>
      </c>
      <c r="Z395" s="512" t="inlineStr">
        <is>
          <t>/</t>
        </is>
      </c>
      <c r="AA395" s="512" t="inlineStr">
        <is>
          <t>/</t>
        </is>
      </c>
      <c r="AB395" s="22" t="inlineStr">
        <is>
          <t>/</t>
        </is>
      </c>
      <c r="AC395" s="503" t="inlineStr">
        <is>
          <t>/</t>
        </is>
      </c>
      <c r="AD395" s="148" t="inlineStr">
        <is>
          <t>1、采购费：按采购额比例5%收取，分组作业应分摊未分摊，已补分摊，采购费比例应做相应调整；管理费：                     2、服务费，分组作业应分摊未分摊，已补分摊，服务费比例应做相应调整；</t>
        </is>
      </c>
      <c r="AE395" s="25" t="inlineStr">
        <is>
          <t xml:space="preserve">
1、签订期间：2026.1.1-2026.7.31；
2、指标按照全年换算；</t>
        </is>
      </c>
      <c r="AF395" s="232" t="n"/>
    </row>
    <row r="396" ht="48" customFormat="1" customHeight="1" s="209">
      <c r="A396" s="219" t="n">
        <v>394</v>
      </c>
      <c r="B396" s="14" t="inlineStr">
        <is>
          <t>KQCY0381</t>
        </is>
      </c>
      <c r="C396" s="221" t="inlineStr">
        <is>
          <t>餐饮六分部</t>
        </is>
      </c>
      <c r="D396" s="221" t="inlineStr">
        <is>
          <t>CF275</t>
        </is>
      </c>
      <c r="E396" s="221" t="inlineStr">
        <is>
          <t>南大苏州校区西区二食堂</t>
        </is>
      </c>
      <c r="F396" s="219" t="inlineStr">
        <is>
          <t>分组作业</t>
        </is>
      </c>
      <c r="G396" s="222" t="inlineStr">
        <is>
          <t>位军浩</t>
        </is>
      </c>
      <c r="H396" s="222" t="inlineStr">
        <is>
          <t>第八班组</t>
        </is>
      </c>
      <c r="I396" s="355" t="inlineStr">
        <is>
          <t>辣椒炒肉</t>
        </is>
      </c>
      <c r="J396" s="222" t="inlineStr">
        <is>
          <t>吴海龙</t>
        </is>
      </c>
      <c r="K396" s="224" t="inlineStr">
        <is>
          <t>/</t>
        </is>
      </c>
      <c r="L396" s="651" t="n">
        <v>320000</v>
      </c>
      <c r="M396" s="102" t="n">
        <v>0.23</v>
      </c>
      <c r="N396" s="97" t="inlineStr">
        <is>
          <t>/</t>
        </is>
      </c>
      <c r="O396" s="169" t="n">
        <v>0.017</v>
      </c>
      <c r="P396" s="663" t="n">
        <v>1000</v>
      </c>
      <c r="Q396" s="102" t="inlineStr">
        <is>
          <t>/</t>
        </is>
      </c>
      <c r="R396" s="102" t="inlineStr">
        <is>
          <t>/</t>
        </is>
      </c>
      <c r="S396" s="97" t="inlineStr">
        <is>
          <t>/</t>
        </is>
      </c>
      <c r="T396" s="102" t="n">
        <v>0.03</v>
      </c>
      <c r="U396" s="149" t="inlineStr">
        <is>
          <t>/</t>
        </is>
      </c>
      <c r="V396" s="664" t="inlineStr">
        <is>
          <t>/</t>
        </is>
      </c>
      <c r="W396" s="97" t="n">
        <v>0.1</v>
      </c>
      <c r="X396" s="512" t="inlineStr">
        <is>
          <t>/</t>
        </is>
      </c>
      <c r="Y396" s="512" t="inlineStr">
        <is>
          <t>/</t>
        </is>
      </c>
      <c r="Z396" s="512" t="inlineStr">
        <is>
          <t>/</t>
        </is>
      </c>
      <c r="AA396" s="512" t="inlineStr">
        <is>
          <t>/</t>
        </is>
      </c>
      <c r="AB396" s="22" t="inlineStr">
        <is>
          <t>/</t>
        </is>
      </c>
      <c r="AC396" s="503" t="inlineStr">
        <is>
          <t>/</t>
        </is>
      </c>
      <c r="AD396" s="148" t="inlineStr">
        <is>
          <t xml:space="preserve">1、采购费：按采购额比例5%收取，分组作业应分摊未分摊，已补分摊，采购费比例应做相应调整；                             2、服务费，分组作业应分摊未分摊，已补分摊，服务费比例应做相应调整；            </t>
        </is>
      </c>
      <c r="AE396" s="25" t="inlineStr">
        <is>
          <t xml:space="preserve">
1、签订期间：2026.1.1-2026.7.31；
2、指标按照全年换算；</t>
        </is>
      </c>
      <c r="AF396" s="232" t="n"/>
    </row>
    <row r="397" ht="48" customFormat="1" customHeight="1" s="209">
      <c r="A397" s="219" t="n">
        <v>395</v>
      </c>
      <c r="B397" s="14" t="inlineStr">
        <is>
          <t>KQCY0382</t>
        </is>
      </c>
      <c r="C397" s="221" t="inlineStr">
        <is>
          <t>餐饮六分部</t>
        </is>
      </c>
      <c r="D397" s="221" t="inlineStr">
        <is>
          <t>CF275</t>
        </is>
      </c>
      <c r="E397" s="221" t="inlineStr">
        <is>
          <t>南大苏州校区西区二食堂</t>
        </is>
      </c>
      <c r="F397" s="219" t="inlineStr">
        <is>
          <t>分组作业</t>
        </is>
      </c>
      <c r="G397" s="222" t="inlineStr">
        <is>
          <t>位军浩</t>
        </is>
      </c>
      <c r="H397" s="222" t="inlineStr">
        <is>
          <t>第九班组</t>
        </is>
      </c>
      <c r="I397" s="355" t="inlineStr">
        <is>
          <t>瓦香鸡</t>
        </is>
      </c>
      <c r="J397" s="222" t="inlineStr">
        <is>
          <t>仲海洋</t>
        </is>
      </c>
      <c r="K397" s="224" t="inlineStr">
        <is>
          <t>/</t>
        </is>
      </c>
      <c r="L397" s="651" t="n">
        <v>240000</v>
      </c>
      <c r="M397" s="102" t="n">
        <v>0.23</v>
      </c>
      <c r="N397" s="97" t="inlineStr">
        <is>
          <t>/</t>
        </is>
      </c>
      <c r="O397" s="169" t="n">
        <v>0.017</v>
      </c>
      <c r="P397" s="663" t="n">
        <v>1000</v>
      </c>
      <c r="Q397" s="102" t="inlineStr">
        <is>
          <t>/</t>
        </is>
      </c>
      <c r="R397" s="102" t="inlineStr">
        <is>
          <t>/</t>
        </is>
      </c>
      <c r="S397" s="97" t="inlineStr">
        <is>
          <t>/</t>
        </is>
      </c>
      <c r="T397" s="102" t="n">
        <v>0.03</v>
      </c>
      <c r="U397" s="149" t="inlineStr">
        <is>
          <t>/</t>
        </is>
      </c>
      <c r="V397" s="664" t="inlineStr">
        <is>
          <t>/</t>
        </is>
      </c>
      <c r="W397" s="97" t="n">
        <v>0.1</v>
      </c>
      <c r="X397" s="512" t="inlineStr">
        <is>
          <t>/</t>
        </is>
      </c>
      <c r="Y397" s="512" t="inlineStr">
        <is>
          <t>/</t>
        </is>
      </c>
      <c r="Z397" s="512" t="inlineStr">
        <is>
          <t>/</t>
        </is>
      </c>
      <c r="AA397" s="512" t="inlineStr">
        <is>
          <t>/</t>
        </is>
      </c>
      <c r="AB397" s="22" t="inlineStr">
        <is>
          <t>/</t>
        </is>
      </c>
      <c r="AC397" s="503" t="inlineStr">
        <is>
          <t>/</t>
        </is>
      </c>
      <c r="AD397" s="148" t="inlineStr">
        <is>
          <t xml:space="preserve">1采购费：按采购额比例5%收取，分组作业应分摊未分摊，已补分摊，采购费比例应做相应调整；                             2服务费，分组作业应分摊未分摊，已补分摊，服务费比例应做相应调整；            </t>
        </is>
      </c>
      <c r="AE397" s="25" t="inlineStr">
        <is>
          <t xml:space="preserve">
1、签订期间：2026.1.1-2026.7.31；
2、指标按照全年换算；</t>
        </is>
      </c>
      <c r="AF397" s="60" t="inlineStr">
        <is>
          <t xml:space="preserve">1、条款：技术合作方所有人员与公司签订劳动合同，签订劳动合同的技术合作方负责人必须参加公司社保，否则不予录用；
问题：非所有分组作业人员都入职到公司，非所有负责人缴纳社保；
</t>
        </is>
      </c>
    </row>
    <row r="398" ht="48" customFormat="1" customHeight="1" s="209">
      <c r="A398" s="219" t="n">
        <v>396</v>
      </c>
      <c r="B398" s="14" t="inlineStr">
        <is>
          <t>KQCY0383</t>
        </is>
      </c>
      <c r="C398" s="221" t="inlineStr">
        <is>
          <t>餐饮六分部</t>
        </is>
      </c>
      <c r="D398" s="221" t="inlineStr">
        <is>
          <t>CF275</t>
        </is>
      </c>
      <c r="E398" s="221" t="inlineStr">
        <is>
          <t>南大苏州校区西区二食堂</t>
        </is>
      </c>
      <c r="F398" s="219" t="inlineStr">
        <is>
          <t>分组作业</t>
        </is>
      </c>
      <c r="G398" s="222" t="inlineStr">
        <is>
          <t>位军浩</t>
        </is>
      </c>
      <c r="H398" s="222" t="inlineStr">
        <is>
          <t>第十班组</t>
        </is>
      </c>
      <c r="I398" s="355" t="inlineStr">
        <is>
          <t>炸鸡汉堡</t>
        </is>
      </c>
      <c r="J398" s="222" t="inlineStr">
        <is>
          <t>张栗铭</t>
        </is>
      </c>
      <c r="K398" s="224" t="inlineStr">
        <is>
          <t>/</t>
        </is>
      </c>
      <c r="L398" s="651" t="n">
        <v>400000</v>
      </c>
      <c r="M398" s="22" t="n">
        <v>0.23</v>
      </c>
      <c r="N398" s="224" t="inlineStr">
        <is>
          <t>/</t>
        </is>
      </c>
      <c r="O398" s="117" t="n">
        <v>0.017</v>
      </c>
      <c r="P398" s="665" t="n">
        <v>1000</v>
      </c>
      <c r="Q398" s="22" t="inlineStr">
        <is>
          <t>/</t>
        </is>
      </c>
      <c r="R398" s="22" t="inlineStr">
        <is>
          <t>/</t>
        </is>
      </c>
      <c r="S398" s="224" t="inlineStr">
        <is>
          <t>/</t>
        </is>
      </c>
      <c r="T398" s="22" t="n">
        <v>0.03</v>
      </c>
      <c r="U398" s="116" t="inlineStr">
        <is>
          <t>/</t>
        </is>
      </c>
      <c r="V398" s="653" t="inlineStr">
        <is>
          <t>/</t>
        </is>
      </c>
      <c r="W398" s="47" t="n"/>
      <c r="X398" s="502" t="inlineStr">
        <is>
          <t>/</t>
        </is>
      </c>
      <c r="Y398" s="502" t="inlineStr">
        <is>
          <t>/</t>
        </is>
      </c>
      <c r="Z398" s="502" t="inlineStr">
        <is>
          <t>/</t>
        </is>
      </c>
      <c r="AA398" s="502" t="inlineStr">
        <is>
          <t>/</t>
        </is>
      </c>
      <c r="AB398" s="22" t="inlineStr">
        <is>
          <t>/</t>
        </is>
      </c>
      <c r="AC398" s="503" t="inlineStr">
        <is>
          <t>/</t>
        </is>
      </c>
      <c r="AD398" s="48" t="inlineStr">
        <is>
          <t xml:space="preserve">1、采购费：按采购额比例5%收取，分组作业应分摊未分摊，已补分摊，采购费比例应做相应调整；                             2、服务费，分组作业应分摊未分摊，已补分摊，服务费比例应做相应调整；            </t>
        </is>
      </c>
      <c r="AE398" s="25" t="inlineStr">
        <is>
          <t xml:space="preserve">
1、签订期间：2026.1.1-2026.7.31；
2、指标按照全年换算；</t>
        </is>
      </c>
      <c r="AF398" s="206" t="n"/>
    </row>
    <row r="399" ht="48" customFormat="1" customHeight="1" s="209">
      <c r="A399" s="219" t="n">
        <v>397</v>
      </c>
      <c r="B399" s="14" t="inlineStr">
        <is>
          <t>KQCY0384</t>
        </is>
      </c>
      <c r="C399" s="221" t="inlineStr">
        <is>
          <t>餐饮六分部</t>
        </is>
      </c>
      <c r="D399" s="221" t="inlineStr">
        <is>
          <t>CF275</t>
        </is>
      </c>
      <c r="E399" s="221" t="inlineStr">
        <is>
          <t>南大苏州校区西区二食堂</t>
        </is>
      </c>
      <c r="F399" s="219" t="inlineStr">
        <is>
          <t>分组作业</t>
        </is>
      </c>
      <c r="G399" s="222" t="inlineStr">
        <is>
          <t>位军浩</t>
        </is>
      </c>
      <c r="H399" s="222" t="inlineStr">
        <is>
          <t>第十一班组</t>
        </is>
      </c>
      <c r="I399" s="355" t="inlineStr">
        <is>
          <t>淮南牛肉汤</t>
        </is>
      </c>
      <c r="J399" s="222" t="inlineStr">
        <is>
          <t>钱年英</t>
        </is>
      </c>
      <c r="K399" s="224" t="inlineStr">
        <is>
          <t>/</t>
        </is>
      </c>
      <c r="L399" s="651" t="n">
        <v>240000</v>
      </c>
      <c r="M399" s="22" t="n">
        <v>0.23</v>
      </c>
      <c r="N399" s="224" t="inlineStr">
        <is>
          <t>/</t>
        </is>
      </c>
      <c r="O399" s="117" t="n">
        <v>0.017</v>
      </c>
      <c r="P399" s="665" t="n">
        <v>1000</v>
      </c>
      <c r="Q399" s="22" t="inlineStr">
        <is>
          <t>/</t>
        </is>
      </c>
      <c r="R399" s="22" t="inlineStr">
        <is>
          <t>/</t>
        </is>
      </c>
      <c r="S399" s="224" t="inlineStr">
        <is>
          <t>/</t>
        </is>
      </c>
      <c r="T399" s="22" t="n">
        <v>0.03</v>
      </c>
      <c r="U399" s="116" t="inlineStr">
        <is>
          <t>/</t>
        </is>
      </c>
      <c r="V399" s="653" t="inlineStr">
        <is>
          <t>/</t>
        </is>
      </c>
      <c r="W399" s="47" t="n"/>
      <c r="X399" s="502" t="inlineStr">
        <is>
          <t>/</t>
        </is>
      </c>
      <c r="Y399" s="502" t="inlineStr">
        <is>
          <t>/</t>
        </is>
      </c>
      <c r="Z399" s="502" t="inlineStr">
        <is>
          <t>/</t>
        </is>
      </c>
      <c r="AA399" s="502" t="inlineStr">
        <is>
          <t>/</t>
        </is>
      </c>
      <c r="AB399" s="22" t="inlineStr">
        <is>
          <t>/</t>
        </is>
      </c>
      <c r="AC399" s="503" t="inlineStr">
        <is>
          <t>/</t>
        </is>
      </c>
      <c r="AD399" s="48" t="inlineStr">
        <is>
          <t xml:space="preserve">1、采购费：按采购额比例5%收取，分组作业应分摊未分摊，已补分摊，采购费比例应做相应调整；                             2、服务费，分组作业应分摊未分摊，已补分摊，服务费比例应做相应调整；            </t>
        </is>
      </c>
      <c r="AE399" s="25" t="inlineStr">
        <is>
          <t xml:space="preserve">
1、签订期间：2026.1.1-2026.7.31；
2、指标按照全年换算；</t>
        </is>
      </c>
      <c r="AF399" s="60" t="inlineStr">
        <is>
          <t xml:space="preserve">1、条款：技术合作方所有人员与公司签订劳动合同，签订劳动合同的技术合作方负责人必须参加公司社保，否则不予录用；
问题：非所有分组作业人员都入职到公司，非所有负责人缴纳社保；
</t>
        </is>
      </c>
    </row>
    <row r="400" ht="72" customFormat="1" customHeight="1" s="209">
      <c r="A400" s="219" t="n">
        <v>398</v>
      </c>
      <c r="B400" s="14" t="inlineStr">
        <is>
          <t>KQCY0385</t>
        </is>
      </c>
      <c r="C400" s="221" t="inlineStr">
        <is>
          <t>餐饮六分部</t>
        </is>
      </c>
      <c r="D400" s="221" t="inlineStr">
        <is>
          <t>CF275</t>
        </is>
      </c>
      <c r="E400" s="221" t="inlineStr">
        <is>
          <t>南大苏州校区西区二食堂</t>
        </is>
      </c>
      <c r="F400" s="219" t="inlineStr">
        <is>
          <t>分组作业</t>
        </is>
      </c>
      <c r="G400" s="222" t="inlineStr">
        <is>
          <t>位军浩</t>
        </is>
      </c>
      <c r="H400" s="222" t="inlineStr">
        <is>
          <t>第十二班组</t>
        </is>
      </c>
      <c r="I400" s="355" t="inlineStr">
        <is>
          <t>面点</t>
        </is>
      </c>
      <c r="J400" s="222" t="inlineStr">
        <is>
          <t>陈天燕</t>
        </is>
      </c>
      <c r="K400" s="224" t="inlineStr">
        <is>
          <t>/</t>
        </is>
      </c>
      <c r="L400" s="651" t="n">
        <v>80000</v>
      </c>
      <c r="M400" s="22" t="n">
        <v>0.07000000000000001</v>
      </c>
      <c r="N400" s="224" t="inlineStr">
        <is>
          <t>/</t>
        </is>
      </c>
      <c r="O400" s="117" t="n">
        <v>0.017</v>
      </c>
      <c r="P400" s="224" t="inlineStr">
        <is>
          <t>/</t>
        </is>
      </c>
      <c r="Q400" s="22" t="inlineStr">
        <is>
          <t>/</t>
        </is>
      </c>
      <c r="R400" s="22" t="inlineStr">
        <is>
          <t>/</t>
        </is>
      </c>
      <c r="S400" s="224" t="inlineStr">
        <is>
          <t>/</t>
        </is>
      </c>
      <c r="T400" s="22" t="n">
        <v>0.03</v>
      </c>
      <c r="U400" s="116" t="inlineStr">
        <is>
          <t>/</t>
        </is>
      </c>
      <c r="V400" s="653" t="inlineStr">
        <is>
          <t>/</t>
        </is>
      </c>
      <c r="W400" s="47" t="n"/>
      <c r="X400" s="502" t="inlineStr">
        <is>
          <t>/</t>
        </is>
      </c>
      <c r="Y400" s="502" t="inlineStr">
        <is>
          <t>/</t>
        </is>
      </c>
      <c r="Z400" s="502" t="inlineStr">
        <is>
          <t>/</t>
        </is>
      </c>
      <c r="AA400" s="502" t="inlineStr">
        <is>
          <t>/</t>
        </is>
      </c>
      <c r="AB400" s="22" t="inlineStr">
        <is>
          <t>/</t>
        </is>
      </c>
      <c r="AC400" s="503" t="inlineStr">
        <is>
          <t>/</t>
        </is>
      </c>
      <c r="AD400" s="48" t="inlineStr">
        <is>
          <t>1、采购费：按采购额比例5%收取，分组作业应分摊未分摊，已补分摊，采购费比例应做相应调整；                             2、服务费，分组作业应分摊未分摊，已补分摊，服务费比例应做相应调整；                            3、装修折旧：80000元/年，分组作业未分摊，服务费已包含；</t>
        </is>
      </c>
      <c r="AE400" s="25" t="inlineStr">
        <is>
          <t xml:space="preserve">
1、签订期间：2026.1.1-2026.7.31；
2、指标按照全年换算；</t>
        </is>
      </c>
      <c r="AF400" s="60" t="inlineStr">
        <is>
          <t xml:space="preserve">1、条款：技术合作方所有人员与公司签订劳动合同，签订劳动合同的技术合作方负责人必须参加公司社保，否则不予录用；
问题：非所有分组作业人员都入职到公司，非所有负责人缴纳社保；
</t>
        </is>
      </c>
    </row>
    <row r="401" ht="12" customFormat="1" customHeight="1" s="209">
      <c r="A401" s="219" t="n">
        <v>399</v>
      </c>
      <c r="B401" s="14" t="inlineStr">
        <is>
          <t>KQCY0386</t>
        </is>
      </c>
      <c r="C401" s="221" t="inlineStr">
        <is>
          <t>餐饮六分部</t>
        </is>
      </c>
      <c r="D401" s="173" t="inlineStr">
        <is>
          <t>CF212</t>
        </is>
      </c>
      <c r="E401" s="221" t="inlineStr">
        <is>
          <t>苏中附校苏州湾食堂</t>
        </is>
      </c>
      <c r="F401" s="219" t="inlineStr">
        <is>
          <t>自营</t>
        </is>
      </c>
      <c r="G401" s="222" t="inlineStr">
        <is>
          <t>位军浩</t>
        </is>
      </c>
      <c r="H401" s="222" t="inlineStr">
        <is>
          <t>/</t>
        </is>
      </c>
      <c r="I401" s="355" t="inlineStr">
        <is>
          <t>/</t>
        </is>
      </c>
      <c r="J401" s="222" t="inlineStr">
        <is>
          <t>/</t>
        </is>
      </c>
      <c r="K401" s="224" t="inlineStr">
        <is>
          <t>/</t>
        </is>
      </c>
      <c r="L401" s="651" t="n">
        <v>2125000</v>
      </c>
      <c r="M401" s="224" t="inlineStr">
        <is>
          <t>/</t>
        </is>
      </c>
      <c r="N401" s="224" t="inlineStr">
        <is>
          <t>/</t>
        </is>
      </c>
      <c r="O401" s="224" t="inlineStr">
        <is>
          <t>/</t>
        </is>
      </c>
      <c r="P401" s="224" t="inlineStr">
        <is>
          <t>/</t>
        </is>
      </c>
      <c r="Q401" s="224" t="inlineStr">
        <is>
          <t>/</t>
        </is>
      </c>
      <c r="R401" s="224" t="inlineStr">
        <is>
          <t>/</t>
        </is>
      </c>
      <c r="S401" s="224" t="inlineStr">
        <is>
          <t>/</t>
        </is>
      </c>
      <c r="T401" s="224" t="inlineStr">
        <is>
          <t>/</t>
        </is>
      </c>
      <c r="U401" s="224" t="inlineStr">
        <is>
          <t>/</t>
        </is>
      </c>
      <c r="V401" s="224" t="inlineStr">
        <is>
          <t>/</t>
        </is>
      </c>
      <c r="W401" s="480" t="inlineStr">
        <is>
          <t>/</t>
        </is>
      </c>
      <c r="X401" s="480" t="inlineStr">
        <is>
          <t>/</t>
        </is>
      </c>
      <c r="Y401" s="502" t="inlineStr">
        <is>
          <t>/</t>
        </is>
      </c>
      <c r="Z401" s="502" t="inlineStr">
        <is>
          <t>/</t>
        </is>
      </c>
      <c r="AA401" s="502" t="inlineStr">
        <is>
          <t>/</t>
        </is>
      </c>
      <c r="AB401" s="666" t="n">
        <v>100000</v>
      </c>
      <c r="AC401" s="46" t="inlineStr">
        <is>
          <t>/</t>
        </is>
      </c>
      <c r="AD401" s="232" t="inlineStr">
        <is>
          <t>1、分部管理费：10万元</t>
        </is>
      </c>
      <c r="AE401" s="25" t="n"/>
      <c r="AF401" s="206" t="n"/>
    </row>
    <row r="402" ht="12" customFormat="1" customHeight="1" s="209">
      <c r="A402" s="219" t="n">
        <v>400</v>
      </c>
      <c r="B402" s="14" t="inlineStr">
        <is>
          <t>KQCY0387</t>
        </is>
      </c>
      <c r="C402" s="221" t="inlineStr">
        <is>
          <t>餐饮六分部</t>
        </is>
      </c>
      <c r="D402" s="221" t="inlineStr">
        <is>
          <t>CF273</t>
        </is>
      </c>
      <c r="E402" s="221" t="inlineStr">
        <is>
          <t>南大苏州校区科创大厦食堂</t>
        </is>
      </c>
      <c r="F402" s="219" t="inlineStr">
        <is>
          <t>自营</t>
        </is>
      </c>
      <c r="G402" s="222" t="inlineStr">
        <is>
          <t>位军浩</t>
        </is>
      </c>
      <c r="H402" s="222" t="inlineStr">
        <is>
          <t>/</t>
        </is>
      </c>
      <c r="I402" s="355" t="inlineStr">
        <is>
          <t>/</t>
        </is>
      </c>
      <c r="J402" s="222" t="inlineStr">
        <is>
          <t>/</t>
        </is>
      </c>
      <c r="K402" s="224" t="inlineStr">
        <is>
          <t>/</t>
        </is>
      </c>
      <c r="L402" s="651" t="n">
        <v>2992000</v>
      </c>
      <c r="M402" s="224" t="inlineStr">
        <is>
          <t>/</t>
        </is>
      </c>
      <c r="N402" s="224" t="inlineStr">
        <is>
          <t>/</t>
        </is>
      </c>
      <c r="O402" s="23" t="n">
        <v>0.02</v>
      </c>
      <c r="P402" s="224" t="inlineStr">
        <is>
          <t>/</t>
        </is>
      </c>
      <c r="Q402" s="224" t="inlineStr">
        <is>
          <t>/</t>
        </is>
      </c>
      <c r="R402" s="224" t="inlineStr">
        <is>
          <t>/</t>
        </is>
      </c>
      <c r="S402" s="224" t="inlineStr">
        <is>
          <t>/</t>
        </is>
      </c>
      <c r="T402" s="224" t="inlineStr">
        <is>
          <t>/</t>
        </is>
      </c>
      <c r="U402" s="224" t="inlineStr">
        <is>
          <t>/</t>
        </is>
      </c>
      <c r="V402" s="224" t="inlineStr">
        <is>
          <t>/</t>
        </is>
      </c>
      <c r="W402" s="47" t="n"/>
      <c r="X402" s="502" t="inlineStr">
        <is>
          <t>/</t>
        </is>
      </c>
      <c r="Y402" s="502" t="inlineStr">
        <is>
          <t>/</t>
        </is>
      </c>
      <c r="Z402" s="502" t="inlineStr">
        <is>
          <t>/</t>
        </is>
      </c>
      <c r="AA402" s="502" t="inlineStr">
        <is>
          <t>/</t>
        </is>
      </c>
      <c r="AB402" s="46" t="n">
        <v>0.035</v>
      </c>
      <c r="AC402" s="46" t="inlineStr">
        <is>
          <t>/</t>
        </is>
      </c>
      <c r="AD402" s="232" t="n"/>
      <c r="AE402" s="25" t="n"/>
      <c r="AF402" s="206" t="n"/>
    </row>
    <row r="403" ht="12" customFormat="1" customHeight="1" s="209">
      <c r="A403" s="219" t="n">
        <v>401</v>
      </c>
      <c r="B403" s="14" t="inlineStr">
        <is>
          <t>KQCY0388</t>
        </is>
      </c>
      <c r="C403" s="221" t="inlineStr">
        <is>
          <t>餐饮六分部</t>
        </is>
      </c>
      <c r="D403" s="221" t="inlineStr">
        <is>
          <t>CF191</t>
        </is>
      </c>
      <c r="E403" s="221" t="inlineStr">
        <is>
          <t>苏州旭辉彩园餐厅</t>
        </is>
      </c>
      <c r="F403" s="219" t="inlineStr">
        <is>
          <t>人员服务外包</t>
        </is>
      </c>
      <c r="G403" s="222" t="inlineStr">
        <is>
          <t>张镁镁</t>
        </is>
      </c>
      <c r="H403" s="222" t="inlineStr">
        <is>
          <t>/</t>
        </is>
      </c>
      <c r="I403" s="355" t="inlineStr">
        <is>
          <t>/</t>
        </is>
      </c>
      <c r="J403" s="222" t="inlineStr">
        <is>
          <t>/</t>
        </is>
      </c>
      <c r="K403" s="224" t="inlineStr">
        <is>
          <t>/</t>
        </is>
      </c>
      <c r="L403" s="667" t="n">
        <v>2084000</v>
      </c>
      <c r="M403" s="116" t="inlineStr">
        <is>
          <t>/</t>
        </is>
      </c>
      <c r="N403" s="502" t="inlineStr">
        <is>
          <t>/</t>
        </is>
      </c>
      <c r="O403" s="502" t="inlineStr">
        <is>
          <t>/</t>
        </is>
      </c>
      <c r="P403" s="502" t="inlineStr">
        <is>
          <t>/</t>
        </is>
      </c>
      <c r="Q403" s="502" t="inlineStr">
        <is>
          <t>/</t>
        </is>
      </c>
      <c r="R403" s="502" t="inlineStr">
        <is>
          <t>/</t>
        </is>
      </c>
      <c r="S403" s="502" t="inlineStr">
        <is>
          <t>/</t>
        </is>
      </c>
      <c r="T403" s="22" t="inlineStr">
        <is>
          <t>/</t>
        </is>
      </c>
      <c r="U403" s="116" t="inlineStr">
        <is>
          <t>/</t>
        </is>
      </c>
      <c r="V403" s="502" t="inlineStr">
        <is>
          <t>/</t>
        </is>
      </c>
      <c r="W403" s="503" t="inlineStr">
        <is>
          <t>/</t>
        </is>
      </c>
      <c r="X403" s="480" t="inlineStr">
        <is>
          <t>/</t>
        </is>
      </c>
      <c r="Y403" s="480" t="inlineStr">
        <is>
          <t>/</t>
        </is>
      </c>
      <c r="Z403" s="480" t="inlineStr">
        <is>
          <t>/</t>
        </is>
      </c>
      <c r="AA403" s="480" t="inlineStr">
        <is>
          <t>/</t>
        </is>
      </c>
      <c r="AB403" s="51" t="n">
        <v>0.08</v>
      </c>
      <c r="AC403" s="46" t="inlineStr">
        <is>
          <t>/</t>
        </is>
      </c>
      <c r="AD403" s="232" t="n"/>
      <c r="AE403" s="25" t="n"/>
      <c r="AF403" s="206" t="n"/>
    </row>
    <row r="404" ht="12" customFormat="1" customHeight="1" s="209">
      <c r="A404" s="219" t="n">
        <v>402</v>
      </c>
      <c r="B404" s="14" t="inlineStr">
        <is>
          <t>KQCY0389</t>
        </is>
      </c>
      <c r="C404" s="221" t="inlineStr">
        <is>
          <t>餐饮六分部</t>
        </is>
      </c>
      <c r="D404" s="221" t="inlineStr">
        <is>
          <t>CF479</t>
        </is>
      </c>
      <c r="E404" s="221" t="inlineStr">
        <is>
          <t>江苏省交通技师学院第一食堂</t>
        </is>
      </c>
      <c r="F404" s="219" t="inlineStr">
        <is>
          <t>自营</t>
        </is>
      </c>
      <c r="G404" s="222" t="inlineStr">
        <is>
          <t>卫屹</t>
        </is>
      </c>
      <c r="H404" s="222" t="inlineStr">
        <is>
          <t>/</t>
        </is>
      </c>
      <c r="I404" s="355" t="inlineStr">
        <is>
          <t>/</t>
        </is>
      </c>
      <c r="J404" s="222" t="inlineStr">
        <is>
          <t>/</t>
        </is>
      </c>
      <c r="K404" s="224" t="inlineStr">
        <is>
          <t>/</t>
        </is>
      </c>
      <c r="L404" s="651" t="inlineStr">
        <is>
          <t>/</t>
        </is>
      </c>
      <c r="M404" s="224" t="inlineStr">
        <is>
          <t>/</t>
        </is>
      </c>
      <c r="N404" s="224" t="inlineStr">
        <is>
          <t>/</t>
        </is>
      </c>
      <c r="O404" s="224" t="inlineStr">
        <is>
          <t>/</t>
        </is>
      </c>
      <c r="P404" s="224" t="inlineStr">
        <is>
          <t>/</t>
        </is>
      </c>
      <c r="Q404" s="224" t="inlineStr">
        <is>
          <t>/</t>
        </is>
      </c>
      <c r="R404" s="224" t="inlineStr">
        <is>
          <t>/</t>
        </is>
      </c>
      <c r="S404" s="224" t="inlineStr">
        <is>
          <t>/</t>
        </is>
      </c>
      <c r="T404" s="224" t="inlineStr">
        <is>
          <t>/</t>
        </is>
      </c>
      <c r="U404" s="224" t="inlineStr">
        <is>
          <t>/</t>
        </is>
      </c>
      <c r="V404" s="224" t="inlineStr">
        <is>
          <t>/</t>
        </is>
      </c>
      <c r="W404" s="44" t="n"/>
      <c r="X404" s="461" t="inlineStr">
        <is>
          <t>/</t>
        </is>
      </c>
      <c r="Y404" s="461" t="inlineStr">
        <is>
          <t>/</t>
        </is>
      </c>
      <c r="Z404" s="461" t="inlineStr">
        <is>
          <t>/</t>
        </is>
      </c>
      <c r="AA404" s="461" t="inlineStr">
        <is>
          <t>/</t>
        </is>
      </c>
      <c r="AB404" s="46" t="n">
        <v>0.045</v>
      </c>
      <c r="AC404" s="46" t="n">
        <v>0.005</v>
      </c>
      <c r="AD404" s="48" t="inlineStr">
        <is>
          <t>1、自营未实际经营</t>
        </is>
      </c>
      <c r="AE404" s="25" t="n"/>
      <c r="AF404" s="206" t="n"/>
    </row>
    <row r="405" ht="60" customFormat="1" customHeight="1" s="209">
      <c r="A405" s="219" t="n">
        <v>403</v>
      </c>
      <c r="B405" s="14" t="inlineStr">
        <is>
          <t>KQCY0390</t>
        </is>
      </c>
      <c r="C405" s="221" t="inlineStr">
        <is>
          <t>餐饮六分部</t>
        </is>
      </c>
      <c r="D405" s="221" t="inlineStr">
        <is>
          <t>CF479</t>
        </is>
      </c>
      <c r="E405" s="221" t="inlineStr">
        <is>
          <t>江苏省交通技师学院第一食堂</t>
        </is>
      </c>
      <c r="F405" s="219" t="inlineStr">
        <is>
          <t>分组作业</t>
        </is>
      </c>
      <c r="G405" s="222" t="inlineStr">
        <is>
          <t>卫屹</t>
        </is>
      </c>
      <c r="H405" s="222" t="inlineStr">
        <is>
          <t>第一班组</t>
        </is>
      </c>
      <c r="I405" s="355" t="inlineStr">
        <is>
          <t>八大碗</t>
        </is>
      </c>
      <c r="J405" s="222" t="inlineStr">
        <is>
          <t>丁秀梅</t>
        </is>
      </c>
      <c r="K405" s="224" t="inlineStr">
        <is>
          <t>/</t>
        </is>
      </c>
      <c r="L405" s="651" t="n">
        <v>340000</v>
      </c>
      <c r="M405" s="224" t="n">
        <v>0.27</v>
      </c>
      <c r="N405" s="224" t="inlineStr">
        <is>
          <t>/</t>
        </is>
      </c>
      <c r="O405" s="224" t="inlineStr">
        <is>
          <t>/</t>
        </is>
      </c>
      <c r="P405" s="349" t="inlineStr">
        <is>
          <t>/</t>
        </is>
      </c>
      <c r="Q405" s="224" t="inlineStr">
        <is>
          <t>/</t>
        </is>
      </c>
      <c r="R405" s="349" t="inlineStr">
        <is>
          <t>/</t>
        </is>
      </c>
      <c r="S405" s="224" t="inlineStr">
        <is>
          <t>/</t>
        </is>
      </c>
      <c r="T405" s="349" t="inlineStr">
        <is>
          <t>/</t>
        </is>
      </c>
      <c r="U405" s="349" t="inlineStr">
        <is>
          <t>/</t>
        </is>
      </c>
      <c r="V405" s="224" t="inlineStr">
        <is>
          <t>/</t>
        </is>
      </c>
      <c r="W405" s="224" t="n">
        <v>0.25</v>
      </c>
      <c r="X405" s="461" t="inlineStr">
        <is>
          <t>/</t>
        </is>
      </c>
      <c r="Y405" s="461" t="inlineStr">
        <is>
          <t>/</t>
        </is>
      </c>
      <c r="Z405" s="461" t="inlineStr">
        <is>
          <t>/</t>
        </is>
      </c>
      <c r="AA405" s="461" t="inlineStr">
        <is>
          <t>/</t>
        </is>
      </c>
      <c r="AB405" s="652" t="inlineStr">
        <is>
          <t>/</t>
        </is>
      </c>
      <c r="AC405" s="652" t="inlineStr">
        <is>
          <t>/</t>
        </is>
      </c>
      <c r="AD405" s="48" t="inlineStr">
        <is>
          <t>1、共建活动费：校园美食节费用，未分摊共建活动费，服务费包含未拆分
2、装修折旧费：服务费包含未拆分
3、卫生费：服务费包含未拆分
4、能源费：服务费包含未拆分</t>
        </is>
      </c>
      <c r="AE405" s="25" t="inlineStr">
        <is>
          <t>1、签订期间：2026.3.6-2026.7.30；
2、指标按照全年换算；</t>
        </is>
      </c>
      <c r="AF405" s="48" t="inlineStr">
        <is>
          <t>1、条款：技术合作方严格按照所报备的原料比例执行，具体如下:25%营业额，月度结算时若未达到所报比例，按以上比例结算。
问题：原材料占比难以落实，项目据实结算</t>
        </is>
      </c>
    </row>
    <row r="406" ht="60" customFormat="1" customHeight="1" s="209">
      <c r="A406" s="219" t="n">
        <v>404</v>
      </c>
      <c r="B406" s="14" t="inlineStr">
        <is>
          <t>KQCY0391</t>
        </is>
      </c>
      <c r="C406" s="221" t="inlineStr">
        <is>
          <t>餐饮六分部</t>
        </is>
      </c>
      <c r="D406" s="221" t="inlineStr">
        <is>
          <t>CF479</t>
        </is>
      </c>
      <c r="E406" s="221" t="inlineStr">
        <is>
          <t>江苏省交通技师学院第一食堂</t>
        </is>
      </c>
      <c r="F406" s="219" t="inlineStr">
        <is>
          <t>分组作业</t>
        </is>
      </c>
      <c r="G406" s="222" t="inlineStr">
        <is>
          <t>卫屹</t>
        </is>
      </c>
      <c r="H406" s="222" t="inlineStr">
        <is>
          <t>第二班组</t>
        </is>
      </c>
      <c r="I406" s="355" t="inlineStr">
        <is>
          <t>牛肉汤</t>
        </is>
      </c>
      <c r="J406" s="222" t="inlineStr">
        <is>
          <t>范义龙</t>
        </is>
      </c>
      <c r="K406" s="224" t="inlineStr">
        <is>
          <t>/</t>
        </is>
      </c>
      <c r="L406" s="651" t="n">
        <v>296000</v>
      </c>
      <c r="M406" s="224" t="n">
        <v>0.19</v>
      </c>
      <c r="N406" s="224" t="inlineStr">
        <is>
          <t>/</t>
        </is>
      </c>
      <c r="O406" s="224" t="inlineStr">
        <is>
          <t>/</t>
        </is>
      </c>
      <c r="P406" s="349" t="inlineStr">
        <is>
          <t>/</t>
        </is>
      </c>
      <c r="Q406" s="224" t="inlineStr">
        <is>
          <t>/</t>
        </is>
      </c>
      <c r="R406" s="349" t="inlineStr">
        <is>
          <t>/</t>
        </is>
      </c>
      <c r="S406" s="224" t="inlineStr">
        <is>
          <t>/</t>
        </is>
      </c>
      <c r="T406" s="22" t="n">
        <v>0.035</v>
      </c>
      <c r="U406" s="224" t="n"/>
      <c r="V406" s="224" t="inlineStr">
        <is>
          <t>/</t>
        </is>
      </c>
      <c r="W406" s="224" t="n">
        <v>0.2</v>
      </c>
      <c r="X406" s="461" t="inlineStr">
        <is>
          <t>/</t>
        </is>
      </c>
      <c r="Y406" s="461" t="inlineStr">
        <is>
          <t>/</t>
        </is>
      </c>
      <c r="Z406" s="461" t="inlineStr">
        <is>
          <t>/</t>
        </is>
      </c>
      <c r="AA406" s="461" t="inlineStr">
        <is>
          <t>/</t>
        </is>
      </c>
      <c r="AB406" s="652" t="inlineStr">
        <is>
          <t>/</t>
        </is>
      </c>
      <c r="AC406" s="652" t="inlineStr">
        <is>
          <t>/</t>
        </is>
      </c>
      <c r="AD406" s="48" t="inlineStr">
        <is>
          <t>1、共建活动费：校园美食节费用，未分摊共建活动费，服务费包含未拆分
2、装修折旧费：服务费包含未拆分
3、卫生费：服务费包含未拆分
4、能源费：服务费包含未拆分</t>
        </is>
      </c>
      <c r="AE406" s="25" t="inlineStr">
        <is>
          <t>1、签订期间：2026.3.6-2026.7.30；
2、指标按照全年换算；</t>
        </is>
      </c>
      <c r="AF406" s="48" t="inlineStr">
        <is>
          <t>1、条款：技术合作方严格按照所报备的原料比例执行，具体如下:20%营业额，月度结算时若未达到所报比例，按以上比例结算。
问题：原材料占比难以落实，项目据实结算</t>
        </is>
      </c>
    </row>
    <row r="407" ht="60" customFormat="1" customHeight="1" s="209">
      <c r="A407" s="219" t="n">
        <v>405</v>
      </c>
      <c r="B407" s="14" t="inlineStr">
        <is>
          <t>KQCY0392</t>
        </is>
      </c>
      <c r="C407" s="221" t="inlineStr">
        <is>
          <t>餐饮六分部</t>
        </is>
      </c>
      <c r="D407" s="221" t="inlineStr">
        <is>
          <t>CF479</t>
        </is>
      </c>
      <c r="E407" s="221" t="inlineStr">
        <is>
          <t>江苏省交通技师学院第一食堂</t>
        </is>
      </c>
      <c r="F407" s="219" t="inlineStr">
        <is>
          <t>分组作业</t>
        </is>
      </c>
      <c r="G407" s="222" t="inlineStr">
        <is>
          <t>卫屹</t>
        </is>
      </c>
      <c r="H407" s="222" t="inlineStr">
        <is>
          <t>第三班组</t>
        </is>
      </c>
      <c r="I407" s="355" t="inlineStr">
        <is>
          <t>基本大伙</t>
        </is>
      </c>
      <c r="J407" s="222" t="inlineStr">
        <is>
          <t>查启清</t>
        </is>
      </c>
      <c r="K407" s="224" t="inlineStr">
        <is>
          <t>/</t>
        </is>
      </c>
      <c r="L407" s="651" t="n">
        <v>1440000</v>
      </c>
      <c r="M407" s="22" t="n">
        <v>0.235</v>
      </c>
      <c r="N407" s="224" t="inlineStr">
        <is>
          <t>/</t>
        </is>
      </c>
      <c r="O407" s="224" t="inlineStr">
        <is>
          <t>/</t>
        </is>
      </c>
      <c r="P407" s="349" t="inlineStr">
        <is>
          <t>/</t>
        </is>
      </c>
      <c r="Q407" s="224" t="inlineStr">
        <is>
          <t>/</t>
        </is>
      </c>
      <c r="R407" s="349" t="inlineStr">
        <is>
          <t>/</t>
        </is>
      </c>
      <c r="S407" s="224" t="inlineStr">
        <is>
          <t>/</t>
        </is>
      </c>
      <c r="T407" s="349" t="inlineStr">
        <is>
          <t>/</t>
        </is>
      </c>
      <c r="U407" s="349" t="inlineStr">
        <is>
          <t>/</t>
        </is>
      </c>
      <c r="V407" s="224" t="inlineStr">
        <is>
          <t>/</t>
        </is>
      </c>
      <c r="W407" s="224" t="n">
        <v>0.43</v>
      </c>
      <c r="X407" s="461" t="inlineStr">
        <is>
          <t>/</t>
        </is>
      </c>
      <c r="Y407" s="461" t="inlineStr">
        <is>
          <t>/</t>
        </is>
      </c>
      <c r="Z407" s="461" t="inlineStr">
        <is>
          <t>/</t>
        </is>
      </c>
      <c r="AA407" s="461" t="inlineStr">
        <is>
          <t>/</t>
        </is>
      </c>
      <c r="AB407" s="652" t="inlineStr">
        <is>
          <t>/</t>
        </is>
      </c>
      <c r="AC407" s="652" t="inlineStr">
        <is>
          <t>/</t>
        </is>
      </c>
      <c r="AD407" s="48" t="inlineStr">
        <is>
          <t>1、共建活动费：校园美食节费用，未分摊共建活动费，服务费包含未拆分
2、装修折旧费：服务费包含未拆分
3、卫生费：服务费包含未拆分
4、能源费：服务费包含未拆分</t>
        </is>
      </c>
      <c r="AE407" s="25" t="inlineStr">
        <is>
          <t>1、签订期间：2026.3.6-2026.7.30；
2、指标按照全年换算；</t>
        </is>
      </c>
      <c r="AF407" s="48" t="inlineStr">
        <is>
          <t>1、条款：技术合作方严格按照所报备的原料比例执行，具体如下:43%营业额，月度结算时若未达到所报比例，按以上比例结算。
问题：原材料占比难以落实，项目据实结算</t>
        </is>
      </c>
    </row>
    <row r="408" ht="60" customFormat="1" customHeight="1" s="209">
      <c r="A408" s="219" t="n">
        <v>406</v>
      </c>
      <c r="B408" s="14" t="inlineStr">
        <is>
          <t>KQCY0393</t>
        </is>
      </c>
      <c r="C408" s="221" t="inlineStr">
        <is>
          <t>餐饮六分部</t>
        </is>
      </c>
      <c r="D408" s="221" t="inlineStr">
        <is>
          <t>CF479</t>
        </is>
      </c>
      <c r="E408" s="221" t="inlineStr">
        <is>
          <t>江苏省交通技师学院第一食堂</t>
        </is>
      </c>
      <c r="F408" s="219" t="inlineStr">
        <is>
          <t>分组作业</t>
        </is>
      </c>
      <c r="G408" s="222" t="inlineStr">
        <is>
          <t>卫屹</t>
        </is>
      </c>
      <c r="H408" s="222" t="inlineStr">
        <is>
          <t>第四班组</t>
        </is>
      </c>
      <c r="I408" s="355" t="inlineStr">
        <is>
          <t>早餐</t>
        </is>
      </c>
      <c r="J408" s="222" t="inlineStr">
        <is>
          <t>苏广前</t>
        </is>
      </c>
      <c r="K408" s="224" t="inlineStr">
        <is>
          <t>/</t>
        </is>
      </c>
      <c r="L408" s="651" t="n">
        <v>800000</v>
      </c>
      <c r="M408" s="224" t="n">
        <v>0.19</v>
      </c>
      <c r="N408" s="224" t="inlineStr">
        <is>
          <t>/</t>
        </is>
      </c>
      <c r="O408" s="224" t="inlineStr">
        <is>
          <t>/</t>
        </is>
      </c>
      <c r="P408" s="349" t="inlineStr">
        <is>
          <t>/</t>
        </is>
      </c>
      <c r="Q408" s="224" t="inlineStr">
        <is>
          <t>/</t>
        </is>
      </c>
      <c r="R408" s="349" t="inlineStr">
        <is>
          <t>/</t>
        </is>
      </c>
      <c r="S408" s="224" t="inlineStr">
        <is>
          <t>/</t>
        </is>
      </c>
      <c r="T408" s="22" t="n">
        <v>0.035</v>
      </c>
      <c r="U408" s="224" t="n"/>
      <c r="V408" s="224" t="inlineStr">
        <is>
          <t>/</t>
        </is>
      </c>
      <c r="W408" s="224" t="n">
        <v>0.2</v>
      </c>
      <c r="X408" s="461" t="inlineStr">
        <is>
          <t>/</t>
        </is>
      </c>
      <c r="Y408" s="461" t="inlineStr">
        <is>
          <t>/</t>
        </is>
      </c>
      <c r="Z408" s="461" t="inlineStr">
        <is>
          <t>/</t>
        </is>
      </c>
      <c r="AA408" s="461" t="inlineStr">
        <is>
          <t>/</t>
        </is>
      </c>
      <c r="AB408" s="652" t="inlineStr">
        <is>
          <t>/</t>
        </is>
      </c>
      <c r="AC408" s="652" t="inlineStr">
        <is>
          <t>/</t>
        </is>
      </c>
      <c r="AD408" s="48" t="inlineStr">
        <is>
          <t>1、共建活动费：校园美食节费用，未分摊共建活动费，服务费包含未拆分
2、装修折旧费：服务费包含未拆分
3、卫生费：服务费包含未拆分
4、能源费：服务费包含未拆分</t>
        </is>
      </c>
      <c r="AE408" s="25" t="inlineStr">
        <is>
          <t>1、签订期间：2026.3.6-2026.7.30；
2、指标按照全年换算；</t>
        </is>
      </c>
      <c r="AF408" s="48" t="inlineStr">
        <is>
          <t>1、条款：技术合作方严格按照所报备的原料比例执行，具体如下:20%营业额，月度结算时若未达到所报比例，按以上比例结算。
问题：原材料占比难以落实，项目据实结算</t>
        </is>
      </c>
    </row>
    <row r="409" ht="60" customFormat="1" customHeight="1" s="209">
      <c r="A409" s="219" t="n">
        <v>407</v>
      </c>
      <c r="B409" s="14" t="inlineStr">
        <is>
          <t>KQCY0394</t>
        </is>
      </c>
      <c r="C409" s="221" t="inlineStr">
        <is>
          <t>餐饮六分部</t>
        </is>
      </c>
      <c r="D409" s="221" t="inlineStr">
        <is>
          <t>CF479</t>
        </is>
      </c>
      <c r="E409" s="221" t="inlineStr">
        <is>
          <t>江苏省交通技师学院第一食堂</t>
        </is>
      </c>
      <c r="F409" s="219" t="inlineStr">
        <is>
          <t>分组作业</t>
        </is>
      </c>
      <c r="G409" s="222" t="inlineStr">
        <is>
          <t>卫屹</t>
        </is>
      </c>
      <c r="H409" s="222" t="inlineStr">
        <is>
          <t>第五班组</t>
        </is>
      </c>
      <c r="I409" s="355" t="inlineStr">
        <is>
          <t>面条</t>
        </is>
      </c>
      <c r="J409" s="222" t="inlineStr">
        <is>
          <t>李炳志</t>
        </is>
      </c>
      <c r="K409" s="224" t="inlineStr">
        <is>
          <t>/</t>
        </is>
      </c>
      <c r="L409" s="651" t="n">
        <v>290000</v>
      </c>
      <c r="M409" s="224" t="n">
        <v>0.19</v>
      </c>
      <c r="N409" s="224" t="inlineStr">
        <is>
          <t>/</t>
        </is>
      </c>
      <c r="O409" s="224" t="inlineStr">
        <is>
          <t>/</t>
        </is>
      </c>
      <c r="P409" s="349" t="inlineStr">
        <is>
          <t>/</t>
        </is>
      </c>
      <c r="Q409" s="224" t="inlineStr">
        <is>
          <t>/</t>
        </is>
      </c>
      <c r="R409" s="349" t="inlineStr">
        <is>
          <t>/</t>
        </is>
      </c>
      <c r="S409" s="224" t="inlineStr">
        <is>
          <t>/</t>
        </is>
      </c>
      <c r="T409" s="22" t="n">
        <v>0.035</v>
      </c>
      <c r="U409" s="224" t="n"/>
      <c r="V409" s="224" t="inlineStr">
        <is>
          <t>/</t>
        </is>
      </c>
      <c r="W409" s="224" t="n">
        <v>0.2</v>
      </c>
      <c r="X409" s="461" t="inlineStr">
        <is>
          <t>/</t>
        </is>
      </c>
      <c r="Y409" s="461" t="inlineStr">
        <is>
          <t>/</t>
        </is>
      </c>
      <c r="Z409" s="461" t="inlineStr">
        <is>
          <t>/</t>
        </is>
      </c>
      <c r="AA409" s="461" t="inlineStr">
        <is>
          <t>/</t>
        </is>
      </c>
      <c r="AB409" s="652" t="inlineStr">
        <is>
          <t>/</t>
        </is>
      </c>
      <c r="AC409" s="652" t="inlineStr">
        <is>
          <t>/</t>
        </is>
      </c>
      <c r="AD409" s="48" t="inlineStr">
        <is>
          <t>1、共建活动费：校园美食节费用，未分摊共建活动费，服务费包含未拆分
2、装修折旧费：服务费包含未拆分
3、卫生费：服务费包含未拆分
4、能源费：服务费包含未拆分</t>
        </is>
      </c>
      <c r="AE409" s="25" t="inlineStr">
        <is>
          <t>1、签订期间：2026.3.6-2026.7.30；
2、指标按照全年换算；</t>
        </is>
      </c>
      <c r="AF409" s="48" t="inlineStr">
        <is>
          <t>1、条款：技术合作方严格按照所报备的原料比例执行，具体如下:20%营业额，月度结算时若未达到所报比例，按以上比例结算。
问题：原材料占比难以落实，项目据实结算</t>
        </is>
      </c>
    </row>
    <row r="410" ht="60" customFormat="1" customHeight="1" s="209">
      <c r="A410" s="219" t="n">
        <v>408</v>
      </c>
      <c r="B410" s="14" t="inlineStr">
        <is>
          <t>KQCY0395</t>
        </is>
      </c>
      <c r="C410" s="221" t="inlineStr">
        <is>
          <t>餐饮六分部</t>
        </is>
      </c>
      <c r="D410" s="221" t="inlineStr">
        <is>
          <t>CF479</t>
        </is>
      </c>
      <c r="E410" s="221" t="inlineStr">
        <is>
          <t>江苏省交通技师学院第一食堂</t>
        </is>
      </c>
      <c r="F410" s="219" t="inlineStr">
        <is>
          <t>分组作业</t>
        </is>
      </c>
      <c r="G410" s="222" t="inlineStr">
        <is>
          <t>卫屹</t>
        </is>
      </c>
      <c r="H410" s="222" t="inlineStr">
        <is>
          <t>第六班组</t>
        </is>
      </c>
      <c r="I410" s="355" t="inlineStr">
        <is>
          <t>水饺</t>
        </is>
      </c>
      <c r="J410" s="222" t="inlineStr">
        <is>
          <t>王金华</t>
        </is>
      </c>
      <c r="K410" s="224" t="inlineStr">
        <is>
          <t>/</t>
        </is>
      </c>
      <c r="L410" s="651" t="n">
        <v>210000</v>
      </c>
      <c r="M410" s="224" t="n">
        <v>0.19</v>
      </c>
      <c r="N410" s="224" t="inlineStr">
        <is>
          <t>/</t>
        </is>
      </c>
      <c r="O410" s="224" t="inlineStr">
        <is>
          <t>/</t>
        </is>
      </c>
      <c r="P410" s="349" t="inlineStr">
        <is>
          <t>/</t>
        </is>
      </c>
      <c r="Q410" s="224" t="inlineStr">
        <is>
          <t>/</t>
        </is>
      </c>
      <c r="R410" s="349" t="inlineStr">
        <is>
          <t>/</t>
        </is>
      </c>
      <c r="S410" s="224" t="inlineStr">
        <is>
          <t>/</t>
        </is>
      </c>
      <c r="T410" s="22" t="n">
        <v>0.035</v>
      </c>
      <c r="U410" s="224" t="n"/>
      <c r="V410" s="224" t="inlineStr">
        <is>
          <t>/</t>
        </is>
      </c>
      <c r="W410" s="224" t="n">
        <v>0.2</v>
      </c>
      <c r="X410" s="461" t="inlineStr">
        <is>
          <t>/</t>
        </is>
      </c>
      <c r="Y410" s="461" t="inlineStr">
        <is>
          <t>/</t>
        </is>
      </c>
      <c r="Z410" s="461" t="inlineStr">
        <is>
          <t>/</t>
        </is>
      </c>
      <c r="AA410" s="461" t="inlineStr">
        <is>
          <t>/</t>
        </is>
      </c>
      <c r="AB410" s="652" t="inlineStr">
        <is>
          <t>/</t>
        </is>
      </c>
      <c r="AC410" s="652" t="inlineStr">
        <is>
          <t>/</t>
        </is>
      </c>
      <c r="AD410" s="48" t="inlineStr">
        <is>
          <t>1、共建活动费：校园美食节费用，未分摊共建活动费，服务费包含未拆分
2、装修折旧费：服务费包含未拆分
3、卫生费：服务费包含未拆分
4、能源费：服务费包含未拆分</t>
        </is>
      </c>
      <c r="AE410" s="25" t="inlineStr">
        <is>
          <t>1、签订期间：2026.3.6-2026.7.30；
2、指标按照全年换算；</t>
        </is>
      </c>
      <c r="AF410" s="48" t="inlineStr">
        <is>
          <t>1、条款：技术合作方严格按照所报备的原料比例执行，具体如下:20%营业额，月度结算时若未达到所报比例，按以上比例结算。
问题：原材料占比难以落实，项目据实结算</t>
        </is>
      </c>
    </row>
    <row r="411" ht="60" customFormat="1" customHeight="1" s="209">
      <c r="A411" s="219" t="n">
        <v>409</v>
      </c>
      <c r="B411" s="14" t="inlineStr">
        <is>
          <t>KQCY0396</t>
        </is>
      </c>
      <c r="C411" s="221" t="inlineStr">
        <is>
          <t>餐饮六分部</t>
        </is>
      </c>
      <c r="D411" s="221" t="inlineStr">
        <is>
          <t>CF479</t>
        </is>
      </c>
      <c r="E411" s="221" t="inlineStr">
        <is>
          <t>江苏省交通技师学院第一食堂</t>
        </is>
      </c>
      <c r="F411" s="219" t="inlineStr">
        <is>
          <t>分组作业</t>
        </is>
      </c>
      <c r="G411" s="222" t="inlineStr">
        <is>
          <t>卫屹</t>
        </is>
      </c>
      <c r="H411" s="222" t="inlineStr">
        <is>
          <t>第七班组</t>
        </is>
      </c>
      <c r="I411" s="355" t="inlineStr">
        <is>
          <t>油泼鸡</t>
        </is>
      </c>
      <c r="J411" s="222" t="inlineStr">
        <is>
          <t>陈永龙</t>
        </is>
      </c>
      <c r="K411" s="224" t="inlineStr">
        <is>
          <t>/</t>
        </is>
      </c>
      <c r="L411" s="651" t="n">
        <v>280000</v>
      </c>
      <c r="M411" s="224" t="n">
        <v>0.19</v>
      </c>
      <c r="N411" s="224" t="inlineStr">
        <is>
          <t>/</t>
        </is>
      </c>
      <c r="O411" s="224" t="inlineStr">
        <is>
          <t>/</t>
        </is>
      </c>
      <c r="P411" s="349" t="inlineStr">
        <is>
          <t>/</t>
        </is>
      </c>
      <c r="Q411" s="224" t="inlineStr">
        <is>
          <t>/</t>
        </is>
      </c>
      <c r="R411" s="349" t="inlineStr">
        <is>
          <t>/</t>
        </is>
      </c>
      <c r="S411" s="224" t="inlineStr">
        <is>
          <t>/</t>
        </is>
      </c>
      <c r="T411" s="22" t="n">
        <v>0.035</v>
      </c>
      <c r="U411" s="224" t="n"/>
      <c r="V411" s="224" t="inlineStr">
        <is>
          <t>/</t>
        </is>
      </c>
      <c r="W411" s="224" t="n">
        <v>0.2</v>
      </c>
      <c r="X411" s="461" t="inlineStr">
        <is>
          <t>/</t>
        </is>
      </c>
      <c r="Y411" s="461" t="inlineStr">
        <is>
          <t>/</t>
        </is>
      </c>
      <c r="Z411" s="461" t="inlineStr">
        <is>
          <t>/</t>
        </is>
      </c>
      <c r="AA411" s="461" t="inlineStr">
        <is>
          <t>/</t>
        </is>
      </c>
      <c r="AB411" s="652" t="inlineStr">
        <is>
          <t>/</t>
        </is>
      </c>
      <c r="AC411" s="652" t="inlineStr">
        <is>
          <t>/</t>
        </is>
      </c>
      <c r="AD411" s="48" t="inlineStr">
        <is>
          <t>1、共建活动费：校园美食节费用，未分摊共建活动费，服务费包含未拆分
2、装修折旧费：服务费包含未拆分
3、卫生费：服务费包含未拆分
4、能源费：服务费包含未拆分</t>
        </is>
      </c>
      <c r="AE411" s="25" t="inlineStr">
        <is>
          <t>1、签订期间：2026.3.6-2026.7.30；
2、指标按照全年换算；</t>
        </is>
      </c>
      <c r="AF411" s="48" t="inlineStr">
        <is>
          <t>1、条款：技术合作方严格按照所报备的原料比例执行，具体如下:20%营业额，月度结算时若未达到所报比例，按以上比例结算。
问题：原材料占比难以落实，项目据实结算</t>
        </is>
      </c>
    </row>
    <row r="412" ht="60" customFormat="1" customHeight="1" s="209">
      <c r="A412" s="219" t="n">
        <v>410</v>
      </c>
      <c r="B412" s="14" t="inlineStr">
        <is>
          <t>KQCY0397</t>
        </is>
      </c>
      <c r="C412" s="221" t="inlineStr">
        <is>
          <t>餐饮六分部</t>
        </is>
      </c>
      <c r="D412" s="221" t="inlineStr">
        <is>
          <t>CF479</t>
        </is>
      </c>
      <c r="E412" s="221" t="inlineStr">
        <is>
          <t>江苏省交通技师学院第一食堂</t>
        </is>
      </c>
      <c r="F412" s="219" t="inlineStr">
        <is>
          <t>分组作业</t>
        </is>
      </c>
      <c r="G412" s="222" t="inlineStr">
        <is>
          <t>卫屹</t>
        </is>
      </c>
      <c r="H412" s="222" t="inlineStr">
        <is>
          <t>第八班组</t>
        </is>
      </c>
      <c r="I412" s="355" t="inlineStr">
        <is>
          <t>麦多馅饼</t>
        </is>
      </c>
      <c r="J412" s="222" t="inlineStr">
        <is>
          <t>董超</t>
        </is>
      </c>
      <c r="K412" s="224" t="inlineStr">
        <is>
          <t>/</t>
        </is>
      </c>
      <c r="L412" s="651" t="n">
        <v>260000</v>
      </c>
      <c r="M412" s="224" t="n">
        <v>0.19</v>
      </c>
      <c r="N412" s="224" t="inlineStr">
        <is>
          <t>/</t>
        </is>
      </c>
      <c r="O412" s="224" t="inlineStr">
        <is>
          <t>/</t>
        </is>
      </c>
      <c r="P412" s="349" t="inlineStr">
        <is>
          <t>/</t>
        </is>
      </c>
      <c r="Q412" s="224" t="inlineStr">
        <is>
          <t>/</t>
        </is>
      </c>
      <c r="R412" s="349" t="inlineStr">
        <is>
          <t>/</t>
        </is>
      </c>
      <c r="S412" s="224" t="inlineStr">
        <is>
          <t>/</t>
        </is>
      </c>
      <c r="T412" s="653" t="n">
        <v>1500</v>
      </c>
      <c r="U412" s="224" t="n"/>
      <c r="V412" s="224" t="inlineStr">
        <is>
          <t>/</t>
        </is>
      </c>
      <c r="W412" s="224" t="n">
        <v>0.2</v>
      </c>
      <c r="X412" s="461" t="inlineStr">
        <is>
          <t>/</t>
        </is>
      </c>
      <c r="Y412" s="461" t="inlineStr">
        <is>
          <t>/</t>
        </is>
      </c>
      <c r="Z412" s="461" t="inlineStr">
        <is>
          <t>/</t>
        </is>
      </c>
      <c r="AA412" s="461" t="inlineStr">
        <is>
          <t>/</t>
        </is>
      </c>
      <c r="AB412" s="652" t="inlineStr">
        <is>
          <t>/</t>
        </is>
      </c>
      <c r="AC412" s="652" t="inlineStr">
        <is>
          <t>/</t>
        </is>
      </c>
      <c r="AD412" s="48" t="inlineStr">
        <is>
          <t>1、共建活动费：校园美食节费用，未分摊共建活动费，服务费包含未拆分
2、装修折旧费：服务费包含未拆分
3、卫生费：服务费包含未拆分
4、能源费：服务费包含未拆分</t>
        </is>
      </c>
      <c r="AE412" s="25" t="inlineStr">
        <is>
          <t>1、签订期间：2026.3.6-2026.7.30；
2、指标按照全年换算；</t>
        </is>
      </c>
      <c r="AF412" s="48" t="inlineStr">
        <is>
          <t>1、条款：技术合作方严格按照所报备的原料比例执行，具体如下:20%营业额，月度结算时若未达到所报比例，按以上比例结算。
问题：原材料占比难以落实，项目据实结算</t>
        </is>
      </c>
    </row>
    <row r="413" ht="60" customFormat="1" customHeight="1" s="209">
      <c r="A413" s="219" t="n">
        <v>411</v>
      </c>
      <c r="B413" s="14" t="inlineStr">
        <is>
          <t>KQCY0398</t>
        </is>
      </c>
      <c r="C413" s="221" t="inlineStr">
        <is>
          <t>餐饮六分部</t>
        </is>
      </c>
      <c r="D413" s="221" t="inlineStr">
        <is>
          <t>CF479</t>
        </is>
      </c>
      <c r="E413" s="221" t="inlineStr">
        <is>
          <t>江苏省交通技师学院第一食堂</t>
        </is>
      </c>
      <c r="F413" s="219" t="inlineStr">
        <is>
          <t>分组作业</t>
        </is>
      </c>
      <c r="G413" s="222" t="inlineStr">
        <is>
          <t>卫屹</t>
        </is>
      </c>
      <c r="H413" s="222" t="inlineStr">
        <is>
          <t>第九班组</t>
        </is>
      </c>
      <c r="I413" s="355" t="inlineStr">
        <is>
          <t>炒饭炒面</t>
        </is>
      </c>
      <c r="J413" s="222" t="inlineStr">
        <is>
          <t>于继文</t>
        </is>
      </c>
      <c r="K413" s="224" t="inlineStr">
        <is>
          <t>/</t>
        </is>
      </c>
      <c r="L413" s="651" t="n">
        <v>320000</v>
      </c>
      <c r="M413" s="224" t="n">
        <v>0.18</v>
      </c>
      <c r="N413" s="224" t="inlineStr">
        <is>
          <t>/</t>
        </is>
      </c>
      <c r="O413" s="224" t="inlineStr">
        <is>
          <t>/</t>
        </is>
      </c>
      <c r="P413" s="349" t="inlineStr">
        <is>
          <t>/</t>
        </is>
      </c>
      <c r="Q413" s="224" t="inlineStr">
        <is>
          <t>/</t>
        </is>
      </c>
      <c r="R413" s="349" t="inlineStr">
        <is>
          <t>/</t>
        </is>
      </c>
      <c r="S413" s="224" t="inlineStr">
        <is>
          <t>/</t>
        </is>
      </c>
      <c r="T413" s="22" t="n">
        <v>0.03</v>
      </c>
      <c r="U413" s="224" t="n"/>
      <c r="V413" s="224" t="inlineStr">
        <is>
          <t>/</t>
        </is>
      </c>
      <c r="W413" s="224" t="n">
        <v>0.2</v>
      </c>
      <c r="X413" s="461" t="inlineStr">
        <is>
          <t>/</t>
        </is>
      </c>
      <c r="Y413" s="461" t="inlineStr">
        <is>
          <t>/</t>
        </is>
      </c>
      <c r="Z413" s="461" t="inlineStr">
        <is>
          <t>/</t>
        </is>
      </c>
      <c r="AA413" s="461" t="inlineStr">
        <is>
          <t>/</t>
        </is>
      </c>
      <c r="AB413" s="652" t="inlineStr">
        <is>
          <t>/</t>
        </is>
      </c>
      <c r="AC413" s="652" t="inlineStr">
        <is>
          <t>/</t>
        </is>
      </c>
      <c r="AD413" s="48" t="inlineStr">
        <is>
          <t>1、共建活动费：校园美食节费用，未分摊共建活动费，服务费包含未拆分
2、装修折旧费：服务费包含未拆分
3、卫生费：服务费包含未拆分
4、能源费：服务费包含未拆分</t>
        </is>
      </c>
      <c r="AE413" s="25" t="inlineStr">
        <is>
          <t>1、签订期间：2026.3.6-2026.7.30；
2、指标按照全年换算；</t>
        </is>
      </c>
      <c r="AF413" s="48" t="inlineStr">
        <is>
          <t>1、条款：技术合作方严格按照所报备的原料比例执行，具体如下:20%营业额，月度结算时若未达到所报比例，按以上比例结算。
问题：原材料占比难以落实，项目据实结算</t>
        </is>
      </c>
    </row>
    <row r="414" ht="60" customFormat="1" customHeight="1" s="209">
      <c r="A414" s="219" t="n">
        <v>412</v>
      </c>
      <c r="B414" s="14" t="inlineStr">
        <is>
          <t>KQCY0399</t>
        </is>
      </c>
      <c r="C414" s="221" t="inlineStr">
        <is>
          <t>餐饮六分部</t>
        </is>
      </c>
      <c r="D414" s="221" t="inlineStr">
        <is>
          <t>CF479</t>
        </is>
      </c>
      <c r="E414" s="221" t="inlineStr">
        <is>
          <t>江苏省交通技师学院第一食堂</t>
        </is>
      </c>
      <c r="F414" s="219" t="inlineStr">
        <is>
          <t>分组作业</t>
        </is>
      </c>
      <c r="G414" s="222" t="inlineStr">
        <is>
          <t>卫屹</t>
        </is>
      </c>
      <c r="H414" s="222" t="inlineStr">
        <is>
          <t>第十班组</t>
        </is>
      </c>
      <c r="I414" s="355" t="inlineStr">
        <is>
          <t>麻辣烫</t>
        </is>
      </c>
      <c r="J414" s="222" t="inlineStr">
        <is>
          <t xml:space="preserve">于立鑫 </t>
        </is>
      </c>
      <c r="K414" s="224" t="inlineStr">
        <is>
          <t>/</t>
        </is>
      </c>
      <c r="L414" s="651" t="n">
        <v>330000</v>
      </c>
      <c r="M414" s="224" t="n">
        <v>0.28</v>
      </c>
      <c r="N414" s="224" t="inlineStr">
        <is>
          <t>/</t>
        </is>
      </c>
      <c r="O414" s="224" t="inlineStr">
        <is>
          <t>/</t>
        </is>
      </c>
      <c r="P414" s="349" t="inlineStr">
        <is>
          <t>/</t>
        </is>
      </c>
      <c r="Q414" s="224" t="inlineStr">
        <is>
          <t>/</t>
        </is>
      </c>
      <c r="R414" s="349" t="inlineStr">
        <is>
          <t>/</t>
        </is>
      </c>
      <c r="S414" s="224" t="inlineStr">
        <is>
          <t>/</t>
        </is>
      </c>
      <c r="T414" s="349" t="inlineStr">
        <is>
          <t>/</t>
        </is>
      </c>
      <c r="U414" s="349" t="inlineStr">
        <is>
          <t>/</t>
        </is>
      </c>
      <c r="V414" s="224" t="inlineStr">
        <is>
          <t>/</t>
        </is>
      </c>
      <c r="W414" s="224" t="n">
        <v>0.2</v>
      </c>
      <c r="X414" s="461" t="inlineStr">
        <is>
          <t>/</t>
        </is>
      </c>
      <c r="Y414" s="461" t="inlineStr">
        <is>
          <t>/</t>
        </is>
      </c>
      <c r="Z414" s="461" t="inlineStr">
        <is>
          <t>/</t>
        </is>
      </c>
      <c r="AA414" s="461" t="inlineStr">
        <is>
          <t>/</t>
        </is>
      </c>
      <c r="AB414" s="652" t="inlineStr">
        <is>
          <t>/</t>
        </is>
      </c>
      <c r="AC414" s="652" t="inlineStr">
        <is>
          <t>/</t>
        </is>
      </c>
      <c r="AD414" s="48" t="inlineStr">
        <is>
          <t>1、共建活动费：校园美食节费用，未分摊共建活动费，服务费包含未拆分
2、装修折旧费：服务费包含未拆分
3、卫生费：服务费包含未拆分
4、能源费：服务费包含未拆分</t>
        </is>
      </c>
      <c r="AE414" s="25" t="inlineStr">
        <is>
          <t>1、签订期间：2026.3.6-2026.7.30；
2、指标按照全年换算；
3、已撤场（2026年3月）；</t>
        </is>
      </c>
      <c r="AF414" s="48" t="inlineStr">
        <is>
          <t>1、条款：技术合作方严格按照所报备的原料比例执行，具体如下:20%营业额，月度结算时若未达到所报比例，按以上比例结算。
问题：原材料占比难以落实，项目据实结算</t>
        </is>
      </c>
    </row>
    <row r="415" ht="60" customFormat="1" customHeight="1" s="209">
      <c r="A415" s="219" t="n">
        <v>413</v>
      </c>
      <c r="B415" s="14" t="inlineStr">
        <is>
          <t>KQCY0400</t>
        </is>
      </c>
      <c r="C415" s="221" t="inlineStr">
        <is>
          <t>餐饮六分部</t>
        </is>
      </c>
      <c r="D415" s="221" t="inlineStr">
        <is>
          <t>CF479</t>
        </is>
      </c>
      <c r="E415" s="221" t="inlineStr">
        <is>
          <t>江苏省交通技师学院第一食堂</t>
        </is>
      </c>
      <c r="F415" s="219" t="inlineStr">
        <is>
          <t>分组作业</t>
        </is>
      </c>
      <c r="G415" s="222" t="inlineStr">
        <is>
          <t>卫屹</t>
        </is>
      </c>
      <c r="H415" s="222" t="inlineStr">
        <is>
          <t>第十一班组</t>
        </is>
      </c>
      <c r="I415" s="355" t="inlineStr">
        <is>
          <t>炸鸡汉堡</t>
        </is>
      </c>
      <c r="J415" s="222" t="inlineStr">
        <is>
          <t>刘立志</t>
        </is>
      </c>
      <c r="K415" s="224" t="inlineStr">
        <is>
          <t>/</t>
        </is>
      </c>
      <c r="L415" s="651" t="n">
        <v>280000</v>
      </c>
      <c r="M415" s="224" t="n">
        <v>0.19</v>
      </c>
      <c r="N415" s="224" t="inlineStr">
        <is>
          <t>/</t>
        </is>
      </c>
      <c r="O415" s="224" t="inlineStr">
        <is>
          <t>/</t>
        </is>
      </c>
      <c r="P415" s="349" t="inlineStr">
        <is>
          <t>/</t>
        </is>
      </c>
      <c r="Q415" s="224" t="inlineStr">
        <is>
          <t>/</t>
        </is>
      </c>
      <c r="R415" s="349" t="inlineStr">
        <is>
          <t>/</t>
        </is>
      </c>
      <c r="S415" s="224" t="inlineStr">
        <is>
          <t>/</t>
        </is>
      </c>
      <c r="T415" s="653" t="n">
        <v>1200</v>
      </c>
      <c r="U415" s="224" t="n"/>
      <c r="V415" s="224" t="inlineStr">
        <is>
          <t>/</t>
        </is>
      </c>
      <c r="W415" s="224" t="n">
        <v>0.2</v>
      </c>
      <c r="X415" s="461" t="inlineStr">
        <is>
          <t>/</t>
        </is>
      </c>
      <c r="Y415" s="461" t="inlineStr">
        <is>
          <t>/</t>
        </is>
      </c>
      <c r="Z415" s="461" t="inlineStr">
        <is>
          <t>/</t>
        </is>
      </c>
      <c r="AA415" s="461" t="inlineStr">
        <is>
          <t>/</t>
        </is>
      </c>
      <c r="AB415" s="652" t="inlineStr">
        <is>
          <t>/</t>
        </is>
      </c>
      <c r="AC415" s="652" t="inlineStr">
        <is>
          <t>/</t>
        </is>
      </c>
      <c r="AD415" s="48" t="inlineStr">
        <is>
          <t>1、共建活动费：校园美食节费用，未分摊共建活动费，服务费包含未拆分
2、装修折旧费：服务费包含未拆分
3、卫生费：服务费包含未拆分
4、能源费：服务费包含未拆分</t>
        </is>
      </c>
      <c r="AE415" s="25" t="inlineStr">
        <is>
          <t>1、签订期间：2026.3.6-2026.7.30；
2、指标按照全年换算；</t>
        </is>
      </c>
      <c r="AF415" s="48" t="inlineStr">
        <is>
          <t>1、条款：技术合作方严格按照所报备的原料比例执行，具体如下:20%营业额，月度结算时若未达到所报比例，按以上比例结算。
问题：原材料占比难以落实，项目据实结算</t>
        </is>
      </c>
    </row>
    <row r="416" ht="60" customFormat="1" customHeight="1" s="209">
      <c r="A416" s="219" t="n">
        <v>414</v>
      </c>
      <c r="B416" s="14" t="inlineStr">
        <is>
          <t>KQCY0401</t>
        </is>
      </c>
      <c r="C416" s="221" t="inlineStr">
        <is>
          <t>餐饮六分部</t>
        </is>
      </c>
      <c r="D416" s="221" t="inlineStr">
        <is>
          <t>CF479</t>
        </is>
      </c>
      <c r="E416" s="221" t="inlineStr">
        <is>
          <t>江苏省交通技师学院第一食堂</t>
        </is>
      </c>
      <c r="F416" s="219" t="inlineStr">
        <is>
          <t>分组作业</t>
        </is>
      </c>
      <c r="G416" s="222" t="inlineStr">
        <is>
          <t>卫屹</t>
        </is>
      </c>
      <c r="H416" s="222" t="inlineStr">
        <is>
          <t>第十二班组</t>
        </is>
      </c>
      <c r="I416" s="355" t="inlineStr">
        <is>
          <t>掉渣饼</t>
        </is>
      </c>
      <c r="J416" s="222" t="inlineStr">
        <is>
          <t>武情</t>
        </is>
      </c>
      <c r="K416" s="224" t="inlineStr">
        <is>
          <t>/</t>
        </is>
      </c>
      <c r="L416" s="651" t="n">
        <v>330000</v>
      </c>
      <c r="M416" s="22" t="n">
        <v>0.275</v>
      </c>
      <c r="N416" s="224" t="inlineStr">
        <is>
          <t>/</t>
        </is>
      </c>
      <c r="O416" s="224" t="inlineStr">
        <is>
          <t>/</t>
        </is>
      </c>
      <c r="P416" s="349" t="inlineStr">
        <is>
          <t>/</t>
        </is>
      </c>
      <c r="Q416" s="224" t="inlineStr">
        <is>
          <t>/</t>
        </is>
      </c>
      <c r="R416" s="349" t="inlineStr">
        <is>
          <t>/</t>
        </is>
      </c>
      <c r="S416" s="224" t="inlineStr">
        <is>
          <t>/</t>
        </is>
      </c>
      <c r="T416" s="349" t="inlineStr">
        <is>
          <t>/</t>
        </is>
      </c>
      <c r="U416" s="349" t="inlineStr">
        <is>
          <t>/</t>
        </is>
      </c>
      <c r="V416" s="224" t="inlineStr">
        <is>
          <t>/</t>
        </is>
      </c>
      <c r="W416" s="224" t="n">
        <v>0.2</v>
      </c>
      <c r="X416" s="176" t="inlineStr">
        <is>
          <t>/</t>
        </is>
      </c>
      <c r="Y416" s="176" t="inlineStr">
        <is>
          <t>/</t>
        </is>
      </c>
      <c r="Z416" s="176" t="inlineStr">
        <is>
          <t>/</t>
        </is>
      </c>
      <c r="AA416" s="176" t="inlineStr">
        <is>
          <t>/</t>
        </is>
      </c>
      <c r="AB416" s="652" t="inlineStr">
        <is>
          <t>/</t>
        </is>
      </c>
      <c r="AC416" s="652" t="inlineStr">
        <is>
          <t>/</t>
        </is>
      </c>
      <c r="AD416" s="48" t="inlineStr">
        <is>
          <t>1、共建活动费：校园美食节费用，未分摊共建活动费，服务费包含未拆分
2、装修折旧费：服务费包含未拆分
3、卫生费：服务费包含未拆分
4、能源费：服务费包含未拆分</t>
        </is>
      </c>
      <c r="AE416" s="25" t="inlineStr">
        <is>
          <t>1、签订期间：2026.3.6-2026.7.30；
2、指标按照全年换算；
3、已撤场（2026年3月）；</t>
        </is>
      </c>
      <c r="AF416" s="48" t="inlineStr">
        <is>
          <t>1、条款：技术合作方严格按照所报备的原料比例执行，具体如下:20%营业额，月度结算时若未达到所报比例，按以上比例结算。
问题：原材料占比难以落实，项目据实结算</t>
        </is>
      </c>
    </row>
    <row r="417" ht="60" customFormat="1" customHeight="1" s="209">
      <c r="A417" s="219" t="n">
        <v>415</v>
      </c>
      <c r="B417" s="14" t="inlineStr">
        <is>
          <t>KQCY0402</t>
        </is>
      </c>
      <c r="C417" s="221" t="inlineStr">
        <is>
          <t>餐饮六分部</t>
        </is>
      </c>
      <c r="D417" s="221" t="inlineStr">
        <is>
          <t>CF479</t>
        </is>
      </c>
      <c r="E417" s="221" t="inlineStr">
        <is>
          <t>江苏省交通技师学院第一食堂</t>
        </is>
      </c>
      <c r="F417" s="219" t="inlineStr">
        <is>
          <t>分组作业</t>
        </is>
      </c>
      <c r="G417" s="222" t="inlineStr">
        <is>
          <t>卫屹</t>
        </is>
      </c>
      <c r="H417" s="222" t="inlineStr">
        <is>
          <t>第十三班组</t>
        </is>
      </c>
      <c r="I417" s="355" t="inlineStr">
        <is>
          <t>鸭血粉丝</t>
        </is>
      </c>
      <c r="J417" s="222" t="inlineStr">
        <is>
          <t>巫杨银</t>
        </is>
      </c>
      <c r="K417" s="224" t="inlineStr">
        <is>
          <t>/</t>
        </is>
      </c>
      <c r="L417" s="651" t="n">
        <v>330000</v>
      </c>
      <c r="M417" s="224" t="n">
        <v>0.19</v>
      </c>
      <c r="N417" s="224" t="inlineStr">
        <is>
          <t>/</t>
        </is>
      </c>
      <c r="O417" s="224" t="inlineStr">
        <is>
          <t>/</t>
        </is>
      </c>
      <c r="P417" s="349" t="inlineStr">
        <is>
          <t>/</t>
        </is>
      </c>
      <c r="Q417" s="224" t="inlineStr">
        <is>
          <t>/</t>
        </is>
      </c>
      <c r="R417" s="349" t="inlineStr">
        <is>
          <t>/</t>
        </is>
      </c>
      <c r="S417" s="224" t="inlineStr">
        <is>
          <t>/</t>
        </is>
      </c>
      <c r="T417" s="22" t="n">
        <v>0.035</v>
      </c>
      <c r="U417" s="224" t="n"/>
      <c r="V417" s="224" t="inlineStr">
        <is>
          <t>/</t>
        </is>
      </c>
      <c r="W417" s="224" t="n">
        <v>0.2</v>
      </c>
      <c r="X417" s="461" t="inlineStr">
        <is>
          <t>/</t>
        </is>
      </c>
      <c r="Y417" s="461" t="inlineStr">
        <is>
          <t>/</t>
        </is>
      </c>
      <c r="Z417" s="461" t="inlineStr">
        <is>
          <t>/</t>
        </is>
      </c>
      <c r="AA417" s="461" t="inlineStr">
        <is>
          <t>/</t>
        </is>
      </c>
      <c r="AB417" s="652" t="inlineStr">
        <is>
          <t>/</t>
        </is>
      </c>
      <c r="AC417" s="652" t="inlineStr">
        <is>
          <t>/</t>
        </is>
      </c>
      <c r="AD417" s="48" t="inlineStr">
        <is>
          <t>1、共建活动费：校园美食节费用，未分摊共建活动费，服务费包含未拆分
2、装修折旧费：服务费包含未拆分
3、卫生费：服务费包含未拆分
4、能源费：服务费包含未拆分</t>
        </is>
      </c>
      <c r="AE417" s="25" t="inlineStr">
        <is>
          <t>1、签订期间：2026.3.6-2026.7.30；
2、指标按照全年换算；</t>
        </is>
      </c>
      <c r="AF417" s="48" t="inlineStr">
        <is>
          <t>1、条款：技术合作方严格按照所报备的原料比例执行，具体如下:20%营业额，月度结算时若未达到所报比例，按以上比例结算。
问题：原材料占比难以落实，项目据实结算</t>
        </is>
      </c>
    </row>
    <row r="418" ht="12" customFormat="1" customHeight="1" s="209">
      <c r="A418" s="219" t="n">
        <v>416</v>
      </c>
      <c r="B418" s="14" t="inlineStr">
        <is>
          <t>KQCY0403</t>
        </is>
      </c>
      <c r="C418" s="221" t="inlineStr">
        <is>
          <t>餐饮六分部</t>
        </is>
      </c>
      <c r="D418" s="221" t="inlineStr">
        <is>
          <t>CF475</t>
        </is>
      </c>
      <c r="E418" s="221" t="inlineStr">
        <is>
          <t>国科大南京学院食堂</t>
        </is>
      </c>
      <c r="F418" s="219" t="inlineStr">
        <is>
          <t>自营</t>
        </is>
      </c>
      <c r="G418" s="222" t="inlineStr">
        <is>
          <t>卫屹</t>
        </is>
      </c>
      <c r="H418" s="222" t="inlineStr">
        <is>
          <t>/</t>
        </is>
      </c>
      <c r="I418" s="355" t="inlineStr">
        <is>
          <t>/</t>
        </is>
      </c>
      <c r="J418" s="222" t="inlineStr">
        <is>
          <t>/</t>
        </is>
      </c>
      <c r="K418" s="224" t="inlineStr">
        <is>
          <t>/</t>
        </is>
      </c>
      <c r="L418" s="651" t="inlineStr">
        <is>
          <t>/</t>
        </is>
      </c>
      <c r="M418" s="224" t="inlineStr">
        <is>
          <t>/</t>
        </is>
      </c>
      <c r="N418" s="224" t="inlineStr">
        <is>
          <t>/</t>
        </is>
      </c>
      <c r="O418" s="224" t="inlineStr">
        <is>
          <t>/</t>
        </is>
      </c>
      <c r="P418" s="224" t="inlineStr">
        <is>
          <t>/</t>
        </is>
      </c>
      <c r="Q418" s="224" t="inlineStr">
        <is>
          <t>/</t>
        </is>
      </c>
      <c r="R418" s="224" t="inlineStr">
        <is>
          <t>/</t>
        </is>
      </c>
      <c r="S418" s="224" t="inlineStr">
        <is>
          <t>/</t>
        </is>
      </c>
      <c r="T418" s="224" t="inlineStr">
        <is>
          <t>/</t>
        </is>
      </c>
      <c r="U418" s="224" t="inlineStr">
        <is>
          <t>/</t>
        </is>
      </c>
      <c r="V418" s="224" t="inlineStr">
        <is>
          <t>/</t>
        </is>
      </c>
      <c r="W418" s="44" t="n"/>
      <c r="X418" s="461" t="inlineStr">
        <is>
          <t>/</t>
        </is>
      </c>
      <c r="Y418" s="461" t="inlineStr">
        <is>
          <t>/</t>
        </is>
      </c>
      <c r="Z418" s="461" t="inlineStr">
        <is>
          <t>/</t>
        </is>
      </c>
      <c r="AA418" s="461" t="inlineStr">
        <is>
          <t>/</t>
        </is>
      </c>
      <c r="AB418" s="46" t="n">
        <v>0.05</v>
      </c>
      <c r="AC418" s="652" t="inlineStr">
        <is>
          <t>/</t>
        </is>
      </c>
      <c r="AD418" s="232" t="n"/>
      <c r="AE418" s="25" t="n"/>
      <c r="AF418" s="206" t="n"/>
    </row>
    <row r="419" ht="24" customFormat="1" customHeight="1" s="209">
      <c r="A419" s="219" t="n">
        <v>417</v>
      </c>
      <c r="B419" s="14" t="inlineStr">
        <is>
          <t>KQCY0404</t>
        </is>
      </c>
      <c r="C419" s="221" t="inlineStr">
        <is>
          <t>餐饮六分部</t>
        </is>
      </c>
      <c r="D419" s="221" t="inlineStr">
        <is>
          <t>CF475</t>
        </is>
      </c>
      <c r="E419" s="221" t="inlineStr">
        <is>
          <t>国科大南京学院食堂</t>
        </is>
      </c>
      <c r="F419" s="219" t="inlineStr">
        <is>
          <t>分组作业</t>
        </is>
      </c>
      <c r="G419" s="222" t="inlineStr">
        <is>
          <t>卫屹</t>
        </is>
      </c>
      <c r="H419" s="503" t="inlineStr">
        <is>
          <t>/</t>
        </is>
      </c>
      <c r="I419" s="355" t="inlineStr">
        <is>
          <t>茶香鸡、麻辣烫、水吧</t>
        </is>
      </c>
      <c r="J419" s="503" t="inlineStr">
        <is>
          <t>浦卫东</t>
        </is>
      </c>
      <c r="K419" s="224" t="inlineStr">
        <is>
          <t>/</t>
        </is>
      </c>
      <c r="L419" s="651" t="inlineStr">
        <is>
          <t>/</t>
        </is>
      </c>
      <c r="M419" s="224" t="n">
        <v>0.06</v>
      </c>
      <c r="N419" s="224" t="inlineStr">
        <is>
          <t>/</t>
        </is>
      </c>
      <c r="O419" s="224" t="n"/>
      <c r="P419" s="224" t="inlineStr">
        <is>
          <t>/</t>
        </is>
      </c>
      <c r="Q419" s="224" t="inlineStr">
        <is>
          <t>/</t>
        </is>
      </c>
      <c r="R419" s="224" t="inlineStr">
        <is>
          <t>/</t>
        </is>
      </c>
      <c r="S419" s="224" t="n"/>
      <c r="T419" s="349" t="n"/>
      <c r="U419" s="349" t="n"/>
      <c r="V419" s="653" t="n"/>
      <c r="W419" s="44" t="n"/>
      <c r="X419" s="461" t="inlineStr">
        <is>
          <t>/</t>
        </is>
      </c>
      <c r="Y419" s="461" t="inlineStr">
        <is>
          <t>/</t>
        </is>
      </c>
      <c r="Z419" s="461" t="inlineStr">
        <is>
          <t>/</t>
        </is>
      </c>
      <c r="AA419" s="461" t="inlineStr">
        <is>
          <t>/</t>
        </is>
      </c>
      <c r="AB419" s="652" t="inlineStr">
        <is>
          <t>/</t>
        </is>
      </c>
      <c r="AC419" s="652" t="inlineStr">
        <is>
          <t>/</t>
        </is>
      </c>
      <c r="AD419" s="48" t="inlineStr">
        <is>
          <t>1、能源费：能源费补贴30万，超补贴后按比例付
2、卫生费：按营业额公摊</t>
        </is>
      </c>
      <c r="AE419" s="25" t="inlineStr">
        <is>
          <t>1、签订期间：2025.8.1-2026.8.31；
2、指标按照全年换算；</t>
        </is>
      </c>
      <c r="AF419" s="232" t="inlineStr">
        <is>
          <t>1、会议纪要中未约定收取能源费，实际收取；
建议：会议纪要中明确是否收取；</t>
        </is>
      </c>
    </row>
    <row r="420" ht="24" customFormat="1" customHeight="1" s="209">
      <c r="A420" s="219" t="n">
        <v>418</v>
      </c>
      <c r="B420" s="14" t="inlineStr">
        <is>
          <t>KQCY0405</t>
        </is>
      </c>
      <c r="C420" s="221" t="inlineStr">
        <is>
          <t>餐饮六分部</t>
        </is>
      </c>
      <c r="D420" s="221" t="inlineStr">
        <is>
          <t>CF475</t>
        </is>
      </c>
      <c r="E420" s="221" t="inlineStr">
        <is>
          <t>国科大南京学院食堂</t>
        </is>
      </c>
      <c r="F420" s="219" t="inlineStr">
        <is>
          <t>分组作业</t>
        </is>
      </c>
      <c r="G420" s="222" t="inlineStr">
        <is>
          <t>卫屹</t>
        </is>
      </c>
      <c r="H420" s="503" t="inlineStr">
        <is>
          <t>/</t>
        </is>
      </c>
      <c r="I420" s="355" t="inlineStr">
        <is>
          <t>西北风味</t>
        </is>
      </c>
      <c r="J420" s="503" t="inlineStr">
        <is>
          <t>马山杏尼</t>
        </is>
      </c>
      <c r="K420" s="224" t="inlineStr">
        <is>
          <t>/</t>
        </is>
      </c>
      <c r="L420" s="651" t="inlineStr">
        <is>
          <t>/</t>
        </is>
      </c>
      <c r="M420" s="224" t="n">
        <v>0.06</v>
      </c>
      <c r="N420" s="224" t="inlineStr">
        <is>
          <t>/</t>
        </is>
      </c>
      <c r="O420" s="224" t="inlineStr">
        <is>
          <t>/</t>
        </is>
      </c>
      <c r="P420" s="224" t="inlineStr">
        <is>
          <t>/</t>
        </is>
      </c>
      <c r="Q420" s="224" t="inlineStr">
        <is>
          <t>/</t>
        </is>
      </c>
      <c r="R420" s="224" t="inlineStr">
        <is>
          <t>/</t>
        </is>
      </c>
      <c r="S420" s="224" t="n"/>
      <c r="T420" s="653" t="n">
        <v>3000</v>
      </c>
      <c r="U420" s="349" t="n"/>
      <c r="V420" s="224" t="inlineStr">
        <is>
          <t>/</t>
        </is>
      </c>
      <c r="W420" s="44" t="n"/>
      <c r="X420" s="461" t="inlineStr">
        <is>
          <t>/</t>
        </is>
      </c>
      <c r="Y420" s="461" t="inlineStr">
        <is>
          <t>/</t>
        </is>
      </c>
      <c r="Z420" s="461" t="inlineStr">
        <is>
          <t>/</t>
        </is>
      </c>
      <c r="AA420" s="461" t="inlineStr">
        <is>
          <t>/</t>
        </is>
      </c>
      <c r="AB420" s="652" t="inlineStr">
        <is>
          <t>/</t>
        </is>
      </c>
      <c r="AC420" s="652" t="inlineStr">
        <is>
          <t>/</t>
        </is>
      </c>
      <c r="AD420" s="48" t="inlineStr">
        <is>
          <t>1、能源费：能源费补贴30万，超补贴后按比例付
2、卫生费：2026年2月之后不在收取</t>
        </is>
      </c>
      <c r="AE420" s="25" t="inlineStr">
        <is>
          <t>1、签订期间：2025.8.1-2026.8.31；
2、指标按照全年换算；</t>
        </is>
      </c>
      <c r="AF420" s="232" t="inlineStr">
        <is>
          <t>1、会议纪要约定卫生费3000元/月，在实际经营过程中未按规定收取
建议：会议纪要中明确收费收取；</t>
        </is>
      </c>
    </row>
  </sheetData>
  <sheetProtection selectLockedCells="0" selectUnlockedCells="0" sheet="1" objects="0" insertRows="0" insertHyperlinks="0" autoFilter="0" scenarios="0" formatColumns="0" deleteColumns="0" insertColumns="0" pivotTables="0" deleteRows="0" formatCells="0" formatRows="0" sort="0"/>
  <autoFilter ref="A2:AF420">
    <sortState ref="A2:AF420">
      <sortCondition ref="A2:A420"/>
    </sortState>
  </autoFilter>
  <mergeCells count="1">
    <mergeCell ref="A1:N1"/>
  </mergeCells>
  <dataValidations count="1">
    <dataValidation sqref="F129:F136" showDropDown="0" showInputMessage="1" showErrorMessage="1" allowBlank="1" type="list">
      <formula1>"自营/分组作业,分组作业,强责,自营,人员服务外包,人员服务外包/自营"</formula1>
    </dataValidation>
  </dataValidations>
  <pageMargins left="0.7" right="0.7" top="0.75" bottom="0.75" header="0.3" footer="0.3"/>
  <pageSetup orientation="portrait" paperSize="9"/>
</worksheet>
</file>

<file path=xl/worksheets/sheet7.xml><?xml version="1.0" encoding="utf-8"?>
<worksheet xmlns="http://schemas.openxmlformats.org/spreadsheetml/2006/main">
  <sheetPr filterMode="1">
    <outlinePr summaryBelow="1" summaryRight="1"/>
    <pageSetUpPr/>
  </sheetPr>
  <dimension ref="A1:AE436"/>
  <sheetViews>
    <sheetView workbookViewId="0">
      <selection activeCell="A1" sqref="A1:P1"/>
    </sheetView>
  </sheetViews>
  <sheetFormatPr baseColWidth="8" defaultColWidth="9" defaultRowHeight="13.5"/>
  <cols>
    <col width="9" customWidth="1" style="27" min="1" max="1"/>
    <col hidden="1" width="16.25" customWidth="1" style="27" min="2" max="2"/>
    <col hidden="1" width="12.5" customWidth="1" style="534" min="3" max="4"/>
    <col width="21.125" customWidth="1" style="534" min="5" max="5"/>
    <col width="12.5" customWidth="1" style="29" min="6" max="6"/>
    <col width="12.5" customWidth="1" style="534" min="7" max="7"/>
    <col width="16.25" customWidth="1" style="534" min="8" max="8"/>
    <col width="14.375" customWidth="1" style="30" min="9" max="9"/>
    <col width="16.25" customWidth="1" style="31" min="10" max="10"/>
    <col hidden="1" width="16.25" customWidth="1" style="31" min="11" max="11"/>
    <col width="12.5" customWidth="1" style="31" min="12" max="12"/>
    <col hidden="1" width="12.5" customWidth="1" style="31" min="13" max="13"/>
    <col hidden="1" width="25.875" customWidth="1" style="542" min="14" max="14"/>
    <col width="10.75" customWidth="1" style="33" min="15" max="15"/>
    <col width="12.5" customWidth="1" style="27" min="16" max="17"/>
    <col width="14.25" customWidth="1" style="27" min="18" max="20"/>
    <col width="12.5" customWidth="1" style="27" min="21" max="21"/>
    <col width="12.5" customWidth="1" style="34" min="22" max="22"/>
    <col width="12.5" customWidth="1" style="33" min="23" max="23"/>
    <col width="12.5" customWidth="1" style="27" min="24" max="24"/>
    <col width="12.5" customWidth="1" style="31" min="25" max="27"/>
    <col width="27.875" customWidth="1" style="35" min="28" max="28"/>
    <col width="10.75" customWidth="1" style="534" min="29" max="29"/>
    <col width="41.5" customWidth="1" style="29" min="30" max="30"/>
    <col width="41.75" customWidth="1" style="30" min="31" max="31"/>
  </cols>
  <sheetData>
    <row r="1" ht="18.75" customHeight="1" s="537">
      <c r="A1" s="36" t="inlineStr">
        <is>
          <t xml:space="preserve"> 2026年科桥餐饮公司各项指标明细</t>
        </is>
      </c>
      <c r="B1" s="37" t="n"/>
      <c r="C1" s="37" t="n"/>
      <c r="D1" s="37" t="n"/>
      <c r="E1" s="37" t="n"/>
      <c r="F1" s="37" t="n"/>
      <c r="G1" s="37" t="n"/>
      <c r="H1" s="37" t="n"/>
      <c r="I1" s="37" t="n"/>
      <c r="J1" s="37" t="n"/>
      <c r="K1" s="37" t="n"/>
      <c r="L1" s="37" t="n"/>
      <c r="M1" s="37" t="n"/>
      <c r="N1" s="37" t="n"/>
      <c r="O1" s="37" t="n"/>
      <c r="P1" s="37" t="n"/>
      <c r="Q1" s="38" t="n"/>
      <c r="R1" s="38" t="n"/>
      <c r="S1" s="38" t="n"/>
      <c r="T1" s="38" t="n"/>
      <c r="U1" s="38" t="n"/>
      <c r="V1" s="38" t="n"/>
      <c r="W1" s="38" t="n"/>
      <c r="X1" s="38" t="n"/>
      <c r="Y1" s="38" t="n"/>
      <c r="Z1" s="38" t="n"/>
      <c r="AA1" s="38" t="n"/>
      <c r="AB1" s="41" t="n"/>
      <c r="AC1" s="38" t="n"/>
      <c r="AD1" s="42" t="n"/>
      <c r="AE1" s="42" t="n"/>
    </row>
    <row r="2" ht="40.5" customFormat="1" customHeight="1" s="1">
      <c r="A2" s="178" t="inlineStr">
        <is>
          <t>序号</t>
        </is>
      </c>
      <c r="B2" s="178" t="inlineStr">
        <is>
          <t>档口唯一标志</t>
        </is>
      </c>
      <c r="C2" s="178" t="inlineStr">
        <is>
          <t>分部名称</t>
        </is>
      </c>
      <c r="D2" s="178" t="inlineStr">
        <is>
          <t>项目代码</t>
        </is>
      </c>
      <c r="E2" s="178" t="inlineStr">
        <is>
          <t>项目名称</t>
        </is>
      </c>
      <c r="F2" s="179" t="inlineStr">
        <is>
          <t>项目类型</t>
        </is>
      </c>
      <c r="G2" s="179" t="inlineStr">
        <is>
          <t>核算会计</t>
        </is>
      </c>
      <c r="H2" s="179" t="inlineStr">
        <is>
          <t>分组作业名称</t>
        </is>
      </c>
      <c r="I2" s="179" t="inlineStr">
        <is>
          <t>分组作业窗口名称</t>
        </is>
      </c>
      <c r="J2" s="179" t="inlineStr">
        <is>
          <t>签订人
（会议纪要）</t>
        </is>
      </c>
      <c r="K2" s="179" t="n"/>
      <c r="L2" s="180" t="inlineStr">
        <is>
          <t>备注（是否删除）</t>
        </is>
      </c>
      <c r="M2" s="181" t="inlineStr">
        <is>
          <t>人员工资</t>
        </is>
      </c>
      <c r="N2" s="543" t="inlineStr">
        <is>
          <t>营业额指标
【部分金额折算成一年】</t>
        </is>
      </c>
      <c r="O2" s="668" t="inlineStr">
        <is>
          <t>服务费</t>
        </is>
      </c>
      <c r="P2" s="184" t="inlineStr">
        <is>
          <t>虫害消杀</t>
        </is>
      </c>
      <c r="Q2" s="184" t="inlineStr">
        <is>
          <t>采购费</t>
        </is>
      </c>
      <c r="R2" s="184" t="inlineStr">
        <is>
          <t>装修折旧</t>
        </is>
      </c>
      <c r="S2" s="184" t="inlineStr">
        <is>
          <t>管理人员</t>
        </is>
      </c>
      <c r="T2" s="184" t="inlineStr">
        <is>
          <t>共建活动</t>
        </is>
      </c>
      <c r="U2" s="184" t="inlineStr">
        <is>
          <t>资产</t>
        </is>
      </c>
      <c r="V2" s="184" t="inlineStr">
        <is>
          <t>卫生费</t>
        </is>
      </c>
      <c r="W2" s="184" t="inlineStr">
        <is>
          <t>能源费</t>
        </is>
      </c>
      <c r="X2" s="184" t="inlineStr">
        <is>
          <t>其他</t>
        </is>
      </c>
      <c r="Y2" s="184" t="inlineStr">
        <is>
          <t>其他费用1</t>
        </is>
      </c>
      <c r="Z2" s="184" t="inlineStr">
        <is>
          <t>其他费用2</t>
        </is>
      </c>
      <c r="AA2" s="184" t="inlineStr">
        <is>
          <t>原材料比例</t>
        </is>
      </c>
      <c r="AB2" s="185" t="inlineStr">
        <is>
          <t>分部管理费
（按实+固定值）</t>
        </is>
      </c>
      <c r="AC2" s="186" t="inlineStr">
        <is>
          <t>业务费</t>
        </is>
      </c>
      <c r="AD2" s="179" t="inlineStr">
        <is>
          <t>备注1</t>
        </is>
      </c>
      <c r="AE2" s="181" t="inlineStr">
        <is>
          <t>备注2</t>
        </is>
      </c>
    </row>
    <row r="3" hidden="1" ht="12" customFormat="1" customHeight="1" s="209">
      <c r="A3" s="219" t="n">
        <v>1</v>
      </c>
      <c r="B3" s="220" t="inlineStr">
        <is>
          <t>KQCY0001</t>
        </is>
      </c>
      <c r="C3" s="221" t="inlineStr">
        <is>
          <t>餐饮一分部</t>
        </is>
      </c>
      <c r="D3" s="221" t="inlineStr">
        <is>
          <t>CF139</t>
        </is>
      </c>
      <c r="E3" s="221" t="inlineStr">
        <is>
          <t>苏州中科新药篮餐厅</t>
        </is>
      </c>
      <c r="F3" s="219" t="inlineStr">
        <is>
          <t>自营</t>
        </is>
      </c>
      <c r="G3" s="222" t="inlineStr">
        <is>
          <t>卫屹</t>
        </is>
      </c>
      <c r="H3" s="222" t="inlineStr">
        <is>
          <t>/</t>
        </is>
      </c>
      <c r="I3" s="237" t="inlineStr">
        <is>
          <t>/</t>
        </is>
      </c>
      <c r="J3" s="222" t="inlineStr">
        <is>
          <t>/</t>
        </is>
      </c>
      <c r="K3" s="222" t="n"/>
      <c r="L3" s="224" t="n"/>
      <c r="M3" s="224" t="inlineStr">
        <is>
          <t>/</t>
        </is>
      </c>
      <c r="N3" s="651" t="n">
        <v>1900000</v>
      </c>
      <c r="O3" s="235" t="inlineStr">
        <is>
          <t>/</t>
        </is>
      </c>
      <c r="P3" s="235" t="inlineStr">
        <is>
          <t>/</t>
        </is>
      </c>
      <c r="Q3" s="235" t="inlineStr">
        <is>
          <t>/</t>
        </is>
      </c>
      <c r="R3" s="235" t="inlineStr">
        <is>
          <t>/</t>
        </is>
      </c>
      <c r="S3" s="235" t="inlineStr">
        <is>
          <t>/</t>
        </is>
      </c>
      <c r="T3" s="235" t="inlineStr">
        <is>
          <t>/</t>
        </is>
      </c>
      <c r="U3" s="235" t="inlineStr">
        <is>
          <t>/</t>
        </is>
      </c>
      <c r="V3" s="235" t="inlineStr">
        <is>
          <t>/</t>
        </is>
      </c>
      <c r="W3" s="235" t="inlineStr">
        <is>
          <t>/</t>
        </is>
      </c>
      <c r="X3" s="235" t="inlineStr">
        <is>
          <t>/</t>
        </is>
      </c>
      <c r="Y3" s="461" t="n"/>
      <c r="Z3" s="461" t="n"/>
      <c r="AA3" s="461" t="n"/>
      <c r="AB3" s="46" t="n">
        <v>0.06</v>
      </c>
      <c r="AC3" s="46" t="inlineStr">
        <is>
          <t>/</t>
        </is>
      </c>
      <c r="AD3" s="232" t="n"/>
      <c r="AE3" s="232" t="n"/>
    </row>
    <row r="4" hidden="1" ht="48" customFormat="1" customHeight="1" s="209">
      <c r="A4" s="219" t="n">
        <v>2</v>
      </c>
      <c r="B4" s="220" t="inlineStr">
        <is>
          <t>KQCY0002</t>
        </is>
      </c>
      <c r="C4" s="221" t="inlineStr">
        <is>
          <t>餐饮一分部</t>
        </is>
      </c>
      <c r="D4" s="221" t="inlineStr">
        <is>
          <t>CF481</t>
        </is>
      </c>
      <c r="E4" s="221" t="inlineStr">
        <is>
          <t>常熟世华高级中学食堂</t>
        </is>
      </c>
      <c r="F4" s="219" t="inlineStr">
        <is>
          <t>自营</t>
        </is>
      </c>
      <c r="G4" s="222" t="inlineStr">
        <is>
          <t>卫屹</t>
        </is>
      </c>
      <c r="H4" s="222" t="inlineStr">
        <is>
          <t>/</t>
        </is>
      </c>
      <c r="I4" s="237" t="inlineStr">
        <is>
          <t>/</t>
        </is>
      </c>
      <c r="J4" s="222" t="inlineStr">
        <is>
          <t>/</t>
        </is>
      </c>
      <c r="K4" s="222" t="n"/>
      <c r="L4" s="224" t="n"/>
      <c r="M4" s="224" t="inlineStr">
        <is>
          <t>/</t>
        </is>
      </c>
      <c r="N4" s="651" t="n">
        <v>2600000</v>
      </c>
      <c r="O4" s="235" t="inlineStr">
        <is>
          <t>/</t>
        </is>
      </c>
      <c r="P4" s="235" t="inlineStr">
        <is>
          <t>/</t>
        </is>
      </c>
      <c r="Q4" s="235" t="inlineStr">
        <is>
          <t>/</t>
        </is>
      </c>
      <c r="R4" s="235" t="inlineStr">
        <is>
          <t>/</t>
        </is>
      </c>
      <c r="S4" s="235" t="inlineStr">
        <is>
          <t>/</t>
        </is>
      </c>
      <c r="T4" s="235" t="inlineStr">
        <is>
          <t>/</t>
        </is>
      </c>
      <c r="U4" s="235" t="inlineStr">
        <is>
          <t>/</t>
        </is>
      </c>
      <c r="V4" s="235" t="inlineStr">
        <is>
          <t>/</t>
        </is>
      </c>
      <c r="W4" s="235" t="inlineStr">
        <is>
          <t>/</t>
        </is>
      </c>
      <c r="X4" s="235" t="inlineStr">
        <is>
          <t>/</t>
        </is>
      </c>
      <c r="Y4" s="235" t="n"/>
      <c r="Z4" s="235" t="n"/>
      <c r="AA4" s="235" t="n"/>
      <c r="AB4" s="46" t="n">
        <v>0.0585</v>
      </c>
      <c r="AC4" s="46" t="n">
        <v>0.005</v>
      </c>
      <c r="AD4" s="230" t="inlineStr">
        <is>
          <t>1、原材料：若政府部门要求执行“阳光平台”的原材料比例，乙方实际经营中原材料比例与阳光平台规定比例的差额的处理和费用都由甲方承担。（阳光平台原材料占餐食营业额比例≥75%，项目按实际领用）</t>
        </is>
      </c>
      <c r="AE4" s="232" t="n"/>
    </row>
    <row r="5" hidden="1" ht="12" customFormat="1" customHeight="1" s="209">
      <c r="A5" s="219" t="n">
        <v>3</v>
      </c>
      <c r="B5" s="220" t="inlineStr">
        <is>
          <t>KQCY0003</t>
        </is>
      </c>
      <c r="C5" s="221" t="inlineStr">
        <is>
          <t>餐饮一分部</t>
        </is>
      </c>
      <c r="D5" s="221" t="inlineStr">
        <is>
          <t>CF478</t>
        </is>
      </c>
      <c r="E5" s="221" t="inlineStr">
        <is>
          <t>苏州华杨电子餐厅</t>
        </is>
      </c>
      <c r="F5" s="219" t="inlineStr">
        <is>
          <t>强责</t>
        </is>
      </c>
      <c r="G5" s="222" t="inlineStr">
        <is>
          <t>陆琪</t>
        </is>
      </c>
      <c r="H5" s="222" t="inlineStr">
        <is>
          <t>/</t>
        </is>
      </c>
      <c r="I5" s="232" t="inlineStr">
        <is>
          <t>/</t>
        </is>
      </c>
      <c r="J5" s="222" t="inlineStr">
        <is>
          <t>武良军</t>
        </is>
      </c>
      <c r="K5" s="222" t="n"/>
      <c r="L5" s="224" t="n"/>
      <c r="M5" s="224" t="inlineStr">
        <is>
          <t>/</t>
        </is>
      </c>
      <c r="N5" s="651" t="n">
        <v>2200000</v>
      </c>
      <c r="O5" s="227" t="inlineStr">
        <is>
          <t>/</t>
        </is>
      </c>
      <c r="P5" s="227" t="inlineStr">
        <is>
          <t>/</t>
        </is>
      </c>
      <c r="Q5" s="276" t="n">
        <v>0.01</v>
      </c>
      <c r="R5" s="227" t="inlineStr">
        <is>
          <t>/</t>
        </is>
      </c>
      <c r="S5" s="227" t="inlineStr">
        <is>
          <t>/</t>
        </is>
      </c>
      <c r="T5" s="227" t="inlineStr">
        <is>
          <t>/</t>
        </is>
      </c>
      <c r="U5" s="227" t="inlineStr">
        <is>
          <t>/</t>
        </is>
      </c>
      <c r="V5" s="461" t="inlineStr">
        <is>
          <t>/</t>
        </is>
      </c>
      <c r="W5" s="227" t="inlineStr">
        <is>
          <t>/</t>
        </is>
      </c>
      <c r="X5" s="227" t="inlineStr">
        <is>
          <t>/</t>
        </is>
      </c>
      <c r="Y5" s="461" t="n"/>
      <c r="Z5" s="461" t="n"/>
      <c r="AA5" s="461" t="n"/>
      <c r="AB5" s="51" t="n">
        <v>0.04</v>
      </c>
      <c r="AC5" s="46" t="inlineStr">
        <is>
          <t>/</t>
        </is>
      </c>
      <c r="AD5" s="232" t="n"/>
      <c r="AE5" s="232" t="n"/>
    </row>
    <row r="6" hidden="1" ht="12" customFormat="1" customHeight="1" s="209">
      <c r="A6" s="219" t="n">
        <v>4</v>
      </c>
      <c r="B6" s="220" t="inlineStr">
        <is>
          <t>KQCY0004</t>
        </is>
      </c>
      <c r="C6" s="221" t="inlineStr">
        <is>
          <t>餐饮一分部</t>
        </is>
      </c>
      <c r="D6" s="221" t="inlineStr">
        <is>
          <t>CF751</t>
        </is>
      </c>
      <c r="E6" s="221" t="inlineStr">
        <is>
          <t>国防科大（长沙）食堂</t>
        </is>
      </c>
      <c r="F6" s="219" t="inlineStr">
        <is>
          <t>人员服务外包</t>
        </is>
      </c>
      <c r="G6" s="222" t="inlineStr">
        <is>
          <t>陆琪</t>
        </is>
      </c>
      <c r="H6" s="222" t="inlineStr">
        <is>
          <t>/</t>
        </is>
      </c>
      <c r="I6" s="237" t="inlineStr">
        <is>
          <t>/</t>
        </is>
      </c>
      <c r="J6" s="222" t="inlineStr">
        <is>
          <t>/</t>
        </is>
      </c>
      <c r="K6" s="222" t="n"/>
      <c r="L6" s="224" t="n"/>
      <c r="M6" s="224" t="inlineStr">
        <is>
          <t>/</t>
        </is>
      </c>
      <c r="N6" s="651" t="n">
        <v>8931000</v>
      </c>
      <c r="O6" s="227" t="inlineStr">
        <is>
          <t>/</t>
        </is>
      </c>
      <c r="P6" s="227" t="inlineStr">
        <is>
          <t>/</t>
        </is>
      </c>
      <c r="Q6" s="227" t="inlineStr">
        <is>
          <t>/</t>
        </is>
      </c>
      <c r="R6" s="227" t="inlineStr">
        <is>
          <t>/</t>
        </is>
      </c>
      <c r="S6" s="227" t="inlineStr">
        <is>
          <t>/</t>
        </is>
      </c>
      <c r="T6" s="227" t="inlineStr">
        <is>
          <t>/</t>
        </is>
      </c>
      <c r="U6" s="227" t="inlineStr">
        <is>
          <t>/</t>
        </is>
      </c>
      <c r="V6" s="461" t="inlineStr">
        <is>
          <t>/</t>
        </is>
      </c>
      <c r="W6" s="227" t="inlineStr">
        <is>
          <t>/</t>
        </is>
      </c>
      <c r="X6" s="227" t="inlineStr">
        <is>
          <t>/</t>
        </is>
      </c>
      <c r="Y6" s="461" t="n"/>
      <c r="Z6" s="461" t="n"/>
      <c r="AA6" s="461" t="inlineStr">
        <is>
          <t>/</t>
        </is>
      </c>
      <c r="AB6" s="46" t="n">
        <v>0.045</v>
      </c>
      <c r="AC6" s="46" t="inlineStr">
        <is>
          <t>/</t>
        </is>
      </c>
      <c r="AD6" s="232" t="n"/>
      <c r="AE6" s="232" t="n"/>
    </row>
    <row r="7" hidden="1" ht="24" customFormat="1" customHeight="1" s="209">
      <c r="A7" s="219" t="n">
        <v>5</v>
      </c>
      <c r="B7" s="220" t="inlineStr">
        <is>
          <t>KQCY0005</t>
        </is>
      </c>
      <c r="C7" s="221" t="inlineStr">
        <is>
          <t>餐饮一分部</t>
        </is>
      </c>
      <c r="D7" s="221" t="inlineStr">
        <is>
          <t>CF474</t>
        </is>
      </c>
      <c r="E7" s="221" t="inlineStr">
        <is>
          <t>安工大七食堂</t>
        </is>
      </c>
      <c r="F7" s="219" t="inlineStr">
        <is>
          <t>强责</t>
        </is>
      </c>
      <c r="G7" s="222" t="inlineStr">
        <is>
          <t>卫屹</t>
        </is>
      </c>
      <c r="H7" s="222" t="inlineStr">
        <is>
          <t>/</t>
        </is>
      </c>
      <c r="I7" s="232" t="inlineStr">
        <is>
          <t>/</t>
        </is>
      </c>
      <c r="J7" s="503" t="inlineStr">
        <is>
          <t>李俊彦</t>
        </is>
      </c>
      <c r="K7" s="503" t="n"/>
      <c r="L7" s="224" t="n"/>
      <c r="M7" s="224" t="inlineStr">
        <is>
          <t>/</t>
        </is>
      </c>
      <c r="N7" s="651" t="inlineStr">
        <is>
          <t>/</t>
        </is>
      </c>
      <c r="O7" s="227" t="inlineStr">
        <is>
          <t>/</t>
        </is>
      </c>
      <c r="P7" s="227" t="inlineStr">
        <is>
          <t>/</t>
        </is>
      </c>
      <c r="Q7" s="227" t="inlineStr">
        <is>
          <t>/</t>
        </is>
      </c>
      <c r="R7" s="227" t="inlineStr">
        <is>
          <t>/</t>
        </is>
      </c>
      <c r="S7" s="227" t="inlineStr">
        <is>
          <t>/</t>
        </is>
      </c>
      <c r="T7" s="227" t="inlineStr">
        <is>
          <t>/</t>
        </is>
      </c>
      <c r="U7" s="227" t="inlineStr">
        <is>
          <t>/</t>
        </is>
      </c>
      <c r="V7" s="461" t="inlineStr">
        <is>
          <t>/</t>
        </is>
      </c>
      <c r="W7" s="227" t="inlineStr">
        <is>
          <t>/</t>
        </is>
      </c>
      <c r="X7" s="227" t="inlineStr">
        <is>
          <t>/</t>
        </is>
      </c>
      <c r="Y7" s="235" t="n"/>
      <c r="Z7" s="235" t="n"/>
      <c r="AA7" s="235" t="n">
        <v>0.55</v>
      </c>
      <c r="AB7" s="46" t="n">
        <v>0.015</v>
      </c>
      <c r="AC7" s="652" t="inlineStr">
        <is>
          <t>/</t>
        </is>
      </c>
      <c r="AD7" s="230" t="inlineStr">
        <is>
          <t>1、原材料：安徽工业大学食堂食品原材料定点采购办法约定食品原材料≥55%营业额（不含一次性打包用品）</t>
        </is>
      </c>
      <c r="AE7" s="232" t="n"/>
    </row>
    <row r="8" hidden="1" ht="82.5" customFormat="1" customHeight="1" s="209">
      <c r="A8" s="219" t="n">
        <v>6</v>
      </c>
      <c r="B8" s="220" t="inlineStr">
        <is>
          <t>KQCY0006</t>
        </is>
      </c>
      <c r="C8" s="221" t="inlineStr">
        <is>
          <t>餐饮一分部</t>
        </is>
      </c>
      <c r="D8" s="221" t="inlineStr">
        <is>
          <t>CF474</t>
        </is>
      </c>
      <c r="E8" s="221" t="inlineStr">
        <is>
          <t>安工大七食堂</t>
        </is>
      </c>
      <c r="F8" s="219" t="inlineStr">
        <is>
          <t>强责</t>
        </is>
      </c>
      <c r="G8" s="222" t="inlineStr">
        <is>
          <t>卫屹</t>
        </is>
      </c>
      <c r="H8" s="222" t="inlineStr">
        <is>
          <t>第一班组</t>
        </is>
      </c>
      <c r="I8" s="232" t="inlineStr">
        <is>
          <t>手工馄饨（大陷水饺、刀削面/汆肉米线）</t>
        </is>
      </c>
      <c r="J8" s="503" t="inlineStr">
        <is>
          <t>潘海英</t>
        </is>
      </c>
      <c r="K8" s="503" t="n"/>
      <c r="L8" s="224" t="n"/>
      <c r="M8" s="224" t="inlineStr">
        <is>
          <t>/</t>
        </is>
      </c>
      <c r="N8" s="651" t="n">
        <v>700000</v>
      </c>
      <c r="O8" s="235" t="n">
        <v>0.07000000000000001</v>
      </c>
      <c r="P8" s="235" t="n">
        <v>0.01</v>
      </c>
      <c r="Q8" s="235" t="n">
        <v>0</v>
      </c>
      <c r="R8" s="235" t="n">
        <v>0.03</v>
      </c>
      <c r="S8" s="235" t="n">
        <v>0.03</v>
      </c>
      <c r="T8" s="235" t="n">
        <v>0.01</v>
      </c>
      <c r="U8" s="235" t="n">
        <v>0.02</v>
      </c>
      <c r="V8" s="235" t="n">
        <v>0.04</v>
      </c>
      <c r="W8" s="235" t="n">
        <v>0.05</v>
      </c>
      <c r="X8" s="235" t="inlineStr">
        <is>
          <t>按实</t>
        </is>
      </c>
      <c r="Y8" s="235" t="inlineStr">
        <is>
          <t>/</t>
        </is>
      </c>
      <c r="Z8" s="235" t="inlineStr">
        <is>
          <t>/</t>
        </is>
      </c>
      <c r="AA8" s="235" t="inlineStr">
        <is>
          <t>按实</t>
        </is>
      </c>
      <c r="AB8" s="652" t="inlineStr">
        <is>
          <t>/</t>
        </is>
      </c>
      <c r="AC8" s="652" t="inlineStr">
        <is>
          <t>/</t>
        </is>
      </c>
      <c r="AD8"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8" s="230" t="n"/>
    </row>
    <row r="9" hidden="1" ht="92.25" customFormat="1" customHeight="1" s="209">
      <c r="A9" s="219" t="n">
        <v>7</v>
      </c>
      <c r="B9" s="220" t="inlineStr">
        <is>
          <t>KQCY0007</t>
        </is>
      </c>
      <c r="C9" s="221" t="inlineStr">
        <is>
          <t>餐饮一分部</t>
        </is>
      </c>
      <c r="D9" s="221" t="inlineStr">
        <is>
          <t>CF474</t>
        </is>
      </c>
      <c r="E9" s="221" t="inlineStr">
        <is>
          <t>安工大七食堂</t>
        </is>
      </c>
      <c r="F9" s="219" t="inlineStr">
        <is>
          <t>强责</t>
        </is>
      </c>
      <c r="G9" s="222" t="inlineStr">
        <is>
          <t>卫屹</t>
        </is>
      </c>
      <c r="H9" s="222" t="inlineStr">
        <is>
          <t>第二班组</t>
        </is>
      </c>
      <c r="I9" s="232" t="inlineStr">
        <is>
          <t>黄焖系列（酸菜肉煲系列、椒麻鸡系列、酸菜鱼系列）</t>
        </is>
      </c>
      <c r="J9" s="503" t="inlineStr">
        <is>
          <t>胡科才</t>
        </is>
      </c>
      <c r="K9" s="503" t="n"/>
      <c r="L9" s="224" t="n"/>
      <c r="M9" s="224" t="inlineStr">
        <is>
          <t>/</t>
        </is>
      </c>
      <c r="N9" s="651" t="n">
        <v>500000</v>
      </c>
      <c r="O9" s="235" t="n">
        <v>0.07000000000000001</v>
      </c>
      <c r="P9" s="235" t="n">
        <v>0.01</v>
      </c>
      <c r="Q9" s="235" t="n">
        <v>0</v>
      </c>
      <c r="R9" s="235" t="n">
        <v>0.03</v>
      </c>
      <c r="S9" s="235" t="n">
        <v>0.03</v>
      </c>
      <c r="T9" s="235" t="n">
        <v>0.01</v>
      </c>
      <c r="U9" s="235" t="n">
        <v>0.02</v>
      </c>
      <c r="V9" s="235" t="n">
        <v>0.04</v>
      </c>
      <c r="W9" s="235" t="n">
        <v>0.05</v>
      </c>
      <c r="X9" s="235" t="inlineStr">
        <is>
          <t>按实</t>
        </is>
      </c>
      <c r="Y9" s="235" t="inlineStr">
        <is>
          <t>/</t>
        </is>
      </c>
      <c r="Z9" s="235" t="inlineStr">
        <is>
          <t>/</t>
        </is>
      </c>
      <c r="AA9" s="235" t="inlineStr">
        <is>
          <t>按实</t>
        </is>
      </c>
      <c r="AB9" s="652" t="inlineStr">
        <is>
          <t>/</t>
        </is>
      </c>
      <c r="AC9" s="652" t="inlineStr">
        <is>
          <t>/</t>
        </is>
      </c>
      <c r="AD9"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9" s="232" t="n"/>
    </row>
    <row r="10" hidden="1" ht="72" customFormat="1" customHeight="1" s="209">
      <c r="A10" s="219" t="n">
        <v>8</v>
      </c>
      <c r="B10" s="220" t="inlineStr">
        <is>
          <t>KQCY0008</t>
        </is>
      </c>
      <c r="C10" s="221" t="inlineStr">
        <is>
          <t>餐饮一分部</t>
        </is>
      </c>
      <c r="D10" s="221" t="inlineStr">
        <is>
          <t>CF474</t>
        </is>
      </c>
      <c r="E10" s="221" t="inlineStr">
        <is>
          <t>安工大七食堂</t>
        </is>
      </c>
      <c r="F10" s="219" t="inlineStr">
        <is>
          <t>强责</t>
        </is>
      </c>
      <c r="G10" s="222" t="inlineStr">
        <is>
          <t>卫屹</t>
        </is>
      </c>
      <c r="H10" s="222" t="inlineStr">
        <is>
          <t>第三班组</t>
        </is>
      </c>
      <c r="I10" s="232" t="inlineStr">
        <is>
          <t>猪脚饭系列（套饭系列、菜饭骨头汤系列）</t>
        </is>
      </c>
      <c r="J10" s="503" t="inlineStr">
        <is>
          <t>杨克顺</t>
        </is>
      </c>
      <c r="K10" s="503" t="n"/>
      <c r="L10" s="224" t="n"/>
      <c r="M10" s="224" t="inlineStr">
        <is>
          <t>/</t>
        </is>
      </c>
      <c r="N10" s="651" t="n">
        <v>700000</v>
      </c>
      <c r="O10" s="235" t="n">
        <v>0.07000000000000001</v>
      </c>
      <c r="P10" s="235" t="n">
        <v>0.01</v>
      </c>
      <c r="Q10" s="235" t="n">
        <v>0</v>
      </c>
      <c r="R10" s="235" t="n">
        <v>0.03</v>
      </c>
      <c r="S10" s="235" t="n">
        <v>0.03</v>
      </c>
      <c r="T10" s="235" t="n">
        <v>0.01</v>
      </c>
      <c r="U10" s="235" t="n">
        <v>0.02</v>
      </c>
      <c r="V10" s="235" t="n">
        <v>0.04</v>
      </c>
      <c r="W10" s="235" t="n">
        <v>0.05</v>
      </c>
      <c r="X10" s="235" t="inlineStr">
        <is>
          <t>按实</t>
        </is>
      </c>
      <c r="Y10" s="235" t="inlineStr">
        <is>
          <t>/</t>
        </is>
      </c>
      <c r="Z10" s="235" t="inlineStr">
        <is>
          <t>/</t>
        </is>
      </c>
      <c r="AA10" s="235" t="inlineStr">
        <is>
          <t>按实</t>
        </is>
      </c>
      <c r="AB10" s="652" t="inlineStr">
        <is>
          <t>/</t>
        </is>
      </c>
      <c r="AC10" s="652" t="inlineStr">
        <is>
          <t>/</t>
        </is>
      </c>
      <c r="AD10"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10" s="232" t="n"/>
    </row>
    <row r="11" hidden="1" ht="72" customFormat="1" customHeight="1" s="209">
      <c r="A11" s="219" t="n">
        <v>9</v>
      </c>
      <c r="B11" s="220" t="inlineStr">
        <is>
          <t>KQCY0009</t>
        </is>
      </c>
      <c r="C11" s="221" t="inlineStr">
        <is>
          <t>餐饮一分部</t>
        </is>
      </c>
      <c r="D11" s="221" t="inlineStr">
        <is>
          <t>CF474</t>
        </is>
      </c>
      <c r="E11" s="221" t="inlineStr">
        <is>
          <t>安工大七食堂</t>
        </is>
      </c>
      <c r="F11" s="219" t="inlineStr">
        <is>
          <t>强责</t>
        </is>
      </c>
      <c r="G11" s="222" t="inlineStr">
        <is>
          <t>卫屹</t>
        </is>
      </c>
      <c r="H11" s="222" t="inlineStr">
        <is>
          <t>第四班组</t>
        </is>
      </c>
      <c r="I11" s="232" t="inlineStr">
        <is>
          <t>拌饭系列（肉夹馍、紫菜包饭）</t>
        </is>
      </c>
      <c r="J11" s="503" t="inlineStr">
        <is>
          <t>魏祖华</t>
        </is>
      </c>
      <c r="K11" s="503" t="n"/>
      <c r="L11" s="224" t="n"/>
      <c r="M11" s="224" t="inlineStr">
        <is>
          <t>/</t>
        </is>
      </c>
      <c r="N11" s="651" t="n">
        <v>700000</v>
      </c>
      <c r="O11" s="235" t="n">
        <v>0.07000000000000001</v>
      </c>
      <c r="P11" s="235" t="n">
        <v>0.01</v>
      </c>
      <c r="Q11" s="235" t="n">
        <v>0</v>
      </c>
      <c r="R11" s="235" t="n">
        <v>0.03</v>
      </c>
      <c r="S11" s="235" t="n">
        <v>0.03</v>
      </c>
      <c r="T11" s="235" t="n">
        <v>0.01</v>
      </c>
      <c r="U11" s="235" t="n">
        <v>0.02</v>
      </c>
      <c r="V11" s="235" t="n">
        <v>0.04</v>
      </c>
      <c r="W11" s="235" t="n">
        <v>0.05</v>
      </c>
      <c r="X11" s="235" t="inlineStr">
        <is>
          <t>按实</t>
        </is>
      </c>
      <c r="Y11" s="235" t="inlineStr">
        <is>
          <t>/</t>
        </is>
      </c>
      <c r="Z11" s="235" t="inlineStr">
        <is>
          <t>/</t>
        </is>
      </c>
      <c r="AA11" s="235" t="inlineStr">
        <is>
          <t>按实</t>
        </is>
      </c>
      <c r="AB11" s="652" t="inlineStr">
        <is>
          <t>/</t>
        </is>
      </c>
      <c r="AC11" s="652" t="inlineStr">
        <is>
          <t>/</t>
        </is>
      </c>
      <c r="AD11"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11" s="232" t="n"/>
    </row>
    <row r="12" hidden="1" ht="12" customFormat="1" customHeight="1" s="209">
      <c r="A12" s="219" t="n">
        <v>10</v>
      </c>
      <c r="B12" s="220" t="inlineStr">
        <is>
          <t>KQCY0010</t>
        </is>
      </c>
      <c r="C12" s="221" t="inlineStr">
        <is>
          <t>餐饮一分部</t>
        </is>
      </c>
      <c r="D12" s="221" t="inlineStr">
        <is>
          <t>CF477</t>
        </is>
      </c>
      <c r="E12" s="221" t="inlineStr">
        <is>
          <t>上海民航第一食堂</t>
        </is>
      </c>
      <c r="F12" s="219" t="inlineStr">
        <is>
          <t>自营</t>
        </is>
      </c>
      <c r="G12" s="222" t="inlineStr">
        <is>
          <t>卫屹</t>
        </is>
      </c>
      <c r="H12" s="222" t="inlineStr">
        <is>
          <t>/</t>
        </is>
      </c>
      <c r="I12" s="237" t="inlineStr">
        <is>
          <t>/</t>
        </is>
      </c>
      <c r="J12" s="222" t="inlineStr">
        <is>
          <t>/</t>
        </is>
      </c>
      <c r="K12" s="222" t="n"/>
      <c r="L12" s="224" t="n"/>
      <c r="M12" s="224" t="inlineStr">
        <is>
          <t>/</t>
        </is>
      </c>
      <c r="N12" s="651" t="inlineStr">
        <is>
          <t>/</t>
        </is>
      </c>
      <c r="O12" s="235" t="inlineStr">
        <is>
          <t>/</t>
        </is>
      </c>
      <c r="P12" s="235" t="inlineStr">
        <is>
          <t>/</t>
        </is>
      </c>
      <c r="Q12" s="235" t="inlineStr">
        <is>
          <t>/</t>
        </is>
      </c>
      <c r="R12" s="235" t="inlineStr">
        <is>
          <t>/</t>
        </is>
      </c>
      <c r="S12" s="235" t="inlineStr">
        <is>
          <t>/</t>
        </is>
      </c>
      <c r="T12" s="235" t="inlineStr">
        <is>
          <t>/</t>
        </is>
      </c>
      <c r="U12" s="235" t="inlineStr">
        <is>
          <t>/</t>
        </is>
      </c>
      <c r="V12" s="235" t="inlineStr">
        <is>
          <t>/</t>
        </is>
      </c>
      <c r="W12" s="235" t="inlineStr">
        <is>
          <t>/</t>
        </is>
      </c>
      <c r="X12" s="235" t="inlineStr">
        <is>
          <t>/</t>
        </is>
      </c>
      <c r="Y12" s="461" t="n"/>
      <c r="Z12" s="461" t="n"/>
      <c r="AA12" s="461" t="n"/>
      <c r="AB12" s="54" t="n">
        <v>0.03</v>
      </c>
      <c r="AC12" s="652" t="inlineStr">
        <is>
          <t>/</t>
        </is>
      </c>
      <c r="AD12" s="232" t="n"/>
      <c r="AE12" s="232" t="n"/>
    </row>
    <row r="13" hidden="1" ht="12" customFormat="1" customHeight="1" s="209">
      <c r="A13" s="219" t="n">
        <v>11</v>
      </c>
      <c r="B13" s="220" t="inlineStr">
        <is>
          <t>KQCY0011</t>
        </is>
      </c>
      <c r="C13" s="221" t="inlineStr">
        <is>
          <t>餐饮一分部</t>
        </is>
      </c>
      <c r="D13" s="221" t="inlineStr">
        <is>
          <t>CF477</t>
        </is>
      </c>
      <c r="E13" s="221" t="inlineStr">
        <is>
          <t>上海民航第一食堂</t>
        </is>
      </c>
      <c r="F13" s="219" t="inlineStr">
        <is>
          <t>分组作业</t>
        </is>
      </c>
      <c r="G13" s="222" t="inlineStr">
        <is>
          <t>卫屹</t>
        </is>
      </c>
      <c r="H13" s="222" t="inlineStr">
        <is>
          <t>第二班组</t>
        </is>
      </c>
      <c r="I13" s="237" t="inlineStr">
        <is>
          <t>山东煎饼</t>
        </is>
      </c>
      <c r="J13" s="222" t="inlineStr">
        <is>
          <t>姚群</t>
        </is>
      </c>
      <c r="K13" s="222" t="n"/>
      <c r="L13" s="224" t="n"/>
      <c r="M13" s="224" t="inlineStr">
        <is>
          <t>/</t>
        </is>
      </c>
      <c r="N13" s="651" t="n">
        <v>570000</v>
      </c>
      <c r="O13" s="235" t="n">
        <v>0.1</v>
      </c>
      <c r="P13" s="235" t="n">
        <v>0.03</v>
      </c>
      <c r="Q13" s="235" t="n">
        <v>0</v>
      </c>
      <c r="R13" s="235" t="n">
        <v>0.05</v>
      </c>
      <c r="S13" s="235" t="n">
        <v>0.02</v>
      </c>
      <c r="T13" s="235" t="n">
        <v>0</v>
      </c>
      <c r="U13" s="235" t="n">
        <v>0.03</v>
      </c>
      <c r="V13" s="235" t="n">
        <v>0</v>
      </c>
      <c r="W13" s="235" t="n">
        <v>0.04</v>
      </c>
      <c r="X13" s="235" t="inlineStr">
        <is>
          <t>按实</t>
        </is>
      </c>
      <c r="Y13" s="461" t="inlineStr">
        <is>
          <t>/</t>
        </is>
      </c>
      <c r="Z13" s="461" t="inlineStr">
        <is>
          <t>/</t>
        </is>
      </c>
      <c r="AA13" s="461" t="inlineStr">
        <is>
          <t>按实</t>
        </is>
      </c>
      <c r="AB13" s="652" t="inlineStr">
        <is>
          <t>/</t>
        </is>
      </c>
      <c r="AC13" s="652" t="inlineStr">
        <is>
          <t>/</t>
        </is>
      </c>
      <c r="AD13" s="230" t="inlineStr">
        <is>
          <t>1、服务费：包含卫生费，不单独分摊</t>
        </is>
      </c>
      <c r="AE13" s="232" t="n"/>
    </row>
    <row r="14" hidden="1" ht="60" customFormat="1" customHeight="1" s="209">
      <c r="A14" s="219" t="n">
        <v>12</v>
      </c>
      <c r="B14" s="220" t="inlineStr">
        <is>
          <t>KQCY0012</t>
        </is>
      </c>
      <c r="C14" s="221" t="inlineStr">
        <is>
          <t>餐饮一分部</t>
        </is>
      </c>
      <c r="D14" s="221" t="inlineStr">
        <is>
          <t>CF477</t>
        </is>
      </c>
      <c r="E14" s="221" t="inlineStr">
        <is>
          <t>上海民航第一食堂</t>
        </is>
      </c>
      <c r="F14" s="219" t="inlineStr">
        <is>
          <t>分组作业</t>
        </is>
      </c>
      <c r="G14" s="222" t="inlineStr">
        <is>
          <t>卫屹</t>
        </is>
      </c>
      <c r="H14" s="222" t="inlineStr">
        <is>
          <t>第六班组</t>
        </is>
      </c>
      <c r="I14" s="237" t="inlineStr">
        <is>
          <t>蜜雪冰城</t>
        </is>
      </c>
      <c r="J14" s="222" t="inlineStr">
        <is>
          <t>任黎明</t>
        </is>
      </c>
      <c r="K14" s="222" t="n"/>
      <c r="L14" s="224" t="n"/>
      <c r="M14" s="224" t="inlineStr">
        <is>
          <t>/</t>
        </is>
      </c>
      <c r="N14" s="651" t="n">
        <v>899800</v>
      </c>
      <c r="O14" s="235" t="n">
        <v>0</v>
      </c>
      <c r="P14" s="235" t="n">
        <v>0</v>
      </c>
      <c r="Q14" s="235" t="n">
        <v>0</v>
      </c>
      <c r="R14" s="235" t="n">
        <v>0</v>
      </c>
      <c r="S14" s="235" t="n">
        <v>0</v>
      </c>
      <c r="T14" s="235" t="n">
        <v>0</v>
      </c>
      <c r="U14" s="235" t="n">
        <v>0</v>
      </c>
      <c r="V14" s="235" t="n">
        <v>0</v>
      </c>
      <c r="W14" s="235" t="n">
        <v>0</v>
      </c>
      <c r="X14" s="551" t="inlineStr">
        <is>
          <t>按实</t>
        </is>
      </c>
      <c r="Y14" s="461" t="inlineStr">
        <is>
          <t>16万元/年，3月-9月、9月-12月分8个月收取，每月收取20000元</t>
        </is>
      </c>
      <c r="Z14" s="461" t="inlineStr">
        <is>
          <t>/</t>
        </is>
      </c>
      <c r="AA14" s="461" t="inlineStr">
        <is>
          <t>按实</t>
        </is>
      </c>
      <c r="AB14" s="652" t="inlineStr">
        <is>
          <t>/</t>
        </is>
      </c>
      <c r="AC14" s="652" t="inlineStr">
        <is>
          <t>/</t>
        </is>
      </c>
      <c r="AD14" s="232" t="inlineStr">
        <is>
          <t>1、其他：固定资金16万元/年</t>
        </is>
      </c>
      <c r="AE14" s="232" t="n"/>
    </row>
    <row r="15" hidden="1" ht="12" customFormat="1" customHeight="1" s="209">
      <c r="A15" s="219" t="n">
        <v>13</v>
      </c>
      <c r="B15" s="220" t="inlineStr">
        <is>
          <t>KQCY0013</t>
        </is>
      </c>
      <c r="C15" s="221" t="inlineStr">
        <is>
          <t>餐饮一分部</t>
        </is>
      </c>
      <c r="D15" s="221" t="inlineStr">
        <is>
          <t>CF477</t>
        </is>
      </c>
      <c r="E15" s="221" t="inlineStr">
        <is>
          <t>上海民航第一食堂</t>
        </is>
      </c>
      <c r="F15" s="219" t="inlineStr">
        <is>
          <t>分组作业</t>
        </is>
      </c>
      <c r="G15" s="222" t="inlineStr">
        <is>
          <t>卫屹</t>
        </is>
      </c>
      <c r="H15" s="222" t="inlineStr">
        <is>
          <t>第三班组</t>
        </is>
      </c>
      <c r="I15" s="237" t="inlineStr">
        <is>
          <t>糖水粥铺</t>
        </is>
      </c>
      <c r="J15" s="222" t="inlineStr">
        <is>
          <t>孙青青</t>
        </is>
      </c>
      <c r="K15" s="222" t="n"/>
      <c r="L15" s="224" t="n"/>
      <c r="M15" s="224" t="inlineStr">
        <is>
          <t>/</t>
        </is>
      </c>
      <c r="N15" s="651" t="n">
        <v>449900</v>
      </c>
      <c r="O15" s="235" t="n">
        <v>0.1</v>
      </c>
      <c r="P15" s="235" t="n">
        <v>0.03</v>
      </c>
      <c r="Q15" s="235" t="n">
        <v>0</v>
      </c>
      <c r="R15" s="235" t="n">
        <v>0.05</v>
      </c>
      <c r="S15" s="235" t="n">
        <v>0.02</v>
      </c>
      <c r="T15" s="235" t="n">
        <v>0</v>
      </c>
      <c r="U15" s="235" t="n">
        <v>0.03</v>
      </c>
      <c r="V15" s="235" t="n">
        <v>0</v>
      </c>
      <c r="W15" s="235" t="n">
        <v>0.04</v>
      </c>
      <c r="X15" s="235" t="inlineStr">
        <is>
          <t>按实</t>
        </is>
      </c>
      <c r="Y15" s="461" t="inlineStr">
        <is>
          <t>/</t>
        </is>
      </c>
      <c r="Z15" s="461" t="inlineStr">
        <is>
          <t>/</t>
        </is>
      </c>
      <c r="AA15" s="461" t="inlineStr">
        <is>
          <t>按实</t>
        </is>
      </c>
      <c r="AB15" s="652" t="inlineStr">
        <is>
          <t>/</t>
        </is>
      </c>
      <c r="AC15" s="652" t="inlineStr">
        <is>
          <t>/</t>
        </is>
      </c>
      <c r="AD15" s="230" t="inlineStr">
        <is>
          <t>1、服务费：包含卫生费，不单独分摊</t>
        </is>
      </c>
      <c r="AE15" s="232" t="n"/>
    </row>
    <row r="16" hidden="1" ht="12" customFormat="1" customHeight="1" s="209">
      <c r="A16" s="219" t="n">
        <v>14</v>
      </c>
      <c r="B16" s="220" t="inlineStr">
        <is>
          <t>KQCY0014</t>
        </is>
      </c>
      <c r="C16" s="221" t="inlineStr">
        <is>
          <t>餐饮一分部</t>
        </is>
      </c>
      <c r="D16" s="221" t="inlineStr">
        <is>
          <t>CF477</t>
        </is>
      </c>
      <c r="E16" s="221" t="inlineStr">
        <is>
          <t>上海民航第一食堂</t>
        </is>
      </c>
      <c r="F16" s="219" t="inlineStr">
        <is>
          <t>分组作业</t>
        </is>
      </c>
      <c r="G16" s="222" t="inlineStr">
        <is>
          <t>卫屹</t>
        </is>
      </c>
      <c r="H16" s="222" t="inlineStr">
        <is>
          <t>第四班组</t>
        </is>
      </c>
      <c r="I16" s="237" t="inlineStr">
        <is>
          <t>大碗面</t>
        </is>
      </c>
      <c r="J16" s="222" t="inlineStr">
        <is>
          <t>景帅帅</t>
        </is>
      </c>
      <c r="K16" s="222" t="n"/>
      <c r="L16" s="224" t="n"/>
      <c r="M16" s="224" t="inlineStr">
        <is>
          <t>/</t>
        </is>
      </c>
      <c r="N16" s="651" t="n">
        <v>486500</v>
      </c>
      <c r="O16" s="235" t="n">
        <v>0.1</v>
      </c>
      <c r="P16" s="235" t="n">
        <v>0.03</v>
      </c>
      <c r="Q16" s="235" t="n">
        <v>0</v>
      </c>
      <c r="R16" s="235" t="n">
        <v>0.05</v>
      </c>
      <c r="S16" s="235" t="n">
        <v>0.02</v>
      </c>
      <c r="T16" s="235" t="n">
        <v>0</v>
      </c>
      <c r="U16" s="235" t="n">
        <v>0.03</v>
      </c>
      <c r="V16" s="235" t="n">
        <v>0</v>
      </c>
      <c r="W16" s="235" t="n">
        <v>0.04</v>
      </c>
      <c r="X16" s="235" t="inlineStr">
        <is>
          <t>按实</t>
        </is>
      </c>
      <c r="Y16" s="461" t="inlineStr">
        <is>
          <t>/</t>
        </is>
      </c>
      <c r="Z16" s="461" t="inlineStr">
        <is>
          <t>/</t>
        </is>
      </c>
      <c r="AA16" s="461" t="inlineStr">
        <is>
          <t>按实</t>
        </is>
      </c>
      <c r="AB16" s="652" t="inlineStr">
        <is>
          <t>/</t>
        </is>
      </c>
      <c r="AC16" s="652" t="inlineStr">
        <is>
          <t>/</t>
        </is>
      </c>
      <c r="AD16" s="230" t="inlineStr">
        <is>
          <t>1、服务费：包含卫生费，不单独分摊</t>
        </is>
      </c>
      <c r="AE16" s="232" t="n"/>
    </row>
    <row r="17" hidden="1" ht="12" customFormat="1" customHeight="1" s="209">
      <c r="A17" s="219" t="n">
        <v>15</v>
      </c>
      <c r="B17" s="220" t="inlineStr">
        <is>
          <t>KQCY0015</t>
        </is>
      </c>
      <c r="C17" s="221" t="inlineStr">
        <is>
          <t>餐饮一分部</t>
        </is>
      </c>
      <c r="D17" s="221" t="inlineStr">
        <is>
          <t>CF477</t>
        </is>
      </c>
      <c r="E17" s="221" t="inlineStr">
        <is>
          <t>上海民航第一食堂</t>
        </is>
      </c>
      <c r="F17" s="219" t="inlineStr">
        <is>
          <t>分组作业</t>
        </is>
      </c>
      <c r="G17" s="222" t="inlineStr">
        <is>
          <t>卫屹</t>
        </is>
      </c>
      <c r="H17" s="222" t="inlineStr">
        <is>
          <t>第一班组</t>
        </is>
      </c>
      <c r="I17" s="237" t="inlineStr">
        <is>
          <t>早餐</t>
        </is>
      </c>
      <c r="J17" s="222" t="inlineStr">
        <is>
          <t>芦磊</t>
        </is>
      </c>
      <c r="K17" s="222" t="n"/>
      <c r="L17" s="224" t="n"/>
      <c r="M17" s="224" t="inlineStr">
        <is>
          <t>/</t>
        </is>
      </c>
      <c r="N17" s="651" t="n">
        <v>628600</v>
      </c>
      <c r="O17" s="235" t="n">
        <v>0.1</v>
      </c>
      <c r="P17" s="235" t="n">
        <v>0.03</v>
      </c>
      <c r="Q17" s="235" t="n">
        <v>0</v>
      </c>
      <c r="R17" s="235" t="n">
        <v>0.05</v>
      </c>
      <c r="S17" s="235" t="n">
        <v>0.02</v>
      </c>
      <c r="T17" s="235" t="n">
        <v>0</v>
      </c>
      <c r="U17" s="235" t="n">
        <v>0.03</v>
      </c>
      <c r="V17" s="235" t="n">
        <v>0</v>
      </c>
      <c r="W17" s="235" t="n">
        <v>0</v>
      </c>
      <c r="X17" s="235" t="inlineStr">
        <is>
          <t>按实</t>
        </is>
      </c>
      <c r="Y17" s="461" t="inlineStr">
        <is>
          <t>/</t>
        </is>
      </c>
      <c r="Z17" s="461" t="inlineStr">
        <is>
          <t>/</t>
        </is>
      </c>
      <c r="AA17" s="461" t="inlineStr">
        <is>
          <t>按实</t>
        </is>
      </c>
      <c r="AB17" s="652" t="inlineStr">
        <is>
          <t>/</t>
        </is>
      </c>
      <c r="AC17" s="652" t="inlineStr">
        <is>
          <t>/</t>
        </is>
      </c>
      <c r="AD17" s="230" t="inlineStr">
        <is>
          <t>1、服务费：包含卫生费、能源费，不单独分摊</t>
        </is>
      </c>
      <c r="AE17" s="232" t="n"/>
    </row>
    <row r="18" ht="12" customFormat="1" customHeight="1" s="209">
      <c r="A18" s="219" t="n">
        <v>16</v>
      </c>
      <c r="B18" s="220" t="inlineStr">
        <is>
          <t>KQCY0016</t>
        </is>
      </c>
      <c r="C18" s="221" t="inlineStr">
        <is>
          <t>餐饮一分部</t>
        </is>
      </c>
      <c r="D18" s="221" t="inlineStr">
        <is>
          <t>CF272</t>
        </is>
      </c>
      <c r="E18" s="221" t="inlineStr">
        <is>
          <t>苏州工学院南一食堂</t>
        </is>
      </c>
      <c r="F18" s="219" t="inlineStr">
        <is>
          <t>强责</t>
        </is>
      </c>
      <c r="G18" s="222" t="inlineStr">
        <is>
          <t>位军浩</t>
        </is>
      </c>
      <c r="H18" s="503" t="inlineStr">
        <is>
          <t>/</t>
        </is>
      </c>
      <c r="I18" s="503" t="inlineStr">
        <is>
          <t>/</t>
        </is>
      </c>
      <c r="J18" s="503" t="inlineStr">
        <is>
          <t>/</t>
        </is>
      </c>
      <c r="K18" s="503" t="n"/>
      <c r="L18" s="235" t="n"/>
      <c r="M18" s="235" t="inlineStr">
        <is>
          <t>/</t>
        </is>
      </c>
      <c r="N18" s="651" t="inlineStr">
        <is>
          <t>/</t>
        </is>
      </c>
      <c r="O18" s="235" t="inlineStr">
        <is>
          <t>/</t>
        </is>
      </c>
      <c r="P18" s="235" t="n"/>
      <c r="Q18" s="235" t="n"/>
      <c r="R18" s="235" t="n"/>
      <c r="S18" s="235" t="inlineStr">
        <is>
          <t>/</t>
        </is>
      </c>
      <c r="T18" s="235" t="inlineStr">
        <is>
          <t>/</t>
        </is>
      </c>
      <c r="U18" s="235" t="inlineStr">
        <is>
          <t>/</t>
        </is>
      </c>
      <c r="V18" s="235" t="n"/>
      <c r="W18" s="235" t="n"/>
      <c r="X18" s="235" t="n"/>
      <c r="Y18" s="235" t="n"/>
      <c r="Z18" s="235" t="n"/>
      <c r="AA18" s="235" t="n"/>
      <c r="AB18" s="54" t="n">
        <v>0.02</v>
      </c>
      <c r="AC18" s="549" t="inlineStr">
        <is>
          <t>/</t>
        </is>
      </c>
      <c r="AD18" s="230" t="inlineStr">
        <is>
          <t>1、自营未实际经营；</t>
        </is>
      </c>
      <c r="AE18" s="232" t="n"/>
    </row>
    <row r="19" ht="48" customFormat="1" customHeight="1" s="209">
      <c r="A19" s="219" t="n">
        <v>17</v>
      </c>
      <c r="B19" s="220" t="inlineStr">
        <is>
          <t>KQCY0017</t>
        </is>
      </c>
      <c r="C19" s="221" t="inlineStr">
        <is>
          <t>餐饮一分部</t>
        </is>
      </c>
      <c r="D19" s="221" t="inlineStr">
        <is>
          <t>CF272</t>
        </is>
      </c>
      <c r="E19" s="221" t="inlineStr">
        <is>
          <t>苏州工学院南一食堂</t>
        </is>
      </c>
      <c r="F19" s="219" t="inlineStr">
        <is>
          <t>强责</t>
        </is>
      </c>
      <c r="G19" s="222" t="inlineStr">
        <is>
          <t>位军浩</t>
        </is>
      </c>
      <c r="H19" s="503" t="inlineStr">
        <is>
          <t>/</t>
        </is>
      </c>
      <c r="I19" s="237" t="inlineStr">
        <is>
          <t>饼铺</t>
        </is>
      </c>
      <c r="J19" s="503" t="inlineStr">
        <is>
          <t>纪洪强</t>
        </is>
      </c>
      <c r="K19" s="503" t="n"/>
      <c r="L19" s="224" t="n"/>
      <c r="M19" s="224" t="inlineStr">
        <is>
          <t>/</t>
        </is>
      </c>
      <c r="N19" s="651" t="n">
        <v>460000</v>
      </c>
      <c r="O19" s="247" t="n">
        <v>0.08</v>
      </c>
      <c r="P19" s="235" t="n">
        <v>0</v>
      </c>
      <c r="Q19" s="235" t="n">
        <v>0</v>
      </c>
      <c r="R19" s="247" t="n">
        <v>0.065</v>
      </c>
      <c r="S19" s="247" t="n">
        <v>0.02</v>
      </c>
      <c r="T19" s="247" t="n">
        <v>0.035</v>
      </c>
      <c r="U19" s="235" t="n">
        <v>0</v>
      </c>
      <c r="V19" s="235" t="n">
        <v>0.03</v>
      </c>
      <c r="W19" s="235" t="n">
        <v>0.06</v>
      </c>
      <c r="X19" s="227" t="inlineStr">
        <is>
          <t>按实</t>
        </is>
      </c>
      <c r="Y19" s="235" t="inlineStr">
        <is>
          <t>按实</t>
        </is>
      </c>
      <c r="Z19" s="235" t="inlineStr">
        <is>
          <t>按实</t>
        </is>
      </c>
      <c r="AA19" s="235" t="inlineStr">
        <is>
          <t>按实</t>
        </is>
      </c>
      <c r="AB19" s="22" t="inlineStr">
        <is>
          <t>/</t>
        </is>
      </c>
      <c r="AC19" s="224" t="inlineStr">
        <is>
          <t>/</t>
        </is>
      </c>
      <c r="AD19" s="250" t="inlineStr">
        <is>
          <t>1、甲方捐赠：35万/年，分组作业未分摊，服务费已包含；
2、采购费：1.35万/年，分组作业未分摊，服务费已包含；</t>
        </is>
      </c>
      <c r="AE19" s="232" t="inlineStr">
        <is>
          <t xml:space="preserve">
1、签订期间：2026.2.25-2026.7.19；
2、指标按照全年换算；
</t>
        </is>
      </c>
    </row>
    <row r="20" ht="48" customFormat="1" customHeight="1" s="209">
      <c r="A20" s="219" t="n">
        <v>18</v>
      </c>
      <c r="B20" s="220" t="inlineStr">
        <is>
          <t>KQCY0018</t>
        </is>
      </c>
      <c r="C20" s="221" t="inlineStr">
        <is>
          <t>餐饮一分部</t>
        </is>
      </c>
      <c r="D20" s="221" t="inlineStr">
        <is>
          <t>CF272</t>
        </is>
      </c>
      <c r="E20" s="221" t="inlineStr">
        <is>
          <t>苏州工学院南一食堂</t>
        </is>
      </c>
      <c r="F20" s="219" t="inlineStr">
        <is>
          <t>强责</t>
        </is>
      </c>
      <c r="G20" s="222" t="inlineStr">
        <is>
          <t>位军浩</t>
        </is>
      </c>
      <c r="H20" s="503" t="inlineStr">
        <is>
          <t>/</t>
        </is>
      </c>
      <c r="I20" s="237" t="inlineStr">
        <is>
          <t>粥铺</t>
        </is>
      </c>
      <c r="J20" s="503" t="inlineStr">
        <is>
          <t>贺明</t>
        </is>
      </c>
      <c r="K20" s="503" t="n"/>
      <c r="L20" s="224" t="n"/>
      <c r="M20" s="224" t="inlineStr">
        <is>
          <t>/</t>
        </is>
      </c>
      <c r="N20" s="651" t="n">
        <v>384000</v>
      </c>
      <c r="O20" s="247" t="n">
        <v>0.08</v>
      </c>
      <c r="P20" s="235" t="n">
        <v>0</v>
      </c>
      <c r="Q20" s="235" t="n">
        <v>0</v>
      </c>
      <c r="R20" s="247" t="n">
        <v>0.065</v>
      </c>
      <c r="S20" s="247" t="n">
        <v>0.02</v>
      </c>
      <c r="T20" s="247" t="n">
        <v>0.035</v>
      </c>
      <c r="U20" s="235" t="n">
        <v>0</v>
      </c>
      <c r="V20" s="235" t="n">
        <v>0.03</v>
      </c>
      <c r="W20" s="235" t="n">
        <v>0.06</v>
      </c>
      <c r="X20" s="227" t="inlineStr">
        <is>
          <t>按实</t>
        </is>
      </c>
      <c r="Y20" s="235" t="inlineStr">
        <is>
          <t>按实</t>
        </is>
      </c>
      <c r="Z20" s="235" t="inlineStr">
        <is>
          <t>按实</t>
        </is>
      </c>
      <c r="AA20" s="235" t="inlineStr">
        <is>
          <t>按实</t>
        </is>
      </c>
      <c r="AB20" s="22" t="inlineStr">
        <is>
          <t>/</t>
        </is>
      </c>
      <c r="AC20" s="224" t="inlineStr">
        <is>
          <t>/</t>
        </is>
      </c>
      <c r="AD20" s="250" t="inlineStr">
        <is>
          <t>1、甲方捐赠：35万/年，分组作业未分摊，服务费已包含；
2、采购费：1.35万/年，分组作业未分摊，服务费已包含；</t>
        </is>
      </c>
      <c r="AE20" s="232" t="inlineStr">
        <is>
          <t xml:space="preserve">
1、签订期间：2026.2.25-2026.7.19；
2、指标按照全年换算；
</t>
        </is>
      </c>
    </row>
    <row r="21" ht="48" customFormat="1" customHeight="1" s="209">
      <c r="A21" s="219" t="n">
        <v>19</v>
      </c>
      <c r="B21" s="220" t="inlineStr">
        <is>
          <t>KQCY0019</t>
        </is>
      </c>
      <c r="C21" s="221" t="inlineStr">
        <is>
          <t>餐饮一分部</t>
        </is>
      </c>
      <c r="D21" s="221" t="inlineStr">
        <is>
          <t>CF272</t>
        </is>
      </c>
      <c r="E21" s="221" t="inlineStr">
        <is>
          <t>苏州工学院南一食堂</t>
        </is>
      </c>
      <c r="F21" s="219" t="inlineStr">
        <is>
          <t>强责</t>
        </is>
      </c>
      <c r="G21" s="222" t="inlineStr">
        <is>
          <t>位军浩</t>
        </is>
      </c>
      <c r="H21" s="503" t="inlineStr">
        <is>
          <t>/</t>
        </is>
      </c>
      <c r="I21" s="237" t="inlineStr">
        <is>
          <t>老乡邨</t>
        </is>
      </c>
      <c r="J21" s="503" t="inlineStr">
        <is>
          <t>刘少军</t>
        </is>
      </c>
      <c r="K21" s="503" t="n"/>
      <c r="L21" s="224" t="n"/>
      <c r="M21" s="224" t="inlineStr">
        <is>
          <t>/</t>
        </is>
      </c>
      <c r="N21" s="651" t="n">
        <v>930000</v>
      </c>
      <c r="O21" s="247" t="n">
        <v>0.08</v>
      </c>
      <c r="P21" s="235" t="n">
        <v>0</v>
      </c>
      <c r="Q21" s="235" t="n">
        <v>0</v>
      </c>
      <c r="R21" s="247" t="n">
        <v>0.065</v>
      </c>
      <c r="S21" s="247" t="n">
        <v>0.02</v>
      </c>
      <c r="T21" s="247" t="n">
        <v>0.035</v>
      </c>
      <c r="U21" s="235" t="n">
        <v>0</v>
      </c>
      <c r="V21" s="235" t="n">
        <v>0.03</v>
      </c>
      <c r="W21" s="235" t="n">
        <v>0.06</v>
      </c>
      <c r="X21" s="227" t="inlineStr">
        <is>
          <t>按实</t>
        </is>
      </c>
      <c r="Y21" s="235" t="inlineStr">
        <is>
          <t>按实</t>
        </is>
      </c>
      <c r="Z21" s="235" t="inlineStr">
        <is>
          <t>按实</t>
        </is>
      </c>
      <c r="AA21" s="235" t="inlineStr">
        <is>
          <t>按实</t>
        </is>
      </c>
      <c r="AB21" s="22" t="inlineStr">
        <is>
          <t>/</t>
        </is>
      </c>
      <c r="AC21" s="224" t="inlineStr">
        <is>
          <t>/</t>
        </is>
      </c>
      <c r="AD21" s="250" t="inlineStr">
        <is>
          <t>1、甲方捐赠：35万/年，分组作业未分摊，服务费已包含；
2、采购费：1.35万/年，分组作业未分摊，服务费已包含；</t>
        </is>
      </c>
      <c r="AE21" s="232" t="inlineStr">
        <is>
          <t xml:space="preserve">
1、签订期间：2026.2.25-2026.7.19；
2、指标按照全年换算；
</t>
        </is>
      </c>
    </row>
    <row r="22" ht="48" customFormat="1" customHeight="1" s="209">
      <c r="A22" s="219" t="n">
        <v>20</v>
      </c>
      <c r="B22" s="220" t="inlineStr">
        <is>
          <t>KQCY0020</t>
        </is>
      </c>
      <c r="C22" s="221" t="inlineStr">
        <is>
          <t>餐饮一分部</t>
        </is>
      </c>
      <c r="D22" s="221" t="inlineStr">
        <is>
          <t>CF272</t>
        </is>
      </c>
      <c r="E22" s="221" t="inlineStr">
        <is>
          <t>苏州工学院南一食堂</t>
        </is>
      </c>
      <c r="F22" s="219" t="inlineStr">
        <is>
          <t>强责</t>
        </is>
      </c>
      <c r="G22" s="222" t="inlineStr">
        <is>
          <t>位军浩</t>
        </is>
      </c>
      <c r="H22" s="503" t="inlineStr">
        <is>
          <t>/</t>
        </is>
      </c>
      <c r="I22" s="237" t="inlineStr">
        <is>
          <t>科桥小厨</t>
        </is>
      </c>
      <c r="J22" s="503" t="inlineStr">
        <is>
          <t>吴浩</t>
        </is>
      </c>
      <c r="K22" s="503" t="n"/>
      <c r="L22" s="224" t="n"/>
      <c r="M22" s="224" t="inlineStr">
        <is>
          <t>/</t>
        </is>
      </c>
      <c r="N22" s="651" t="n">
        <v>1280000</v>
      </c>
      <c r="O22" s="247" t="n">
        <v>0.06</v>
      </c>
      <c r="P22" s="235" t="n">
        <v>0</v>
      </c>
      <c r="Q22" s="235" t="n">
        <v>0</v>
      </c>
      <c r="R22" s="247" t="n">
        <v>0.055</v>
      </c>
      <c r="S22" s="247" t="n">
        <v>0.02</v>
      </c>
      <c r="T22" s="247" t="n">
        <v>0.025</v>
      </c>
      <c r="U22" s="235" t="n">
        <v>0</v>
      </c>
      <c r="V22" s="235" t="n">
        <v>0.03</v>
      </c>
      <c r="W22" s="235" t="n">
        <v>0.06</v>
      </c>
      <c r="X22" s="227" t="inlineStr">
        <is>
          <t>按实</t>
        </is>
      </c>
      <c r="Y22" s="235" t="inlineStr">
        <is>
          <t>按实</t>
        </is>
      </c>
      <c r="Z22" s="235" t="inlineStr">
        <is>
          <t>按实</t>
        </is>
      </c>
      <c r="AA22" s="235" t="inlineStr">
        <is>
          <t>按实</t>
        </is>
      </c>
      <c r="AB22" s="22" t="inlineStr">
        <is>
          <t>/</t>
        </is>
      </c>
      <c r="AC22" s="224" t="inlineStr">
        <is>
          <t>/</t>
        </is>
      </c>
      <c r="AD22" s="250" t="inlineStr">
        <is>
          <t>1、甲方捐赠：35万/年，分组作业未分摊，服务费已包含；
2、采购费：1.35万/年，分组作业未分摊，服务费已包含；</t>
        </is>
      </c>
      <c r="AE22" s="232" t="inlineStr">
        <is>
          <t xml:space="preserve">
1、签订期间：2026.2.25-2026.7.19；
2、指标按照全年换算；
</t>
        </is>
      </c>
    </row>
    <row r="23" ht="48" customFormat="1" customHeight="1" s="209">
      <c r="A23" s="219" t="n">
        <v>21</v>
      </c>
      <c r="B23" s="220" t="inlineStr">
        <is>
          <t>KQCY0021</t>
        </is>
      </c>
      <c r="C23" s="221" t="inlineStr">
        <is>
          <t>餐饮一分部</t>
        </is>
      </c>
      <c r="D23" s="221" t="inlineStr">
        <is>
          <t>CF272</t>
        </is>
      </c>
      <c r="E23" s="221" t="inlineStr">
        <is>
          <t>苏州工学院南一食堂</t>
        </is>
      </c>
      <c r="F23" s="219" t="inlineStr">
        <is>
          <t>强责</t>
        </is>
      </c>
      <c r="G23" s="222" t="inlineStr">
        <is>
          <t>位军浩</t>
        </is>
      </c>
      <c r="H23" s="503" t="inlineStr">
        <is>
          <t>/</t>
        </is>
      </c>
      <c r="I23" s="237" t="inlineStr">
        <is>
          <t>清汤米线</t>
        </is>
      </c>
      <c r="J23" s="503" t="inlineStr">
        <is>
          <t>张郁磊</t>
        </is>
      </c>
      <c r="K23" s="503" t="n"/>
      <c r="L23" s="224" t="n"/>
      <c r="M23" s="224" t="inlineStr">
        <is>
          <t>/</t>
        </is>
      </c>
      <c r="N23" s="651" t="n">
        <v>264000</v>
      </c>
      <c r="O23" s="247" t="n">
        <v>0.08</v>
      </c>
      <c r="P23" s="235" t="n">
        <v>0</v>
      </c>
      <c r="Q23" s="235" t="n">
        <v>0</v>
      </c>
      <c r="R23" s="247" t="n">
        <v>0.065</v>
      </c>
      <c r="S23" s="247" t="n">
        <v>0.02</v>
      </c>
      <c r="T23" s="247" t="n">
        <v>0.035</v>
      </c>
      <c r="U23" s="235" t="n">
        <v>0</v>
      </c>
      <c r="V23" s="235" t="n">
        <v>0.03</v>
      </c>
      <c r="W23" s="235" t="n">
        <v>0.06</v>
      </c>
      <c r="X23" s="227" t="inlineStr">
        <is>
          <t>按实</t>
        </is>
      </c>
      <c r="Y23" s="235" t="inlineStr">
        <is>
          <t>按实</t>
        </is>
      </c>
      <c r="Z23" s="235" t="inlineStr">
        <is>
          <t>按实</t>
        </is>
      </c>
      <c r="AA23" s="235" t="inlineStr">
        <is>
          <t>按实</t>
        </is>
      </c>
      <c r="AB23" s="22" t="inlineStr">
        <is>
          <t>/</t>
        </is>
      </c>
      <c r="AC23" s="224" t="inlineStr">
        <is>
          <t>/</t>
        </is>
      </c>
      <c r="AD23" s="250" t="inlineStr">
        <is>
          <t>1、甲方捐赠：35万/年，分组作业未分摊，服务费已包含；
2、采购费：1.35万/年，分组作业未分摊，服务费已包含；</t>
        </is>
      </c>
      <c r="AE23" s="232" t="inlineStr">
        <is>
          <t xml:space="preserve">
1、签订期间：2026.2.25-2026.7.19；
2、指标按照全年换算；
</t>
        </is>
      </c>
    </row>
    <row r="24" ht="48" customFormat="1" customHeight="1" s="209">
      <c r="A24" s="219" t="n">
        <v>22</v>
      </c>
      <c r="B24" s="220" t="inlineStr">
        <is>
          <t>KQCY0022</t>
        </is>
      </c>
      <c r="C24" s="221" t="inlineStr">
        <is>
          <t>餐饮一分部</t>
        </is>
      </c>
      <c r="D24" s="221" t="inlineStr">
        <is>
          <t>CF272</t>
        </is>
      </c>
      <c r="E24" s="221" t="inlineStr">
        <is>
          <t>苏州工学院南一食堂</t>
        </is>
      </c>
      <c r="F24" s="219" t="inlineStr">
        <is>
          <t>强责</t>
        </is>
      </c>
      <c r="G24" s="222" t="inlineStr">
        <is>
          <t>位军浩</t>
        </is>
      </c>
      <c r="H24" s="503" t="inlineStr">
        <is>
          <t>/</t>
        </is>
      </c>
      <c r="I24" s="237" t="inlineStr">
        <is>
          <t>黑鸭堡</t>
        </is>
      </c>
      <c r="J24" s="503" t="inlineStr">
        <is>
          <t>张郁磊</t>
        </is>
      </c>
      <c r="K24" s="503" t="n"/>
      <c r="L24" s="224" t="n"/>
      <c r="M24" s="224" t="inlineStr">
        <is>
          <t>/</t>
        </is>
      </c>
      <c r="N24" s="651" t="n">
        <v>290000</v>
      </c>
      <c r="O24" s="247" t="n">
        <v>0.08</v>
      </c>
      <c r="P24" s="235" t="n">
        <v>0</v>
      </c>
      <c r="Q24" s="235" t="n">
        <v>0</v>
      </c>
      <c r="R24" s="247" t="n">
        <v>0.065</v>
      </c>
      <c r="S24" s="247" t="n">
        <v>0.02</v>
      </c>
      <c r="T24" s="247" t="n">
        <v>0.035</v>
      </c>
      <c r="U24" s="235" t="n">
        <v>0</v>
      </c>
      <c r="V24" s="235" t="n">
        <v>0.03</v>
      </c>
      <c r="W24" s="235" t="n">
        <v>0.06</v>
      </c>
      <c r="X24" s="227" t="inlineStr">
        <is>
          <t>按实</t>
        </is>
      </c>
      <c r="Y24" s="235" t="inlineStr">
        <is>
          <t>按实</t>
        </is>
      </c>
      <c r="Z24" s="235" t="inlineStr">
        <is>
          <t>按实</t>
        </is>
      </c>
      <c r="AA24" s="235" t="inlineStr">
        <is>
          <t>按实</t>
        </is>
      </c>
      <c r="AB24" s="22" t="inlineStr">
        <is>
          <t>/</t>
        </is>
      </c>
      <c r="AC24" s="224" t="inlineStr">
        <is>
          <t>/</t>
        </is>
      </c>
      <c r="AD24" s="250" t="inlineStr">
        <is>
          <t>1、甲方捐赠：35万/年，分组作业未分摊，服务费已包含；
2、采购费：1.35万/年，分组作业未分摊，服务费已包含；</t>
        </is>
      </c>
      <c r="AE24" s="232" t="inlineStr">
        <is>
          <t xml:space="preserve">
1、签订期间：2026.2.25-2026.7.19；
2、指标按照全年换算；
</t>
        </is>
      </c>
    </row>
    <row r="25" ht="48" customFormat="1" customHeight="1" s="177">
      <c r="A25" s="219" t="n">
        <v>23</v>
      </c>
      <c r="B25" s="220" t="inlineStr">
        <is>
          <t>KQCY0023</t>
        </is>
      </c>
      <c r="C25" s="221" t="inlineStr">
        <is>
          <t>餐饮一分部</t>
        </is>
      </c>
      <c r="D25" s="221" t="inlineStr">
        <is>
          <t>CF272</t>
        </is>
      </c>
      <c r="E25" s="221" t="inlineStr">
        <is>
          <t>苏州工学院南一食堂</t>
        </is>
      </c>
      <c r="F25" s="219" t="inlineStr">
        <is>
          <t>强责</t>
        </is>
      </c>
      <c r="G25" s="222" t="inlineStr">
        <is>
          <t>位军浩</t>
        </is>
      </c>
      <c r="H25" s="503" t="inlineStr">
        <is>
          <t>/</t>
        </is>
      </c>
      <c r="I25" s="237" t="inlineStr">
        <is>
          <t>7分甜</t>
        </is>
      </c>
      <c r="J25" s="503" t="inlineStr">
        <is>
          <t>纪洪强</t>
        </is>
      </c>
      <c r="K25" s="503" t="n"/>
      <c r="L25" s="224" t="n"/>
      <c r="M25" s="224" t="inlineStr">
        <is>
          <t>/</t>
        </is>
      </c>
      <c r="N25" s="651" t="n">
        <v>222000</v>
      </c>
      <c r="O25" s="235" t="n">
        <v>0</v>
      </c>
      <c r="P25" s="235" t="n">
        <v>0</v>
      </c>
      <c r="Q25" s="235" t="n">
        <v>0</v>
      </c>
      <c r="R25" s="235" t="n">
        <v>0</v>
      </c>
      <c r="S25" s="235" t="n">
        <v>0</v>
      </c>
      <c r="T25" s="235" t="n">
        <v>0</v>
      </c>
      <c r="U25" s="235" t="n">
        <v>0</v>
      </c>
      <c r="V25" s="235" t="n">
        <v>0</v>
      </c>
      <c r="W25" s="551" t="inlineStr">
        <is>
          <t>按实</t>
        </is>
      </c>
      <c r="X25" s="227" t="inlineStr">
        <is>
          <t>按实</t>
        </is>
      </c>
      <c r="Y25" s="235" t="inlineStr">
        <is>
          <t>按实</t>
        </is>
      </c>
      <c r="Z25" s="235" t="inlineStr">
        <is>
          <t>按实</t>
        </is>
      </c>
      <c r="AA25" s="235" t="inlineStr">
        <is>
          <t>按实</t>
        </is>
      </c>
      <c r="AB25" s="22" t="inlineStr">
        <is>
          <t>/</t>
        </is>
      </c>
      <c r="AC25" s="224" t="inlineStr">
        <is>
          <t>/</t>
        </is>
      </c>
      <c r="AD25" s="250" t="inlineStr">
        <is>
          <t>1、甲方捐赠：35万/年，分组作业未分摊，服务费已包含；
2、采购费：1.35万/年，分组作业未分摊，服务费已包含；</t>
        </is>
      </c>
      <c r="AE25" s="232" t="inlineStr">
        <is>
          <t xml:space="preserve">
1、签订期间：2026.2.25-2026.7.19；
2、指标按照全年换算；
</t>
        </is>
      </c>
    </row>
    <row r="26" ht="48" customFormat="1" customHeight="1" s="209">
      <c r="A26" s="219" t="n">
        <v>24</v>
      </c>
      <c r="B26" s="220" t="inlineStr">
        <is>
          <t>KQCY0024</t>
        </is>
      </c>
      <c r="C26" s="221" t="inlineStr">
        <is>
          <t>餐饮一分部</t>
        </is>
      </c>
      <c r="D26" s="221" t="inlineStr">
        <is>
          <t>CF272</t>
        </is>
      </c>
      <c r="E26" s="221" t="inlineStr">
        <is>
          <t>苏州工学院南一食堂</t>
        </is>
      </c>
      <c r="F26" s="219" t="inlineStr">
        <is>
          <t>强责</t>
        </is>
      </c>
      <c r="G26" s="222" t="inlineStr">
        <is>
          <t>位军浩</t>
        </is>
      </c>
      <c r="H26" s="503" t="inlineStr">
        <is>
          <t>/</t>
        </is>
      </c>
      <c r="I26" s="237" t="inlineStr">
        <is>
          <t>药膳鸡</t>
        </is>
      </c>
      <c r="J26" s="503" t="inlineStr">
        <is>
          <t>匡正娟</t>
        </is>
      </c>
      <c r="K26" s="503" t="n"/>
      <c r="L26" s="224" t="n"/>
      <c r="M26" s="224" t="inlineStr">
        <is>
          <t>/</t>
        </is>
      </c>
      <c r="N26" s="651" t="n">
        <v>234000</v>
      </c>
      <c r="O26" s="235" t="inlineStr">
        <is>
          <t>房租4万元/学期，3月一次性付款</t>
        </is>
      </c>
      <c r="P26" s="235" t="n">
        <v>0</v>
      </c>
      <c r="Q26" s="235" t="n">
        <v>0</v>
      </c>
      <c r="R26" s="235" t="n">
        <v>0</v>
      </c>
      <c r="S26" s="235" t="n">
        <v>0</v>
      </c>
      <c r="T26" s="235" t="n">
        <v>0</v>
      </c>
      <c r="U26" s="235" t="n">
        <v>0</v>
      </c>
      <c r="V26" s="552" t="n">
        <v>0.025</v>
      </c>
      <c r="W26" s="552" t="n">
        <v>0.055</v>
      </c>
      <c r="X26" s="227" t="inlineStr">
        <is>
          <t>按实</t>
        </is>
      </c>
      <c r="Y26" s="235" t="inlineStr">
        <is>
          <t>按实</t>
        </is>
      </c>
      <c r="Z26" s="235" t="inlineStr">
        <is>
          <t>按实</t>
        </is>
      </c>
      <c r="AA26" s="235" t="inlineStr">
        <is>
          <t>按实</t>
        </is>
      </c>
      <c r="AB26" s="22" t="inlineStr">
        <is>
          <t>/</t>
        </is>
      </c>
      <c r="AC26" s="224" t="inlineStr">
        <is>
          <t>/</t>
        </is>
      </c>
      <c r="AD26" s="250" t="inlineStr">
        <is>
          <t>1、甲方捐赠：35万/年，分组作业未分摊，服务费已包含；
2、采购费：1.35万/年，分组作业未分摊，服务费已包含；</t>
        </is>
      </c>
      <c r="AE26" s="232" t="inlineStr">
        <is>
          <t xml:space="preserve">
1、签订期间：2026.2.25-2026.7.19；
2、指标按照全年换算；
</t>
        </is>
      </c>
    </row>
    <row r="27" ht="48" customFormat="1" customHeight="1" s="209">
      <c r="A27" s="219" t="n">
        <v>25</v>
      </c>
      <c r="B27" s="220" t="inlineStr">
        <is>
          <t>KQCY0025</t>
        </is>
      </c>
      <c r="C27" s="221" t="inlineStr">
        <is>
          <t>餐饮一分部</t>
        </is>
      </c>
      <c r="D27" s="221" t="inlineStr">
        <is>
          <t>CF272</t>
        </is>
      </c>
      <c r="E27" s="221" t="inlineStr">
        <is>
          <t>苏州工学院南一食堂</t>
        </is>
      </c>
      <c r="F27" s="219" t="inlineStr">
        <is>
          <t>强责</t>
        </is>
      </c>
      <c r="G27" s="222" t="inlineStr">
        <is>
          <t>位军浩</t>
        </is>
      </c>
      <c r="H27" s="503" t="inlineStr">
        <is>
          <t>/</t>
        </is>
      </c>
      <c r="I27" s="237" t="inlineStr">
        <is>
          <t>麻辣香锅</t>
        </is>
      </c>
      <c r="J27" s="503" t="inlineStr">
        <is>
          <t>纪洪强</t>
        </is>
      </c>
      <c r="K27" s="503" t="n"/>
      <c r="L27" s="224" t="n"/>
      <c r="M27" s="224" t="inlineStr">
        <is>
          <t>/</t>
        </is>
      </c>
      <c r="N27" s="651" t="n">
        <v>514000</v>
      </c>
      <c r="O27" s="247" t="n">
        <v>0.08</v>
      </c>
      <c r="P27" s="235" t="n">
        <v>0</v>
      </c>
      <c r="Q27" s="235" t="n">
        <v>0</v>
      </c>
      <c r="R27" s="247" t="n">
        <v>0.065</v>
      </c>
      <c r="S27" s="247" t="n">
        <v>0.02</v>
      </c>
      <c r="T27" s="247" t="n">
        <v>0.035</v>
      </c>
      <c r="U27" s="235" t="n">
        <v>0</v>
      </c>
      <c r="V27" s="247" t="n">
        <v>0.03</v>
      </c>
      <c r="W27" s="247" t="n">
        <v>0.06</v>
      </c>
      <c r="X27" s="227" t="inlineStr">
        <is>
          <t>按实</t>
        </is>
      </c>
      <c r="Y27" s="235" t="inlineStr">
        <is>
          <t>按实</t>
        </is>
      </c>
      <c r="Z27" s="235" t="inlineStr">
        <is>
          <t>按实</t>
        </is>
      </c>
      <c r="AA27" s="235" t="inlineStr">
        <is>
          <t>按实</t>
        </is>
      </c>
      <c r="AB27" s="22" t="inlineStr">
        <is>
          <t>/</t>
        </is>
      </c>
      <c r="AC27" s="224" t="inlineStr">
        <is>
          <t>/</t>
        </is>
      </c>
      <c r="AD27" s="250" t="inlineStr">
        <is>
          <t>1、甲方捐赠：35万/年，分组作业未分摊，服务费已包含；
2、采购费：1.35万/年，分组作业未分摊，服务费已包含；</t>
        </is>
      </c>
      <c r="AE27" s="232" t="inlineStr">
        <is>
          <t xml:space="preserve">
1、签订期间：2026.2.25-2026.7.19；
2、指标按照全年换算；
</t>
        </is>
      </c>
    </row>
    <row r="28" ht="48" customFormat="1" customHeight="1" s="209">
      <c r="A28" s="219" t="n">
        <v>26</v>
      </c>
      <c r="B28" s="220" t="inlineStr">
        <is>
          <t>KQCY0026</t>
        </is>
      </c>
      <c r="C28" s="221" t="inlineStr">
        <is>
          <t>餐饮一分部</t>
        </is>
      </c>
      <c r="D28" s="221" t="inlineStr">
        <is>
          <t>CF272</t>
        </is>
      </c>
      <c r="E28" s="221" t="inlineStr">
        <is>
          <t>苏州工学院南一食堂</t>
        </is>
      </c>
      <c r="F28" s="219" t="inlineStr">
        <is>
          <t>强责</t>
        </is>
      </c>
      <c r="G28" s="222" t="inlineStr">
        <is>
          <t>位军浩</t>
        </is>
      </c>
      <c r="H28" s="503" t="inlineStr">
        <is>
          <t>/</t>
        </is>
      </c>
      <c r="I28" s="237" t="inlineStr">
        <is>
          <t>生煎牛肉汤</t>
        </is>
      </c>
      <c r="J28" s="503" t="inlineStr">
        <is>
          <t>徐雪晗</t>
        </is>
      </c>
      <c r="K28" s="503" t="n"/>
      <c r="L28" s="224" t="n"/>
      <c r="M28" s="224" t="inlineStr">
        <is>
          <t>/</t>
        </is>
      </c>
      <c r="N28" s="651" t="n">
        <v>316000</v>
      </c>
      <c r="O28" s="247" t="n">
        <v>0.08</v>
      </c>
      <c r="P28" s="235" t="n">
        <v>0</v>
      </c>
      <c r="Q28" s="235" t="n">
        <v>0</v>
      </c>
      <c r="R28" s="247" t="n">
        <v>0.065</v>
      </c>
      <c r="S28" s="247" t="n">
        <v>0.02</v>
      </c>
      <c r="T28" s="247" t="n">
        <v>0.035</v>
      </c>
      <c r="U28" s="235" t="n">
        <v>0</v>
      </c>
      <c r="V28" s="247" t="n">
        <v>0.03</v>
      </c>
      <c r="W28" s="247" t="n">
        <v>0.06</v>
      </c>
      <c r="X28" s="227" t="inlineStr">
        <is>
          <t>按实</t>
        </is>
      </c>
      <c r="Y28" s="235" t="inlineStr">
        <is>
          <t>按实</t>
        </is>
      </c>
      <c r="Z28" s="235" t="inlineStr">
        <is>
          <t>按实</t>
        </is>
      </c>
      <c r="AA28" s="235" t="inlineStr">
        <is>
          <t>按实</t>
        </is>
      </c>
      <c r="AB28" s="22" t="inlineStr">
        <is>
          <t>/</t>
        </is>
      </c>
      <c r="AC28" s="224" t="inlineStr">
        <is>
          <t>/</t>
        </is>
      </c>
      <c r="AD28" s="250" t="inlineStr">
        <is>
          <t>1、甲方捐赠：35万/年，分组作业未分摊，服务费已包含；
2、采购费：1.35万/年，分组作业未分摊，服务费已包含；</t>
        </is>
      </c>
      <c r="AE28" s="232" t="inlineStr">
        <is>
          <t xml:space="preserve">
1、签订期间：2026.2.25-2026.7.19；
2、指标按照全年换算；
</t>
        </is>
      </c>
    </row>
    <row r="29" ht="48" customFormat="1" customHeight="1" s="209">
      <c r="A29" s="219" t="n">
        <v>27</v>
      </c>
      <c r="B29" s="220" t="inlineStr">
        <is>
          <t>KQCY0027</t>
        </is>
      </c>
      <c r="C29" s="221" t="inlineStr">
        <is>
          <t>餐饮一分部</t>
        </is>
      </c>
      <c r="D29" s="221" t="inlineStr">
        <is>
          <t>CF272</t>
        </is>
      </c>
      <c r="E29" s="221" t="inlineStr">
        <is>
          <t>苏州工学院南一食堂</t>
        </is>
      </c>
      <c r="F29" s="219" t="inlineStr">
        <is>
          <t>强责</t>
        </is>
      </c>
      <c r="G29" s="222" t="inlineStr">
        <is>
          <t>位军浩</t>
        </is>
      </c>
      <c r="H29" s="503" t="inlineStr">
        <is>
          <t>/</t>
        </is>
      </c>
      <c r="I29" s="237" t="inlineStr">
        <is>
          <t>西式简餐</t>
        </is>
      </c>
      <c r="J29" s="503" t="inlineStr">
        <is>
          <t>李明发</t>
        </is>
      </c>
      <c r="K29" s="503" t="n"/>
      <c r="L29" s="224" t="n"/>
      <c r="M29" s="224" t="inlineStr">
        <is>
          <t>/</t>
        </is>
      </c>
      <c r="N29" s="651" t="n">
        <v>310000</v>
      </c>
      <c r="O29" s="247" t="n">
        <v>0.08</v>
      </c>
      <c r="P29" s="235" t="n">
        <v>0</v>
      </c>
      <c r="Q29" s="235" t="n">
        <v>0</v>
      </c>
      <c r="R29" s="247" t="n">
        <v>0.065</v>
      </c>
      <c r="S29" s="247" t="n">
        <v>0.02</v>
      </c>
      <c r="T29" s="247" t="n">
        <v>0.035</v>
      </c>
      <c r="U29" s="235" t="n">
        <v>0</v>
      </c>
      <c r="V29" s="247" t="n">
        <v>0.03</v>
      </c>
      <c r="W29" s="247" t="n">
        <v>0.06</v>
      </c>
      <c r="X29" s="227" t="inlineStr">
        <is>
          <t>按实</t>
        </is>
      </c>
      <c r="Y29" s="235" t="inlineStr">
        <is>
          <t>按实</t>
        </is>
      </c>
      <c r="Z29" s="235" t="inlineStr">
        <is>
          <t>按实</t>
        </is>
      </c>
      <c r="AA29" s="235" t="inlineStr">
        <is>
          <t>按实</t>
        </is>
      </c>
      <c r="AB29" s="22" t="inlineStr">
        <is>
          <t>/</t>
        </is>
      </c>
      <c r="AC29" s="224" t="inlineStr">
        <is>
          <t>/</t>
        </is>
      </c>
      <c r="AD29" s="250" t="inlineStr">
        <is>
          <t>1、甲方捐赠：35万/年，分组作业未分摊，服务费已包含；
2、采购费：1.35万/年，分组作业未分摊，服务费已包含；</t>
        </is>
      </c>
      <c r="AE29" s="232" t="inlineStr">
        <is>
          <t xml:space="preserve">
1、签订期间：2026.2.25-2026.7.19；
2、指标按照全年换算；
</t>
        </is>
      </c>
    </row>
    <row r="30" ht="48" customFormat="1" customHeight="1" s="209">
      <c r="A30" s="219" t="n">
        <v>28</v>
      </c>
      <c r="B30" s="220" t="inlineStr">
        <is>
          <t>KQCY0028</t>
        </is>
      </c>
      <c r="C30" s="221" t="inlineStr">
        <is>
          <t>餐饮一分部</t>
        </is>
      </c>
      <c r="D30" s="221" t="inlineStr">
        <is>
          <t>CF272</t>
        </is>
      </c>
      <c r="E30" s="221" t="inlineStr">
        <is>
          <t>苏州工学院南一食堂</t>
        </is>
      </c>
      <c r="F30" s="219" t="inlineStr">
        <is>
          <t>强责</t>
        </is>
      </c>
      <c r="G30" s="222" t="inlineStr">
        <is>
          <t>位军浩</t>
        </is>
      </c>
      <c r="H30" s="503" t="inlineStr">
        <is>
          <t>/</t>
        </is>
      </c>
      <c r="I30" s="237" t="inlineStr">
        <is>
          <t>苏式面</t>
        </is>
      </c>
      <c r="J30" s="503" t="inlineStr">
        <is>
          <t>许正芳</t>
        </is>
      </c>
      <c r="K30" s="503" t="n"/>
      <c r="L30" s="224" t="n"/>
      <c r="M30" s="224" t="inlineStr">
        <is>
          <t>/</t>
        </is>
      </c>
      <c r="N30" s="651" t="n">
        <v>530000</v>
      </c>
      <c r="O30" s="247" t="n">
        <v>0.08</v>
      </c>
      <c r="P30" s="235" t="n">
        <v>0</v>
      </c>
      <c r="Q30" s="235" t="n">
        <v>0</v>
      </c>
      <c r="R30" s="247" t="n">
        <v>0.065</v>
      </c>
      <c r="S30" s="247" t="n">
        <v>0.02</v>
      </c>
      <c r="T30" s="247" t="n">
        <v>0.035</v>
      </c>
      <c r="U30" s="235" t="n">
        <v>0</v>
      </c>
      <c r="V30" s="247" t="n">
        <v>0.03</v>
      </c>
      <c r="W30" s="247" t="n">
        <v>0.06</v>
      </c>
      <c r="X30" s="227" t="inlineStr">
        <is>
          <t>按实</t>
        </is>
      </c>
      <c r="Y30" s="235" t="inlineStr">
        <is>
          <t>按实</t>
        </is>
      </c>
      <c r="Z30" s="235" t="inlineStr">
        <is>
          <t>按实</t>
        </is>
      </c>
      <c r="AA30" s="235" t="inlineStr">
        <is>
          <t>按实</t>
        </is>
      </c>
      <c r="AB30" s="22" t="inlineStr">
        <is>
          <t>/</t>
        </is>
      </c>
      <c r="AC30" s="224" t="inlineStr">
        <is>
          <t>/</t>
        </is>
      </c>
      <c r="AD30" s="250" t="inlineStr">
        <is>
          <t>1、甲方捐赠：35万/年，分组作业未分摊，服务费已包含；
2、采购费：1.35万/年，分组作业未分摊，服务费已包含；</t>
        </is>
      </c>
      <c r="AE30" s="232" t="inlineStr">
        <is>
          <t xml:space="preserve">
1、签订期间：2026.2.25-2026.7.19；
2、指标按照全年换算；
</t>
        </is>
      </c>
    </row>
    <row r="31" ht="48" customFormat="1" customHeight="1" s="209">
      <c r="A31" s="219" t="n">
        <v>29</v>
      </c>
      <c r="B31" s="220" t="inlineStr">
        <is>
          <t>KQCY0029</t>
        </is>
      </c>
      <c r="C31" s="221" t="inlineStr">
        <is>
          <t>餐饮一分部</t>
        </is>
      </c>
      <c r="D31" s="221" t="inlineStr">
        <is>
          <t>CF272</t>
        </is>
      </c>
      <c r="E31" s="221" t="inlineStr">
        <is>
          <t>苏州工学院南一食堂</t>
        </is>
      </c>
      <c r="F31" s="219" t="inlineStr">
        <is>
          <t>强责</t>
        </is>
      </c>
      <c r="G31" s="222" t="inlineStr">
        <is>
          <t>位军浩</t>
        </is>
      </c>
      <c r="H31" s="503" t="inlineStr">
        <is>
          <t>/</t>
        </is>
      </c>
      <c r="I31" s="237" t="inlineStr">
        <is>
          <t>王记炒饭</t>
        </is>
      </c>
      <c r="J31" s="503" t="inlineStr">
        <is>
          <t>王梓骏</t>
        </is>
      </c>
      <c r="K31" s="503" t="n"/>
      <c r="L31" s="224" t="n"/>
      <c r="M31" s="224" t="inlineStr">
        <is>
          <t>/</t>
        </is>
      </c>
      <c r="N31" s="651" t="n">
        <v>526000</v>
      </c>
      <c r="O31" s="247" t="n">
        <v>0.08</v>
      </c>
      <c r="P31" s="235" t="n">
        <v>0</v>
      </c>
      <c r="Q31" s="235" t="n">
        <v>0</v>
      </c>
      <c r="R31" s="247" t="n">
        <v>0.065</v>
      </c>
      <c r="S31" s="247" t="n">
        <v>0.02</v>
      </c>
      <c r="T31" s="247" t="n">
        <v>0.035</v>
      </c>
      <c r="U31" s="235" t="n">
        <v>0</v>
      </c>
      <c r="V31" s="247" t="n">
        <v>0.03</v>
      </c>
      <c r="W31" s="247" t="n">
        <v>0.06</v>
      </c>
      <c r="X31" s="227" t="inlineStr">
        <is>
          <t>按实</t>
        </is>
      </c>
      <c r="Y31" s="235" t="inlineStr">
        <is>
          <t>按实</t>
        </is>
      </c>
      <c r="Z31" s="235" t="inlineStr">
        <is>
          <t>按实</t>
        </is>
      </c>
      <c r="AA31" s="235" t="inlineStr">
        <is>
          <t>按实</t>
        </is>
      </c>
      <c r="AB31" s="22" t="inlineStr">
        <is>
          <t>/</t>
        </is>
      </c>
      <c r="AC31" s="224" t="inlineStr">
        <is>
          <t>/</t>
        </is>
      </c>
      <c r="AD31" s="250" t="inlineStr">
        <is>
          <t>1、甲方捐赠：35万/年，分组作业未分摊，服务费已包含；
2、采购费：1.35万/年，分组作业未分摊，服务费已包含；</t>
        </is>
      </c>
      <c r="AE31" s="232" t="inlineStr">
        <is>
          <t xml:space="preserve">
1、签订期间：2026.2.25-2026.7.19；
2、指标按照全年换算；
</t>
        </is>
      </c>
    </row>
    <row r="32" ht="48" customFormat="1" customHeight="1" s="209">
      <c r="A32" s="219" t="n">
        <v>30</v>
      </c>
      <c r="B32" s="220" t="inlineStr">
        <is>
          <t>KQCY0030</t>
        </is>
      </c>
      <c r="C32" s="221" t="inlineStr">
        <is>
          <t>餐饮一分部</t>
        </is>
      </c>
      <c r="D32" s="221" t="inlineStr">
        <is>
          <t>CF272</t>
        </is>
      </c>
      <c r="E32" s="221" t="inlineStr">
        <is>
          <t>苏州工学院南一食堂</t>
        </is>
      </c>
      <c r="F32" s="219" t="inlineStr">
        <is>
          <t>强责</t>
        </is>
      </c>
      <c r="G32" s="222" t="inlineStr">
        <is>
          <t>位军浩</t>
        </is>
      </c>
      <c r="H32" s="503" t="inlineStr">
        <is>
          <t>/</t>
        </is>
      </c>
      <c r="I32" s="237" t="inlineStr">
        <is>
          <t>烤鸭</t>
        </is>
      </c>
      <c r="J32" s="503" t="inlineStr">
        <is>
          <t>王鑫</t>
        </is>
      </c>
      <c r="K32" s="503" t="n"/>
      <c r="L32" s="224" t="n"/>
      <c r="M32" s="224" t="inlineStr">
        <is>
          <t>/</t>
        </is>
      </c>
      <c r="N32" s="651" t="n">
        <v>530000</v>
      </c>
      <c r="O32" s="247" t="n">
        <v>0.08</v>
      </c>
      <c r="P32" s="235" t="n">
        <v>0</v>
      </c>
      <c r="Q32" s="235" t="n">
        <v>0</v>
      </c>
      <c r="R32" s="247" t="n">
        <v>0.065</v>
      </c>
      <c r="S32" s="247" t="n">
        <v>0.02</v>
      </c>
      <c r="T32" s="247" t="n">
        <v>0.035</v>
      </c>
      <c r="U32" s="235" t="n">
        <v>0</v>
      </c>
      <c r="V32" s="247" t="n">
        <v>0.03</v>
      </c>
      <c r="W32" s="247" t="n">
        <v>0.06</v>
      </c>
      <c r="X32" s="227" t="inlineStr">
        <is>
          <t>按实</t>
        </is>
      </c>
      <c r="Y32" s="235" t="inlineStr">
        <is>
          <t>按实</t>
        </is>
      </c>
      <c r="Z32" s="235" t="inlineStr">
        <is>
          <t>按实</t>
        </is>
      </c>
      <c r="AA32" s="235" t="inlineStr">
        <is>
          <t>按实</t>
        </is>
      </c>
      <c r="AB32" s="22" t="inlineStr">
        <is>
          <t>/</t>
        </is>
      </c>
      <c r="AC32" s="224" t="inlineStr">
        <is>
          <t>/</t>
        </is>
      </c>
      <c r="AD32" s="250" t="inlineStr">
        <is>
          <t>1、甲方捐赠：35万/年，分组作业未分摊，服务费已包含；
2、采购费：1.35万/年，分组作业未分摊，服务费已包含；</t>
        </is>
      </c>
      <c r="AE32" s="232" t="inlineStr">
        <is>
          <t xml:space="preserve">
1、签订期间：2026.2.25-2026.7.19；
2、指标按照全年换算；
</t>
        </is>
      </c>
    </row>
    <row r="33" ht="48" customFormat="1" customHeight="1" s="209">
      <c r="A33" s="219" t="n">
        <v>31</v>
      </c>
      <c r="B33" s="220" t="inlineStr">
        <is>
          <t>KQCY0031</t>
        </is>
      </c>
      <c r="C33" s="221" t="inlineStr">
        <is>
          <t>餐饮一分部</t>
        </is>
      </c>
      <c r="D33" s="221" t="inlineStr">
        <is>
          <t>CF272</t>
        </is>
      </c>
      <c r="E33" s="221" t="inlineStr">
        <is>
          <t>苏州工学院南一食堂</t>
        </is>
      </c>
      <c r="F33" s="219" t="inlineStr">
        <is>
          <t>强责</t>
        </is>
      </c>
      <c r="G33" s="222" t="inlineStr">
        <is>
          <t>位军浩</t>
        </is>
      </c>
      <c r="H33" s="503" t="inlineStr">
        <is>
          <t>/</t>
        </is>
      </c>
      <c r="I33" s="237" t="inlineStr">
        <is>
          <t>小街胡同牛杂面</t>
        </is>
      </c>
      <c r="J33" s="503" t="inlineStr">
        <is>
          <t>黄雨</t>
        </is>
      </c>
      <c r="K33" s="503" t="n"/>
      <c r="L33" s="224" t="n"/>
      <c r="M33" s="224" t="inlineStr">
        <is>
          <t>/</t>
        </is>
      </c>
      <c r="N33" s="651" t="n">
        <v>360000</v>
      </c>
      <c r="O33" s="247" t="n">
        <v>0.08</v>
      </c>
      <c r="P33" s="235" t="n">
        <v>0</v>
      </c>
      <c r="Q33" s="235" t="n">
        <v>0</v>
      </c>
      <c r="R33" s="247" t="n">
        <v>0.065</v>
      </c>
      <c r="S33" s="247" t="n">
        <v>0.02</v>
      </c>
      <c r="T33" s="247" t="n">
        <v>0.035</v>
      </c>
      <c r="U33" s="235" t="n">
        <v>0</v>
      </c>
      <c r="V33" s="247" t="n">
        <v>0.03</v>
      </c>
      <c r="W33" s="247" t="n">
        <v>0.06</v>
      </c>
      <c r="X33" s="227" t="inlineStr">
        <is>
          <t>按实</t>
        </is>
      </c>
      <c r="Y33" s="235" t="inlineStr">
        <is>
          <t>按实</t>
        </is>
      </c>
      <c r="Z33" s="235" t="inlineStr">
        <is>
          <t>按实</t>
        </is>
      </c>
      <c r="AA33" s="235" t="inlineStr">
        <is>
          <t>按实</t>
        </is>
      </c>
      <c r="AB33" s="22" t="inlineStr">
        <is>
          <t>/</t>
        </is>
      </c>
      <c r="AC33" s="224" t="inlineStr">
        <is>
          <t>/</t>
        </is>
      </c>
      <c r="AD33" s="250" t="inlineStr">
        <is>
          <t>1、甲方捐赠：35万/年，分组作业未分摊，服务费已包含；
2、采购费：1.35万/年，分组作业未分摊，服务费已包含；</t>
        </is>
      </c>
      <c r="AE33" s="232" t="inlineStr">
        <is>
          <t xml:space="preserve">
1、签订期间：2026.2.25-2026.7.19；
2、指标按照全年换算；
</t>
        </is>
      </c>
    </row>
    <row r="34" ht="48" customFormat="1" customHeight="1" s="209">
      <c r="A34" s="219" t="n">
        <v>32</v>
      </c>
      <c r="B34" s="220" t="inlineStr">
        <is>
          <t>KQCY0032</t>
        </is>
      </c>
      <c r="C34" s="221" t="inlineStr">
        <is>
          <t>餐饮一分部</t>
        </is>
      </c>
      <c r="D34" s="221" t="inlineStr">
        <is>
          <t>CF272</t>
        </is>
      </c>
      <c r="E34" s="221" t="inlineStr">
        <is>
          <t>苏州工学院南一食堂</t>
        </is>
      </c>
      <c r="F34" s="219" t="inlineStr">
        <is>
          <t>强责</t>
        </is>
      </c>
      <c r="G34" s="222" t="inlineStr">
        <is>
          <t>位军浩</t>
        </is>
      </c>
      <c r="H34" s="503" t="inlineStr">
        <is>
          <t>/</t>
        </is>
      </c>
      <c r="I34" s="237" t="inlineStr">
        <is>
          <t>汉堡炸鸡</t>
        </is>
      </c>
      <c r="J34" s="503" t="inlineStr">
        <is>
          <t>陆林峰</t>
        </is>
      </c>
      <c r="K34" s="503" t="n"/>
      <c r="L34" s="224" t="n"/>
      <c r="M34" s="224" t="inlineStr">
        <is>
          <t>/</t>
        </is>
      </c>
      <c r="N34" s="651" t="n">
        <v>366000</v>
      </c>
      <c r="O34" s="247" t="n">
        <v>0.08</v>
      </c>
      <c r="P34" s="235" t="n">
        <v>0</v>
      </c>
      <c r="Q34" s="235" t="n">
        <v>0</v>
      </c>
      <c r="R34" s="247" t="n">
        <v>0.065</v>
      </c>
      <c r="S34" s="247" t="n">
        <v>0.02</v>
      </c>
      <c r="T34" s="247" t="n">
        <v>0.035</v>
      </c>
      <c r="U34" s="235" t="n">
        <v>0</v>
      </c>
      <c r="V34" s="247" t="n">
        <v>0.03</v>
      </c>
      <c r="W34" s="247" t="n">
        <v>0.06</v>
      </c>
      <c r="X34" s="227" t="inlineStr">
        <is>
          <t>按实</t>
        </is>
      </c>
      <c r="Y34" s="235" t="inlineStr">
        <is>
          <t>按实</t>
        </is>
      </c>
      <c r="Z34" s="235" t="inlineStr">
        <is>
          <t>按实</t>
        </is>
      </c>
      <c r="AA34" s="235" t="inlineStr">
        <is>
          <t>按实</t>
        </is>
      </c>
      <c r="AB34" s="22" t="inlineStr">
        <is>
          <t>/</t>
        </is>
      </c>
      <c r="AC34" s="224" t="inlineStr">
        <is>
          <t>/</t>
        </is>
      </c>
      <c r="AD34" s="250" t="inlineStr">
        <is>
          <t>1、甲方捐赠：35万/年，分组作业未分摊，服务费已包含；
2、采购费：1.35万/年，分组作业未分摊，服务费已包含；</t>
        </is>
      </c>
      <c r="AE34" s="232" t="inlineStr">
        <is>
          <t xml:space="preserve">
1、签订期间：2026.2.25-2026.7.19；
2、指标按照全年换算；
</t>
        </is>
      </c>
    </row>
    <row r="35" ht="48" customFormat="1" customHeight="1" s="209">
      <c r="A35" s="219" t="n">
        <v>33</v>
      </c>
      <c r="B35" s="220" t="inlineStr">
        <is>
          <t>KQCY0033</t>
        </is>
      </c>
      <c r="C35" s="221" t="inlineStr">
        <is>
          <t>餐饮一分部</t>
        </is>
      </c>
      <c r="D35" s="221" t="inlineStr">
        <is>
          <t>CF272</t>
        </is>
      </c>
      <c r="E35" s="221" t="inlineStr">
        <is>
          <t>苏州工学院南一食堂</t>
        </is>
      </c>
      <c r="F35" s="219" t="inlineStr">
        <is>
          <t>强责</t>
        </is>
      </c>
      <c r="G35" s="222" t="inlineStr">
        <is>
          <t>位军浩</t>
        </is>
      </c>
      <c r="H35" s="503" t="inlineStr">
        <is>
          <t>/</t>
        </is>
      </c>
      <c r="I35" s="237" t="inlineStr">
        <is>
          <t>旋转小火锅</t>
        </is>
      </c>
      <c r="J35" s="503" t="inlineStr">
        <is>
          <t>潘祥</t>
        </is>
      </c>
      <c r="K35" s="503" t="n"/>
      <c r="L35" s="224" t="n"/>
      <c r="M35" s="224" t="inlineStr">
        <is>
          <t>/</t>
        </is>
      </c>
      <c r="N35" s="651" t="n">
        <v>284000</v>
      </c>
      <c r="O35" s="247" t="n">
        <v>0.06</v>
      </c>
      <c r="P35" s="247" t="n">
        <v>0</v>
      </c>
      <c r="Q35" s="247" t="n">
        <v>0</v>
      </c>
      <c r="R35" s="247" t="n">
        <v>0.065</v>
      </c>
      <c r="S35" s="247" t="n">
        <v>0.02</v>
      </c>
      <c r="T35" s="247" t="n">
        <v>0.025</v>
      </c>
      <c r="U35" s="247" t="n">
        <v>0</v>
      </c>
      <c r="V35" s="247" t="n">
        <v>0.03</v>
      </c>
      <c r="W35" s="247" t="n">
        <v>0.06</v>
      </c>
      <c r="X35" s="227" t="inlineStr">
        <is>
          <t>按实</t>
        </is>
      </c>
      <c r="Y35" s="235" t="inlineStr">
        <is>
          <t>按实</t>
        </is>
      </c>
      <c r="Z35" s="235" t="inlineStr">
        <is>
          <t>按实</t>
        </is>
      </c>
      <c r="AA35" s="235" t="inlineStr">
        <is>
          <t>按实</t>
        </is>
      </c>
      <c r="AB35" s="22" t="inlineStr">
        <is>
          <t>/</t>
        </is>
      </c>
      <c r="AC35" s="224" t="inlineStr">
        <is>
          <t>/</t>
        </is>
      </c>
      <c r="AD35" s="250" t="inlineStr">
        <is>
          <t>1、甲方捐赠：35万/年，分组作业未分摊，服务费已包含；
2、采购费：1.35万/年，分组作业未分摊，服务费已包含；</t>
        </is>
      </c>
      <c r="AE35" s="230" t="inlineStr">
        <is>
          <t>1、签订期间：2026.2.25-2026.7.19；
2、指标按照全年换算；
3、已撤场（2026年3月）；</t>
        </is>
      </c>
    </row>
    <row r="36" ht="12" customFormat="1" customHeight="1" s="209">
      <c r="A36" s="219" t="n">
        <v>34</v>
      </c>
      <c r="B36" s="220" t="inlineStr">
        <is>
          <t>KQCY0034</t>
        </is>
      </c>
      <c r="C36" s="221" t="inlineStr">
        <is>
          <t>餐饮一分部</t>
        </is>
      </c>
      <c r="D36" s="221" t="inlineStr">
        <is>
          <t>CF127-1</t>
        </is>
      </c>
      <c r="E36" s="221" t="inlineStr">
        <is>
          <t>泰科老厂餐厅</t>
        </is>
      </c>
      <c r="F36" s="219" t="inlineStr">
        <is>
          <t>自营</t>
        </is>
      </c>
      <c r="G36" s="222" t="inlineStr">
        <is>
          <t>位军浩</t>
        </is>
      </c>
      <c r="H36" s="222" t="inlineStr">
        <is>
          <t>/</t>
        </is>
      </c>
      <c r="I36" s="237" t="inlineStr">
        <is>
          <t>/</t>
        </is>
      </c>
      <c r="J36" s="503" t="inlineStr">
        <is>
          <t>/</t>
        </is>
      </c>
      <c r="K36" s="503" t="n"/>
      <c r="L36" s="224" t="n"/>
      <c r="M36" s="224" t="inlineStr">
        <is>
          <t>/</t>
        </is>
      </c>
      <c r="N36" s="651" t="n">
        <v>20350000</v>
      </c>
      <c r="O36" s="552" t="inlineStr">
        <is>
          <t>/</t>
        </is>
      </c>
      <c r="P36" s="235" t="inlineStr">
        <is>
          <t>/</t>
        </is>
      </c>
      <c r="Q36" s="235" t="n">
        <v>0.02</v>
      </c>
      <c r="R36" s="235" t="inlineStr">
        <is>
          <t>/</t>
        </is>
      </c>
      <c r="S36" s="235" t="inlineStr">
        <is>
          <t>/</t>
        </is>
      </c>
      <c r="T36" s="235" t="inlineStr">
        <is>
          <t>/</t>
        </is>
      </c>
      <c r="U36" s="235" t="inlineStr">
        <is>
          <t>/</t>
        </is>
      </c>
      <c r="V36" s="235" t="inlineStr">
        <is>
          <t>/</t>
        </is>
      </c>
      <c r="W36" s="235" t="inlineStr">
        <is>
          <t>/</t>
        </is>
      </c>
      <c r="X36" s="235" t="inlineStr">
        <is>
          <t>/</t>
        </is>
      </c>
      <c r="Y36" s="235" t="n"/>
      <c r="Z36" s="235" t="n"/>
      <c r="AA36" s="235" t="n"/>
      <c r="AB36" s="46" t="n">
        <v>0.05</v>
      </c>
      <c r="AC36" s="46" t="inlineStr">
        <is>
          <t>/</t>
        </is>
      </c>
      <c r="AD36" s="60" t="n"/>
      <c r="AE36" s="232" t="n"/>
    </row>
    <row r="37" ht="12" customFormat="1" customHeight="1" s="209">
      <c r="A37" s="219" t="n">
        <v>35</v>
      </c>
      <c r="B37" s="220" t="inlineStr">
        <is>
          <t>KQCY0035</t>
        </is>
      </c>
      <c r="C37" s="221" t="inlineStr">
        <is>
          <t>餐饮一分部</t>
        </is>
      </c>
      <c r="D37" s="221" t="inlineStr">
        <is>
          <t>CF127-3</t>
        </is>
      </c>
      <c r="E37" s="221" t="inlineStr">
        <is>
          <t>泰科新厂餐厅</t>
        </is>
      </c>
      <c r="F37" s="219" t="inlineStr">
        <is>
          <t>自营</t>
        </is>
      </c>
      <c r="G37" s="222" t="inlineStr">
        <is>
          <t>位军浩</t>
        </is>
      </c>
      <c r="H37" s="222" t="inlineStr">
        <is>
          <t>/</t>
        </is>
      </c>
      <c r="I37" s="237" t="inlineStr">
        <is>
          <t>/</t>
        </is>
      </c>
      <c r="J37" s="503" t="inlineStr">
        <is>
          <t>/</t>
        </is>
      </c>
      <c r="K37" s="503" t="n"/>
      <c r="L37" s="224" t="n"/>
      <c r="M37" s="224" t="inlineStr">
        <is>
          <t>/</t>
        </is>
      </c>
      <c r="N37" s="651" t="n">
        <v>25000000</v>
      </c>
      <c r="O37" s="552" t="inlineStr">
        <is>
          <t>/</t>
        </is>
      </c>
      <c r="P37" s="235" t="inlineStr">
        <is>
          <t>/</t>
        </is>
      </c>
      <c r="Q37" s="235" t="n">
        <v>0.02</v>
      </c>
      <c r="R37" s="235" t="inlineStr">
        <is>
          <t>/</t>
        </is>
      </c>
      <c r="S37" s="235" t="inlineStr">
        <is>
          <t>/</t>
        </is>
      </c>
      <c r="T37" s="235" t="inlineStr">
        <is>
          <t>/</t>
        </is>
      </c>
      <c r="U37" s="235" t="inlineStr">
        <is>
          <t>/</t>
        </is>
      </c>
      <c r="V37" s="235" t="inlineStr">
        <is>
          <t>/</t>
        </is>
      </c>
      <c r="W37" s="235" t="inlineStr">
        <is>
          <t>/</t>
        </is>
      </c>
      <c r="X37" s="235" t="inlineStr">
        <is>
          <t>/</t>
        </is>
      </c>
      <c r="Y37" s="235" t="n"/>
      <c r="Z37" s="235" t="n"/>
      <c r="AA37" s="235" t="n"/>
      <c r="AB37" s="46" t="n">
        <v>0.05</v>
      </c>
      <c r="AC37" s="46" t="inlineStr">
        <is>
          <t>/</t>
        </is>
      </c>
      <c r="AD37" s="60" t="n"/>
      <c r="AE37" s="232" t="n"/>
    </row>
    <row r="38" ht="12" customFormat="1" customHeight="1" s="209">
      <c r="A38" s="219" t="n">
        <v>36</v>
      </c>
      <c r="B38" s="220" t="inlineStr">
        <is>
          <t>KQCY0036</t>
        </is>
      </c>
      <c r="C38" s="221" t="inlineStr">
        <is>
          <t>餐饮一分部</t>
        </is>
      </c>
      <c r="D38" s="221" t="inlineStr">
        <is>
          <t>CF141</t>
        </is>
      </c>
      <c r="E38" s="221" t="inlineStr">
        <is>
          <t>泰科阳澄湖工厂</t>
        </is>
      </c>
      <c r="F38" s="219" t="inlineStr">
        <is>
          <t>自营</t>
        </is>
      </c>
      <c r="G38" s="222" t="inlineStr">
        <is>
          <t>位军浩</t>
        </is>
      </c>
      <c r="H38" s="222" t="inlineStr">
        <is>
          <t>/</t>
        </is>
      </c>
      <c r="I38" s="237" t="inlineStr">
        <is>
          <t>/</t>
        </is>
      </c>
      <c r="J38" s="503" t="inlineStr">
        <is>
          <t>/</t>
        </is>
      </c>
      <c r="K38" s="503" t="n"/>
      <c r="L38" s="224" t="n"/>
      <c r="M38" s="224" t="inlineStr">
        <is>
          <t>/</t>
        </is>
      </c>
      <c r="N38" s="651" t="n">
        <v>9507000</v>
      </c>
      <c r="O38" s="552" t="inlineStr">
        <is>
          <t>/</t>
        </is>
      </c>
      <c r="P38" s="235" t="inlineStr">
        <is>
          <t>/</t>
        </is>
      </c>
      <c r="Q38" s="235" t="n">
        <v>0.02</v>
      </c>
      <c r="R38" s="235" t="inlineStr">
        <is>
          <t>/</t>
        </is>
      </c>
      <c r="S38" s="235" t="inlineStr">
        <is>
          <t>/</t>
        </is>
      </c>
      <c r="T38" s="235" t="inlineStr">
        <is>
          <t>/</t>
        </is>
      </c>
      <c r="U38" s="235" t="inlineStr">
        <is>
          <t>/</t>
        </is>
      </c>
      <c r="V38" s="235" t="inlineStr">
        <is>
          <t>/</t>
        </is>
      </c>
      <c r="W38" s="235" t="inlineStr">
        <is>
          <t>/</t>
        </is>
      </c>
      <c r="X38" s="235" t="inlineStr">
        <is>
          <t>/</t>
        </is>
      </c>
      <c r="Y38" s="235" t="n"/>
      <c r="Z38" s="235" t="n"/>
      <c r="AA38" s="235" t="n"/>
      <c r="AB38" s="46" t="n">
        <v>0.05</v>
      </c>
      <c r="AC38" s="46" t="inlineStr">
        <is>
          <t>/</t>
        </is>
      </c>
      <c r="AD38" s="60" t="n"/>
      <c r="AE38" s="232" t="n"/>
    </row>
    <row r="39" ht="12" customFormat="1" customHeight="1" s="209">
      <c r="A39" s="219" t="n">
        <v>37</v>
      </c>
      <c r="B39" s="220" t="inlineStr">
        <is>
          <t>KQCY0037</t>
        </is>
      </c>
      <c r="C39" s="221" t="inlineStr">
        <is>
          <t>餐饮一分部</t>
        </is>
      </c>
      <c r="D39" s="221" t="inlineStr">
        <is>
          <t>CF129-1</t>
        </is>
      </c>
      <c r="E39" s="221" t="inlineStr">
        <is>
          <t>中央厨房（加工服务部）</t>
        </is>
      </c>
      <c r="F39" s="219" t="inlineStr">
        <is>
          <t>自营</t>
        </is>
      </c>
      <c r="G39" s="222" t="inlineStr">
        <is>
          <t>位军浩</t>
        </is>
      </c>
      <c r="H39" s="222" t="inlineStr">
        <is>
          <t>/</t>
        </is>
      </c>
      <c r="I39" s="237" t="inlineStr">
        <is>
          <t>/</t>
        </is>
      </c>
      <c r="J39" s="503" t="inlineStr">
        <is>
          <t>/</t>
        </is>
      </c>
      <c r="K39" s="503" t="n"/>
      <c r="L39" s="224" t="n"/>
      <c r="M39" s="224" t="inlineStr">
        <is>
          <t>/</t>
        </is>
      </c>
      <c r="N39" s="651" t="inlineStr">
        <is>
          <t>/</t>
        </is>
      </c>
      <c r="O39" s="552" t="inlineStr">
        <is>
          <t>/</t>
        </is>
      </c>
      <c r="P39" s="235" t="inlineStr">
        <is>
          <t>/</t>
        </is>
      </c>
      <c r="Q39" s="235" t="n">
        <v>0.02</v>
      </c>
      <c r="R39" s="235" t="inlineStr">
        <is>
          <t>/</t>
        </is>
      </c>
      <c r="S39" s="235" t="inlineStr">
        <is>
          <t>/</t>
        </is>
      </c>
      <c r="T39" s="235" t="inlineStr">
        <is>
          <t>/</t>
        </is>
      </c>
      <c r="U39" s="235" t="inlineStr">
        <is>
          <t>/</t>
        </is>
      </c>
      <c r="V39" s="235" t="inlineStr">
        <is>
          <t>/</t>
        </is>
      </c>
      <c r="W39" s="235" t="inlineStr">
        <is>
          <t>/</t>
        </is>
      </c>
      <c r="X39" s="235" t="inlineStr">
        <is>
          <t>/</t>
        </is>
      </c>
      <c r="Y39" s="235" t="n"/>
      <c r="Z39" s="235" t="n"/>
      <c r="AA39" s="235" t="n"/>
      <c r="AB39" s="54" t="inlineStr">
        <is>
          <t>/</t>
        </is>
      </c>
      <c r="AC39" s="46" t="inlineStr">
        <is>
          <t>/</t>
        </is>
      </c>
      <c r="AD39" s="60" t="n"/>
      <c r="AE39" s="232" t="n"/>
    </row>
    <row r="40" ht="12" customFormat="1" customHeight="1" s="209">
      <c r="A40" s="219" t="n">
        <v>38</v>
      </c>
      <c r="B40" s="220" t="inlineStr">
        <is>
          <t>KQCY0038</t>
        </is>
      </c>
      <c r="C40" s="221" t="inlineStr">
        <is>
          <t>餐饮一分部</t>
        </is>
      </c>
      <c r="D40" s="221" t="inlineStr">
        <is>
          <t>CF142</t>
        </is>
      </c>
      <c r="E40" s="221" t="inlineStr">
        <is>
          <t>卡特彼勒（吴江）餐厅</t>
        </is>
      </c>
      <c r="F40" s="219" t="inlineStr">
        <is>
          <t>自营</t>
        </is>
      </c>
      <c r="G40" s="222" t="inlineStr">
        <is>
          <t>位军浩</t>
        </is>
      </c>
      <c r="H40" s="222" t="inlineStr">
        <is>
          <t>/</t>
        </is>
      </c>
      <c r="I40" s="237" t="inlineStr">
        <is>
          <t>/</t>
        </is>
      </c>
      <c r="J40" s="503" t="inlineStr">
        <is>
          <t>/</t>
        </is>
      </c>
      <c r="K40" s="503" t="n"/>
      <c r="L40" s="224" t="n"/>
      <c r="M40" s="224" t="inlineStr">
        <is>
          <t>/</t>
        </is>
      </c>
      <c r="N40" s="651" t="n">
        <v>3960000</v>
      </c>
      <c r="O40" s="552" t="inlineStr">
        <is>
          <t>/</t>
        </is>
      </c>
      <c r="P40" s="235" t="inlineStr">
        <is>
          <t>/</t>
        </is>
      </c>
      <c r="Q40" s="235" t="n">
        <v>0.02</v>
      </c>
      <c r="R40" s="235" t="inlineStr">
        <is>
          <t>/</t>
        </is>
      </c>
      <c r="S40" s="235" t="inlineStr">
        <is>
          <t>/</t>
        </is>
      </c>
      <c r="T40" s="235" t="inlineStr">
        <is>
          <t>/</t>
        </is>
      </c>
      <c r="U40" s="235" t="inlineStr">
        <is>
          <t>/</t>
        </is>
      </c>
      <c r="V40" s="235" t="inlineStr">
        <is>
          <t>/</t>
        </is>
      </c>
      <c r="W40" s="235" t="inlineStr">
        <is>
          <t>/</t>
        </is>
      </c>
      <c r="X40" s="235" t="inlineStr">
        <is>
          <t>/</t>
        </is>
      </c>
      <c r="Y40" s="235" t="n"/>
      <c r="Z40" s="235" t="n"/>
      <c r="AA40" s="235" t="n"/>
      <c r="AB40" s="46" t="n">
        <v>0.05</v>
      </c>
      <c r="AC40" s="46" t="inlineStr">
        <is>
          <t>/</t>
        </is>
      </c>
      <c r="AD40" s="60" t="n"/>
      <c r="AE40" s="232" t="n"/>
    </row>
    <row r="41" ht="12" customFormat="1" customHeight="1" s="209">
      <c r="A41" s="219" t="n">
        <v>39</v>
      </c>
      <c r="B41" s="220" t="inlineStr">
        <is>
          <t>KQCY0039</t>
        </is>
      </c>
      <c r="C41" s="221" t="inlineStr">
        <is>
          <t>餐饮一分部</t>
        </is>
      </c>
      <c r="D41" s="221" t="inlineStr">
        <is>
          <t>CF138</t>
        </is>
      </c>
      <c r="E41" s="221" t="inlineStr">
        <is>
          <t>苏州生物产业园三期餐厅</t>
        </is>
      </c>
      <c r="F41" s="219" t="inlineStr">
        <is>
          <t>自营</t>
        </is>
      </c>
      <c r="G41" s="222" t="inlineStr">
        <is>
          <t>位军浩</t>
        </is>
      </c>
      <c r="H41" s="222" t="inlineStr">
        <is>
          <t>/</t>
        </is>
      </c>
      <c r="I41" s="237" t="inlineStr">
        <is>
          <t>/</t>
        </is>
      </c>
      <c r="J41" s="503" t="inlineStr">
        <is>
          <t>/</t>
        </is>
      </c>
      <c r="K41" s="503" t="n"/>
      <c r="L41" s="224" t="n"/>
      <c r="M41" s="224" t="inlineStr">
        <is>
          <t>/</t>
        </is>
      </c>
      <c r="N41" s="651" t="n">
        <v>2350000</v>
      </c>
      <c r="O41" s="552" t="inlineStr">
        <is>
          <t>/</t>
        </is>
      </c>
      <c r="P41" s="235" t="inlineStr">
        <is>
          <t>/</t>
        </is>
      </c>
      <c r="Q41" s="235" t="n">
        <v>0.02</v>
      </c>
      <c r="R41" s="235" t="inlineStr">
        <is>
          <t>/</t>
        </is>
      </c>
      <c r="S41" s="235" t="inlineStr">
        <is>
          <t>/</t>
        </is>
      </c>
      <c r="T41" s="235" t="inlineStr">
        <is>
          <t>/</t>
        </is>
      </c>
      <c r="U41" s="235" t="inlineStr">
        <is>
          <t>/</t>
        </is>
      </c>
      <c r="V41" s="235" t="inlineStr">
        <is>
          <t>/</t>
        </is>
      </c>
      <c r="W41" s="235" t="inlineStr">
        <is>
          <t>/</t>
        </is>
      </c>
      <c r="X41" s="235" t="inlineStr">
        <is>
          <t>/</t>
        </is>
      </c>
      <c r="Y41" s="235" t="n"/>
      <c r="Z41" s="235" t="n"/>
      <c r="AA41" s="235" t="n"/>
      <c r="AB41" s="46" t="n">
        <v>0.06</v>
      </c>
      <c r="AC41" s="46" t="inlineStr">
        <is>
          <t>/</t>
        </is>
      </c>
      <c r="AD41" s="60" t="n"/>
      <c r="AE41" s="232" t="n"/>
    </row>
    <row r="42" hidden="1" ht="12" customFormat="1" customHeight="1" s="209">
      <c r="A42" s="219" t="n">
        <v>40</v>
      </c>
      <c r="B42" s="220" t="inlineStr">
        <is>
          <t>KQCY0040</t>
        </is>
      </c>
      <c r="C42" s="221" t="inlineStr">
        <is>
          <t>餐饮二分部</t>
        </is>
      </c>
      <c r="D42" s="221" t="inlineStr">
        <is>
          <t>CF181</t>
        </is>
      </c>
      <c r="E42" s="221" t="inlineStr">
        <is>
          <t>中科大苏州研究院食堂</t>
        </is>
      </c>
      <c r="F42" s="219" t="inlineStr">
        <is>
          <t>自营</t>
        </is>
      </c>
      <c r="G42" s="222" t="inlineStr">
        <is>
          <t>吉沐牛</t>
        </is>
      </c>
      <c r="H42" s="222" t="inlineStr">
        <is>
          <t>/</t>
        </is>
      </c>
      <c r="I42" s="237" t="inlineStr">
        <is>
          <t>/</t>
        </is>
      </c>
      <c r="J42" s="222" t="inlineStr">
        <is>
          <t>/</t>
        </is>
      </c>
      <c r="K42" s="222" t="n"/>
      <c r="L42" s="224" t="n"/>
      <c r="M42" s="224" t="inlineStr">
        <is>
          <t>/</t>
        </is>
      </c>
      <c r="N42" s="651" t="n">
        <v>1570000</v>
      </c>
      <c r="O42" s="235" t="inlineStr">
        <is>
          <t>/</t>
        </is>
      </c>
      <c r="P42" s="235" t="inlineStr">
        <is>
          <t>/</t>
        </is>
      </c>
      <c r="Q42" s="235" t="inlineStr">
        <is>
          <t>/</t>
        </is>
      </c>
      <c r="R42" s="235" t="inlineStr">
        <is>
          <t>/</t>
        </is>
      </c>
      <c r="S42" s="235" t="inlineStr">
        <is>
          <t>/</t>
        </is>
      </c>
      <c r="T42" s="235" t="inlineStr">
        <is>
          <t>/</t>
        </is>
      </c>
      <c r="U42" s="235" t="inlineStr">
        <is>
          <t>/</t>
        </is>
      </c>
      <c r="V42" s="235" t="inlineStr">
        <is>
          <t>/</t>
        </is>
      </c>
      <c r="W42" s="235" t="inlineStr">
        <is>
          <t>/</t>
        </is>
      </c>
      <c r="X42" s="235" t="inlineStr">
        <is>
          <t>/</t>
        </is>
      </c>
      <c r="Y42" s="461" t="n"/>
      <c r="Z42" s="461" t="n"/>
      <c r="AA42" s="461" t="inlineStr">
        <is>
          <t>/</t>
        </is>
      </c>
      <c r="AB42" s="51" t="n">
        <v>0.03</v>
      </c>
      <c r="AC42" s="46" t="inlineStr">
        <is>
          <t>/</t>
        </is>
      </c>
      <c r="AD42" s="232" t="n"/>
      <c r="AE42" s="232" t="n"/>
    </row>
    <row r="43" hidden="1" ht="12" customFormat="1" customHeight="1" s="209">
      <c r="A43" s="219" t="n">
        <v>41</v>
      </c>
      <c r="B43" s="220" t="inlineStr">
        <is>
          <t>KQCY0041</t>
        </is>
      </c>
      <c r="C43" s="221" t="inlineStr">
        <is>
          <t>餐饮二分部</t>
        </is>
      </c>
      <c r="D43" s="221" t="inlineStr">
        <is>
          <t>CF124</t>
        </is>
      </c>
      <c r="E43" s="221" t="inlineStr">
        <is>
          <t>苏州评弹学院食堂</t>
        </is>
      </c>
      <c r="F43" s="219" t="inlineStr">
        <is>
          <t>自营</t>
        </is>
      </c>
      <c r="G43" s="222" t="inlineStr">
        <is>
          <t>吉沐牛</t>
        </is>
      </c>
      <c r="H43" s="222" t="inlineStr">
        <is>
          <t>/</t>
        </is>
      </c>
      <c r="I43" s="237" t="inlineStr">
        <is>
          <t>/</t>
        </is>
      </c>
      <c r="J43" s="222" t="inlineStr">
        <is>
          <t>/</t>
        </is>
      </c>
      <c r="K43" s="222" t="n"/>
      <c r="L43" s="224" t="n"/>
      <c r="M43" s="224" t="inlineStr">
        <is>
          <t>/</t>
        </is>
      </c>
      <c r="N43" s="651" t="n">
        <v>2850000</v>
      </c>
      <c r="O43" s="235" t="inlineStr">
        <is>
          <t>/</t>
        </is>
      </c>
      <c r="P43" s="235" t="inlineStr">
        <is>
          <t>/</t>
        </is>
      </c>
      <c r="Q43" s="235" t="inlineStr">
        <is>
          <t>/</t>
        </is>
      </c>
      <c r="R43" s="235" t="inlineStr">
        <is>
          <t>/</t>
        </is>
      </c>
      <c r="S43" s="235" t="inlineStr">
        <is>
          <t>/</t>
        </is>
      </c>
      <c r="T43" s="235" t="inlineStr">
        <is>
          <t>/</t>
        </is>
      </c>
      <c r="U43" s="235" t="inlineStr">
        <is>
          <t>/</t>
        </is>
      </c>
      <c r="V43" s="235" t="inlineStr">
        <is>
          <t>/</t>
        </is>
      </c>
      <c r="W43" s="235" t="inlineStr">
        <is>
          <t>/</t>
        </is>
      </c>
      <c r="X43" s="235" t="inlineStr">
        <is>
          <t>/</t>
        </is>
      </c>
      <c r="Y43" s="461" t="n"/>
      <c r="Z43" s="461" t="n"/>
      <c r="AA43" s="461" t="inlineStr">
        <is>
          <t>/</t>
        </is>
      </c>
      <c r="AB43" s="51" t="n">
        <v>0.16</v>
      </c>
      <c r="AC43" s="46" t="inlineStr">
        <is>
          <t>/</t>
        </is>
      </c>
      <c r="AD43" s="232" t="n"/>
      <c r="AE43" s="232" t="n"/>
    </row>
    <row r="44" hidden="1" ht="12" customFormat="1" customHeight="1" s="209">
      <c r="A44" s="219" t="n">
        <v>42</v>
      </c>
      <c r="B44" s="220" t="inlineStr">
        <is>
          <t>KQCY0042</t>
        </is>
      </c>
      <c r="C44" s="221" t="inlineStr">
        <is>
          <t>餐饮二分部</t>
        </is>
      </c>
      <c r="D44" s="221" t="inlineStr">
        <is>
          <t>CF125</t>
        </is>
      </c>
      <c r="E44" s="221" t="inlineStr">
        <is>
          <t>西浦大学宏愿食堂（南）</t>
        </is>
      </c>
      <c r="F44" s="219" t="inlineStr">
        <is>
          <t>自营</t>
        </is>
      </c>
      <c r="G44" s="222" t="inlineStr">
        <is>
          <t>吉沐牛</t>
        </is>
      </c>
      <c r="H44" s="222" t="inlineStr">
        <is>
          <t>/</t>
        </is>
      </c>
      <c r="I44" s="237" t="inlineStr">
        <is>
          <t>/</t>
        </is>
      </c>
      <c r="J44" s="222" t="inlineStr">
        <is>
          <t>/</t>
        </is>
      </c>
      <c r="K44" s="222" t="n"/>
      <c r="L44" s="224" t="n"/>
      <c r="M44" s="224" t="inlineStr">
        <is>
          <t>/</t>
        </is>
      </c>
      <c r="N44" s="651" t="inlineStr">
        <is>
          <t>/</t>
        </is>
      </c>
      <c r="O44" s="235" t="inlineStr">
        <is>
          <t>/</t>
        </is>
      </c>
      <c r="P44" s="235" t="n"/>
      <c r="Q44" s="235" t="n">
        <v>0.02</v>
      </c>
      <c r="R44" s="235" t="n"/>
      <c r="S44" s="235" t="inlineStr">
        <is>
          <t>/</t>
        </is>
      </c>
      <c r="T44" s="235" t="inlineStr">
        <is>
          <t>/</t>
        </is>
      </c>
      <c r="U44" s="235" t="inlineStr">
        <is>
          <t>/</t>
        </is>
      </c>
      <c r="V44" s="235" t="n"/>
      <c r="W44" s="235" t="n"/>
      <c r="X44" s="235" t="inlineStr">
        <is>
          <t>/</t>
        </is>
      </c>
      <c r="Y44" s="461" t="n"/>
      <c r="Z44" s="461" t="n"/>
      <c r="AA44" s="461" t="n"/>
      <c r="AB44" s="51" t="n">
        <v>0.08</v>
      </c>
      <c r="AC44" s="46" t="inlineStr">
        <is>
          <t>/</t>
        </is>
      </c>
      <c r="AD44" s="232" t="n"/>
      <c r="AE44" s="232" t="n"/>
    </row>
    <row r="45" hidden="1" ht="24" customFormat="1" customHeight="1" s="209">
      <c r="A45" s="219" t="n">
        <v>43</v>
      </c>
      <c r="B45" s="220" t="inlineStr">
        <is>
          <t>KQCY0043</t>
        </is>
      </c>
      <c r="C45" s="221" t="inlineStr">
        <is>
          <t>餐饮二分部</t>
        </is>
      </c>
      <c r="D45" s="221" t="inlineStr">
        <is>
          <t>CF125</t>
        </is>
      </c>
      <c r="E45" s="221" t="inlineStr">
        <is>
          <t>西浦大学宏愿食堂（南）</t>
        </is>
      </c>
      <c r="F45" s="219" t="inlineStr">
        <is>
          <t>分组作业</t>
        </is>
      </c>
      <c r="G45" s="222" t="inlineStr">
        <is>
          <t>吉沐牛</t>
        </is>
      </c>
      <c r="H45" s="503" t="inlineStr">
        <is>
          <t>/</t>
        </is>
      </c>
      <c r="I45" s="237" t="inlineStr">
        <is>
          <t>麻辣烫</t>
        </is>
      </c>
      <c r="J45" s="222" t="inlineStr">
        <is>
          <t>何军军</t>
        </is>
      </c>
      <c r="K45" s="222" t="n"/>
      <c r="L45" s="224" t="n"/>
      <c r="M45" s="224" t="inlineStr">
        <is>
          <t>/</t>
        </is>
      </c>
      <c r="N45" s="651" t="n">
        <v>850000</v>
      </c>
      <c r="O45" s="247" t="n">
        <v>0.12</v>
      </c>
      <c r="P45" s="461" t="inlineStr">
        <is>
          <t>按照实际收取</t>
        </is>
      </c>
      <c r="Q45" s="235" t="n">
        <v>0.02</v>
      </c>
      <c r="R45" s="461" t="inlineStr">
        <is>
          <t>/</t>
        </is>
      </c>
      <c r="S45" s="461" t="inlineStr">
        <is>
          <t>/</t>
        </is>
      </c>
      <c r="T45" s="461" t="inlineStr">
        <is>
          <t>/</t>
        </is>
      </c>
      <c r="U45" s="461" t="inlineStr">
        <is>
          <t>/</t>
        </is>
      </c>
      <c r="V45" s="461" t="inlineStr">
        <is>
          <t>按照实际收取</t>
        </is>
      </c>
      <c r="W45" s="461" t="inlineStr">
        <is>
          <t>按照实际收取</t>
        </is>
      </c>
      <c r="X45" s="461" t="inlineStr">
        <is>
          <t>按实</t>
        </is>
      </c>
      <c r="Y45" s="461" t="inlineStr">
        <is>
          <t>甲方管理费3.5%营业额</t>
        </is>
      </c>
      <c r="Z45" s="461" t="inlineStr">
        <is>
          <t>/</t>
        </is>
      </c>
      <c r="AA45" s="461" t="inlineStr">
        <is>
          <t>按实</t>
        </is>
      </c>
      <c r="AB45" s="51" t="inlineStr">
        <is>
          <t>/</t>
        </is>
      </c>
      <c r="AC45" s="46" t="inlineStr">
        <is>
          <t>/</t>
        </is>
      </c>
      <c r="AD45" s="232" t="inlineStr">
        <is>
          <t>1、装修折旧费：项目反馈不收取，包含在服务费中；</t>
        </is>
      </c>
      <c r="AE45" s="232" t="inlineStr">
        <is>
          <t>1、签订期间：2025.9-2026.8；
2、指标按照全年换算；</t>
        </is>
      </c>
    </row>
    <row r="46" hidden="1" ht="24" customFormat="1" customHeight="1" s="209">
      <c r="A46" s="219" t="n">
        <v>44</v>
      </c>
      <c r="B46" s="220" t="inlineStr">
        <is>
          <t>KQCY0044</t>
        </is>
      </c>
      <c r="C46" s="221" t="inlineStr">
        <is>
          <t>餐饮二分部</t>
        </is>
      </c>
      <c r="D46" s="221" t="inlineStr">
        <is>
          <t>CF125</t>
        </is>
      </c>
      <c r="E46" s="221" t="inlineStr">
        <is>
          <t>西浦大学宏愿食堂（南）</t>
        </is>
      </c>
      <c r="F46" s="219" t="inlineStr">
        <is>
          <t>分组作业</t>
        </is>
      </c>
      <c r="G46" s="222" t="inlineStr">
        <is>
          <t>吉沐牛</t>
        </is>
      </c>
      <c r="H46" s="503" t="inlineStr">
        <is>
          <t>/</t>
        </is>
      </c>
      <c r="I46" s="237" t="inlineStr">
        <is>
          <t>小炒</t>
        </is>
      </c>
      <c r="J46" s="222" t="inlineStr">
        <is>
          <t>王成龙</t>
        </is>
      </c>
      <c r="K46" s="222" t="n"/>
      <c r="L46" s="224" t="n"/>
      <c r="M46" s="224" t="inlineStr">
        <is>
          <t>/</t>
        </is>
      </c>
      <c r="N46" s="651" t="n">
        <v>1500000</v>
      </c>
      <c r="O46" s="247" t="n">
        <v>0.12</v>
      </c>
      <c r="P46" s="461" t="inlineStr">
        <is>
          <t>按照实际收取</t>
        </is>
      </c>
      <c r="Q46" s="235" t="n">
        <v>0.02</v>
      </c>
      <c r="R46" s="461" t="inlineStr">
        <is>
          <t>/</t>
        </is>
      </c>
      <c r="S46" s="461" t="inlineStr">
        <is>
          <t>/</t>
        </is>
      </c>
      <c r="T46" s="461" t="inlineStr">
        <is>
          <t>/</t>
        </is>
      </c>
      <c r="U46" s="461" t="inlineStr">
        <is>
          <t>/</t>
        </is>
      </c>
      <c r="V46" s="461" t="inlineStr">
        <is>
          <t>按照实际收取</t>
        </is>
      </c>
      <c r="W46" s="461" t="inlineStr">
        <is>
          <t>按照实际收取</t>
        </is>
      </c>
      <c r="X46" s="461" t="inlineStr">
        <is>
          <t>按实</t>
        </is>
      </c>
      <c r="Y46" s="461" t="inlineStr">
        <is>
          <t>甲方管理费3.5%营业额</t>
        </is>
      </c>
      <c r="Z46" s="461" t="inlineStr">
        <is>
          <t>/</t>
        </is>
      </c>
      <c r="AA46" s="461" t="inlineStr">
        <is>
          <t>按实</t>
        </is>
      </c>
      <c r="AB46" s="51" t="inlineStr">
        <is>
          <t>/</t>
        </is>
      </c>
      <c r="AC46" s="46" t="inlineStr">
        <is>
          <t>/</t>
        </is>
      </c>
      <c r="AD46" s="232" t="inlineStr">
        <is>
          <t>1、装修折旧费：项目反馈不收取，包含在服务费中；</t>
        </is>
      </c>
      <c r="AE46" s="232" t="inlineStr">
        <is>
          <t>1、签订期间：2025.9-2026.8；
2、指标按照全年换算；</t>
        </is>
      </c>
    </row>
    <row r="47" hidden="1" ht="24" customFormat="1" customHeight="1" s="209">
      <c r="A47" s="219" t="n">
        <v>45</v>
      </c>
      <c r="B47" s="220" t="inlineStr">
        <is>
          <t>KQCY0045</t>
        </is>
      </c>
      <c r="C47" s="221" t="inlineStr">
        <is>
          <t>餐饮二分部</t>
        </is>
      </c>
      <c r="D47" s="221" t="inlineStr">
        <is>
          <t>CF125</t>
        </is>
      </c>
      <c r="E47" s="221" t="inlineStr">
        <is>
          <t>西浦大学宏愿食堂（南）</t>
        </is>
      </c>
      <c r="F47" s="219" t="inlineStr">
        <is>
          <t>分组作业</t>
        </is>
      </c>
      <c r="G47" s="222" t="inlineStr">
        <is>
          <t>吉沐牛</t>
        </is>
      </c>
      <c r="H47" s="503" t="inlineStr">
        <is>
          <t>/</t>
        </is>
      </c>
      <c r="I47" s="237" t="inlineStr">
        <is>
          <t>枣糕</t>
        </is>
      </c>
      <c r="J47" s="222" t="inlineStr">
        <is>
          <t>杜松松</t>
        </is>
      </c>
      <c r="K47" s="222" t="n"/>
      <c r="L47" s="224" t="n"/>
      <c r="M47" s="224" t="inlineStr">
        <is>
          <t>/</t>
        </is>
      </c>
      <c r="N47" s="651" t="n">
        <v>340000</v>
      </c>
      <c r="O47" s="247" t="n">
        <v>0.12</v>
      </c>
      <c r="P47" s="461" t="inlineStr">
        <is>
          <t>按照实际收取</t>
        </is>
      </c>
      <c r="Q47" s="235" t="n">
        <v>0.02</v>
      </c>
      <c r="R47" s="461" t="inlineStr">
        <is>
          <t>/</t>
        </is>
      </c>
      <c r="S47" s="461" t="inlineStr">
        <is>
          <t>/</t>
        </is>
      </c>
      <c r="T47" s="461" t="inlineStr">
        <is>
          <t>/</t>
        </is>
      </c>
      <c r="U47" s="461" t="inlineStr">
        <is>
          <t>/</t>
        </is>
      </c>
      <c r="V47" s="461" t="inlineStr">
        <is>
          <t>按照实际收取</t>
        </is>
      </c>
      <c r="W47" s="461" t="inlineStr">
        <is>
          <t>按照实际收取</t>
        </is>
      </c>
      <c r="X47" s="461" t="inlineStr">
        <is>
          <t>按实</t>
        </is>
      </c>
      <c r="Y47" s="461" t="inlineStr">
        <is>
          <t>甲方管理费3.5%营业额</t>
        </is>
      </c>
      <c r="Z47" s="461" t="inlineStr">
        <is>
          <t>/</t>
        </is>
      </c>
      <c r="AA47" s="461" t="inlineStr">
        <is>
          <t>按实</t>
        </is>
      </c>
      <c r="AB47" s="51" t="inlineStr">
        <is>
          <t>/</t>
        </is>
      </c>
      <c r="AC47" s="46" t="inlineStr">
        <is>
          <t>/</t>
        </is>
      </c>
      <c r="AD47" s="232" t="inlineStr">
        <is>
          <t>1、装修折旧费：项目反馈不收取，包含在服务费中；</t>
        </is>
      </c>
      <c r="AE47" s="232" t="inlineStr">
        <is>
          <t>1、签订期间：2025.9-2026.8；
2、指标按照全年换算；</t>
        </is>
      </c>
    </row>
    <row r="48" hidden="1" ht="24" customFormat="1" customHeight="1" s="209">
      <c r="A48" s="219" t="n">
        <v>46</v>
      </c>
      <c r="B48" s="220" t="inlineStr">
        <is>
          <t>KQCY0046</t>
        </is>
      </c>
      <c r="C48" s="221" t="inlineStr">
        <is>
          <t>餐饮二分部</t>
        </is>
      </c>
      <c r="D48" s="221" t="inlineStr">
        <is>
          <t>CF125</t>
        </is>
      </c>
      <c r="E48" s="221" t="inlineStr">
        <is>
          <t>西浦大学宏愿食堂（南）</t>
        </is>
      </c>
      <c r="F48" s="219" t="inlineStr">
        <is>
          <t>分组作业</t>
        </is>
      </c>
      <c r="G48" s="222" t="inlineStr">
        <is>
          <t>吉沐牛</t>
        </is>
      </c>
      <c r="H48" s="503" t="inlineStr">
        <is>
          <t>/</t>
        </is>
      </c>
      <c r="I48" s="237" t="inlineStr">
        <is>
          <t>面条</t>
        </is>
      </c>
      <c r="J48" s="222" t="inlineStr">
        <is>
          <t>葛文静</t>
        </is>
      </c>
      <c r="K48" s="222" t="n"/>
      <c r="L48" s="224" t="n"/>
      <c r="M48" s="224" t="inlineStr">
        <is>
          <t>/</t>
        </is>
      </c>
      <c r="N48" s="651" t="n">
        <v>365000</v>
      </c>
      <c r="O48" s="247" t="n">
        <v>0.12</v>
      </c>
      <c r="P48" s="461" t="inlineStr">
        <is>
          <t>按照实际收取</t>
        </is>
      </c>
      <c r="Q48" s="235" t="n">
        <v>0.02</v>
      </c>
      <c r="R48" s="461" t="inlineStr">
        <is>
          <t>/</t>
        </is>
      </c>
      <c r="S48" s="461" t="inlineStr">
        <is>
          <t>/</t>
        </is>
      </c>
      <c r="T48" s="461" t="inlineStr">
        <is>
          <t>/</t>
        </is>
      </c>
      <c r="U48" s="461" t="inlineStr">
        <is>
          <t>/</t>
        </is>
      </c>
      <c r="V48" s="461" t="inlineStr">
        <is>
          <t>按照实际收取</t>
        </is>
      </c>
      <c r="W48" s="461" t="inlineStr">
        <is>
          <t>按照实际收取</t>
        </is>
      </c>
      <c r="X48" s="461" t="inlineStr">
        <is>
          <t>按实</t>
        </is>
      </c>
      <c r="Y48" s="461" t="inlineStr">
        <is>
          <t>甲方管理费3.5%营业额</t>
        </is>
      </c>
      <c r="Z48" s="461" t="inlineStr">
        <is>
          <t>/</t>
        </is>
      </c>
      <c r="AA48" s="461" t="inlineStr">
        <is>
          <t>按实</t>
        </is>
      </c>
      <c r="AB48" s="51" t="inlineStr">
        <is>
          <t>/</t>
        </is>
      </c>
      <c r="AC48" s="46" t="inlineStr">
        <is>
          <t>/</t>
        </is>
      </c>
      <c r="AD48" s="232" t="inlineStr">
        <is>
          <t>1、装修折旧费：项目反馈不收取，包含在服务费中；</t>
        </is>
      </c>
      <c r="AE48" s="232" t="inlineStr">
        <is>
          <t>1、签订期间：2025.9-2026.8；
2、指标按照全年换算；</t>
        </is>
      </c>
    </row>
    <row r="49" hidden="1" ht="24" customFormat="1" customHeight="1" s="209">
      <c r="A49" s="219" t="n">
        <v>47</v>
      </c>
      <c r="B49" s="220" t="inlineStr">
        <is>
          <t>KQCY0047</t>
        </is>
      </c>
      <c r="C49" s="221" t="inlineStr">
        <is>
          <t>餐饮二分部</t>
        </is>
      </c>
      <c r="D49" s="221" t="inlineStr">
        <is>
          <t>CF125</t>
        </is>
      </c>
      <c r="E49" s="221" t="inlineStr">
        <is>
          <t>西浦大学宏愿食堂（南）</t>
        </is>
      </c>
      <c r="F49" s="219" t="inlineStr">
        <is>
          <t>分组作业</t>
        </is>
      </c>
      <c r="G49" s="222" t="inlineStr">
        <is>
          <t>吉沐牛</t>
        </is>
      </c>
      <c r="H49" s="503" t="inlineStr">
        <is>
          <t>/</t>
        </is>
      </c>
      <c r="I49" s="237" t="inlineStr">
        <is>
          <t>烤肉</t>
        </is>
      </c>
      <c r="J49" s="222" t="inlineStr">
        <is>
          <t>杜松松</t>
        </is>
      </c>
      <c r="K49" s="222" t="n"/>
      <c r="L49" s="224" t="n"/>
      <c r="M49" s="224" t="inlineStr">
        <is>
          <t>/</t>
        </is>
      </c>
      <c r="N49" s="651" t="n">
        <v>370000</v>
      </c>
      <c r="O49" s="247" t="n">
        <v>0.12</v>
      </c>
      <c r="P49" s="461" t="inlineStr">
        <is>
          <t>按照实际收取</t>
        </is>
      </c>
      <c r="Q49" s="235" t="n">
        <v>0.02</v>
      </c>
      <c r="R49" s="461" t="inlineStr">
        <is>
          <t>/</t>
        </is>
      </c>
      <c r="S49" s="461" t="inlineStr">
        <is>
          <t>/</t>
        </is>
      </c>
      <c r="T49" s="461" t="inlineStr">
        <is>
          <t>/</t>
        </is>
      </c>
      <c r="U49" s="461" t="inlineStr">
        <is>
          <t>/</t>
        </is>
      </c>
      <c r="V49" s="461" t="inlineStr">
        <is>
          <t>按照实际收取</t>
        </is>
      </c>
      <c r="W49" s="461" t="inlineStr">
        <is>
          <t>按照实际收取</t>
        </is>
      </c>
      <c r="X49" s="461" t="inlineStr">
        <is>
          <t>按实</t>
        </is>
      </c>
      <c r="Y49" s="461" t="inlineStr">
        <is>
          <t>甲方管理费3.5%营业额</t>
        </is>
      </c>
      <c r="Z49" s="461" t="inlineStr">
        <is>
          <t>/</t>
        </is>
      </c>
      <c r="AA49" s="461" t="inlineStr">
        <is>
          <t>按实</t>
        </is>
      </c>
      <c r="AB49" s="51" t="inlineStr">
        <is>
          <t>/</t>
        </is>
      </c>
      <c r="AC49" s="46" t="inlineStr">
        <is>
          <t>/</t>
        </is>
      </c>
      <c r="AD49" s="232" t="inlineStr">
        <is>
          <t>1、装修折旧费：项目反馈不收取，包含在服务费中；</t>
        </is>
      </c>
      <c r="AE49" s="232" t="inlineStr">
        <is>
          <t>1、签订期间：2025.9-2026.8；
2、指标按照全年换算；</t>
        </is>
      </c>
    </row>
    <row r="50" hidden="1" ht="24" customFormat="1" customHeight="1" s="209">
      <c r="A50" s="219" t="n">
        <v>48</v>
      </c>
      <c r="B50" s="220" t="inlineStr">
        <is>
          <t>KQCY0048</t>
        </is>
      </c>
      <c r="C50" s="221" t="inlineStr">
        <is>
          <t>餐饮二分部</t>
        </is>
      </c>
      <c r="D50" s="221" t="inlineStr">
        <is>
          <t>CF125</t>
        </is>
      </c>
      <c r="E50" s="221" t="inlineStr">
        <is>
          <t>西浦大学宏愿食堂（南）</t>
        </is>
      </c>
      <c r="F50" s="219" t="inlineStr">
        <is>
          <t>分组作业</t>
        </is>
      </c>
      <c r="G50" s="222" t="inlineStr">
        <is>
          <t>吉沐牛</t>
        </is>
      </c>
      <c r="H50" s="503" t="inlineStr">
        <is>
          <t>/</t>
        </is>
      </c>
      <c r="I50" s="237" t="inlineStr">
        <is>
          <t>粉丝汤</t>
        </is>
      </c>
      <c r="J50" s="222" t="inlineStr">
        <is>
          <t>李鑫</t>
        </is>
      </c>
      <c r="K50" s="222" t="n"/>
      <c r="L50" s="224" t="n"/>
      <c r="M50" s="224" t="inlineStr">
        <is>
          <t>/</t>
        </is>
      </c>
      <c r="N50" s="651" t="n">
        <v>440000</v>
      </c>
      <c r="O50" s="247" t="n">
        <v>0.12</v>
      </c>
      <c r="P50" s="461" t="inlineStr">
        <is>
          <t>按照实际收取</t>
        </is>
      </c>
      <c r="Q50" s="235" t="n">
        <v>0.02</v>
      </c>
      <c r="R50" s="461" t="inlineStr">
        <is>
          <t>/</t>
        </is>
      </c>
      <c r="S50" s="461" t="inlineStr">
        <is>
          <t>/</t>
        </is>
      </c>
      <c r="T50" s="461" t="inlineStr">
        <is>
          <t>/</t>
        </is>
      </c>
      <c r="U50" s="461" t="inlineStr">
        <is>
          <t>/</t>
        </is>
      </c>
      <c r="V50" s="461" t="inlineStr">
        <is>
          <t>按照实际收取</t>
        </is>
      </c>
      <c r="W50" s="461" t="inlineStr">
        <is>
          <t>按照实际收取</t>
        </is>
      </c>
      <c r="X50" s="461" t="inlineStr">
        <is>
          <t>按实</t>
        </is>
      </c>
      <c r="Y50" s="461" t="inlineStr">
        <is>
          <t>甲方管理费3.5%营业额</t>
        </is>
      </c>
      <c r="Z50" s="461" t="inlineStr">
        <is>
          <t>/</t>
        </is>
      </c>
      <c r="AA50" s="461" t="inlineStr">
        <is>
          <t>按实</t>
        </is>
      </c>
      <c r="AB50" s="51" t="inlineStr">
        <is>
          <t>/</t>
        </is>
      </c>
      <c r="AC50" s="46" t="inlineStr">
        <is>
          <t>/</t>
        </is>
      </c>
      <c r="AD50" s="232" t="inlineStr">
        <is>
          <t>1、装修折旧费：项目反馈不收取，包含在服务费中；</t>
        </is>
      </c>
      <c r="AE50" s="232" t="inlineStr">
        <is>
          <t>1、签订期间：2025.9-2026.8；
2、指标按照全年换算；</t>
        </is>
      </c>
    </row>
    <row r="51" hidden="1" ht="12" customFormat="1" customHeight="1" s="209">
      <c r="A51" s="219" t="n">
        <v>49</v>
      </c>
      <c r="B51" s="220" t="inlineStr">
        <is>
          <t>KQCY0049</t>
        </is>
      </c>
      <c r="C51" s="221" t="inlineStr">
        <is>
          <t>餐饮二分部</t>
        </is>
      </c>
      <c r="D51" s="221" t="inlineStr">
        <is>
          <t>CF137</t>
        </is>
      </c>
      <c r="E51" s="221" t="inlineStr">
        <is>
          <t>西浦大学宏愿食堂（北）</t>
        </is>
      </c>
      <c r="F51" s="219" t="inlineStr">
        <is>
          <t>自营</t>
        </is>
      </c>
      <c r="G51" s="222" t="inlineStr">
        <is>
          <t>吉沐牛</t>
        </is>
      </c>
      <c r="H51" s="222" t="inlineStr">
        <is>
          <t>/</t>
        </is>
      </c>
      <c r="I51" s="237" t="inlineStr">
        <is>
          <t>/</t>
        </is>
      </c>
      <c r="J51" s="222" t="inlineStr">
        <is>
          <t>/</t>
        </is>
      </c>
      <c r="K51" s="222" t="n"/>
      <c r="L51" s="224" t="n"/>
      <c r="M51" s="224" t="inlineStr">
        <is>
          <t>/</t>
        </is>
      </c>
      <c r="N51" s="651" t="inlineStr">
        <is>
          <t>/</t>
        </is>
      </c>
      <c r="O51" s="235" t="inlineStr">
        <is>
          <t>/</t>
        </is>
      </c>
      <c r="P51" s="235" t="n"/>
      <c r="Q51" s="235" t="n">
        <v>0.02</v>
      </c>
      <c r="R51" s="235" t="n"/>
      <c r="S51" s="235" t="inlineStr">
        <is>
          <t>/</t>
        </is>
      </c>
      <c r="T51" s="235" t="inlineStr">
        <is>
          <t>/</t>
        </is>
      </c>
      <c r="U51" s="235" t="inlineStr">
        <is>
          <t>/</t>
        </is>
      </c>
      <c r="V51" s="235" t="n"/>
      <c r="W51" s="235" t="n"/>
      <c r="X51" s="235" t="inlineStr">
        <is>
          <t>/</t>
        </is>
      </c>
      <c r="Y51" s="461" t="n"/>
      <c r="Z51" s="461" t="n"/>
      <c r="AA51" s="461" t="n"/>
      <c r="AB51" s="51" t="n">
        <v>0.06</v>
      </c>
      <c r="AC51" s="46" t="inlineStr">
        <is>
          <t>/</t>
        </is>
      </c>
      <c r="AD51" s="232" t="n"/>
      <c r="AE51" s="232" t="n"/>
    </row>
    <row r="52" hidden="1" ht="24" customFormat="1" customHeight="1" s="209">
      <c r="A52" s="219" t="n">
        <v>50</v>
      </c>
      <c r="B52" s="220" t="inlineStr">
        <is>
          <t>KQCY0050</t>
        </is>
      </c>
      <c r="C52" s="221" t="inlineStr">
        <is>
          <t>餐饮二分部</t>
        </is>
      </c>
      <c r="D52" s="221" t="inlineStr">
        <is>
          <t>CF137</t>
        </is>
      </c>
      <c r="E52" s="221" t="inlineStr">
        <is>
          <t>西浦大学宏愿食堂（北）</t>
        </is>
      </c>
      <c r="F52" s="219" t="inlineStr">
        <is>
          <t>分组作业</t>
        </is>
      </c>
      <c r="G52" s="222" t="inlineStr">
        <is>
          <t>吉沐牛</t>
        </is>
      </c>
      <c r="H52" s="503" t="inlineStr">
        <is>
          <t>/</t>
        </is>
      </c>
      <c r="I52" s="237" t="inlineStr">
        <is>
          <t>滑蛋饭</t>
        </is>
      </c>
      <c r="J52" s="503" t="inlineStr">
        <is>
          <t>赵广伟</t>
        </is>
      </c>
      <c r="K52" s="503" t="n"/>
      <c r="L52" s="224" t="n"/>
      <c r="M52" s="224" t="inlineStr">
        <is>
          <t>/</t>
        </is>
      </c>
      <c r="N52" s="651" t="n">
        <v>345000</v>
      </c>
      <c r="O52" s="247" t="n">
        <v>0.14</v>
      </c>
      <c r="P52" s="461" t="inlineStr">
        <is>
          <t>/</t>
        </is>
      </c>
      <c r="Q52" s="235" t="n">
        <v>0.02</v>
      </c>
      <c r="R52" s="461" t="inlineStr">
        <is>
          <t>/</t>
        </is>
      </c>
      <c r="S52" s="461" t="inlineStr">
        <is>
          <t>/</t>
        </is>
      </c>
      <c r="T52" s="461" t="inlineStr">
        <is>
          <t>/</t>
        </is>
      </c>
      <c r="U52" s="461" t="inlineStr">
        <is>
          <t>/</t>
        </is>
      </c>
      <c r="V52" s="235" t="n">
        <v>0.05</v>
      </c>
      <c r="W52" s="235" t="n">
        <v>0.06</v>
      </c>
      <c r="X52" s="235" t="n">
        <v>0.01</v>
      </c>
      <c r="Y52" s="461" t="inlineStr">
        <is>
          <t>/</t>
        </is>
      </c>
      <c r="Z52" s="461" t="inlineStr">
        <is>
          <t>/</t>
        </is>
      </c>
      <c r="AA52" s="461" t="inlineStr">
        <is>
          <t>按实</t>
        </is>
      </c>
      <c r="AB52" s="51" t="inlineStr">
        <is>
          <t>/</t>
        </is>
      </c>
      <c r="AC52" s="46" t="inlineStr">
        <is>
          <t>/</t>
        </is>
      </c>
      <c r="AD52" s="232" t="inlineStr">
        <is>
          <t>1、装修折旧费：项目反馈不收取，包含在服务费中；
2、甲方房租：项目反馈不收取，包含在服务费中；</t>
        </is>
      </c>
      <c r="AE52" s="232" t="inlineStr">
        <is>
          <t>1、签订期间：2025.10-2026.9；
2、指标按照全年换算；</t>
        </is>
      </c>
    </row>
    <row r="53" hidden="1" ht="24" customFormat="1" customHeight="1" s="209">
      <c r="A53" s="219" t="n">
        <v>51</v>
      </c>
      <c r="B53" s="220" t="inlineStr">
        <is>
          <t>KQCY0051</t>
        </is>
      </c>
      <c r="C53" s="221" t="inlineStr">
        <is>
          <t>餐饮二分部</t>
        </is>
      </c>
      <c r="D53" s="221" t="inlineStr">
        <is>
          <t>CF137</t>
        </is>
      </c>
      <c r="E53" s="221" t="inlineStr">
        <is>
          <t>西浦大学宏愿食堂（北）</t>
        </is>
      </c>
      <c r="F53" s="219" t="inlineStr">
        <is>
          <t>分组作业</t>
        </is>
      </c>
      <c r="G53" s="222" t="inlineStr">
        <is>
          <t>吉沐牛</t>
        </is>
      </c>
      <c r="H53" s="503" t="inlineStr">
        <is>
          <t>/</t>
        </is>
      </c>
      <c r="I53" s="237" t="inlineStr">
        <is>
          <t>手工水饺</t>
        </is>
      </c>
      <c r="J53" s="503" t="inlineStr">
        <is>
          <t>赵玉才</t>
        </is>
      </c>
      <c r="K53" s="503" t="n"/>
      <c r="L53" s="224" t="n"/>
      <c r="M53" s="224" t="inlineStr">
        <is>
          <t>/</t>
        </is>
      </c>
      <c r="N53" s="651" t="n">
        <v>475000</v>
      </c>
      <c r="O53" s="247" t="n">
        <v>0.14</v>
      </c>
      <c r="P53" s="461" t="inlineStr">
        <is>
          <t>/</t>
        </is>
      </c>
      <c r="Q53" s="235" t="n">
        <v>0.02</v>
      </c>
      <c r="R53" s="461" t="inlineStr">
        <is>
          <t>/</t>
        </is>
      </c>
      <c r="S53" s="461" t="inlineStr">
        <is>
          <t>/</t>
        </is>
      </c>
      <c r="T53" s="461" t="inlineStr">
        <is>
          <t>/</t>
        </is>
      </c>
      <c r="U53" s="461" t="inlineStr">
        <is>
          <t>/</t>
        </is>
      </c>
      <c r="V53" s="235" t="n">
        <v>0.05</v>
      </c>
      <c r="W53" s="235" t="n">
        <v>0.06</v>
      </c>
      <c r="X53" s="235" t="n">
        <v>0.01</v>
      </c>
      <c r="Y53" s="461" t="inlineStr">
        <is>
          <t>/</t>
        </is>
      </c>
      <c r="Z53" s="461" t="inlineStr">
        <is>
          <t>/</t>
        </is>
      </c>
      <c r="AA53" s="461" t="inlineStr">
        <is>
          <t>按实</t>
        </is>
      </c>
      <c r="AB53" s="51" t="inlineStr">
        <is>
          <t>/</t>
        </is>
      </c>
      <c r="AC53" s="46" t="inlineStr">
        <is>
          <t>/</t>
        </is>
      </c>
      <c r="AD53" s="232" t="inlineStr">
        <is>
          <t>1、装修折旧费：项目反馈不收取，包含在服务费中；
2、甲方房租：项目反馈不收取，包含在服务费中；</t>
        </is>
      </c>
      <c r="AE53" s="232" t="inlineStr">
        <is>
          <t>1、签订期间：2025.10-2026.9；
2、指标按照全年换算；</t>
        </is>
      </c>
    </row>
    <row r="54" hidden="1" ht="24" customFormat="1" customHeight="1" s="209">
      <c r="A54" s="219" t="n">
        <v>52</v>
      </c>
      <c r="B54" s="220" t="inlineStr">
        <is>
          <t>KQCY0052</t>
        </is>
      </c>
      <c r="C54" s="221" t="inlineStr">
        <is>
          <t>餐饮二分部</t>
        </is>
      </c>
      <c r="D54" s="221" t="inlineStr">
        <is>
          <t>CF137</t>
        </is>
      </c>
      <c r="E54" s="221" t="inlineStr">
        <is>
          <t>西浦大学宏愿食堂（北）</t>
        </is>
      </c>
      <c r="F54" s="219" t="inlineStr">
        <is>
          <t>分组作业</t>
        </is>
      </c>
      <c r="G54" s="222" t="inlineStr">
        <is>
          <t>吉沐牛</t>
        </is>
      </c>
      <c r="H54" s="503" t="inlineStr">
        <is>
          <t>/</t>
        </is>
      </c>
      <c r="I54" s="237" t="inlineStr">
        <is>
          <t>烤盘饭</t>
        </is>
      </c>
      <c r="J54" s="503" t="inlineStr">
        <is>
          <t>付昌杰</t>
        </is>
      </c>
      <c r="K54" s="503" t="n"/>
      <c r="L54" s="224" t="n"/>
      <c r="M54" s="224" t="inlineStr">
        <is>
          <t>/</t>
        </is>
      </c>
      <c r="N54" s="651" t="n">
        <v>875000</v>
      </c>
      <c r="O54" s="247" t="n">
        <v>0.14</v>
      </c>
      <c r="P54" s="461" t="inlineStr">
        <is>
          <t>/</t>
        </is>
      </c>
      <c r="Q54" s="235" t="n">
        <v>0.02</v>
      </c>
      <c r="R54" s="461" t="inlineStr">
        <is>
          <t>/</t>
        </is>
      </c>
      <c r="S54" s="461" t="inlineStr">
        <is>
          <t>/</t>
        </is>
      </c>
      <c r="T54" s="461" t="inlineStr">
        <is>
          <t>/</t>
        </is>
      </c>
      <c r="U54" s="461" t="inlineStr">
        <is>
          <t>/</t>
        </is>
      </c>
      <c r="V54" s="235" t="n">
        <v>0.05</v>
      </c>
      <c r="W54" s="235" t="n">
        <v>0.06</v>
      </c>
      <c r="X54" s="235" t="n">
        <v>0.01</v>
      </c>
      <c r="Y54" s="461" t="inlineStr">
        <is>
          <t>/</t>
        </is>
      </c>
      <c r="Z54" s="461" t="inlineStr">
        <is>
          <t>/</t>
        </is>
      </c>
      <c r="AA54" s="461" t="inlineStr">
        <is>
          <t>按实</t>
        </is>
      </c>
      <c r="AB54" s="51" t="inlineStr">
        <is>
          <t>/</t>
        </is>
      </c>
      <c r="AC54" s="46" t="inlineStr">
        <is>
          <t>/</t>
        </is>
      </c>
      <c r="AD54" s="232" t="inlineStr">
        <is>
          <t>1、装修折旧费：项目反馈不收取，包含在服务费中；
2、甲方房租：项目反馈不收取，包含在服务费中；</t>
        </is>
      </c>
      <c r="AE54" s="232" t="inlineStr">
        <is>
          <t>1、签订期间：2025.10-2026.9；
2、指标按照全年换算；</t>
        </is>
      </c>
    </row>
    <row r="55" hidden="1" ht="24" customFormat="1" customHeight="1" s="209">
      <c r="A55" s="219" t="n">
        <v>53</v>
      </c>
      <c r="B55" s="220" t="inlineStr">
        <is>
          <t>KQCY0053</t>
        </is>
      </c>
      <c r="C55" s="221" t="inlineStr">
        <is>
          <t>餐饮二分部</t>
        </is>
      </c>
      <c r="D55" s="221" t="inlineStr">
        <is>
          <t>CF137</t>
        </is>
      </c>
      <c r="E55" s="221" t="inlineStr">
        <is>
          <t>西浦大学宏愿食堂（北）</t>
        </is>
      </c>
      <c r="F55" s="219" t="inlineStr">
        <is>
          <t>分组作业</t>
        </is>
      </c>
      <c r="G55" s="222" t="inlineStr">
        <is>
          <t>吉沐牛</t>
        </is>
      </c>
      <c r="H55" s="503" t="inlineStr">
        <is>
          <t>/</t>
        </is>
      </c>
      <c r="I55" s="237" t="inlineStr">
        <is>
          <t>大花米线</t>
        </is>
      </c>
      <c r="J55" s="503" t="inlineStr">
        <is>
          <t>钱卫军</t>
        </is>
      </c>
      <c r="K55" s="503" t="n"/>
      <c r="L55" s="224" t="n"/>
      <c r="M55" s="224" t="inlineStr">
        <is>
          <t>/</t>
        </is>
      </c>
      <c r="N55" s="651" t="n">
        <v>485000</v>
      </c>
      <c r="O55" s="247" t="n">
        <v>0.14</v>
      </c>
      <c r="P55" s="461" t="inlineStr">
        <is>
          <t>/</t>
        </is>
      </c>
      <c r="Q55" s="235" t="n">
        <v>0.02</v>
      </c>
      <c r="R55" s="461" t="inlineStr">
        <is>
          <t>/</t>
        </is>
      </c>
      <c r="S55" s="461" t="inlineStr">
        <is>
          <t>/</t>
        </is>
      </c>
      <c r="T55" s="461" t="inlineStr">
        <is>
          <t>/</t>
        </is>
      </c>
      <c r="U55" s="461" t="inlineStr">
        <is>
          <t>/</t>
        </is>
      </c>
      <c r="V55" s="235" t="n">
        <v>0.05</v>
      </c>
      <c r="W55" s="235" t="n">
        <v>0.06</v>
      </c>
      <c r="X55" s="235" t="n">
        <v>0.01</v>
      </c>
      <c r="Y55" s="461" t="inlineStr">
        <is>
          <t>/</t>
        </is>
      </c>
      <c r="Z55" s="461" t="inlineStr">
        <is>
          <t>/</t>
        </is>
      </c>
      <c r="AA55" s="461" t="inlineStr">
        <is>
          <t>按实</t>
        </is>
      </c>
      <c r="AB55" s="51" t="inlineStr">
        <is>
          <t>/</t>
        </is>
      </c>
      <c r="AC55" s="46" t="inlineStr">
        <is>
          <t>/</t>
        </is>
      </c>
      <c r="AD55" s="232" t="inlineStr">
        <is>
          <t>1、装修折旧费：项目反馈不收取，包含在服务费中；
2、甲方房租：项目反馈不收取，包含在服务费中；</t>
        </is>
      </c>
      <c r="AE55" s="232" t="inlineStr">
        <is>
          <t>1、签订期间：2025.10-2026.9；
2、指标按照全年换算；</t>
        </is>
      </c>
    </row>
    <row r="56" hidden="1" ht="24" customFormat="1" customHeight="1" s="209">
      <c r="A56" s="219" t="n">
        <v>54</v>
      </c>
      <c r="B56" s="220" t="inlineStr">
        <is>
          <t>KQCY0054</t>
        </is>
      </c>
      <c r="C56" s="221" t="inlineStr">
        <is>
          <t>餐饮二分部</t>
        </is>
      </c>
      <c r="D56" s="221" t="inlineStr">
        <is>
          <t>CF137</t>
        </is>
      </c>
      <c r="E56" s="221" t="inlineStr">
        <is>
          <t>西浦大学宏愿食堂（北）</t>
        </is>
      </c>
      <c r="F56" s="219" t="inlineStr">
        <is>
          <t>分组作业</t>
        </is>
      </c>
      <c r="G56" s="222" t="inlineStr">
        <is>
          <t>吉沐牛</t>
        </is>
      </c>
      <c r="H56" s="503" t="inlineStr">
        <is>
          <t>/</t>
        </is>
      </c>
      <c r="I56" s="237" t="inlineStr">
        <is>
          <t>石锅饭</t>
        </is>
      </c>
      <c r="J56" s="503" t="inlineStr">
        <is>
          <t>葛颖</t>
        </is>
      </c>
      <c r="K56" s="503" t="n"/>
      <c r="L56" s="224" t="n"/>
      <c r="M56" s="224" t="inlineStr">
        <is>
          <t>/</t>
        </is>
      </c>
      <c r="N56" s="651" t="n">
        <v>600000</v>
      </c>
      <c r="O56" s="247" t="n">
        <v>0.14</v>
      </c>
      <c r="P56" s="461" t="inlineStr">
        <is>
          <t>/</t>
        </is>
      </c>
      <c r="Q56" s="235" t="n">
        <v>0.02</v>
      </c>
      <c r="R56" s="461" t="inlineStr">
        <is>
          <t>/</t>
        </is>
      </c>
      <c r="S56" s="461" t="inlineStr">
        <is>
          <t>/</t>
        </is>
      </c>
      <c r="T56" s="461" t="inlineStr">
        <is>
          <t>/</t>
        </is>
      </c>
      <c r="U56" s="461" t="inlineStr">
        <is>
          <t>/</t>
        </is>
      </c>
      <c r="V56" s="235" t="n">
        <v>0.05</v>
      </c>
      <c r="W56" s="235" t="n">
        <v>0.06</v>
      </c>
      <c r="X56" s="235" t="n">
        <v>0.01</v>
      </c>
      <c r="Y56" s="461" t="inlineStr">
        <is>
          <t>/</t>
        </is>
      </c>
      <c r="Z56" s="461" t="inlineStr">
        <is>
          <t>/</t>
        </is>
      </c>
      <c r="AA56" s="461" t="inlineStr">
        <is>
          <t>按实</t>
        </is>
      </c>
      <c r="AB56" s="51" t="inlineStr">
        <is>
          <t>/</t>
        </is>
      </c>
      <c r="AC56" s="46" t="inlineStr">
        <is>
          <t>/</t>
        </is>
      </c>
      <c r="AD56" s="232" t="inlineStr">
        <is>
          <t>1、装修折旧费：项目反馈不收取，包含在服务费中；
2、甲方房租：项目反馈不收取，包含在服务费中；</t>
        </is>
      </c>
      <c r="AE56" s="232" t="inlineStr">
        <is>
          <t>1、签订期间：2025.10-2026.9；
2、指标按照全年换算；</t>
        </is>
      </c>
    </row>
    <row r="57" hidden="1" ht="48" customFormat="1" customHeight="1" s="209">
      <c r="A57" s="219" t="n">
        <v>55</v>
      </c>
      <c r="B57" s="220" t="inlineStr">
        <is>
          <t>KQCY0055</t>
        </is>
      </c>
      <c r="C57" s="221" t="inlineStr">
        <is>
          <t>餐饮二分部</t>
        </is>
      </c>
      <c r="D57" s="221" t="inlineStr">
        <is>
          <t>CF137</t>
        </is>
      </c>
      <c r="E57" s="221" t="inlineStr">
        <is>
          <t>西浦大学宏愿食堂（北）</t>
        </is>
      </c>
      <c r="F57" s="219" t="inlineStr">
        <is>
          <t>分组作业</t>
        </is>
      </c>
      <c r="G57" s="222" t="inlineStr">
        <is>
          <t>吉沐牛</t>
        </is>
      </c>
      <c r="H57" s="503" t="inlineStr">
        <is>
          <t>/</t>
        </is>
      </c>
      <c r="I57" s="237" t="inlineStr">
        <is>
          <t>一鸣鲜奶吧</t>
        </is>
      </c>
      <c r="J57" s="503" t="inlineStr">
        <is>
          <t>黎欢</t>
        </is>
      </c>
      <c r="K57" s="503" t="n"/>
      <c r="L57" s="224" t="n"/>
      <c r="M57" s="224" t="inlineStr">
        <is>
          <t>/</t>
        </is>
      </c>
      <c r="N57" s="651" t="n">
        <v>615000</v>
      </c>
      <c r="O57" s="461" t="inlineStr">
        <is>
          <t>/</t>
        </is>
      </c>
      <c r="P57" s="461" t="inlineStr">
        <is>
          <t>/</t>
        </is>
      </c>
      <c r="Q57" s="461" t="inlineStr">
        <is>
          <t>/</t>
        </is>
      </c>
      <c r="R57" s="461" t="inlineStr">
        <is>
          <t>/</t>
        </is>
      </c>
      <c r="S57" s="461" t="inlineStr">
        <is>
          <t>/</t>
        </is>
      </c>
      <c r="T57" s="461" t="inlineStr">
        <is>
          <t>/</t>
        </is>
      </c>
      <c r="U57" s="461" t="inlineStr">
        <is>
          <t>/</t>
        </is>
      </c>
      <c r="V57" s="235" t="n">
        <v>0.03</v>
      </c>
      <c r="W57" s="235" t="n">
        <v>0.05</v>
      </c>
      <c r="X57" s="247" t="n">
        <v>0.005</v>
      </c>
      <c r="Y57" s="461" t="inlineStr">
        <is>
          <t>固定租金12万元/年，除1、2、7、8月外每月1.5万元</t>
        </is>
      </c>
      <c r="Z57" s="461" t="inlineStr">
        <is>
          <t>/</t>
        </is>
      </c>
      <c r="AA57" s="461" t="inlineStr">
        <is>
          <t>按实</t>
        </is>
      </c>
      <c r="AB57" s="51" t="inlineStr">
        <is>
          <t>/</t>
        </is>
      </c>
      <c r="AC57" s="46" t="inlineStr">
        <is>
          <t>/</t>
        </is>
      </c>
      <c r="AD57" s="232" t="inlineStr">
        <is>
          <t>1、服务费：12万/年；
2、采购费：项目反馈不收取，包含在服务费中；
3、装修折旧费：项目反馈不收取，包含在服务费中；
4、甲方房租：项目反馈不收取，包含在服务费中；</t>
        </is>
      </c>
      <c r="AE57" s="232" t="inlineStr">
        <is>
          <t>1、签订期间：2025.10-2026.9；
2、指标按照全年换算；</t>
        </is>
      </c>
    </row>
    <row r="58" hidden="1" ht="12" customFormat="1" customHeight="1" s="209">
      <c r="A58" s="219" t="n">
        <v>56</v>
      </c>
      <c r="B58" s="220" t="inlineStr">
        <is>
          <t>KQCY0056</t>
        </is>
      </c>
      <c r="C58" s="221" t="inlineStr">
        <is>
          <t>餐饮二分部</t>
        </is>
      </c>
      <c r="D58" s="221" t="inlineStr">
        <is>
          <t>CF140</t>
        </is>
      </c>
      <c r="E58" s="221" t="inlineStr">
        <is>
          <t>西浦大学太仓校区食堂</t>
        </is>
      </c>
      <c r="F58" s="219" t="inlineStr">
        <is>
          <t>自营</t>
        </is>
      </c>
      <c r="G58" s="222" t="inlineStr">
        <is>
          <t>吉沐牛</t>
        </is>
      </c>
      <c r="H58" s="222" t="inlineStr">
        <is>
          <t>/</t>
        </is>
      </c>
      <c r="I58" s="237" t="inlineStr">
        <is>
          <t>/</t>
        </is>
      </c>
      <c r="J58" s="222" t="inlineStr">
        <is>
          <t>/</t>
        </is>
      </c>
      <c r="K58" s="222" t="n"/>
      <c r="L58" s="224" t="n"/>
      <c r="M58" s="224" t="inlineStr">
        <is>
          <t>/</t>
        </is>
      </c>
      <c r="N58" s="651" t="inlineStr">
        <is>
          <t>/</t>
        </is>
      </c>
      <c r="O58" s="235" t="inlineStr">
        <is>
          <t>/</t>
        </is>
      </c>
      <c r="P58" s="235" t="n"/>
      <c r="Q58" s="235" t="n">
        <v>0.02</v>
      </c>
      <c r="R58" s="235" t="inlineStr">
        <is>
          <t>/</t>
        </is>
      </c>
      <c r="S58" s="235" t="inlineStr">
        <is>
          <t>/</t>
        </is>
      </c>
      <c r="T58" s="235" t="inlineStr">
        <is>
          <t>/</t>
        </is>
      </c>
      <c r="U58" s="235" t="inlineStr">
        <is>
          <t>/</t>
        </is>
      </c>
      <c r="V58" s="235" t="n"/>
      <c r="W58" s="235" t="inlineStr">
        <is>
          <t>/</t>
        </is>
      </c>
      <c r="X58" s="235" t="inlineStr">
        <is>
          <t>/</t>
        </is>
      </c>
      <c r="Y58" s="461" t="n"/>
      <c r="Z58" s="461" t="n"/>
      <c r="AA58" s="461" t="n"/>
      <c r="AB58" s="51" t="n">
        <v>0.04</v>
      </c>
      <c r="AC58" s="46" t="inlineStr">
        <is>
          <t>/</t>
        </is>
      </c>
      <c r="AD58" s="232" t="n"/>
      <c r="AE58" s="232" t="n"/>
    </row>
    <row r="59" hidden="1" ht="24" customFormat="1" customHeight="1" s="209">
      <c r="A59" s="219" t="n">
        <v>57</v>
      </c>
      <c r="B59" s="220" t="inlineStr">
        <is>
          <t>KQCY0057</t>
        </is>
      </c>
      <c r="C59" s="221" t="inlineStr">
        <is>
          <t>餐饮二分部</t>
        </is>
      </c>
      <c r="D59" s="221" t="inlineStr">
        <is>
          <t>CF140</t>
        </is>
      </c>
      <c r="E59" s="221" t="inlineStr">
        <is>
          <t>西浦大学太仓校区食堂</t>
        </is>
      </c>
      <c r="F59" s="219" t="inlineStr">
        <is>
          <t>分组作业</t>
        </is>
      </c>
      <c r="G59" s="222" t="inlineStr">
        <is>
          <t>吉沐牛</t>
        </is>
      </c>
      <c r="H59" s="222" t="inlineStr">
        <is>
          <t>第一班组</t>
        </is>
      </c>
      <c r="I59" s="232" t="inlineStr">
        <is>
          <t>蛋包饭(肥牛米线、水饺、烤盘饭)</t>
        </is>
      </c>
      <c r="J59" s="502" t="inlineStr">
        <is>
          <t>赵广伟</t>
        </is>
      </c>
      <c r="K59" s="502" t="n"/>
      <c r="L59" s="224" t="n"/>
      <c r="M59" s="224" t="inlineStr">
        <is>
          <t>/</t>
        </is>
      </c>
      <c r="N59" s="651" t="n">
        <v>450000</v>
      </c>
      <c r="O59" s="247" t="n">
        <v>0.03</v>
      </c>
      <c r="P59" s="461" t="inlineStr">
        <is>
          <t>/</t>
        </is>
      </c>
      <c r="Q59" s="235" t="n">
        <v>0.02</v>
      </c>
      <c r="R59" s="461" t="inlineStr">
        <is>
          <t>/</t>
        </is>
      </c>
      <c r="S59" s="461" t="inlineStr">
        <is>
          <t>/</t>
        </is>
      </c>
      <c r="T59" s="461" t="inlineStr">
        <is>
          <t>/</t>
        </is>
      </c>
      <c r="U59" s="461" t="inlineStr">
        <is>
          <t>/</t>
        </is>
      </c>
      <c r="V59" s="235" t="n">
        <v>0.02</v>
      </c>
      <c r="W59" s="461" t="inlineStr">
        <is>
          <t>/</t>
        </is>
      </c>
      <c r="X59" s="461" t="inlineStr">
        <is>
          <t>按实</t>
        </is>
      </c>
      <c r="Y59" s="461" t="inlineStr">
        <is>
          <t>低耗1%</t>
        </is>
      </c>
      <c r="Z59" s="461" t="inlineStr">
        <is>
          <t>/</t>
        </is>
      </c>
      <c r="AA59" s="461" t="inlineStr">
        <is>
          <t>按实</t>
        </is>
      </c>
      <c r="AB59" s="51" t="inlineStr">
        <is>
          <t>/</t>
        </is>
      </c>
      <c r="AC59" s="46" t="inlineStr">
        <is>
          <t>/</t>
        </is>
      </c>
      <c r="AD59" s="232" t="inlineStr">
        <is>
          <t>1、虫害消杀：项目反馈不收取，包含在服务费中；
2、卫生费：项目反馈不收取，包含在服务费中；</t>
        </is>
      </c>
      <c r="AE59" s="232" t="inlineStr">
        <is>
          <t>1、签订期间：2025.9-2026.8；
2、指标按照全年换算；</t>
        </is>
      </c>
    </row>
    <row r="60" hidden="1" ht="24" customFormat="1" customHeight="1" s="209">
      <c r="A60" s="219" t="n">
        <v>58</v>
      </c>
      <c r="B60" s="220" t="inlineStr">
        <is>
          <t>KQCY0058</t>
        </is>
      </c>
      <c r="C60" s="221" t="inlineStr">
        <is>
          <t>餐饮二分部</t>
        </is>
      </c>
      <c r="D60" s="221" t="inlineStr">
        <is>
          <t>CF140</t>
        </is>
      </c>
      <c r="E60" s="221" t="inlineStr">
        <is>
          <t>西浦大学太仓校区食堂</t>
        </is>
      </c>
      <c r="F60" s="219" t="inlineStr">
        <is>
          <t>分组作业</t>
        </is>
      </c>
      <c r="G60" s="222" t="inlineStr">
        <is>
          <t>吉沐牛</t>
        </is>
      </c>
      <c r="H60" s="222" t="inlineStr">
        <is>
          <t>第二班组</t>
        </is>
      </c>
      <c r="I60" s="232" t="inlineStr">
        <is>
          <t>枣糕&amp;热饮(韩式拌饭)</t>
        </is>
      </c>
      <c r="J60" s="502" t="inlineStr">
        <is>
          <t>杜松松</t>
        </is>
      </c>
      <c r="K60" s="502" t="n"/>
      <c r="L60" s="224" t="n"/>
      <c r="M60" s="224" t="inlineStr">
        <is>
          <t>/</t>
        </is>
      </c>
      <c r="N60" s="651" t="n">
        <v>145000</v>
      </c>
      <c r="O60" s="247" t="n">
        <v>0.03</v>
      </c>
      <c r="P60" s="461" t="inlineStr">
        <is>
          <t>/</t>
        </is>
      </c>
      <c r="Q60" s="235" t="n">
        <v>0.02</v>
      </c>
      <c r="R60" s="461" t="inlineStr">
        <is>
          <t>/</t>
        </is>
      </c>
      <c r="S60" s="461" t="inlineStr">
        <is>
          <t>/</t>
        </is>
      </c>
      <c r="T60" s="461" t="inlineStr">
        <is>
          <t>/</t>
        </is>
      </c>
      <c r="U60" s="461" t="inlineStr">
        <is>
          <t>/</t>
        </is>
      </c>
      <c r="V60" s="235" t="n">
        <v>0.02</v>
      </c>
      <c r="W60" s="461" t="inlineStr">
        <is>
          <t>/</t>
        </is>
      </c>
      <c r="X60" s="461" t="inlineStr">
        <is>
          <t>按实</t>
        </is>
      </c>
      <c r="Y60" s="461" t="inlineStr">
        <is>
          <t>低耗1%</t>
        </is>
      </c>
      <c r="Z60" s="461" t="inlineStr">
        <is>
          <t>/</t>
        </is>
      </c>
      <c r="AA60" s="461" t="inlineStr">
        <is>
          <t>按实</t>
        </is>
      </c>
      <c r="AB60" s="51" t="inlineStr">
        <is>
          <t>/</t>
        </is>
      </c>
      <c r="AC60" s="46" t="inlineStr">
        <is>
          <t>/</t>
        </is>
      </c>
      <c r="AD60" s="232" t="inlineStr">
        <is>
          <t>1、虫害消杀：项目反馈不收取，包含在服务费中；
2、卫生费：项目反馈不收取，包含在服务费中；</t>
        </is>
      </c>
      <c r="AE60" s="232" t="inlineStr">
        <is>
          <t>1、签订期间：2025.9-2026.8；
2、指标按照全年换算；</t>
        </is>
      </c>
    </row>
    <row r="61" hidden="1" ht="12" customFormat="1" customHeight="1" s="209">
      <c r="A61" s="219" t="n">
        <v>59</v>
      </c>
      <c r="B61" s="220" t="inlineStr">
        <is>
          <t>KQCY0059</t>
        </is>
      </c>
      <c r="C61" s="337" t="inlineStr">
        <is>
          <t>餐饮二分部</t>
        </is>
      </c>
      <c r="D61" s="337" t="inlineStr">
        <is>
          <t>CF182</t>
        </is>
      </c>
      <c r="E61" s="337" t="inlineStr">
        <is>
          <t>无锡工艺第二食堂</t>
        </is>
      </c>
      <c r="F61" s="239" t="inlineStr">
        <is>
          <t>自营</t>
        </is>
      </c>
      <c r="G61" s="220" t="inlineStr">
        <is>
          <t>吉沐牛</t>
        </is>
      </c>
      <c r="H61" s="220" t="inlineStr">
        <is>
          <t>/</t>
        </is>
      </c>
      <c r="I61" s="461" t="inlineStr">
        <is>
          <t>/</t>
        </is>
      </c>
      <c r="J61" s="227" t="inlineStr">
        <is>
          <t>/</t>
        </is>
      </c>
      <c r="K61" s="227" t="n"/>
      <c r="L61" s="235" t="n"/>
      <c r="M61" s="235" t="inlineStr">
        <is>
          <t>/</t>
        </is>
      </c>
      <c r="N61" s="651" t="inlineStr">
        <is>
          <t>/</t>
        </is>
      </c>
      <c r="O61" s="284" t="inlineStr">
        <is>
          <t>/</t>
        </is>
      </c>
      <c r="P61" s="227" t="inlineStr">
        <is>
          <t>/</t>
        </is>
      </c>
      <c r="Q61" s="284" t="inlineStr">
        <is>
          <t>/</t>
        </is>
      </c>
      <c r="R61" s="227" t="inlineStr">
        <is>
          <t>/</t>
        </is>
      </c>
      <c r="S61" s="276" t="inlineStr">
        <is>
          <t>/</t>
        </is>
      </c>
      <c r="T61" s="227" t="inlineStr">
        <is>
          <t>/</t>
        </is>
      </c>
      <c r="U61" s="227" t="inlineStr">
        <is>
          <t>/</t>
        </is>
      </c>
      <c r="V61" s="247" t="inlineStr">
        <is>
          <t>/</t>
        </is>
      </c>
      <c r="W61" s="284" t="inlineStr">
        <is>
          <t>/</t>
        </is>
      </c>
      <c r="X61" s="284" t="inlineStr">
        <is>
          <t>/</t>
        </is>
      </c>
      <c r="Y61" s="461" t="n"/>
      <c r="Z61" s="461" t="n"/>
      <c r="AA61" s="461" t="inlineStr">
        <is>
          <t>/</t>
        </is>
      </c>
      <c r="AB61" s="46" t="n">
        <v>0.035</v>
      </c>
      <c r="AC61" s="46" t="n">
        <v>0.005</v>
      </c>
      <c r="AD61" s="230" t="inlineStr">
        <is>
          <t>1、自营未实际经营；</t>
        </is>
      </c>
      <c r="AE61" s="232" t="n"/>
    </row>
    <row r="62" hidden="1" ht="36" customFormat="1" customHeight="1" s="209">
      <c r="A62" s="219" t="n">
        <v>60</v>
      </c>
      <c r="B62" s="220" t="inlineStr">
        <is>
          <t>KQCY0060</t>
        </is>
      </c>
      <c r="C62" s="221" t="inlineStr">
        <is>
          <t>餐饮二分部</t>
        </is>
      </c>
      <c r="D62" s="221" t="inlineStr">
        <is>
          <t>CF182</t>
        </is>
      </c>
      <c r="E62" s="221" t="inlineStr">
        <is>
          <t>无锡工艺第二食堂</t>
        </is>
      </c>
      <c r="F62" s="219" t="inlineStr">
        <is>
          <t>分组作业</t>
        </is>
      </c>
      <c r="G62" s="222" t="inlineStr">
        <is>
          <t>吉沐牛</t>
        </is>
      </c>
      <c r="H62" s="503" t="inlineStr">
        <is>
          <t>/</t>
        </is>
      </c>
      <c r="I62" s="232" t="inlineStr">
        <is>
          <t>快餐</t>
        </is>
      </c>
      <c r="J62" s="503" t="inlineStr">
        <is>
          <t>林建峰</t>
        </is>
      </c>
      <c r="K62" s="503" t="n"/>
      <c r="L62" s="224" t="n"/>
      <c r="M62" s="224" t="inlineStr">
        <is>
          <t>/</t>
        </is>
      </c>
      <c r="N62" s="651" t="n">
        <v>6000000</v>
      </c>
      <c r="O62" s="247" t="n">
        <v>0.035</v>
      </c>
      <c r="P62" s="461" t="inlineStr">
        <is>
          <t>按实</t>
        </is>
      </c>
      <c r="Q62" s="235" t="n">
        <v>0</v>
      </c>
      <c r="R62" s="461" t="inlineStr">
        <is>
          <t>165万元分3年分摊，多退少补</t>
        </is>
      </c>
      <c r="S62" s="461" t="inlineStr">
        <is>
          <t>一名管理人员费用，按实际产生费用列入项目处成本</t>
        </is>
      </c>
      <c r="T62" s="235" t="n">
        <v>0</v>
      </c>
      <c r="U62" s="235" t="n">
        <v>0</v>
      </c>
      <c r="V62" s="461" t="inlineStr">
        <is>
          <t>/</t>
        </is>
      </c>
      <c r="W62" s="461" t="inlineStr">
        <is>
          <t>按实</t>
        </is>
      </c>
      <c r="X62" s="461" t="inlineStr">
        <is>
          <t>按实</t>
        </is>
      </c>
      <c r="Y62" s="461" t="inlineStr">
        <is>
          <t>排烟机清洗费：按实</t>
        </is>
      </c>
      <c r="Z62" s="461" t="inlineStr">
        <is>
          <t>/</t>
        </is>
      </c>
      <c r="AA62" s="461" t="inlineStr">
        <is>
          <t>按实</t>
        </is>
      </c>
      <c r="AB62" s="46" t="inlineStr">
        <is>
          <t>/</t>
        </is>
      </c>
      <c r="AC62" s="46" t="inlineStr">
        <is>
          <t>/</t>
        </is>
      </c>
      <c r="AD62" s="232" t="inlineStr">
        <is>
          <t>1、装修折旧费：按165万，分三年期限分摊，多退少补</t>
        </is>
      </c>
      <c r="AE62" s="232" t="inlineStr">
        <is>
          <t>1、签订期间：2026.1-2026.12；
2、指标按照全年换算；</t>
        </is>
      </c>
    </row>
    <row r="63" hidden="1" ht="24" customFormat="1" customHeight="1" s="209">
      <c r="A63" s="219" t="n">
        <v>61</v>
      </c>
      <c r="B63" s="220" t="inlineStr">
        <is>
          <t>KQCY0061</t>
        </is>
      </c>
      <c r="C63" s="221" t="n"/>
      <c r="D63" s="221" t="n"/>
      <c r="E63" s="221" t="inlineStr">
        <is>
          <t>无锡工艺第二食堂</t>
        </is>
      </c>
      <c r="F63" s="239" t="inlineStr">
        <is>
          <t>分组作业</t>
        </is>
      </c>
      <c r="G63" s="222" t="inlineStr">
        <is>
          <t>吉沐牛</t>
        </is>
      </c>
      <c r="H63" s="222" t="inlineStr">
        <is>
          <t>第二班组</t>
        </is>
      </c>
      <c r="I63" s="261" t="inlineStr">
        <is>
          <t>烤鸭饭</t>
        </is>
      </c>
      <c r="J63" s="261" t="inlineStr">
        <is>
          <t>徐其国</t>
        </is>
      </c>
      <c r="K63" s="222" t="n"/>
      <c r="L63" s="224" t="n"/>
      <c r="M63" s="224" t="n"/>
      <c r="N63" s="651" t="n"/>
      <c r="O63" s="247" t="n">
        <v>0.26</v>
      </c>
      <c r="P63" s="235" t="n">
        <v>0</v>
      </c>
      <c r="Q63" s="235" t="n">
        <v>0</v>
      </c>
      <c r="R63" s="235" t="n">
        <v>0</v>
      </c>
      <c r="S63" s="235" t="n">
        <v>0</v>
      </c>
      <c r="T63" s="235" t="n">
        <v>0</v>
      </c>
      <c r="U63" s="235" t="n">
        <v>0</v>
      </c>
      <c r="V63" s="461" t="inlineStr">
        <is>
          <t>/</t>
        </is>
      </c>
      <c r="W63" s="235" t="n">
        <v>0</v>
      </c>
      <c r="X63" s="461" t="inlineStr">
        <is>
          <t>按实</t>
        </is>
      </c>
      <c r="Y63" s="461" t="inlineStr">
        <is>
          <t>排烟机清洗费：0</t>
        </is>
      </c>
      <c r="Z63" s="461" t="inlineStr">
        <is>
          <t>/</t>
        </is>
      </c>
      <c r="AA63" s="461" t="inlineStr">
        <is>
          <t>按实</t>
        </is>
      </c>
      <c r="AB63" s="22" t="n"/>
      <c r="AC63" s="224" t="n"/>
      <c r="AD63" s="232" t="n"/>
      <c r="AE63" s="232" t="n"/>
    </row>
    <row r="64" hidden="1" ht="37.5" customFormat="1" customHeight="1" s="209">
      <c r="A64" s="219" t="n">
        <v>62</v>
      </c>
      <c r="B64" s="220" t="inlineStr">
        <is>
          <t>KQCY0062</t>
        </is>
      </c>
      <c r="C64" s="221" t="n"/>
      <c r="D64" s="221" t="n"/>
      <c r="E64" s="221" t="inlineStr">
        <is>
          <t>无锡工艺第二食堂</t>
        </is>
      </c>
      <c r="F64" s="239" t="inlineStr">
        <is>
          <t>分组作业</t>
        </is>
      </c>
      <c r="G64" s="222" t="inlineStr">
        <is>
          <t>吉沐牛</t>
        </is>
      </c>
      <c r="H64" s="222" t="inlineStr">
        <is>
          <t>第三班组</t>
        </is>
      </c>
      <c r="I64" s="261" t="inlineStr">
        <is>
          <t>营养粥、小笼包</t>
        </is>
      </c>
      <c r="J64" s="261" t="inlineStr">
        <is>
          <t>朱德保</t>
        </is>
      </c>
      <c r="K64" s="222" t="n"/>
      <c r="L64" s="224" t="n"/>
      <c r="M64" s="224" t="n"/>
      <c r="N64" s="651" t="n"/>
      <c r="O64" s="247" t="n">
        <v>0.28</v>
      </c>
      <c r="P64" s="235" t="n">
        <v>0</v>
      </c>
      <c r="Q64" s="235" t="n">
        <v>0</v>
      </c>
      <c r="R64" s="235" t="n">
        <v>0</v>
      </c>
      <c r="S64" s="235" t="n">
        <v>0</v>
      </c>
      <c r="T64" s="235" t="n">
        <v>0</v>
      </c>
      <c r="U64" s="235" t="n">
        <v>0</v>
      </c>
      <c r="V64" s="235" t="n">
        <v>0</v>
      </c>
      <c r="W64" s="235" t="n">
        <v>0</v>
      </c>
      <c r="X64" s="461" t="inlineStr">
        <is>
          <t>按实</t>
        </is>
      </c>
      <c r="Y64" s="461" t="inlineStr">
        <is>
          <t>/</t>
        </is>
      </c>
      <c r="Z64" s="461" t="inlineStr">
        <is>
          <t>/</t>
        </is>
      </c>
      <c r="AA64" s="461" t="inlineStr">
        <is>
          <t>按实</t>
        </is>
      </c>
      <c r="AB64" s="22" t="n"/>
      <c r="AC64" s="224" t="n"/>
      <c r="AD64" s="232" t="n"/>
      <c r="AE64" s="232" t="n"/>
    </row>
    <row r="65" hidden="1" ht="56.25" customFormat="1" customHeight="1" s="209">
      <c r="A65" s="219" t="n">
        <v>63</v>
      </c>
      <c r="B65" s="220" t="inlineStr">
        <is>
          <t>KQCY0063</t>
        </is>
      </c>
      <c r="C65" s="221" t="n"/>
      <c r="D65" s="221" t="n"/>
      <c r="E65" s="221" t="inlineStr">
        <is>
          <t>无锡工艺第二食堂</t>
        </is>
      </c>
      <c r="F65" s="239" t="inlineStr">
        <is>
          <t>分组作业</t>
        </is>
      </c>
      <c r="G65" s="222" t="inlineStr">
        <is>
          <t>吉沐牛</t>
        </is>
      </c>
      <c r="H65" s="222" t="inlineStr">
        <is>
          <t>第四班组</t>
        </is>
      </c>
      <c r="I65" s="261" t="inlineStr">
        <is>
          <t>武汉热干面、隆江猪脚饭</t>
        </is>
      </c>
      <c r="J65" s="261" t="inlineStr">
        <is>
          <t>田振</t>
        </is>
      </c>
      <c r="K65" s="222" t="n"/>
      <c r="L65" s="224" t="n"/>
      <c r="M65" s="224" t="n"/>
      <c r="N65" s="651" t="n"/>
      <c r="O65" s="247" t="n">
        <v>0.27</v>
      </c>
      <c r="P65" s="235" t="n">
        <v>0</v>
      </c>
      <c r="Q65" s="235" t="n">
        <v>0</v>
      </c>
      <c r="R65" s="235" t="n">
        <v>0</v>
      </c>
      <c r="S65" s="235" t="n">
        <v>0</v>
      </c>
      <c r="T65" s="235" t="n">
        <v>0</v>
      </c>
      <c r="U65" s="235" t="n">
        <v>0</v>
      </c>
      <c r="V65" s="235" t="n">
        <v>0</v>
      </c>
      <c r="W65" s="235" t="n">
        <v>0</v>
      </c>
      <c r="X65" s="461" t="inlineStr">
        <is>
          <t>按实</t>
        </is>
      </c>
      <c r="Y65" s="461" t="inlineStr">
        <is>
          <t>/</t>
        </is>
      </c>
      <c r="Z65" s="461" t="inlineStr">
        <is>
          <t>/</t>
        </is>
      </c>
      <c r="AA65" s="461" t="inlineStr">
        <is>
          <t>按实</t>
        </is>
      </c>
      <c r="AB65" s="22" t="n"/>
      <c r="AC65" s="224" t="n"/>
      <c r="AD65" s="232" t="n"/>
      <c r="AE65" s="232" t="n"/>
    </row>
    <row r="66" hidden="1" ht="37.5" customFormat="1" customHeight="1" s="209">
      <c r="A66" s="219" t="n">
        <v>64</v>
      </c>
      <c r="B66" s="220" t="inlineStr">
        <is>
          <t>KQCY0064</t>
        </is>
      </c>
      <c r="C66" s="221" t="n"/>
      <c r="D66" s="221" t="n"/>
      <c r="E66" s="221" t="inlineStr">
        <is>
          <t>无锡工艺第二食堂</t>
        </is>
      </c>
      <c r="F66" s="239" t="inlineStr">
        <is>
          <t>分组作业</t>
        </is>
      </c>
      <c r="G66" s="222" t="inlineStr">
        <is>
          <t>吉沐牛</t>
        </is>
      </c>
      <c r="H66" s="222" t="inlineStr">
        <is>
          <t>第六班组</t>
        </is>
      </c>
      <c r="I66" s="261" t="inlineStr">
        <is>
          <t>称重水饺、馄饨</t>
        </is>
      </c>
      <c r="J66" s="261" t="inlineStr">
        <is>
          <t>张宜轩</t>
        </is>
      </c>
      <c r="K66" s="222" t="n"/>
      <c r="L66" s="224" t="n"/>
      <c r="M66" s="224" t="n"/>
      <c r="N66" s="651" t="n"/>
      <c r="O66" s="247" t="n">
        <v>0.28</v>
      </c>
      <c r="P66" s="235" t="n">
        <v>0</v>
      </c>
      <c r="Q66" s="235" t="n">
        <v>0</v>
      </c>
      <c r="R66" s="235" t="n">
        <v>0</v>
      </c>
      <c r="S66" s="235" t="n">
        <v>0</v>
      </c>
      <c r="T66" s="235" t="n">
        <v>0</v>
      </c>
      <c r="U66" s="235" t="n">
        <v>0</v>
      </c>
      <c r="V66" s="235" t="n">
        <v>0</v>
      </c>
      <c r="W66" s="235" t="n">
        <v>0</v>
      </c>
      <c r="X66" s="461" t="inlineStr">
        <is>
          <t>按实</t>
        </is>
      </c>
      <c r="Y66" s="461" t="inlineStr">
        <is>
          <t>/</t>
        </is>
      </c>
      <c r="Z66" s="461" t="inlineStr">
        <is>
          <t>/</t>
        </is>
      </c>
      <c r="AA66" s="461" t="inlineStr">
        <is>
          <t>按实</t>
        </is>
      </c>
      <c r="AB66" s="22" t="n"/>
      <c r="AC66" s="224" t="n"/>
      <c r="AD66" s="232" t="n"/>
      <c r="AE66" s="232" t="n"/>
    </row>
    <row r="67" hidden="1" ht="56.25" customFormat="1" customHeight="1" s="209">
      <c r="A67" s="219" t="n">
        <v>65</v>
      </c>
      <c r="B67" s="220" t="inlineStr">
        <is>
          <t>KQCY0065</t>
        </is>
      </c>
      <c r="C67" s="221" t="n"/>
      <c r="D67" s="221" t="n"/>
      <c r="E67" s="221" t="inlineStr">
        <is>
          <t>无锡工艺第二食堂</t>
        </is>
      </c>
      <c r="F67" s="239" t="inlineStr">
        <is>
          <t>分组作业</t>
        </is>
      </c>
      <c r="G67" s="222" t="inlineStr">
        <is>
          <t>吉沐牛</t>
        </is>
      </c>
      <c r="H67" s="222" t="inlineStr">
        <is>
          <t>第七班组</t>
        </is>
      </c>
      <c r="I67" s="261" t="inlineStr">
        <is>
          <t>掉渣饼、徐州米线、鸡汤饭</t>
        </is>
      </c>
      <c r="J67" s="261" t="inlineStr">
        <is>
          <t>武玉柳</t>
        </is>
      </c>
      <c r="K67" s="222" t="n"/>
      <c r="L67" s="224" t="n"/>
      <c r="M67" s="224" t="n"/>
      <c r="N67" s="651" t="n"/>
      <c r="O67" s="247" t="n">
        <v>0.28</v>
      </c>
      <c r="P67" s="235" t="n">
        <v>0</v>
      </c>
      <c r="Q67" s="235" t="n">
        <v>0</v>
      </c>
      <c r="R67" s="235" t="n">
        <v>0</v>
      </c>
      <c r="S67" s="235" t="n">
        <v>0</v>
      </c>
      <c r="T67" s="235" t="n">
        <v>0</v>
      </c>
      <c r="U67" s="235" t="n">
        <v>0</v>
      </c>
      <c r="V67" s="235" t="n">
        <v>0</v>
      </c>
      <c r="W67" s="235" t="n">
        <v>0</v>
      </c>
      <c r="X67" s="461" t="inlineStr">
        <is>
          <t>按实</t>
        </is>
      </c>
      <c r="Y67" s="461" t="inlineStr">
        <is>
          <t>/</t>
        </is>
      </c>
      <c r="Z67" s="461" t="inlineStr">
        <is>
          <t>/</t>
        </is>
      </c>
      <c r="AA67" s="461" t="inlineStr">
        <is>
          <t>按实</t>
        </is>
      </c>
      <c r="AB67" s="22" t="n"/>
      <c r="AC67" s="224" t="n"/>
      <c r="AD67" s="232" t="n"/>
      <c r="AE67" s="232" t="n"/>
    </row>
    <row r="68" hidden="1" ht="37.5" customFormat="1" customHeight="1" s="209">
      <c r="A68" s="219" t="n">
        <v>66</v>
      </c>
      <c r="B68" s="220" t="inlineStr">
        <is>
          <t>KQCY0066</t>
        </is>
      </c>
      <c r="C68" s="221" t="n"/>
      <c r="D68" s="221" t="n"/>
      <c r="E68" s="221" t="inlineStr">
        <is>
          <t>无锡工艺第二食堂</t>
        </is>
      </c>
      <c r="F68" s="239" t="inlineStr">
        <is>
          <t>分组作业</t>
        </is>
      </c>
      <c r="G68" s="222" t="inlineStr">
        <is>
          <t>吉沐牛</t>
        </is>
      </c>
      <c r="H68" s="222" t="inlineStr">
        <is>
          <t>第八班组</t>
        </is>
      </c>
      <c r="I68" s="261" t="inlineStr">
        <is>
          <t>爆炒盖浇饭、套餐饭</t>
        </is>
      </c>
      <c r="J68" s="261" t="inlineStr">
        <is>
          <t>赵裕旭</t>
        </is>
      </c>
      <c r="K68" s="222" t="n"/>
      <c r="L68" s="224" t="n"/>
      <c r="M68" s="224" t="n"/>
      <c r="N68" s="651" t="n"/>
      <c r="O68" s="247" t="n">
        <v>0.28</v>
      </c>
      <c r="P68" s="235" t="n">
        <v>0</v>
      </c>
      <c r="Q68" s="235" t="n">
        <v>0</v>
      </c>
      <c r="R68" s="235" t="n">
        <v>0</v>
      </c>
      <c r="S68" s="235" t="n">
        <v>0</v>
      </c>
      <c r="T68" s="235" t="n">
        <v>0</v>
      </c>
      <c r="U68" s="235" t="n">
        <v>0</v>
      </c>
      <c r="V68" s="235" t="n">
        <v>0</v>
      </c>
      <c r="W68" s="235" t="n">
        <v>0</v>
      </c>
      <c r="X68" s="461" t="inlineStr">
        <is>
          <t>按实</t>
        </is>
      </c>
      <c r="Y68" s="461" t="inlineStr">
        <is>
          <t>/</t>
        </is>
      </c>
      <c r="Z68" s="461" t="inlineStr">
        <is>
          <t>/</t>
        </is>
      </c>
      <c r="AA68" s="461" t="inlineStr">
        <is>
          <t>按实</t>
        </is>
      </c>
      <c r="AB68" s="22" t="n"/>
      <c r="AC68" s="224" t="n"/>
      <c r="AD68" s="232" t="n"/>
      <c r="AE68" s="232" t="n"/>
    </row>
    <row r="69" hidden="1" ht="37.5" customFormat="1" customHeight="1" s="209">
      <c r="A69" s="219" t="n">
        <v>67</v>
      </c>
      <c r="B69" s="220" t="inlineStr">
        <is>
          <t>KQCY0067</t>
        </is>
      </c>
      <c r="C69" s="221" t="n"/>
      <c r="D69" s="221" t="n"/>
      <c r="E69" s="221" t="inlineStr">
        <is>
          <t>无锡工艺第二食堂</t>
        </is>
      </c>
      <c r="F69" s="239" t="inlineStr">
        <is>
          <t>分组作业</t>
        </is>
      </c>
      <c r="G69" s="222" t="inlineStr">
        <is>
          <t>吉沐牛</t>
        </is>
      </c>
      <c r="H69" s="222" t="inlineStr">
        <is>
          <t>第九班组</t>
        </is>
      </c>
      <c r="I69" s="261" t="inlineStr">
        <is>
          <t>休闲水吧、水果</t>
        </is>
      </c>
      <c r="J69" s="261" t="inlineStr">
        <is>
          <t>党玉真</t>
        </is>
      </c>
      <c r="K69" s="222" t="n"/>
      <c r="L69" s="224" t="n"/>
      <c r="M69" s="224" t="n"/>
      <c r="N69" s="651" t="n"/>
      <c r="O69" s="247" t="n">
        <v>0.13</v>
      </c>
      <c r="P69" s="235" t="n">
        <v>0</v>
      </c>
      <c r="Q69" s="235" t="n">
        <v>0</v>
      </c>
      <c r="R69" s="235" t="n">
        <v>0</v>
      </c>
      <c r="S69" s="235" t="n">
        <v>0</v>
      </c>
      <c r="T69" s="235" t="n">
        <v>0</v>
      </c>
      <c r="U69" s="235" t="n">
        <v>0</v>
      </c>
      <c r="V69" s="235" t="n">
        <v>0</v>
      </c>
      <c r="W69" s="235" t="n">
        <v>0</v>
      </c>
      <c r="X69" s="461" t="inlineStr">
        <is>
          <t>按实</t>
        </is>
      </c>
      <c r="Y69" s="461" t="inlineStr">
        <is>
          <t>/</t>
        </is>
      </c>
      <c r="Z69" s="461" t="inlineStr">
        <is>
          <t>/</t>
        </is>
      </c>
      <c r="AA69" s="461" t="inlineStr">
        <is>
          <t>按实</t>
        </is>
      </c>
      <c r="AB69" s="22" t="n"/>
      <c r="AC69" s="224" t="n"/>
      <c r="AD69" s="232" t="n"/>
      <c r="AE69" s="232" t="n"/>
    </row>
    <row r="70" hidden="1" ht="112.5" customFormat="1" customHeight="1" s="209">
      <c r="A70" s="219" t="n">
        <v>68</v>
      </c>
      <c r="B70" s="220" t="inlineStr">
        <is>
          <t>KQCY0068</t>
        </is>
      </c>
      <c r="C70" s="221" t="n"/>
      <c r="D70" s="221" t="n"/>
      <c r="E70" s="221" t="inlineStr">
        <is>
          <t>无锡工艺第二食堂</t>
        </is>
      </c>
      <c r="F70" s="239" t="inlineStr">
        <is>
          <t>分组作业</t>
        </is>
      </c>
      <c r="G70" s="222" t="inlineStr">
        <is>
          <t>吉沐牛</t>
        </is>
      </c>
      <c r="H70" s="222" t="inlineStr">
        <is>
          <t>第十一班组</t>
        </is>
      </c>
      <c r="I70" s="261" t="inlineStr">
        <is>
          <t>（二楼特色小吃）汉堡、炸鸡、自主称重快餐、千里香馄饨、手擀面</t>
        </is>
      </c>
      <c r="J70" s="261" t="inlineStr">
        <is>
          <t>常霞</t>
        </is>
      </c>
      <c r="K70" s="222" t="n"/>
      <c r="L70" s="224" t="n"/>
      <c r="M70" s="224" t="n"/>
      <c r="N70" s="651" t="n"/>
      <c r="O70" s="247" t="n">
        <v>0.06</v>
      </c>
      <c r="P70" s="235" t="n">
        <v>0</v>
      </c>
      <c r="Q70" s="235" t="n">
        <v>0</v>
      </c>
      <c r="R70" s="235" t="n">
        <v>0</v>
      </c>
      <c r="S70" s="235" t="n">
        <v>0</v>
      </c>
      <c r="T70" s="235" t="n">
        <v>0</v>
      </c>
      <c r="U70" s="235" t="n">
        <v>0</v>
      </c>
      <c r="V70" s="235" t="n">
        <v>0</v>
      </c>
      <c r="W70" s="235" t="n">
        <v>0</v>
      </c>
      <c r="X70" s="461" t="inlineStr">
        <is>
          <t>按实</t>
        </is>
      </c>
      <c r="Y70" s="461" t="inlineStr">
        <is>
          <t>水费、电费、燃气费、保洁费自行承担</t>
        </is>
      </c>
      <c r="Z70" s="461" t="inlineStr">
        <is>
          <t>/</t>
        </is>
      </c>
      <c r="AA70" s="461" t="inlineStr">
        <is>
          <t>按实</t>
        </is>
      </c>
      <c r="AB70" s="22" t="n"/>
      <c r="AC70" s="224" t="n"/>
      <c r="AD70" s="232" t="n"/>
      <c r="AE70" s="232" t="n"/>
    </row>
    <row r="71" ht="12" customFormat="1" customHeight="1" s="209">
      <c r="A71" s="219" t="n">
        <v>69</v>
      </c>
      <c r="B71" s="220" t="inlineStr">
        <is>
          <t>KQCY0069</t>
        </is>
      </c>
      <c r="C71" s="221" t="inlineStr">
        <is>
          <t>餐饮二分部</t>
        </is>
      </c>
      <c r="D71" s="221" t="inlineStr">
        <is>
          <t>CF360</t>
        </is>
      </c>
      <c r="E71" s="221" t="inlineStr">
        <is>
          <t>南通师专新校区食堂</t>
        </is>
      </c>
      <c r="F71" s="219" t="inlineStr">
        <is>
          <t>自营</t>
        </is>
      </c>
      <c r="G71" s="222" t="inlineStr">
        <is>
          <t>位军浩</t>
        </is>
      </c>
      <c r="H71" s="222" t="inlineStr">
        <is>
          <t>/</t>
        </is>
      </c>
      <c r="I71" s="237" t="inlineStr">
        <is>
          <t>/</t>
        </is>
      </c>
      <c r="J71" s="222" t="inlineStr">
        <is>
          <t>/</t>
        </is>
      </c>
      <c r="K71" s="222" t="n"/>
      <c r="L71" s="224" t="n"/>
      <c r="M71" s="224" t="inlineStr">
        <is>
          <t>/</t>
        </is>
      </c>
      <c r="N71" s="651" t="inlineStr">
        <is>
          <t>/</t>
        </is>
      </c>
      <c r="O71" s="235" t="inlineStr">
        <is>
          <t>/</t>
        </is>
      </c>
      <c r="P71" s="235" t="inlineStr">
        <is>
          <t>/</t>
        </is>
      </c>
      <c r="Q71" s="235" t="inlineStr">
        <is>
          <t>/</t>
        </is>
      </c>
      <c r="R71" s="235" t="inlineStr">
        <is>
          <t>/</t>
        </is>
      </c>
      <c r="S71" s="235" t="inlineStr">
        <is>
          <t>/</t>
        </is>
      </c>
      <c r="T71" s="235" t="inlineStr">
        <is>
          <t>/</t>
        </is>
      </c>
      <c r="U71" s="235" t="inlineStr">
        <is>
          <t>/</t>
        </is>
      </c>
      <c r="V71" s="235" t="inlineStr">
        <is>
          <t>/</t>
        </is>
      </c>
      <c r="W71" s="235" t="inlineStr">
        <is>
          <t>/</t>
        </is>
      </c>
      <c r="X71" s="235" t="inlineStr">
        <is>
          <t>/</t>
        </is>
      </c>
      <c r="Y71" s="235" t="n"/>
      <c r="Z71" s="235" t="n"/>
      <c r="AA71" s="235" t="n"/>
      <c r="AB71" s="22" t="n">
        <v>0.1</v>
      </c>
      <c r="AC71" s="224" t="inlineStr">
        <is>
          <t>/</t>
        </is>
      </c>
      <c r="AD71" s="232" t="n"/>
      <c r="AE71" s="232" t="n"/>
    </row>
    <row r="72" ht="36" customFormat="1" customHeight="1" s="209">
      <c r="A72" s="219" t="n">
        <v>70</v>
      </c>
      <c r="B72" s="220" t="inlineStr">
        <is>
          <t>KQCY0070</t>
        </is>
      </c>
      <c r="C72" s="221" t="inlineStr">
        <is>
          <t>餐饮二分部</t>
        </is>
      </c>
      <c r="D72" s="221" t="inlineStr">
        <is>
          <t>CF360</t>
        </is>
      </c>
      <c r="E72" s="221" t="inlineStr">
        <is>
          <t>南通师专新校区食堂</t>
        </is>
      </c>
      <c r="F72" s="219" t="inlineStr">
        <is>
          <t>分组作业</t>
        </is>
      </c>
      <c r="G72" s="222" t="inlineStr">
        <is>
          <t>位军浩</t>
        </is>
      </c>
      <c r="H72" s="222" t="inlineStr">
        <is>
          <t>第一班组</t>
        </is>
      </c>
      <c r="I72" s="232" t="inlineStr">
        <is>
          <t>琳榆炸鸡腿</t>
        </is>
      </c>
      <c r="J72" s="503" t="inlineStr">
        <is>
          <t>王友强</t>
        </is>
      </c>
      <c r="K72" s="503" t="n"/>
      <c r="L72" s="224" t="n"/>
      <c r="M72" s="224" t="inlineStr">
        <is>
          <t>/</t>
        </is>
      </c>
      <c r="N72" s="651" t="n">
        <v>800000</v>
      </c>
      <c r="O72" s="247" t="n">
        <v>0.2</v>
      </c>
      <c r="P72" s="235" t="inlineStr">
        <is>
          <t>/</t>
        </is>
      </c>
      <c r="Q72" s="235" t="inlineStr">
        <is>
          <t>/</t>
        </is>
      </c>
      <c r="R72" s="247" t="inlineStr">
        <is>
          <t>/</t>
        </is>
      </c>
      <c r="S72" s="247" t="inlineStr">
        <is>
          <t>/</t>
        </is>
      </c>
      <c r="T72" s="247" t="inlineStr">
        <is>
          <t>/</t>
        </is>
      </c>
      <c r="U72" s="235" t="inlineStr">
        <is>
          <t>/</t>
        </is>
      </c>
      <c r="V72" s="247" t="n">
        <v>0.03</v>
      </c>
      <c r="W72" s="247" t="n">
        <v>0.04</v>
      </c>
      <c r="X72" s="227" t="inlineStr">
        <is>
          <t xml:space="preserve"> 按实</t>
        </is>
      </c>
      <c r="Y72" s="235" t="inlineStr">
        <is>
          <t>/</t>
        </is>
      </c>
      <c r="Z72" s="235" t="inlineStr">
        <is>
          <t>/</t>
        </is>
      </c>
      <c r="AA72" s="235" t="inlineStr">
        <is>
          <t xml:space="preserve"> 按实</t>
        </is>
      </c>
      <c r="AB72" s="22" t="inlineStr">
        <is>
          <t>/</t>
        </is>
      </c>
      <c r="AC72" s="224" t="inlineStr">
        <is>
          <t>/</t>
        </is>
      </c>
      <c r="AD72" s="250" t="inlineStr">
        <is>
          <t>1、装修折旧费：25万/年，分组作业未分摊，服务费已包含</t>
        </is>
      </c>
      <c r="AE72" s="232" t="inlineStr">
        <is>
          <t xml:space="preserve">1、签订期间：2026.3.1-2026.7.31；
2、指标按照全年换算；
</t>
        </is>
      </c>
    </row>
    <row r="73" ht="36" customFormat="1" customHeight="1" s="209">
      <c r="A73" s="219" t="n">
        <v>71</v>
      </c>
      <c r="B73" s="220" t="inlineStr">
        <is>
          <t>KQCY0071</t>
        </is>
      </c>
      <c r="C73" s="221" t="inlineStr">
        <is>
          <t>餐饮二分部</t>
        </is>
      </c>
      <c r="D73" s="221" t="inlineStr">
        <is>
          <t>CF360</t>
        </is>
      </c>
      <c r="E73" s="221" t="inlineStr">
        <is>
          <t>南通师专新校区食堂</t>
        </is>
      </c>
      <c r="F73" s="219" t="inlineStr">
        <is>
          <t>分组作业</t>
        </is>
      </c>
      <c r="G73" s="222" t="inlineStr">
        <is>
          <t>位军浩</t>
        </is>
      </c>
      <c r="H73" s="222" t="inlineStr">
        <is>
          <t>第二班组</t>
        </is>
      </c>
      <c r="I73" s="232" t="inlineStr">
        <is>
          <t>中式早点</t>
        </is>
      </c>
      <c r="J73" s="503" t="inlineStr">
        <is>
          <t>何小杏</t>
        </is>
      </c>
      <c r="K73" s="503" t="n"/>
      <c r="L73" s="224" t="n"/>
      <c r="M73" s="224" t="inlineStr">
        <is>
          <t>/</t>
        </is>
      </c>
      <c r="N73" s="651" t="n">
        <v>880000</v>
      </c>
      <c r="O73" s="247" t="n">
        <v>0.18</v>
      </c>
      <c r="P73" s="235" t="inlineStr">
        <is>
          <t>/</t>
        </is>
      </c>
      <c r="Q73" s="235" t="inlineStr">
        <is>
          <t>/</t>
        </is>
      </c>
      <c r="R73" s="247" t="inlineStr">
        <is>
          <t>/</t>
        </is>
      </c>
      <c r="S73" s="247" t="inlineStr">
        <is>
          <t>/</t>
        </is>
      </c>
      <c r="T73" s="247" t="inlineStr">
        <is>
          <t>/</t>
        </is>
      </c>
      <c r="U73" s="235" t="inlineStr">
        <is>
          <t>/</t>
        </is>
      </c>
      <c r="V73" s="247" t="n">
        <v>0.02</v>
      </c>
      <c r="W73" s="247" t="n">
        <v>0.03</v>
      </c>
      <c r="X73" s="227" t="inlineStr">
        <is>
          <t xml:space="preserve"> 按实</t>
        </is>
      </c>
      <c r="Y73" s="235" t="inlineStr">
        <is>
          <t>/</t>
        </is>
      </c>
      <c r="Z73" s="235" t="inlineStr">
        <is>
          <t>/</t>
        </is>
      </c>
      <c r="AA73" s="235" t="inlineStr">
        <is>
          <t xml:space="preserve"> 按实</t>
        </is>
      </c>
      <c r="AB73" s="22" t="inlineStr">
        <is>
          <t>/</t>
        </is>
      </c>
      <c r="AC73" s="224" t="inlineStr">
        <is>
          <t>/</t>
        </is>
      </c>
      <c r="AD73" s="250" t="inlineStr">
        <is>
          <t>1、装修折旧费：25万/年，分组作业未分摊，服务费已包含</t>
        </is>
      </c>
      <c r="AE73" s="232" t="inlineStr">
        <is>
          <t xml:space="preserve">1、签订期间：2026.3.1-2026.7.31；
2、指标按照全年换算；
</t>
        </is>
      </c>
    </row>
    <row r="74" ht="36" customFormat="1" customHeight="1" s="209">
      <c r="A74" s="219" t="n">
        <v>72</v>
      </c>
      <c r="B74" s="220" t="inlineStr">
        <is>
          <t>KQCY0072</t>
        </is>
      </c>
      <c r="C74" s="221" t="inlineStr">
        <is>
          <t>餐饮二分部</t>
        </is>
      </c>
      <c r="D74" s="221" t="inlineStr">
        <is>
          <t>CF360</t>
        </is>
      </c>
      <c r="E74" s="221" t="inlineStr">
        <is>
          <t>南通师专新校区食堂</t>
        </is>
      </c>
      <c r="F74" s="219" t="inlineStr">
        <is>
          <t>分组作业</t>
        </is>
      </c>
      <c r="G74" s="222" t="inlineStr">
        <is>
          <t>位军浩</t>
        </is>
      </c>
      <c r="H74" s="222" t="inlineStr">
        <is>
          <t>第三班组</t>
        </is>
      </c>
      <c r="I74" s="232" t="inlineStr">
        <is>
          <t>土耳其烤肉饭</t>
        </is>
      </c>
      <c r="J74" s="503" t="inlineStr">
        <is>
          <t>薛小勇</t>
        </is>
      </c>
      <c r="K74" s="503" t="n"/>
      <c r="L74" s="224" t="n"/>
      <c r="M74" s="224" t="inlineStr">
        <is>
          <t>/</t>
        </is>
      </c>
      <c r="N74" s="651" t="n">
        <v>800000</v>
      </c>
      <c r="O74" s="247" t="n">
        <v>0.18</v>
      </c>
      <c r="P74" s="235" t="inlineStr">
        <is>
          <t>/</t>
        </is>
      </c>
      <c r="Q74" s="235" t="inlineStr">
        <is>
          <t>/</t>
        </is>
      </c>
      <c r="R74" s="247" t="inlineStr">
        <is>
          <t>/</t>
        </is>
      </c>
      <c r="S74" s="247" t="inlineStr">
        <is>
          <t>/</t>
        </is>
      </c>
      <c r="T74" s="247" t="inlineStr">
        <is>
          <t>/</t>
        </is>
      </c>
      <c r="U74" s="235" t="inlineStr">
        <is>
          <t>/</t>
        </is>
      </c>
      <c r="V74" s="247" t="n">
        <v>0.03</v>
      </c>
      <c r="W74" s="247" t="n">
        <v>0.03</v>
      </c>
      <c r="X74" s="227" t="inlineStr">
        <is>
          <t xml:space="preserve"> 按实</t>
        </is>
      </c>
      <c r="Y74" s="235" t="inlineStr">
        <is>
          <t>/</t>
        </is>
      </c>
      <c r="Z74" s="235" t="inlineStr">
        <is>
          <t>/</t>
        </is>
      </c>
      <c r="AA74" s="235" t="inlineStr">
        <is>
          <t xml:space="preserve"> 按实</t>
        </is>
      </c>
      <c r="AB74" s="22" t="inlineStr">
        <is>
          <t>/</t>
        </is>
      </c>
      <c r="AC74" s="224" t="inlineStr">
        <is>
          <t>/</t>
        </is>
      </c>
      <c r="AD74" s="250" t="inlineStr">
        <is>
          <t>1、装修折旧费：25万/年，分组作业未分摊，服务费已包含</t>
        </is>
      </c>
      <c r="AE74" s="232" t="inlineStr">
        <is>
          <t xml:space="preserve">1、签订期间：2026.3.1-2026.7.31；
2、指标按照全年换算；
</t>
        </is>
      </c>
    </row>
    <row r="75" ht="36" customFormat="1" customHeight="1" s="209">
      <c r="A75" s="219" t="n">
        <v>73</v>
      </c>
      <c r="B75" s="220" t="inlineStr">
        <is>
          <t>KQCY0073</t>
        </is>
      </c>
      <c r="C75" s="221" t="inlineStr">
        <is>
          <t>餐饮二分部</t>
        </is>
      </c>
      <c r="D75" s="221" t="inlineStr">
        <is>
          <t>CF360</t>
        </is>
      </c>
      <c r="E75" s="221" t="inlineStr">
        <is>
          <t>南通师专新校区食堂</t>
        </is>
      </c>
      <c r="F75" s="219" t="inlineStr">
        <is>
          <t>分组作业</t>
        </is>
      </c>
      <c r="G75" s="222" t="inlineStr">
        <is>
          <t>位军浩</t>
        </is>
      </c>
      <c r="H75" s="222" t="inlineStr">
        <is>
          <t>第四班组</t>
        </is>
      </c>
      <c r="I75" s="232" t="inlineStr">
        <is>
          <t>营养粥小笼包</t>
        </is>
      </c>
      <c r="J75" s="503" t="inlineStr">
        <is>
          <t>沈玲</t>
        </is>
      </c>
      <c r="K75" s="503" t="n"/>
      <c r="L75" s="224" t="n"/>
      <c r="M75" s="224" t="inlineStr">
        <is>
          <t>/</t>
        </is>
      </c>
      <c r="N75" s="651" t="n">
        <v>800000</v>
      </c>
      <c r="O75" s="247" t="n">
        <v>0.2</v>
      </c>
      <c r="P75" s="235" t="inlineStr">
        <is>
          <t>/</t>
        </is>
      </c>
      <c r="Q75" s="235" t="inlineStr">
        <is>
          <t>/</t>
        </is>
      </c>
      <c r="R75" s="247" t="inlineStr">
        <is>
          <t>/</t>
        </is>
      </c>
      <c r="S75" s="247" t="inlineStr">
        <is>
          <t>/</t>
        </is>
      </c>
      <c r="T75" s="247" t="inlineStr">
        <is>
          <t>/</t>
        </is>
      </c>
      <c r="U75" s="235" t="inlineStr">
        <is>
          <t>/</t>
        </is>
      </c>
      <c r="V75" s="247" t="n">
        <v>0.03</v>
      </c>
      <c r="W75" s="247" t="n">
        <v>0.04</v>
      </c>
      <c r="X75" s="227" t="inlineStr">
        <is>
          <t xml:space="preserve"> 按实</t>
        </is>
      </c>
      <c r="Y75" s="235" t="inlineStr">
        <is>
          <t>/</t>
        </is>
      </c>
      <c r="Z75" s="235" t="inlineStr">
        <is>
          <t>/</t>
        </is>
      </c>
      <c r="AA75" s="235" t="inlineStr">
        <is>
          <t xml:space="preserve"> 按实</t>
        </is>
      </c>
      <c r="AB75" s="22" t="inlineStr">
        <is>
          <t>/</t>
        </is>
      </c>
      <c r="AC75" s="224" t="inlineStr">
        <is>
          <t>/</t>
        </is>
      </c>
      <c r="AD75" s="250" t="inlineStr">
        <is>
          <t>1、装修折旧费：25万/年，分组作业未分摊，服务费已包含</t>
        </is>
      </c>
      <c r="AE75" s="232" t="inlineStr">
        <is>
          <t xml:space="preserve">1、签订期间：2026.3.1-2026.7.31；
2、指标按照全年换算；
</t>
        </is>
      </c>
    </row>
    <row r="76" ht="36" customFormat="1" customHeight="1" s="209">
      <c r="A76" s="219" t="n">
        <v>74</v>
      </c>
      <c r="B76" s="220" t="inlineStr">
        <is>
          <t>KQCY0074</t>
        </is>
      </c>
      <c r="C76" s="221" t="inlineStr">
        <is>
          <t>餐饮二分部</t>
        </is>
      </c>
      <c r="D76" s="221" t="inlineStr">
        <is>
          <t>CF360</t>
        </is>
      </c>
      <c r="E76" s="221" t="inlineStr">
        <is>
          <t>南通师专新校区食堂</t>
        </is>
      </c>
      <c r="F76" s="219" t="inlineStr">
        <is>
          <t>分组作业</t>
        </is>
      </c>
      <c r="G76" s="222" t="inlineStr">
        <is>
          <t>位军浩</t>
        </is>
      </c>
      <c r="H76" s="222" t="inlineStr">
        <is>
          <t>第五班组</t>
        </is>
      </c>
      <c r="I76" s="232" t="inlineStr">
        <is>
          <t>生烫牛肉米线</t>
        </is>
      </c>
      <c r="J76" s="503" t="inlineStr">
        <is>
          <t>刘海霞</t>
        </is>
      </c>
      <c r="K76" s="503" t="n"/>
      <c r="L76" s="224" t="n"/>
      <c r="M76" s="224" t="inlineStr">
        <is>
          <t>/</t>
        </is>
      </c>
      <c r="N76" s="651" t="n">
        <v>800000</v>
      </c>
      <c r="O76" s="247" t="n">
        <v>0.2</v>
      </c>
      <c r="P76" s="235" t="inlineStr">
        <is>
          <t>/</t>
        </is>
      </c>
      <c r="Q76" s="235" t="inlineStr">
        <is>
          <t>/</t>
        </is>
      </c>
      <c r="R76" s="247" t="inlineStr">
        <is>
          <t>/</t>
        </is>
      </c>
      <c r="S76" s="247" t="inlineStr">
        <is>
          <t>/</t>
        </is>
      </c>
      <c r="T76" s="247" t="inlineStr">
        <is>
          <t>/</t>
        </is>
      </c>
      <c r="U76" s="235" t="inlineStr">
        <is>
          <t>/</t>
        </is>
      </c>
      <c r="V76" s="247" t="n">
        <v>0.03</v>
      </c>
      <c r="W76" s="247" t="n">
        <v>0.04</v>
      </c>
      <c r="X76" s="227" t="inlineStr">
        <is>
          <t xml:space="preserve"> 按实</t>
        </is>
      </c>
      <c r="Y76" s="235" t="inlineStr">
        <is>
          <t>/</t>
        </is>
      </c>
      <c r="Z76" s="235" t="inlineStr">
        <is>
          <t>/</t>
        </is>
      </c>
      <c r="AA76" s="235" t="inlineStr">
        <is>
          <t xml:space="preserve"> 按实</t>
        </is>
      </c>
      <c r="AB76" s="22" t="inlineStr">
        <is>
          <t>/</t>
        </is>
      </c>
      <c r="AC76" s="224" t="inlineStr">
        <is>
          <t>/</t>
        </is>
      </c>
      <c r="AD76" s="250" t="inlineStr">
        <is>
          <t>1、装修折旧费：25万/年，分组作业未分摊，服务费已包含</t>
        </is>
      </c>
      <c r="AE76" s="232" t="inlineStr">
        <is>
          <t xml:space="preserve">1、签订期间：2026.3.1-2026.7.31；
2、指标按照全年换算；
</t>
        </is>
      </c>
    </row>
    <row r="77" ht="36" customFormat="1" customHeight="1" s="209">
      <c r="A77" s="219" t="n">
        <v>75</v>
      </c>
      <c r="B77" s="220" t="inlineStr">
        <is>
          <t>KQCY0075</t>
        </is>
      </c>
      <c r="C77" s="221" t="inlineStr">
        <is>
          <t>餐饮二分部</t>
        </is>
      </c>
      <c r="D77" s="221" t="inlineStr">
        <is>
          <t>CF360</t>
        </is>
      </c>
      <c r="E77" s="221" t="inlineStr">
        <is>
          <t>南通师专新校区食堂</t>
        </is>
      </c>
      <c r="F77" s="219" t="inlineStr">
        <is>
          <t>分组作业</t>
        </is>
      </c>
      <c r="G77" s="222" t="inlineStr">
        <is>
          <t>位军浩</t>
        </is>
      </c>
      <c r="H77" s="222" t="inlineStr">
        <is>
          <t>第六班组</t>
        </is>
      </c>
      <c r="I77" s="232" t="inlineStr">
        <is>
          <t>咖喱蛋包饭</t>
        </is>
      </c>
      <c r="J77" s="503" t="inlineStr">
        <is>
          <t>余娇</t>
        </is>
      </c>
      <c r="K77" s="503" t="n"/>
      <c r="L77" s="224" t="n"/>
      <c r="M77" s="224" t="inlineStr">
        <is>
          <t>/</t>
        </is>
      </c>
      <c r="N77" s="651" t="n">
        <v>800000</v>
      </c>
      <c r="O77" s="247" t="n">
        <v>0.2</v>
      </c>
      <c r="P77" s="235" t="inlineStr">
        <is>
          <t>/</t>
        </is>
      </c>
      <c r="Q77" s="235" t="inlineStr">
        <is>
          <t>/</t>
        </is>
      </c>
      <c r="R77" s="247" t="inlineStr">
        <is>
          <t>/</t>
        </is>
      </c>
      <c r="S77" s="247" t="inlineStr">
        <is>
          <t>/</t>
        </is>
      </c>
      <c r="T77" s="247" t="inlineStr">
        <is>
          <t>/</t>
        </is>
      </c>
      <c r="U77" s="235" t="inlineStr">
        <is>
          <t>/</t>
        </is>
      </c>
      <c r="V77" s="247" t="n">
        <v>0.03</v>
      </c>
      <c r="W77" s="247" t="n">
        <v>0.04</v>
      </c>
      <c r="X77" s="227" t="inlineStr">
        <is>
          <t xml:space="preserve"> 按实</t>
        </is>
      </c>
      <c r="Y77" s="235" t="inlineStr">
        <is>
          <t>/</t>
        </is>
      </c>
      <c r="Z77" s="235" t="inlineStr">
        <is>
          <t>/</t>
        </is>
      </c>
      <c r="AA77" s="235" t="inlineStr">
        <is>
          <t xml:space="preserve"> 按实</t>
        </is>
      </c>
      <c r="AB77" s="22" t="inlineStr">
        <is>
          <t>/</t>
        </is>
      </c>
      <c r="AC77" s="224" t="inlineStr">
        <is>
          <t>/</t>
        </is>
      </c>
      <c r="AD77" s="250" t="inlineStr">
        <is>
          <t>1、装修折旧费：25万/年，分组作业未分摊，服务费已包含</t>
        </is>
      </c>
      <c r="AE77" s="232" t="inlineStr">
        <is>
          <t xml:space="preserve">1、签订期间：2026.3.1-2026.7.31；
2、指标按照全年换算；
</t>
        </is>
      </c>
    </row>
    <row r="78" ht="36" customFormat="1" customHeight="1" s="209">
      <c r="A78" s="219" t="n">
        <v>76</v>
      </c>
      <c r="B78" s="220" t="inlineStr">
        <is>
          <t>KQCY0076</t>
        </is>
      </c>
      <c r="C78" s="221" t="inlineStr">
        <is>
          <t>餐饮二分部</t>
        </is>
      </c>
      <c r="D78" s="221" t="inlineStr">
        <is>
          <t>CF360</t>
        </is>
      </c>
      <c r="E78" s="221" t="inlineStr">
        <is>
          <t>南通师专新校区食堂</t>
        </is>
      </c>
      <c r="F78" s="219" t="inlineStr">
        <is>
          <t>分组作业</t>
        </is>
      </c>
      <c r="G78" s="222" t="inlineStr">
        <is>
          <t>位军浩</t>
        </is>
      </c>
      <c r="H78" s="222" t="inlineStr">
        <is>
          <t>第七班组</t>
        </is>
      </c>
      <c r="I78" s="232" t="inlineStr">
        <is>
          <t>麻辣烫麻辣拌</t>
        </is>
      </c>
      <c r="J78" s="503" t="inlineStr">
        <is>
          <t>虞冬梅</t>
        </is>
      </c>
      <c r="K78" s="503" t="n"/>
      <c r="L78" s="224" t="n"/>
      <c r="M78" s="224" t="inlineStr">
        <is>
          <t>/</t>
        </is>
      </c>
      <c r="N78" s="651" t="n">
        <v>800000</v>
      </c>
      <c r="O78" s="247" t="n">
        <v>0.18</v>
      </c>
      <c r="P78" s="235" t="inlineStr">
        <is>
          <t>/</t>
        </is>
      </c>
      <c r="Q78" s="235" t="inlineStr">
        <is>
          <t>/</t>
        </is>
      </c>
      <c r="R78" s="247" t="inlineStr">
        <is>
          <t>/</t>
        </is>
      </c>
      <c r="S78" s="247" t="inlineStr">
        <is>
          <t>/</t>
        </is>
      </c>
      <c r="T78" s="247" t="inlineStr">
        <is>
          <t>/</t>
        </is>
      </c>
      <c r="U78" s="235" t="inlineStr">
        <is>
          <t>/</t>
        </is>
      </c>
      <c r="V78" s="247" t="n">
        <v>0.03</v>
      </c>
      <c r="W78" s="247" t="n">
        <v>0.03</v>
      </c>
      <c r="X78" s="227" t="inlineStr">
        <is>
          <t xml:space="preserve"> 按实</t>
        </is>
      </c>
      <c r="Y78" s="235" t="inlineStr">
        <is>
          <t>/</t>
        </is>
      </c>
      <c r="Z78" s="235" t="inlineStr">
        <is>
          <t>/</t>
        </is>
      </c>
      <c r="AA78" s="235" t="inlineStr">
        <is>
          <t xml:space="preserve"> 按实</t>
        </is>
      </c>
      <c r="AB78" s="22" t="inlineStr">
        <is>
          <t>/</t>
        </is>
      </c>
      <c r="AC78" s="224" t="inlineStr">
        <is>
          <t>/</t>
        </is>
      </c>
      <c r="AD78" s="250" t="inlineStr">
        <is>
          <t>1、装修折旧费：25万/年，分组作业未分摊，服务费已包含</t>
        </is>
      </c>
      <c r="AE78" s="232" t="inlineStr">
        <is>
          <t xml:space="preserve">1、签订期间：2026.3.1-2026.7.31；
2、指标按照全年换算；
</t>
        </is>
      </c>
    </row>
    <row r="79" ht="36" customFormat="1" customHeight="1" s="209">
      <c r="A79" s="219" t="n">
        <v>77</v>
      </c>
      <c r="B79" s="220" t="inlineStr">
        <is>
          <t>KQCY0077</t>
        </is>
      </c>
      <c r="C79" s="221" t="inlineStr">
        <is>
          <t>餐饮二分部</t>
        </is>
      </c>
      <c r="D79" s="221" t="inlineStr">
        <is>
          <t>CF360</t>
        </is>
      </c>
      <c r="E79" s="221" t="inlineStr">
        <is>
          <t>南通师专新校区食堂</t>
        </is>
      </c>
      <c r="F79" s="219" t="inlineStr">
        <is>
          <t>分组作业</t>
        </is>
      </c>
      <c r="G79" s="222" t="inlineStr">
        <is>
          <t>位军浩</t>
        </is>
      </c>
      <c r="H79" s="222" t="inlineStr">
        <is>
          <t>第八班组</t>
        </is>
      </c>
      <c r="I79" s="232" t="inlineStr">
        <is>
          <t>真老大手工云吞</t>
        </is>
      </c>
      <c r="J79" s="503" t="inlineStr">
        <is>
          <t>彭晴</t>
        </is>
      </c>
      <c r="K79" s="503" t="n"/>
      <c r="L79" s="224" t="n"/>
      <c r="M79" s="224" t="inlineStr">
        <is>
          <t>/</t>
        </is>
      </c>
      <c r="N79" s="651" t="n">
        <v>800000</v>
      </c>
      <c r="O79" s="247" t="n">
        <v>0.2</v>
      </c>
      <c r="P79" s="235" t="inlineStr">
        <is>
          <t>/</t>
        </is>
      </c>
      <c r="Q79" s="235" t="inlineStr">
        <is>
          <t>/</t>
        </is>
      </c>
      <c r="R79" s="247" t="inlineStr">
        <is>
          <t>/</t>
        </is>
      </c>
      <c r="S79" s="247" t="inlineStr">
        <is>
          <t>/</t>
        </is>
      </c>
      <c r="T79" s="247" t="inlineStr">
        <is>
          <t>/</t>
        </is>
      </c>
      <c r="U79" s="235" t="inlineStr">
        <is>
          <t>/</t>
        </is>
      </c>
      <c r="V79" s="247" t="n">
        <v>0.03</v>
      </c>
      <c r="W79" s="247" t="n">
        <v>0.04</v>
      </c>
      <c r="X79" s="227" t="inlineStr">
        <is>
          <t xml:space="preserve"> 按实</t>
        </is>
      </c>
      <c r="Y79" s="235" t="inlineStr">
        <is>
          <t>/</t>
        </is>
      </c>
      <c r="Z79" s="235" t="inlineStr">
        <is>
          <t>/</t>
        </is>
      </c>
      <c r="AA79" s="235" t="inlineStr">
        <is>
          <t xml:space="preserve"> 按实</t>
        </is>
      </c>
      <c r="AB79" s="22" t="inlineStr">
        <is>
          <t>/</t>
        </is>
      </c>
      <c r="AC79" s="224" t="inlineStr">
        <is>
          <t>/</t>
        </is>
      </c>
      <c r="AD79" s="250" t="inlineStr">
        <is>
          <t>1、装修折旧费：25万/年，分组作业未分摊，服务费已包含</t>
        </is>
      </c>
      <c r="AE79" s="232" t="inlineStr">
        <is>
          <t xml:space="preserve">1、签订期间：2026.3.1-2026.7.31；
2、指标按照全年换算；
</t>
        </is>
      </c>
    </row>
    <row r="80" ht="36" customFormat="1" customHeight="1" s="209">
      <c r="A80" s="219" t="n">
        <v>78</v>
      </c>
      <c r="B80" s="220" t="inlineStr">
        <is>
          <t>KQCY0078</t>
        </is>
      </c>
      <c r="C80" s="221" t="inlineStr">
        <is>
          <t>餐饮二分部</t>
        </is>
      </c>
      <c r="D80" s="221" t="inlineStr">
        <is>
          <t>CF360</t>
        </is>
      </c>
      <c r="E80" s="221" t="inlineStr">
        <is>
          <t>南通师专新校区食堂</t>
        </is>
      </c>
      <c r="F80" s="219" t="inlineStr">
        <is>
          <t>分组作业</t>
        </is>
      </c>
      <c r="G80" s="222" t="inlineStr">
        <is>
          <t>位军浩</t>
        </is>
      </c>
      <c r="H80" s="222" t="inlineStr">
        <is>
          <t>第九班组</t>
        </is>
      </c>
      <c r="I80" s="232" t="inlineStr">
        <is>
          <t>朱家小馆羊杂面</t>
        </is>
      </c>
      <c r="J80" s="503" t="inlineStr">
        <is>
          <t>薛桂中</t>
        </is>
      </c>
      <c r="K80" s="503" t="n"/>
      <c r="L80" s="224" t="n"/>
      <c r="M80" s="224" t="inlineStr">
        <is>
          <t>/</t>
        </is>
      </c>
      <c r="N80" s="651" t="n">
        <v>960000</v>
      </c>
      <c r="O80" s="247" t="n">
        <v>0.2</v>
      </c>
      <c r="P80" s="235" t="inlineStr">
        <is>
          <t>/</t>
        </is>
      </c>
      <c r="Q80" s="235" t="inlineStr">
        <is>
          <t>/</t>
        </is>
      </c>
      <c r="R80" s="247" t="inlineStr">
        <is>
          <t>/</t>
        </is>
      </c>
      <c r="S80" s="247" t="inlineStr">
        <is>
          <t>/</t>
        </is>
      </c>
      <c r="T80" s="247" t="inlineStr">
        <is>
          <t>/</t>
        </is>
      </c>
      <c r="U80" s="235" t="inlineStr">
        <is>
          <t>/</t>
        </is>
      </c>
      <c r="V80" s="247" t="n">
        <v>0.03</v>
      </c>
      <c r="W80" s="247" t="n">
        <v>0.04</v>
      </c>
      <c r="X80" s="227" t="inlineStr">
        <is>
          <t xml:space="preserve"> 按实</t>
        </is>
      </c>
      <c r="Y80" s="235" t="inlineStr">
        <is>
          <t>/</t>
        </is>
      </c>
      <c r="Z80" s="235" t="inlineStr">
        <is>
          <t>/</t>
        </is>
      </c>
      <c r="AA80" s="235" t="inlineStr">
        <is>
          <t xml:space="preserve"> 按实</t>
        </is>
      </c>
      <c r="AB80" s="22" t="inlineStr">
        <is>
          <t>/</t>
        </is>
      </c>
      <c r="AC80" s="224" t="inlineStr">
        <is>
          <t>/</t>
        </is>
      </c>
      <c r="AD80" s="250" t="inlineStr">
        <is>
          <t>1、装修折旧费：25万/年，分组作业未分摊，服务费已包含</t>
        </is>
      </c>
      <c r="AE80" s="232" t="inlineStr">
        <is>
          <t xml:space="preserve">1、签订期间：2026.3.1-2026.7.31；
2、指标按照全年换算；
</t>
        </is>
      </c>
    </row>
    <row r="81" ht="48" customFormat="1" customHeight="1" s="209">
      <c r="A81" s="219" t="n">
        <v>79</v>
      </c>
      <c r="B81" s="220" t="inlineStr">
        <is>
          <t>KQCY0079</t>
        </is>
      </c>
      <c r="C81" s="221" t="inlineStr">
        <is>
          <t>餐饮二分部</t>
        </is>
      </c>
      <c r="D81" s="221" t="inlineStr">
        <is>
          <t>CF360</t>
        </is>
      </c>
      <c r="E81" s="221" t="inlineStr">
        <is>
          <t>南通师专新校区食堂</t>
        </is>
      </c>
      <c r="F81" s="219" t="inlineStr">
        <is>
          <t>分组作业</t>
        </is>
      </c>
      <c r="G81" s="222" t="inlineStr">
        <is>
          <t>位军浩</t>
        </is>
      </c>
      <c r="H81" s="222" t="inlineStr">
        <is>
          <t>第十班组</t>
        </is>
      </c>
      <c r="I81" s="232" t="inlineStr">
        <is>
          <t>奶茶</t>
        </is>
      </c>
      <c r="J81" s="503" t="inlineStr">
        <is>
          <t>王艳</t>
        </is>
      </c>
      <c r="K81" s="503" t="n"/>
      <c r="L81" s="224" t="n"/>
      <c r="M81" s="224" t="inlineStr">
        <is>
          <t>/</t>
        </is>
      </c>
      <c r="N81" s="651" t="n">
        <v>480000</v>
      </c>
      <c r="O81" s="247" t="n">
        <v>0.18</v>
      </c>
      <c r="P81" s="235" t="inlineStr">
        <is>
          <t>/</t>
        </is>
      </c>
      <c r="Q81" s="235" t="inlineStr">
        <is>
          <t>/</t>
        </is>
      </c>
      <c r="R81" s="247" t="inlineStr">
        <is>
          <t>/</t>
        </is>
      </c>
      <c r="S81" s="247" t="inlineStr">
        <is>
          <t>/</t>
        </is>
      </c>
      <c r="T81" s="247" t="inlineStr">
        <is>
          <t>/</t>
        </is>
      </c>
      <c r="U81" s="235" t="inlineStr">
        <is>
          <t>/</t>
        </is>
      </c>
      <c r="V81" s="247" t="inlineStr">
        <is>
          <t>/</t>
        </is>
      </c>
      <c r="W81" s="551" t="inlineStr">
        <is>
          <t>按实</t>
        </is>
      </c>
      <c r="X81" s="227" t="inlineStr">
        <is>
          <t xml:space="preserve"> 按实</t>
        </is>
      </c>
      <c r="Y81" s="235" t="inlineStr">
        <is>
          <t>/</t>
        </is>
      </c>
      <c r="Z81" s="235" t="inlineStr">
        <is>
          <t>/</t>
        </is>
      </c>
      <c r="AA81" s="235" t="inlineStr">
        <is>
          <t xml:space="preserve"> 按实</t>
        </is>
      </c>
      <c r="AB81" s="22" t="inlineStr">
        <is>
          <t>/</t>
        </is>
      </c>
      <c r="AC81" s="224" t="inlineStr">
        <is>
          <t>/</t>
        </is>
      </c>
      <c r="AD81" s="250" t="inlineStr">
        <is>
          <t>1、装修折旧费：25万/年，分组作业未分摊，服务费已包含；
2、卫生费：分组作业不在食堂内，未分摊，服务费已包含；</t>
        </is>
      </c>
      <c r="AE81" s="232" t="inlineStr">
        <is>
          <t>1、签订期间：2026.3.1-2026.7.31；
2、指标按照全年换算；</t>
        </is>
      </c>
    </row>
    <row r="82" ht="12" customFormat="1" customHeight="1" s="209">
      <c r="A82" s="219" t="n">
        <v>80</v>
      </c>
      <c r="B82" s="220" t="inlineStr">
        <is>
          <t>KQCY0080</t>
        </is>
      </c>
      <c r="C82" s="221" t="inlineStr">
        <is>
          <t>餐饮二分部</t>
        </is>
      </c>
      <c r="D82" s="221" t="inlineStr">
        <is>
          <t>CF364</t>
        </is>
      </c>
      <c r="E82" s="221" t="inlineStr">
        <is>
          <t>江苏航运思本轩食堂</t>
        </is>
      </c>
      <c r="F82" s="219" t="inlineStr">
        <is>
          <t>自营</t>
        </is>
      </c>
      <c r="G82" s="222" t="inlineStr">
        <is>
          <t>位军浩</t>
        </is>
      </c>
      <c r="H82" s="222" t="inlineStr">
        <is>
          <t>/</t>
        </is>
      </c>
      <c r="I82" s="237" t="inlineStr">
        <is>
          <t>/</t>
        </is>
      </c>
      <c r="J82" s="222" t="inlineStr">
        <is>
          <t>/</t>
        </is>
      </c>
      <c r="K82" s="222" t="n"/>
      <c r="L82" s="224" t="n"/>
      <c r="M82" s="224" t="inlineStr">
        <is>
          <t>/</t>
        </is>
      </c>
      <c r="N82" s="651" t="inlineStr">
        <is>
          <t>/</t>
        </is>
      </c>
      <c r="O82" s="235" t="inlineStr">
        <is>
          <t>/</t>
        </is>
      </c>
      <c r="P82" s="235" t="inlineStr">
        <is>
          <t>/</t>
        </is>
      </c>
      <c r="Q82" s="235" t="inlineStr">
        <is>
          <t>/</t>
        </is>
      </c>
      <c r="R82" s="235" t="inlineStr">
        <is>
          <t>/</t>
        </is>
      </c>
      <c r="S82" s="235" t="inlineStr">
        <is>
          <t>/</t>
        </is>
      </c>
      <c r="T82" s="235" t="inlineStr">
        <is>
          <t>/</t>
        </is>
      </c>
      <c r="U82" s="235" t="inlineStr">
        <is>
          <t>/</t>
        </is>
      </c>
      <c r="V82" s="235" t="inlineStr">
        <is>
          <t>/</t>
        </is>
      </c>
      <c r="W82" s="235" t="inlineStr">
        <is>
          <t>/</t>
        </is>
      </c>
      <c r="X82" s="235" t="inlineStr">
        <is>
          <t>/</t>
        </is>
      </c>
      <c r="Y82" s="461" t="n"/>
      <c r="Z82" s="461" t="n"/>
      <c r="AA82" s="461" t="n"/>
      <c r="AB82" s="22" t="n">
        <v>0.05</v>
      </c>
      <c r="AC82" s="224" t="inlineStr">
        <is>
          <t>/</t>
        </is>
      </c>
      <c r="AD82" s="232" t="n"/>
      <c r="AE82" s="232" t="n"/>
    </row>
    <row r="83" ht="60" customFormat="1" customHeight="1" s="209">
      <c r="A83" s="219" t="n">
        <v>81</v>
      </c>
      <c r="B83" s="220" t="inlineStr">
        <is>
          <t>KQCY0081</t>
        </is>
      </c>
      <c r="C83" s="221" t="inlineStr">
        <is>
          <t>餐饮二分部</t>
        </is>
      </c>
      <c r="D83" s="221" t="inlineStr">
        <is>
          <t>CF364</t>
        </is>
      </c>
      <c r="E83" s="221" t="inlineStr">
        <is>
          <t>江苏航运思本轩食堂</t>
        </is>
      </c>
      <c r="F83" s="219" t="inlineStr">
        <is>
          <t>分组作业</t>
        </is>
      </c>
      <c r="G83" s="222" t="inlineStr">
        <is>
          <t>位军浩</t>
        </is>
      </c>
      <c r="H83" s="222" t="inlineStr">
        <is>
          <t>第一班组</t>
        </is>
      </c>
      <c r="I83" s="232" t="inlineStr">
        <is>
          <t>快餐</t>
        </is>
      </c>
      <c r="J83" s="503" t="inlineStr">
        <is>
          <t>王瑞连</t>
        </is>
      </c>
      <c r="K83" s="503" t="n"/>
      <c r="L83" s="235" t="inlineStr">
        <is>
          <t>删除</t>
        </is>
      </c>
      <c r="M83" s="224" t="inlineStr">
        <is>
          <t>/</t>
        </is>
      </c>
      <c r="N83" s="651" t="n">
        <v>1330000</v>
      </c>
      <c r="O83" s="247" t="n">
        <v>0.12</v>
      </c>
      <c r="P83" s="247" t="n">
        <v>0.01</v>
      </c>
      <c r="Q83" s="247" t="n"/>
      <c r="R83" s="247" t="n">
        <v>0.01</v>
      </c>
      <c r="S83" s="247" t="n">
        <v>0.01</v>
      </c>
      <c r="T83" s="247" t="n">
        <v>0.01</v>
      </c>
      <c r="U83" s="247" t="n">
        <v>0.02</v>
      </c>
      <c r="V83" s="247" t="n">
        <v>0.02</v>
      </c>
      <c r="W83" s="247" t="n">
        <v>0.02</v>
      </c>
      <c r="X83" s="235" t="inlineStr">
        <is>
          <t>/</t>
        </is>
      </c>
      <c r="Y83" s="235" t="n"/>
      <c r="Z83" s="235" t="n"/>
      <c r="AA83" s="235" t="n"/>
      <c r="AB83" s="22" t="inlineStr">
        <is>
          <t>/</t>
        </is>
      </c>
      <c r="AC83" s="224" t="inlineStr">
        <is>
          <t>/</t>
        </is>
      </c>
      <c r="AD83"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3" s="232" t="inlineStr">
        <is>
          <t>1、签订期间：2025.9.1-2026.8.31；
2、指标按照全年换算；
3、已撤场（2025年10月）；</t>
        </is>
      </c>
    </row>
    <row r="84" ht="60" customFormat="1" customHeight="1" s="209">
      <c r="A84" s="219" t="n">
        <v>82</v>
      </c>
      <c r="B84" s="220" t="inlineStr">
        <is>
          <t>KQCY0082</t>
        </is>
      </c>
      <c r="C84" s="221" t="inlineStr">
        <is>
          <t>餐饮二分部</t>
        </is>
      </c>
      <c r="D84" s="221" t="inlineStr">
        <is>
          <t>CF364</t>
        </is>
      </c>
      <c r="E84" s="221" t="inlineStr">
        <is>
          <t>江苏航运思本轩食堂</t>
        </is>
      </c>
      <c r="F84" s="219" t="inlineStr">
        <is>
          <t>分组作业</t>
        </is>
      </c>
      <c r="G84" s="222" t="inlineStr">
        <is>
          <t>位军浩</t>
        </is>
      </c>
      <c r="H84" s="222" t="inlineStr">
        <is>
          <t>第二班组</t>
        </is>
      </c>
      <c r="I84" s="232" t="inlineStr">
        <is>
          <t>粉丝汤（牛肉、老母鸡、牛杂、拆骨）</t>
        </is>
      </c>
      <c r="J84" s="503" t="inlineStr">
        <is>
          <t>满超</t>
        </is>
      </c>
      <c r="K84" s="503" t="n"/>
      <c r="L84" s="224" t="n"/>
      <c r="M84" s="224" t="inlineStr">
        <is>
          <t>/</t>
        </is>
      </c>
      <c r="N84" s="651" t="n">
        <v>590000</v>
      </c>
      <c r="O84" s="247" t="n">
        <v>0.12</v>
      </c>
      <c r="P84" s="247" t="n">
        <v>0.01</v>
      </c>
      <c r="Q84" s="247" t="inlineStr">
        <is>
          <t>按实</t>
        </is>
      </c>
      <c r="R84" s="247" t="n">
        <v>0.01</v>
      </c>
      <c r="S84" s="247" t="n">
        <v>0.01</v>
      </c>
      <c r="T84" s="247" t="n">
        <v>0.01</v>
      </c>
      <c r="U84" s="247" t="n">
        <v>0.02</v>
      </c>
      <c r="V84" s="247" t="inlineStr">
        <is>
          <t>按实</t>
        </is>
      </c>
      <c r="W84" s="551" t="inlineStr">
        <is>
          <t>按实</t>
        </is>
      </c>
      <c r="X84" s="235" t="inlineStr">
        <is>
          <t>按实</t>
        </is>
      </c>
      <c r="Y84" s="235" t="inlineStr">
        <is>
          <t>/</t>
        </is>
      </c>
      <c r="Z84" s="235" t="inlineStr">
        <is>
          <t>/</t>
        </is>
      </c>
      <c r="AA84" s="235" t="inlineStr">
        <is>
          <t>按实</t>
        </is>
      </c>
      <c r="AB84" s="22" t="inlineStr">
        <is>
          <t>/</t>
        </is>
      </c>
      <c r="AC84" s="224" t="inlineStr">
        <is>
          <t>/</t>
        </is>
      </c>
      <c r="AD84"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4" s="232" t="inlineStr">
        <is>
          <t>1、签订期间：2025.9.1-2026.8.31；
2、指标按照全年换算；</t>
        </is>
      </c>
    </row>
    <row r="85" ht="60" customFormat="1" customHeight="1" s="209">
      <c r="A85" s="219" t="n">
        <v>83</v>
      </c>
      <c r="B85" s="220" t="inlineStr">
        <is>
          <t>KQCY0083</t>
        </is>
      </c>
      <c r="C85" s="221" t="inlineStr">
        <is>
          <t>餐饮二分部</t>
        </is>
      </c>
      <c r="D85" s="221" t="inlineStr">
        <is>
          <t>CF364</t>
        </is>
      </c>
      <c r="E85" s="221" t="inlineStr">
        <is>
          <t>江苏航运思本轩食堂</t>
        </is>
      </c>
      <c r="F85" s="219" t="inlineStr">
        <is>
          <t>分组作业</t>
        </is>
      </c>
      <c r="G85" s="222" t="inlineStr">
        <is>
          <t>位军浩</t>
        </is>
      </c>
      <c r="H85" s="222" t="inlineStr">
        <is>
          <t>第三班组</t>
        </is>
      </c>
      <c r="I85" s="232" t="inlineStr">
        <is>
          <t>拌饭（鸡腿饭、酸梅鸭饭）</t>
        </is>
      </c>
      <c r="J85" s="503" t="inlineStr">
        <is>
          <t>唐德生</t>
        </is>
      </c>
      <c r="K85" s="503" t="n"/>
      <c r="L85" s="224" t="n"/>
      <c r="M85" s="224" t="inlineStr">
        <is>
          <t>/</t>
        </is>
      </c>
      <c r="N85" s="651" t="n">
        <v>400000</v>
      </c>
      <c r="O85" s="247" t="n">
        <v>0.12</v>
      </c>
      <c r="P85" s="247" t="n">
        <v>0.01</v>
      </c>
      <c r="Q85" s="247" t="inlineStr">
        <is>
          <t>按实</t>
        </is>
      </c>
      <c r="R85" s="247" t="n">
        <v>0.01</v>
      </c>
      <c r="S85" s="247" t="n">
        <v>0.01</v>
      </c>
      <c r="T85" s="247" t="n">
        <v>0.01</v>
      </c>
      <c r="U85" s="247" t="n">
        <v>0.02</v>
      </c>
      <c r="V85" s="247" t="n">
        <v>0.03</v>
      </c>
      <c r="W85" s="247" t="n">
        <v>0.03</v>
      </c>
      <c r="X85" s="235" t="inlineStr">
        <is>
          <t>按实</t>
        </is>
      </c>
      <c r="Y85" s="235" t="inlineStr">
        <is>
          <t>/</t>
        </is>
      </c>
      <c r="Z85" s="235" t="inlineStr">
        <is>
          <t>/</t>
        </is>
      </c>
      <c r="AA85" s="235" t="inlineStr">
        <is>
          <t>按实</t>
        </is>
      </c>
      <c r="AB85" s="22" t="inlineStr">
        <is>
          <t>/</t>
        </is>
      </c>
      <c r="AC85" s="224" t="inlineStr">
        <is>
          <t>/</t>
        </is>
      </c>
      <c r="AD85"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5" s="232" t="inlineStr">
        <is>
          <t>1、签订期间：2025.9.1-2026.8.31；
2、指标按照全年换算；</t>
        </is>
      </c>
    </row>
    <row r="86" ht="60" customFormat="1" customHeight="1" s="209">
      <c r="A86" s="219" t="n">
        <v>84</v>
      </c>
      <c r="B86" s="220" t="inlineStr">
        <is>
          <t>KQCY0084</t>
        </is>
      </c>
      <c r="C86" s="221" t="inlineStr">
        <is>
          <t>餐饮二分部</t>
        </is>
      </c>
      <c r="D86" s="221" t="inlineStr">
        <is>
          <t>CF364</t>
        </is>
      </c>
      <c r="E86" s="221" t="inlineStr">
        <is>
          <t>江苏航运思本轩食堂</t>
        </is>
      </c>
      <c r="F86" s="219" t="inlineStr">
        <is>
          <t>分组作业</t>
        </is>
      </c>
      <c r="G86" s="222" t="inlineStr">
        <is>
          <t>位军浩</t>
        </is>
      </c>
      <c r="H86" s="222" t="inlineStr">
        <is>
          <t>第五班组</t>
        </is>
      </c>
      <c r="I86" s="232" t="inlineStr">
        <is>
          <t>早餐</t>
        </is>
      </c>
      <c r="J86" s="503" t="inlineStr">
        <is>
          <t>潘捷</t>
        </is>
      </c>
      <c r="K86" s="503" t="n"/>
      <c r="L86" s="224" t="n"/>
      <c r="M86" s="224" t="inlineStr">
        <is>
          <t>/</t>
        </is>
      </c>
      <c r="N86" s="651" t="n">
        <v>240000</v>
      </c>
      <c r="O86" s="247" t="n">
        <v>0.05</v>
      </c>
      <c r="P86" s="247" t="n">
        <v>0.01</v>
      </c>
      <c r="Q86" s="247" t="inlineStr">
        <is>
          <t>按实</t>
        </is>
      </c>
      <c r="R86" s="247" t="n">
        <v>0.01</v>
      </c>
      <c r="S86" s="247" t="n">
        <v>0.01</v>
      </c>
      <c r="T86" s="247" t="n">
        <v>0.01</v>
      </c>
      <c r="U86" s="247" t="n">
        <v>0.01</v>
      </c>
      <c r="V86" s="247" t="inlineStr">
        <is>
          <t>按实</t>
        </is>
      </c>
      <c r="W86" s="551" t="inlineStr">
        <is>
          <t>按实</t>
        </is>
      </c>
      <c r="X86" s="235" t="inlineStr">
        <is>
          <t>按实</t>
        </is>
      </c>
      <c r="Y86" s="235" t="inlineStr">
        <is>
          <t>/</t>
        </is>
      </c>
      <c r="Z86" s="235" t="inlineStr">
        <is>
          <t>/</t>
        </is>
      </c>
      <c r="AA86" s="235" t="inlineStr">
        <is>
          <t>按实</t>
        </is>
      </c>
      <c r="AB86" s="22" t="inlineStr">
        <is>
          <t>/</t>
        </is>
      </c>
      <c r="AC86" s="224" t="inlineStr">
        <is>
          <t>/</t>
        </is>
      </c>
      <c r="AD86"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6" s="232" t="inlineStr">
        <is>
          <t>1、签订期间：2025.9.1-2026.8.31；
2、指标按照全年换算；</t>
        </is>
      </c>
    </row>
    <row r="87" ht="60" customFormat="1" customHeight="1" s="209">
      <c r="A87" s="219" t="n">
        <v>85</v>
      </c>
      <c r="B87" s="220" t="inlineStr">
        <is>
          <t>KQCY0085</t>
        </is>
      </c>
      <c r="C87" s="221" t="inlineStr">
        <is>
          <t>餐饮二分部</t>
        </is>
      </c>
      <c r="D87" s="221" t="inlineStr">
        <is>
          <t>CF364</t>
        </is>
      </c>
      <c r="E87" s="221" t="inlineStr">
        <is>
          <t>江苏航运思本轩食堂</t>
        </is>
      </c>
      <c r="F87" s="219" t="inlineStr">
        <is>
          <t>分组作业</t>
        </is>
      </c>
      <c r="G87" s="222" t="inlineStr">
        <is>
          <t>位军浩</t>
        </is>
      </c>
      <c r="H87" s="222" t="inlineStr">
        <is>
          <t>第六班组</t>
        </is>
      </c>
      <c r="I87" s="232" t="inlineStr">
        <is>
          <t>咖喱饭</t>
        </is>
      </c>
      <c r="J87" s="503" t="inlineStr">
        <is>
          <t>余娇</t>
        </is>
      </c>
      <c r="K87" s="503" t="n"/>
      <c r="L87" s="235" t="inlineStr">
        <is>
          <t>删除</t>
        </is>
      </c>
      <c r="M87" s="224" t="inlineStr">
        <is>
          <t>/</t>
        </is>
      </c>
      <c r="N87" s="651" t="n">
        <v>325000</v>
      </c>
      <c r="O87" s="247" t="n">
        <v>0.12</v>
      </c>
      <c r="P87" s="247" t="n">
        <v>0.01</v>
      </c>
      <c r="Q87" s="247" t="n"/>
      <c r="R87" s="247" t="n">
        <v>0.01</v>
      </c>
      <c r="S87" s="247" t="n">
        <v>0.01</v>
      </c>
      <c r="T87" s="247" t="n">
        <v>0.01</v>
      </c>
      <c r="U87" s="247" t="n">
        <v>0.02</v>
      </c>
      <c r="V87" s="247" t="n"/>
      <c r="W87" s="551" t="n"/>
      <c r="X87" s="235" t="inlineStr">
        <is>
          <t>/</t>
        </is>
      </c>
      <c r="Y87" s="235" t="n"/>
      <c r="Z87" s="235" t="n"/>
      <c r="AA87" s="235" t="n"/>
      <c r="AB87" s="22" t="inlineStr">
        <is>
          <t>/</t>
        </is>
      </c>
      <c r="AC87" s="224" t="inlineStr">
        <is>
          <t>/</t>
        </is>
      </c>
      <c r="AD87"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7" s="232" t="inlineStr">
        <is>
          <t>1、签订期间：2025.9.1-2026.8.31；
2、指标按照全年换算；
3、已撤场（2025年12月）；</t>
        </is>
      </c>
    </row>
    <row r="88" ht="60" customFormat="1" customHeight="1" s="209">
      <c r="A88" s="219" t="n">
        <v>86</v>
      </c>
      <c r="B88" s="220" t="inlineStr">
        <is>
          <t>KQCY0086</t>
        </is>
      </c>
      <c r="C88" s="221" t="inlineStr">
        <is>
          <t>餐饮二分部</t>
        </is>
      </c>
      <c r="D88" s="221" t="inlineStr">
        <is>
          <t>CF364</t>
        </is>
      </c>
      <c r="E88" s="221" t="inlineStr">
        <is>
          <t>江苏航运思本轩食堂</t>
        </is>
      </c>
      <c r="F88" s="219" t="inlineStr">
        <is>
          <t>分组作业</t>
        </is>
      </c>
      <c r="G88" s="222" t="inlineStr">
        <is>
          <t>位军浩</t>
        </is>
      </c>
      <c r="H88" s="222" t="inlineStr">
        <is>
          <t>第七班组</t>
        </is>
      </c>
      <c r="I88" s="232" t="inlineStr">
        <is>
          <t>锡纸饭</t>
        </is>
      </c>
      <c r="J88" s="503" t="inlineStr">
        <is>
          <t>陈芳</t>
        </is>
      </c>
      <c r="K88" s="503" t="n"/>
      <c r="L88" s="224" t="n"/>
      <c r="M88" s="224" t="inlineStr">
        <is>
          <t>/</t>
        </is>
      </c>
      <c r="N88" s="651" t="n">
        <v>365000</v>
      </c>
      <c r="O88" s="247" t="n">
        <v>0.12</v>
      </c>
      <c r="P88" s="247" t="n">
        <v>0.01</v>
      </c>
      <c r="Q88" s="247" t="inlineStr">
        <is>
          <t>按实</t>
        </is>
      </c>
      <c r="R88" s="247" t="n">
        <v>0.01</v>
      </c>
      <c r="S88" s="247" t="n">
        <v>0.01</v>
      </c>
      <c r="T88" s="247" t="n">
        <v>0.01</v>
      </c>
      <c r="U88" s="247" t="n">
        <v>0.02</v>
      </c>
      <c r="V88" s="247" t="inlineStr">
        <is>
          <t>按实</t>
        </is>
      </c>
      <c r="W88" s="551" t="inlineStr">
        <is>
          <t>按实</t>
        </is>
      </c>
      <c r="X88" s="235" t="inlineStr">
        <is>
          <t>按实</t>
        </is>
      </c>
      <c r="Y88" s="235" t="inlineStr">
        <is>
          <t>/</t>
        </is>
      </c>
      <c r="Z88" s="235" t="inlineStr">
        <is>
          <t>/</t>
        </is>
      </c>
      <c r="AA88" s="235" t="inlineStr">
        <is>
          <t>按实</t>
        </is>
      </c>
      <c r="AB88" s="22" t="inlineStr">
        <is>
          <t>/</t>
        </is>
      </c>
      <c r="AC88" s="224" t="inlineStr">
        <is>
          <t>/</t>
        </is>
      </c>
      <c r="AD88"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8" s="232" t="inlineStr">
        <is>
          <t>1、签订期间：2025.9.1-2026.8.31；
2、指标按照全年换算；</t>
        </is>
      </c>
    </row>
    <row r="89" ht="60" customFormat="1" customHeight="1" s="209">
      <c r="A89" s="219" t="n">
        <v>87</v>
      </c>
      <c r="B89" s="220" t="inlineStr">
        <is>
          <t>KQCY0087</t>
        </is>
      </c>
      <c r="C89" s="221" t="inlineStr">
        <is>
          <t>餐饮二分部</t>
        </is>
      </c>
      <c r="D89" s="221" t="inlineStr">
        <is>
          <t>CF364</t>
        </is>
      </c>
      <c r="E89" s="221" t="inlineStr">
        <is>
          <t>江苏航运思本轩食堂</t>
        </is>
      </c>
      <c r="F89" s="219" t="inlineStr">
        <is>
          <t>分组作业</t>
        </is>
      </c>
      <c r="G89" s="222" t="inlineStr">
        <is>
          <t>位军浩</t>
        </is>
      </c>
      <c r="H89" s="222" t="inlineStr">
        <is>
          <t>第八班组</t>
        </is>
      </c>
      <c r="I89" s="232" t="inlineStr">
        <is>
          <t>生烫米线</t>
        </is>
      </c>
      <c r="J89" s="503" t="inlineStr">
        <is>
          <t>吴建军</t>
        </is>
      </c>
      <c r="K89" s="503" t="n"/>
      <c r="L89" s="235" t="inlineStr">
        <is>
          <t>删除</t>
        </is>
      </c>
      <c r="M89" s="224" t="inlineStr">
        <is>
          <t>/</t>
        </is>
      </c>
      <c r="N89" s="651" t="n">
        <v>420000</v>
      </c>
      <c r="O89" s="247" t="n">
        <v>0.12</v>
      </c>
      <c r="P89" s="247" t="n">
        <v>0.01</v>
      </c>
      <c r="Q89" s="247" t="n"/>
      <c r="R89" s="247" t="n">
        <v>0.01</v>
      </c>
      <c r="S89" s="247" t="n">
        <v>0.01</v>
      </c>
      <c r="T89" s="247" t="n">
        <v>0.01</v>
      </c>
      <c r="U89" s="247" t="n">
        <v>0.02</v>
      </c>
      <c r="V89" s="247" t="n"/>
      <c r="W89" s="551" t="n"/>
      <c r="X89" s="235" t="inlineStr">
        <is>
          <t>/</t>
        </is>
      </c>
      <c r="Y89" s="235" t="n"/>
      <c r="Z89" s="235" t="n"/>
      <c r="AA89" s="235" t="n"/>
      <c r="AB89" s="22" t="inlineStr">
        <is>
          <t>/</t>
        </is>
      </c>
      <c r="AC89" s="224" t="inlineStr">
        <is>
          <t>/</t>
        </is>
      </c>
      <c r="AD89"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9" s="232" t="inlineStr">
        <is>
          <t>1、签订期间：2025.9.1-2026.8.31；
2、指标按照全年换算；
3、已撤场（2025年11月）；</t>
        </is>
      </c>
    </row>
    <row r="90" ht="60" customFormat="1" customHeight="1" s="209">
      <c r="A90" s="219" t="n">
        <v>88</v>
      </c>
      <c r="B90" s="220" t="inlineStr">
        <is>
          <t>KQCY0088</t>
        </is>
      </c>
      <c r="C90" s="221" t="inlineStr">
        <is>
          <t>餐饮二分部</t>
        </is>
      </c>
      <c r="D90" s="221" t="inlineStr">
        <is>
          <t>CF364</t>
        </is>
      </c>
      <c r="E90" s="221" t="inlineStr">
        <is>
          <t>江苏航运思本轩食堂</t>
        </is>
      </c>
      <c r="F90" s="219" t="inlineStr">
        <is>
          <t>分组作业</t>
        </is>
      </c>
      <c r="G90" s="222" t="inlineStr">
        <is>
          <t>位军浩</t>
        </is>
      </c>
      <c r="H90" s="222" t="inlineStr">
        <is>
          <t>第九班组</t>
        </is>
      </c>
      <c r="I90" s="232" t="inlineStr">
        <is>
          <t>水饺</t>
        </is>
      </c>
      <c r="J90" s="503" t="inlineStr">
        <is>
          <t>肖阿色</t>
        </is>
      </c>
      <c r="K90" s="503" t="n"/>
      <c r="L90" s="235" t="inlineStr">
        <is>
          <t>删除</t>
        </is>
      </c>
      <c r="M90" s="224" t="inlineStr">
        <is>
          <t>/</t>
        </is>
      </c>
      <c r="N90" s="651" t="n">
        <v>375000</v>
      </c>
      <c r="O90" s="247" t="n">
        <v>0.12</v>
      </c>
      <c r="P90" s="247" t="n">
        <v>0.01</v>
      </c>
      <c r="Q90" s="247" t="n"/>
      <c r="R90" s="247" t="n">
        <v>0.01</v>
      </c>
      <c r="S90" s="247" t="n">
        <v>0.01</v>
      </c>
      <c r="T90" s="247" t="n">
        <v>0.01</v>
      </c>
      <c r="U90" s="247" t="n">
        <v>0.02</v>
      </c>
      <c r="V90" s="247" t="n"/>
      <c r="W90" s="551" t="n"/>
      <c r="X90" s="235" t="inlineStr">
        <is>
          <t>/</t>
        </is>
      </c>
      <c r="Y90" s="235" t="n"/>
      <c r="Z90" s="235" t="n"/>
      <c r="AA90" s="235" t="n"/>
      <c r="AB90" s="22" t="inlineStr">
        <is>
          <t>/</t>
        </is>
      </c>
      <c r="AC90" s="224" t="inlineStr">
        <is>
          <t>/</t>
        </is>
      </c>
      <c r="AD90"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90" s="232" t="inlineStr">
        <is>
          <t>1、签订期间：2025.9.1-2026.8.31；
2、指标按照全年换算；
3、已撤场（2025年10月）；</t>
        </is>
      </c>
    </row>
    <row r="91" ht="60" customFormat="1" customHeight="1" s="209">
      <c r="A91" s="219" t="n">
        <v>89</v>
      </c>
      <c r="B91" s="220" t="inlineStr">
        <is>
          <t>KQCY0089</t>
        </is>
      </c>
      <c r="C91" s="221" t="inlineStr">
        <is>
          <t>餐饮二分部</t>
        </is>
      </c>
      <c r="D91" s="221" t="inlineStr">
        <is>
          <t>CF364</t>
        </is>
      </c>
      <c r="E91" s="221" t="inlineStr">
        <is>
          <t>江苏航运思本轩食堂</t>
        </is>
      </c>
      <c r="F91" s="219" t="inlineStr">
        <is>
          <t>分组作业</t>
        </is>
      </c>
      <c r="G91" s="222" t="inlineStr">
        <is>
          <t>位军浩</t>
        </is>
      </c>
      <c r="H91" s="222" t="inlineStr">
        <is>
          <t>第十班组</t>
        </is>
      </c>
      <c r="I91" s="232" t="inlineStr">
        <is>
          <t>烤鸭饭</t>
        </is>
      </c>
      <c r="J91" s="503" t="inlineStr">
        <is>
          <t>蒋继承</t>
        </is>
      </c>
      <c r="K91" s="503" t="n"/>
      <c r="L91" s="224" t="n"/>
      <c r="M91" s="224" t="inlineStr">
        <is>
          <t>/</t>
        </is>
      </c>
      <c r="N91" s="651" t="n">
        <v>1440000</v>
      </c>
      <c r="O91" s="247" t="n">
        <v>0.12</v>
      </c>
      <c r="P91" s="247" t="n">
        <v>0.01</v>
      </c>
      <c r="Q91" s="247" t="inlineStr">
        <is>
          <t>按实</t>
        </is>
      </c>
      <c r="R91" s="247" t="n">
        <v>0.01</v>
      </c>
      <c r="S91" s="247" t="n">
        <v>0.01</v>
      </c>
      <c r="T91" s="247" t="n">
        <v>0.01</v>
      </c>
      <c r="U91" s="247" t="n">
        <v>0.02</v>
      </c>
      <c r="V91" s="247" t="n">
        <v>0.03</v>
      </c>
      <c r="W91" s="247" t="n">
        <v>0.02</v>
      </c>
      <c r="X91" s="235" t="inlineStr">
        <is>
          <t>按实</t>
        </is>
      </c>
      <c r="Y91" s="235" t="inlineStr">
        <is>
          <t>/</t>
        </is>
      </c>
      <c r="Z91" s="235" t="inlineStr">
        <is>
          <t>/</t>
        </is>
      </c>
      <c r="AA91" s="235" t="inlineStr">
        <is>
          <t>按实</t>
        </is>
      </c>
      <c r="AB91" s="22" t="inlineStr">
        <is>
          <t>/</t>
        </is>
      </c>
      <c r="AC91" s="224" t="inlineStr">
        <is>
          <t>/</t>
        </is>
      </c>
      <c r="AD91"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91" s="232" t="inlineStr">
        <is>
          <t>1、签订期间：2025.9.1-2026.8.31；
2、指标按照全年换算；</t>
        </is>
      </c>
    </row>
    <row r="92" ht="60" customFormat="1" customHeight="1" s="209">
      <c r="A92" s="219" t="n">
        <v>90</v>
      </c>
      <c r="B92" s="220" t="inlineStr">
        <is>
          <t>KQCY0090</t>
        </is>
      </c>
      <c r="C92" s="221" t="inlineStr">
        <is>
          <t>餐饮二分部</t>
        </is>
      </c>
      <c r="D92" s="221" t="inlineStr">
        <is>
          <t>CF364</t>
        </is>
      </c>
      <c r="E92" s="221" t="inlineStr">
        <is>
          <t>江苏航运思本轩食堂</t>
        </is>
      </c>
      <c r="F92" s="219" t="inlineStr">
        <is>
          <t>分组作业</t>
        </is>
      </c>
      <c r="G92" s="222" t="inlineStr">
        <is>
          <t>位军浩</t>
        </is>
      </c>
      <c r="H92" s="222" t="inlineStr">
        <is>
          <t>第十一班组</t>
        </is>
      </c>
      <c r="I92" s="232" t="inlineStr">
        <is>
          <t>朱家小馆</t>
        </is>
      </c>
      <c r="J92" s="503" t="inlineStr">
        <is>
          <t>张慧南</t>
        </is>
      </c>
      <c r="K92" s="503" t="n"/>
      <c r="L92" s="224" t="n"/>
      <c r="M92" s="224" t="inlineStr">
        <is>
          <t>/</t>
        </is>
      </c>
      <c r="N92" s="651" t="n">
        <v>560000</v>
      </c>
      <c r="O92" s="247" t="n">
        <v>0.12</v>
      </c>
      <c r="P92" s="247" t="n">
        <v>0.01</v>
      </c>
      <c r="Q92" s="247" t="inlineStr">
        <is>
          <t>按实</t>
        </is>
      </c>
      <c r="R92" s="247" t="n">
        <v>0.01</v>
      </c>
      <c r="S92" s="247" t="n">
        <v>0.01</v>
      </c>
      <c r="T92" s="247" t="n">
        <v>0.01</v>
      </c>
      <c r="U92" s="247" t="n">
        <v>0.02</v>
      </c>
      <c r="V92" s="247" t="n">
        <v>0.04</v>
      </c>
      <c r="W92" s="247" t="n">
        <v>0.04</v>
      </c>
      <c r="X92" s="235" t="inlineStr">
        <is>
          <t>按实</t>
        </is>
      </c>
      <c r="Y92" s="235" t="inlineStr">
        <is>
          <t>/</t>
        </is>
      </c>
      <c r="Z92" s="235" t="inlineStr">
        <is>
          <t>/</t>
        </is>
      </c>
      <c r="AA92" s="235" t="inlineStr">
        <is>
          <t>按实</t>
        </is>
      </c>
      <c r="AB92" s="22" t="inlineStr">
        <is>
          <t>/</t>
        </is>
      </c>
      <c r="AC92" s="224" t="inlineStr">
        <is>
          <t>/</t>
        </is>
      </c>
      <c r="AD92"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92" s="232" t="inlineStr">
        <is>
          <t>1、签订期间：2025.9.1-2026.8.31；
2、指标按照全年换算；</t>
        </is>
      </c>
    </row>
    <row r="93" ht="60" customFormat="1" customHeight="1" s="209">
      <c r="A93" s="219" t="n">
        <v>91</v>
      </c>
      <c r="B93" s="220" t="inlineStr">
        <is>
          <t>KQCY0091</t>
        </is>
      </c>
      <c r="C93" s="221" t="inlineStr">
        <is>
          <t>餐饮二分部</t>
        </is>
      </c>
      <c r="D93" s="221" t="inlineStr">
        <is>
          <t>CF364</t>
        </is>
      </c>
      <c r="E93" s="221" t="inlineStr">
        <is>
          <t>江苏航运思本轩食堂</t>
        </is>
      </c>
      <c r="F93" s="219" t="inlineStr">
        <is>
          <t>分组作业</t>
        </is>
      </c>
      <c r="G93" s="222" t="inlineStr">
        <is>
          <t>位军浩</t>
        </is>
      </c>
      <c r="H93" s="222" t="inlineStr">
        <is>
          <t>第十一班组</t>
        </is>
      </c>
      <c r="I93" s="232" t="inlineStr">
        <is>
          <t>大碗面</t>
        </is>
      </c>
      <c r="J93" s="503" t="inlineStr">
        <is>
          <t>张义丛</t>
        </is>
      </c>
      <c r="K93" s="503" t="n"/>
      <c r="L93" s="235" t="inlineStr">
        <is>
          <t>删除</t>
        </is>
      </c>
      <c r="M93" s="224" t="inlineStr">
        <is>
          <t>/</t>
        </is>
      </c>
      <c r="N93" s="651" t="n">
        <v>545000</v>
      </c>
      <c r="O93" s="247" t="n">
        <v>0.12</v>
      </c>
      <c r="P93" s="247" t="n">
        <v>0.01</v>
      </c>
      <c r="Q93" s="247" t="n"/>
      <c r="R93" s="247" t="n">
        <v>0.01</v>
      </c>
      <c r="S93" s="247" t="n">
        <v>0.01</v>
      </c>
      <c r="T93" s="247" t="n">
        <v>0.01</v>
      </c>
      <c r="U93" s="247" t="n">
        <v>0.02</v>
      </c>
      <c r="V93" s="247" t="n"/>
      <c r="W93" s="551" t="n"/>
      <c r="X93" s="235" t="inlineStr">
        <is>
          <t>/</t>
        </is>
      </c>
      <c r="Y93" s="235" t="n"/>
      <c r="Z93" s="235" t="n"/>
      <c r="AA93" s="235" t="n"/>
      <c r="AB93" s="22" t="inlineStr">
        <is>
          <t>/</t>
        </is>
      </c>
      <c r="AC93" s="224" t="inlineStr">
        <is>
          <t>/</t>
        </is>
      </c>
      <c r="AD93"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93" s="232" t="inlineStr">
        <is>
          <t>1、签订期间：2025.9.1-2026.8.31；
2、指标按照全年换算；
3、已撤场（2026年1月）；</t>
        </is>
      </c>
    </row>
    <row r="94" ht="60" customFormat="1" customHeight="1" s="209">
      <c r="A94" s="219" t="n">
        <v>92</v>
      </c>
      <c r="B94" s="220" t="inlineStr">
        <is>
          <t>KQCY0092</t>
        </is>
      </c>
      <c r="C94" s="221" t="inlineStr">
        <is>
          <t>餐饮二分部</t>
        </is>
      </c>
      <c r="D94" s="221" t="inlineStr">
        <is>
          <t>CF364</t>
        </is>
      </c>
      <c r="E94" s="221" t="inlineStr">
        <is>
          <t>江苏航运思本轩食堂</t>
        </is>
      </c>
      <c r="F94" s="219" t="inlineStr">
        <is>
          <t>分组作业</t>
        </is>
      </c>
      <c r="G94" s="222" t="inlineStr">
        <is>
          <t>位军浩</t>
        </is>
      </c>
      <c r="H94" s="222" t="inlineStr">
        <is>
          <t>第十二班组</t>
        </is>
      </c>
      <c r="I94" s="232" t="inlineStr">
        <is>
          <t>闽韩咸饭</t>
        </is>
      </c>
      <c r="J94" s="503" t="inlineStr">
        <is>
          <t>王冬</t>
        </is>
      </c>
      <c r="K94" s="503" t="n"/>
      <c r="L94" s="235" t="inlineStr">
        <is>
          <t>删除</t>
        </is>
      </c>
      <c r="M94" s="224" t="inlineStr">
        <is>
          <t>/</t>
        </is>
      </c>
      <c r="N94" s="651" t="n">
        <v>395000</v>
      </c>
      <c r="O94" s="247" t="n">
        <v>0.12</v>
      </c>
      <c r="P94" s="247" t="n">
        <v>0.01</v>
      </c>
      <c r="Q94" s="247" t="n"/>
      <c r="R94" s="247" t="n">
        <v>0.01</v>
      </c>
      <c r="S94" s="247" t="n">
        <v>0.01</v>
      </c>
      <c r="T94" s="247" t="n">
        <v>0.01</v>
      </c>
      <c r="U94" s="247" t="n">
        <v>0.02</v>
      </c>
      <c r="V94" s="247" t="n"/>
      <c r="W94" s="551" t="n"/>
      <c r="X94" s="235" t="inlineStr">
        <is>
          <t>/</t>
        </is>
      </c>
      <c r="Y94" s="235" t="n"/>
      <c r="Z94" s="235" t="n"/>
      <c r="AA94" s="235" t="n"/>
      <c r="AB94" s="22" t="inlineStr">
        <is>
          <t>/</t>
        </is>
      </c>
      <c r="AC94" s="224" t="inlineStr">
        <is>
          <t>/</t>
        </is>
      </c>
      <c r="AD94"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94" s="232" t="inlineStr">
        <is>
          <t>1、签订期间：2025.9.1-2026.8.31；
2、指标按照全年换算；
3、已撤场（2025年11月）；</t>
        </is>
      </c>
    </row>
    <row r="95" ht="60" customFormat="1" customHeight="1" s="209">
      <c r="A95" s="219" t="n">
        <v>93</v>
      </c>
      <c r="B95" s="220" t="inlineStr">
        <is>
          <t>KQCY0093</t>
        </is>
      </c>
      <c r="C95" s="221" t="inlineStr">
        <is>
          <t>餐饮二分部</t>
        </is>
      </c>
      <c r="D95" s="221" t="inlineStr">
        <is>
          <t>CF364</t>
        </is>
      </c>
      <c r="E95" s="221" t="inlineStr">
        <is>
          <t>江苏航运思本轩食堂</t>
        </is>
      </c>
      <c r="F95" s="219" t="inlineStr">
        <is>
          <t>分组作业</t>
        </is>
      </c>
      <c r="G95" s="222" t="inlineStr">
        <is>
          <t>位军浩</t>
        </is>
      </c>
      <c r="H95" s="222" t="inlineStr">
        <is>
          <t>第十三班组</t>
        </is>
      </c>
      <c r="I95" s="232" t="inlineStr">
        <is>
          <t>张亮麻辣烫</t>
        </is>
      </c>
      <c r="J95" s="503" t="inlineStr">
        <is>
          <t>杨爱兵</t>
        </is>
      </c>
      <c r="K95" s="503" t="n"/>
      <c r="L95" s="235" t="inlineStr">
        <is>
          <t>删除</t>
        </is>
      </c>
      <c r="M95" s="224" t="inlineStr">
        <is>
          <t>/</t>
        </is>
      </c>
      <c r="N95" s="651" t="n">
        <v>585000</v>
      </c>
      <c r="O95" s="247" t="n">
        <v>0.12</v>
      </c>
      <c r="P95" s="247" t="n">
        <v>0.01</v>
      </c>
      <c r="Q95" s="247" t="n"/>
      <c r="R95" s="247" t="n">
        <v>0.01</v>
      </c>
      <c r="S95" s="247" t="n">
        <v>0.01</v>
      </c>
      <c r="T95" s="247" t="n">
        <v>0.01</v>
      </c>
      <c r="U95" s="247" t="n">
        <v>0.02</v>
      </c>
      <c r="V95" s="247" t="n"/>
      <c r="W95" s="551" t="n"/>
      <c r="X95" s="235" t="inlineStr">
        <is>
          <t>/</t>
        </is>
      </c>
      <c r="Y95" s="235" t="n"/>
      <c r="Z95" s="235" t="n"/>
      <c r="AA95" s="235" t="n"/>
      <c r="AB95" s="22" t="inlineStr">
        <is>
          <t>/</t>
        </is>
      </c>
      <c r="AC95" s="224" t="inlineStr">
        <is>
          <t>/</t>
        </is>
      </c>
      <c r="AD95"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95" s="232" t="inlineStr">
        <is>
          <t>1、签订期间：2025.9.1-2026.8.31；
2、指标按照全年换算；
3、已撤场（2025年10月）；</t>
        </is>
      </c>
    </row>
    <row r="96" ht="12" customFormat="1" customHeight="1" s="209">
      <c r="A96" s="219" t="n">
        <v>94</v>
      </c>
      <c r="B96" s="220" t="inlineStr">
        <is>
          <t>KQCY0094</t>
        </is>
      </c>
      <c r="C96" s="221" t="inlineStr">
        <is>
          <t>餐饮二分部</t>
        </is>
      </c>
      <c r="D96" s="221" t="inlineStr">
        <is>
          <t>CF363</t>
        </is>
      </c>
      <c r="E96" s="221" t="inlineStr">
        <is>
          <t>南通大学启东校区</t>
        </is>
      </c>
      <c r="F96" s="239" t="inlineStr">
        <is>
          <t>自营</t>
        </is>
      </c>
      <c r="G96" s="222" t="inlineStr">
        <is>
          <t>位军浩</t>
        </is>
      </c>
      <c r="H96" s="220" t="inlineStr">
        <is>
          <t>/</t>
        </is>
      </c>
      <c r="I96" s="239" t="inlineStr">
        <is>
          <t>/</t>
        </is>
      </c>
      <c r="J96" s="220" t="inlineStr">
        <is>
          <t>/</t>
        </is>
      </c>
      <c r="K96" s="220" t="n"/>
      <c r="L96" s="235" t="n"/>
      <c r="M96" s="235" t="inlineStr">
        <is>
          <t>/</t>
        </is>
      </c>
      <c r="N96" s="651" t="inlineStr">
        <is>
          <t>/</t>
        </is>
      </c>
      <c r="O96" s="669" t="inlineStr">
        <is>
          <t>/</t>
        </is>
      </c>
      <c r="P96" s="235" t="n"/>
      <c r="Q96" s="235" t="inlineStr">
        <is>
          <t>/</t>
        </is>
      </c>
      <c r="R96" s="235" t="inlineStr">
        <is>
          <t>/</t>
        </is>
      </c>
      <c r="S96" s="235" t="inlineStr">
        <is>
          <t>/</t>
        </is>
      </c>
      <c r="T96" s="235" t="n"/>
      <c r="U96" s="235" t="n"/>
      <c r="V96" s="235" t="n"/>
      <c r="W96" s="235" t="n"/>
      <c r="X96" s="235" t="n"/>
      <c r="Y96" s="235" t="n"/>
      <c r="Z96" s="235" t="n"/>
      <c r="AA96" s="235" t="n"/>
      <c r="AB96" s="22" t="n">
        <v>0.05</v>
      </c>
      <c r="AC96" s="235" t="inlineStr">
        <is>
          <t>/</t>
        </is>
      </c>
      <c r="AD96" s="250" t="inlineStr">
        <is>
          <t>1、自营未实际经营；</t>
        </is>
      </c>
      <c r="AE96" s="232" t="n"/>
    </row>
    <row r="97" ht="24" customFormat="1" customHeight="1" s="209">
      <c r="A97" s="219" t="n">
        <v>95</v>
      </c>
      <c r="B97" s="220" t="inlineStr">
        <is>
          <t>KQCY0095</t>
        </is>
      </c>
      <c r="C97" s="221" t="inlineStr">
        <is>
          <t>餐饮二分部</t>
        </is>
      </c>
      <c r="D97" s="221" t="inlineStr">
        <is>
          <t>CF363</t>
        </is>
      </c>
      <c r="E97" s="221" t="inlineStr">
        <is>
          <t>南通大学启东校区</t>
        </is>
      </c>
      <c r="F97" s="219" t="inlineStr">
        <is>
          <t>分组作业</t>
        </is>
      </c>
      <c r="G97" s="222" t="inlineStr">
        <is>
          <t>位军浩</t>
        </is>
      </c>
      <c r="H97" s="222" t="inlineStr">
        <is>
          <t>第一班组</t>
        </is>
      </c>
      <c r="I97" s="237" t="inlineStr">
        <is>
          <t>基本大伙</t>
        </is>
      </c>
      <c r="J97" s="503" t="inlineStr">
        <is>
          <t>朱寿凤</t>
        </is>
      </c>
      <c r="K97" s="503" t="n"/>
      <c r="L97" s="224" t="n"/>
      <c r="M97" s="224" t="inlineStr">
        <is>
          <t>/</t>
        </is>
      </c>
      <c r="N97" s="651" t="n">
        <v>2400000</v>
      </c>
      <c r="O97" s="247" t="n">
        <v>0.18</v>
      </c>
      <c r="P97" s="235" t="inlineStr">
        <is>
          <t>/</t>
        </is>
      </c>
      <c r="Q97" s="235" t="inlineStr">
        <is>
          <t>/</t>
        </is>
      </c>
      <c r="R97" s="247" t="inlineStr">
        <is>
          <t>/</t>
        </is>
      </c>
      <c r="S97" s="247" t="inlineStr">
        <is>
          <t>/</t>
        </is>
      </c>
      <c r="T97" s="247" t="inlineStr">
        <is>
          <t>按比例分摊</t>
        </is>
      </c>
      <c r="U97" s="566" t="inlineStr">
        <is>
          <t>500/月，1、2、7、8月不收</t>
        </is>
      </c>
      <c r="V97" s="247" t="n">
        <v>0.03</v>
      </c>
      <c r="W97" s="247" t="n">
        <v>0.04</v>
      </c>
      <c r="X97" s="235" t="inlineStr">
        <is>
          <t xml:space="preserve"> 按实</t>
        </is>
      </c>
      <c r="Y97" s="235" t="inlineStr">
        <is>
          <t>/</t>
        </is>
      </c>
      <c r="Z97" s="235" t="inlineStr">
        <is>
          <t>/</t>
        </is>
      </c>
      <c r="AA97" s="235" t="inlineStr">
        <is>
          <t xml:space="preserve"> 按实</t>
        </is>
      </c>
      <c r="AB97" s="22" t="inlineStr">
        <is>
          <t>/</t>
        </is>
      </c>
      <c r="AC97" s="224" t="inlineStr">
        <is>
          <t>/</t>
        </is>
      </c>
      <c r="AD97" s="250" t="inlineStr">
        <is>
          <t>1、甲方管理费：校方按营业额比例13%收取，分组作业应分摊未分摊，已补分摊，服务费比例应做相应调整；</t>
        </is>
      </c>
      <c r="AE97" s="232" t="inlineStr">
        <is>
          <t>1、签订期间：2025.9.1-2026.8.31；
2、指标按照全年换算；</t>
        </is>
      </c>
    </row>
    <row r="98" ht="24" customFormat="1" customHeight="1" s="209">
      <c r="A98" s="219" t="n">
        <v>96</v>
      </c>
      <c r="B98" s="220" t="inlineStr">
        <is>
          <t>KQCY0096</t>
        </is>
      </c>
      <c r="C98" s="221" t="inlineStr">
        <is>
          <t>餐饮二分部</t>
        </is>
      </c>
      <c r="D98" s="221" t="inlineStr">
        <is>
          <t>CF363</t>
        </is>
      </c>
      <c r="E98" s="221" t="inlineStr">
        <is>
          <t>南通大学启东校区</t>
        </is>
      </c>
      <c r="F98" s="219" t="inlineStr">
        <is>
          <t>分组作业</t>
        </is>
      </c>
      <c r="G98" s="222" t="inlineStr">
        <is>
          <t>位军浩</t>
        </is>
      </c>
      <c r="H98" s="222" t="inlineStr">
        <is>
          <t>第二班组</t>
        </is>
      </c>
      <c r="I98" s="237" t="inlineStr">
        <is>
          <t>自选称重</t>
        </is>
      </c>
      <c r="J98" s="503" t="inlineStr">
        <is>
          <t>朱寿凤</t>
        </is>
      </c>
      <c r="K98" s="503" t="n"/>
      <c r="L98" s="224" t="n"/>
      <c r="M98" s="224" t="inlineStr">
        <is>
          <t>/</t>
        </is>
      </c>
      <c r="N98" s="651" t="n">
        <v>1400000</v>
      </c>
      <c r="O98" s="247" t="n">
        <v>0.19</v>
      </c>
      <c r="P98" s="235" t="inlineStr">
        <is>
          <t>/</t>
        </is>
      </c>
      <c r="Q98" s="235" t="inlineStr">
        <is>
          <t>/</t>
        </is>
      </c>
      <c r="R98" s="247" t="inlineStr">
        <is>
          <t>/</t>
        </is>
      </c>
      <c r="S98" s="247" t="inlineStr">
        <is>
          <t>/</t>
        </is>
      </c>
      <c r="T98" s="247" t="inlineStr">
        <is>
          <t>按比例分摊</t>
        </is>
      </c>
      <c r="U98" s="566" t="inlineStr">
        <is>
          <t>500/月，1、2、7、8月不收</t>
        </is>
      </c>
      <c r="V98" s="247" t="n">
        <v>0.03</v>
      </c>
      <c r="W98" s="247" t="n">
        <v>0.04</v>
      </c>
      <c r="X98" s="235" t="inlineStr">
        <is>
          <t xml:space="preserve"> 按实</t>
        </is>
      </c>
      <c r="Y98" s="235" t="inlineStr">
        <is>
          <t>/</t>
        </is>
      </c>
      <c r="Z98" s="235" t="inlineStr">
        <is>
          <t>/</t>
        </is>
      </c>
      <c r="AA98" s="235" t="inlineStr">
        <is>
          <t xml:space="preserve"> 按实</t>
        </is>
      </c>
      <c r="AB98" s="22" t="inlineStr">
        <is>
          <t>/</t>
        </is>
      </c>
      <c r="AC98" s="224" t="inlineStr">
        <is>
          <t>/</t>
        </is>
      </c>
      <c r="AD98" s="250" t="inlineStr">
        <is>
          <t>1、甲方管理费：校方按营业额比例13%收取，分组作业应分摊未分摊，已补分摊，服务费比例应做相应调整；</t>
        </is>
      </c>
      <c r="AE98" s="232" t="inlineStr">
        <is>
          <t>1、签订期间：2025.9.1-2026.8.31；
2、指标按照全年换算；</t>
        </is>
      </c>
    </row>
    <row r="99" ht="24" customFormat="1" customHeight="1" s="209">
      <c r="A99" s="219" t="n">
        <v>97</v>
      </c>
      <c r="B99" s="220" t="inlineStr">
        <is>
          <t>KQCY0097</t>
        </is>
      </c>
      <c r="C99" s="221" t="inlineStr">
        <is>
          <t>餐饮二分部</t>
        </is>
      </c>
      <c r="D99" s="221" t="inlineStr">
        <is>
          <t>CF363</t>
        </is>
      </c>
      <c r="E99" s="221" t="inlineStr">
        <is>
          <t>南通大学启东校区</t>
        </is>
      </c>
      <c r="F99" s="219" t="inlineStr">
        <is>
          <t>分组作业</t>
        </is>
      </c>
      <c r="G99" s="222" t="inlineStr">
        <is>
          <t>位军浩</t>
        </is>
      </c>
      <c r="H99" s="222" t="inlineStr">
        <is>
          <t>第三班组</t>
        </is>
      </c>
      <c r="I99" s="237" t="inlineStr">
        <is>
          <t>中式早点</t>
        </is>
      </c>
      <c r="J99" s="503" t="inlineStr">
        <is>
          <t>王正明</t>
        </is>
      </c>
      <c r="K99" s="503" t="n"/>
      <c r="L99" s="224" t="n"/>
      <c r="M99" s="224" t="inlineStr">
        <is>
          <t>/</t>
        </is>
      </c>
      <c r="N99" s="651" t="n">
        <v>2000000</v>
      </c>
      <c r="O99" s="247" t="n">
        <v>0.21</v>
      </c>
      <c r="P99" s="235" t="inlineStr">
        <is>
          <t>/</t>
        </is>
      </c>
      <c r="Q99" s="235" t="inlineStr">
        <is>
          <t>/</t>
        </is>
      </c>
      <c r="R99" s="247" t="inlineStr">
        <is>
          <t>/</t>
        </is>
      </c>
      <c r="S99" s="247" t="inlineStr">
        <is>
          <t>/</t>
        </is>
      </c>
      <c r="T99" s="247" t="inlineStr">
        <is>
          <t>按比例分摊</t>
        </is>
      </c>
      <c r="U99" s="566" t="inlineStr">
        <is>
          <t>500/月，1、2、7、8月不收</t>
        </is>
      </c>
      <c r="V99" s="247" t="n">
        <v>0.03</v>
      </c>
      <c r="W99" s="247" t="n">
        <v>0.04</v>
      </c>
      <c r="X99" s="235" t="inlineStr">
        <is>
          <t xml:space="preserve"> 按实</t>
        </is>
      </c>
      <c r="Y99" s="235" t="inlineStr">
        <is>
          <t>/</t>
        </is>
      </c>
      <c r="Z99" s="235" t="inlineStr">
        <is>
          <t>/</t>
        </is>
      </c>
      <c r="AA99" s="235" t="inlineStr">
        <is>
          <t xml:space="preserve"> 按实</t>
        </is>
      </c>
      <c r="AB99" s="22" t="inlineStr">
        <is>
          <t>/</t>
        </is>
      </c>
      <c r="AC99" s="224" t="inlineStr">
        <is>
          <t>/</t>
        </is>
      </c>
      <c r="AD99" s="250" t="inlineStr">
        <is>
          <t>1、甲方管理费：校方按营业额比例13%收取，分组作业应分摊未分摊，已补分摊，服务费比例应做相应调整；</t>
        </is>
      </c>
      <c r="AE99" s="232" t="inlineStr">
        <is>
          <t>1、签订期间：2025.9.1-2026.8.31；
2、指标按照全年换算；</t>
        </is>
      </c>
    </row>
    <row r="100" ht="24" customFormat="1" customHeight="1" s="209">
      <c r="A100" s="219" t="n">
        <v>98</v>
      </c>
      <c r="B100" s="220" t="inlineStr">
        <is>
          <t>KQCY0098</t>
        </is>
      </c>
      <c r="C100" s="221" t="inlineStr">
        <is>
          <t>餐饮二分部</t>
        </is>
      </c>
      <c r="D100" s="221" t="inlineStr">
        <is>
          <t>CF363</t>
        </is>
      </c>
      <c r="E100" s="221" t="inlineStr">
        <is>
          <t>南通大学启东校区</t>
        </is>
      </c>
      <c r="F100" s="219" t="inlineStr">
        <is>
          <t>分组作业</t>
        </is>
      </c>
      <c r="G100" s="222" t="inlineStr">
        <is>
          <t>位军浩</t>
        </is>
      </c>
      <c r="H100" s="222" t="inlineStr">
        <is>
          <t>第四班组</t>
        </is>
      </c>
      <c r="I100" s="237" t="inlineStr">
        <is>
          <t>黄焖鸡酸菜鱼</t>
        </is>
      </c>
      <c r="J100" s="503" t="inlineStr">
        <is>
          <t>金健华</t>
        </is>
      </c>
      <c r="K100" s="503" t="n"/>
      <c r="L100" s="224" t="n"/>
      <c r="M100" s="224" t="inlineStr">
        <is>
          <t>/</t>
        </is>
      </c>
      <c r="N100" s="651" t="n">
        <v>1080000</v>
      </c>
      <c r="O100" s="247" t="n">
        <v>0.2</v>
      </c>
      <c r="P100" s="235" t="inlineStr">
        <is>
          <t>/</t>
        </is>
      </c>
      <c r="Q100" s="235" t="inlineStr">
        <is>
          <t>/</t>
        </is>
      </c>
      <c r="R100" s="247" t="inlineStr">
        <is>
          <t>/</t>
        </is>
      </c>
      <c r="S100" s="247" t="inlineStr">
        <is>
          <t>/</t>
        </is>
      </c>
      <c r="T100" s="247" t="inlineStr">
        <is>
          <t>按比例分摊</t>
        </is>
      </c>
      <c r="U100" s="566" t="inlineStr">
        <is>
          <t>500/月，1、2、7、8月不收</t>
        </is>
      </c>
      <c r="V100" s="247" t="n">
        <v>0.03</v>
      </c>
      <c r="W100" s="247" t="n">
        <v>0.04</v>
      </c>
      <c r="X100" s="235" t="inlineStr">
        <is>
          <t xml:space="preserve"> 按实</t>
        </is>
      </c>
      <c r="Y100" s="235" t="inlineStr">
        <is>
          <t>/</t>
        </is>
      </c>
      <c r="Z100" s="235" t="inlineStr">
        <is>
          <t>/</t>
        </is>
      </c>
      <c r="AA100" s="235" t="inlineStr">
        <is>
          <t xml:space="preserve"> 按实</t>
        </is>
      </c>
      <c r="AB100" s="22" t="inlineStr">
        <is>
          <t>/</t>
        </is>
      </c>
      <c r="AC100" s="224" t="inlineStr">
        <is>
          <t>/</t>
        </is>
      </c>
      <c r="AD100" s="250" t="inlineStr">
        <is>
          <t>1、甲方管理费：校方按营业额比例13%收取，分组作业应分摊未分摊，已补分摊，服务费比例应做相应调整；</t>
        </is>
      </c>
      <c r="AE100" s="232" t="inlineStr">
        <is>
          <t>1、签订期间：2025.9.1-2026.8.31；
2、指标按照全年换算；</t>
        </is>
      </c>
    </row>
    <row r="101" ht="24" customFormat="1" customHeight="1" s="209">
      <c r="A101" s="219" t="n">
        <v>99</v>
      </c>
      <c r="B101" s="220" t="inlineStr">
        <is>
          <t>KQCY0099</t>
        </is>
      </c>
      <c r="C101" s="221" t="inlineStr">
        <is>
          <t>餐饮二分部</t>
        </is>
      </c>
      <c r="D101" s="221" t="inlineStr">
        <is>
          <t>CF363</t>
        </is>
      </c>
      <c r="E101" s="221" t="inlineStr">
        <is>
          <t>南通大学启东校区</t>
        </is>
      </c>
      <c r="F101" s="219" t="inlineStr">
        <is>
          <t>分组作业</t>
        </is>
      </c>
      <c r="G101" s="222" t="inlineStr">
        <is>
          <t>位军浩</t>
        </is>
      </c>
      <c r="H101" s="222" t="inlineStr">
        <is>
          <t>第五班组</t>
        </is>
      </c>
      <c r="I101" s="237" t="inlineStr">
        <is>
          <t>卤肉饭套餐</t>
        </is>
      </c>
      <c r="J101" s="503" t="inlineStr">
        <is>
          <t>金健华</t>
        </is>
      </c>
      <c r="K101" s="503" t="n"/>
      <c r="L101" s="224" t="n"/>
      <c r="M101" s="224" t="inlineStr">
        <is>
          <t>/</t>
        </is>
      </c>
      <c r="N101" s="651" t="n">
        <v>920000</v>
      </c>
      <c r="O101" s="247" t="n">
        <v>0.2</v>
      </c>
      <c r="P101" s="235" t="inlineStr">
        <is>
          <t>/</t>
        </is>
      </c>
      <c r="Q101" s="235" t="inlineStr">
        <is>
          <t>/</t>
        </is>
      </c>
      <c r="R101" s="247" t="inlineStr">
        <is>
          <t>/</t>
        </is>
      </c>
      <c r="S101" s="247" t="inlineStr">
        <is>
          <t>/</t>
        </is>
      </c>
      <c r="T101" s="247" t="inlineStr">
        <is>
          <t>按比例分摊</t>
        </is>
      </c>
      <c r="U101" s="566" t="inlineStr">
        <is>
          <t>500/月，1、2、7、8月不收</t>
        </is>
      </c>
      <c r="V101" s="247" t="n">
        <v>0.03</v>
      </c>
      <c r="W101" s="247" t="n">
        <v>0.04</v>
      </c>
      <c r="X101" s="235" t="inlineStr">
        <is>
          <t xml:space="preserve"> 按实</t>
        </is>
      </c>
      <c r="Y101" s="235" t="inlineStr">
        <is>
          <t>/</t>
        </is>
      </c>
      <c r="Z101" s="235" t="inlineStr">
        <is>
          <t>/</t>
        </is>
      </c>
      <c r="AA101" s="235" t="inlineStr">
        <is>
          <t xml:space="preserve"> 按实</t>
        </is>
      </c>
      <c r="AB101" s="22" t="inlineStr">
        <is>
          <t>/</t>
        </is>
      </c>
      <c r="AC101" s="224" t="inlineStr">
        <is>
          <t>/</t>
        </is>
      </c>
      <c r="AD101" s="250" t="inlineStr">
        <is>
          <t>1、甲方管理费：校方按营业额比例13%收取，分组作业应分摊未分摊，已补分摊，服务费比例应做相应调整；</t>
        </is>
      </c>
      <c r="AE101" s="232" t="inlineStr">
        <is>
          <t>1、签订期间：2025.9.1-2026.8.31；
2、指标按照全年换算；</t>
        </is>
      </c>
    </row>
    <row r="102" ht="24" customFormat="1" customHeight="1" s="209">
      <c r="A102" s="219" t="n">
        <v>100</v>
      </c>
      <c r="B102" s="220" t="inlineStr">
        <is>
          <t>KQCY0100</t>
        </is>
      </c>
      <c r="C102" s="221" t="inlineStr">
        <is>
          <t>餐饮二分部</t>
        </is>
      </c>
      <c r="D102" s="221" t="inlineStr">
        <is>
          <t>CF363</t>
        </is>
      </c>
      <c r="E102" s="221" t="inlineStr">
        <is>
          <t>南通大学启东校区</t>
        </is>
      </c>
      <c r="F102" s="219" t="inlineStr">
        <is>
          <t>分组作业</t>
        </is>
      </c>
      <c r="G102" s="222" t="inlineStr">
        <is>
          <t>位军浩</t>
        </is>
      </c>
      <c r="H102" s="222" t="inlineStr">
        <is>
          <t>第六班组</t>
        </is>
      </c>
      <c r="I102" s="237" t="inlineStr">
        <is>
          <t>营养粥杂粮煎饼</t>
        </is>
      </c>
      <c r="J102" s="503" t="inlineStr">
        <is>
          <t>邵国才</t>
        </is>
      </c>
      <c r="K102" s="503" t="n"/>
      <c r="L102" s="224" t="n"/>
      <c r="M102" s="224" t="inlineStr">
        <is>
          <t>/</t>
        </is>
      </c>
      <c r="N102" s="651" t="n">
        <v>720000</v>
      </c>
      <c r="O102" s="247" t="n">
        <v>0.23</v>
      </c>
      <c r="P102" s="235" t="inlineStr">
        <is>
          <t>/</t>
        </is>
      </c>
      <c r="Q102" s="235" t="inlineStr">
        <is>
          <t>/</t>
        </is>
      </c>
      <c r="R102" s="247" t="inlineStr">
        <is>
          <t>/</t>
        </is>
      </c>
      <c r="S102" s="247" t="inlineStr">
        <is>
          <t>/</t>
        </is>
      </c>
      <c r="T102" s="247" t="inlineStr">
        <is>
          <t>按比例分摊</t>
        </is>
      </c>
      <c r="U102" s="566" t="inlineStr">
        <is>
          <t>500/月，1、2、7、8月不收</t>
        </is>
      </c>
      <c r="V102" s="247" t="n">
        <v>0.03</v>
      </c>
      <c r="W102" s="247" t="n">
        <v>0.04</v>
      </c>
      <c r="X102" s="235" t="inlineStr">
        <is>
          <t xml:space="preserve"> 按实</t>
        </is>
      </c>
      <c r="Y102" s="235" t="inlineStr">
        <is>
          <t>/</t>
        </is>
      </c>
      <c r="Z102" s="235" t="inlineStr">
        <is>
          <t>/</t>
        </is>
      </c>
      <c r="AA102" s="235" t="inlineStr">
        <is>
          <t xml:space="preserve"> 按实</t>
        </is>
      </c>
      <c r="AB102" s="22" t="inlineStr">
        <is>
          <t>/</t>
        </is>
      </c>
      <c r="AC102" s="224" t="inlineStr">
        <is>
          <t>/</t>
        </is>
      </c>
      <c r="AD102" s="250" t="inlineStr">
        <is>
          <t>1、甲方管理费：校方按营业额比例13%收取，分组作业应分摊未分摊，已补分摊，服务费比例应做相应调整；</t>
        </is>
      </c>
      <c r="AE102" s="232" t="inlineStr">
        <is>
          <t>1、签订期间：2025.9.1-2026.8.31；
2、指标按照全年换算；</t>
        </is>
      </c>
    </row>
    <row r="103" ht="24" customFormat="1" customHeight="1" s="209">
      <c r="A103" s="219" t="n">
        <v>101</v>
      </c>
      <c r="B103" s="220" t="inlineStr">
        <is>
          <t>KQCY0101</t>
        </is>
      </c>
      <c r="C103" s="221" t="inlineStr">
        <is>
          <t>餐饮二分部</t>
        </is>
      </c>
      <c r="D103" s="221" t="inlineStr">
        <is>
          <t>CF363</t>
        </is>
      </c>
      <c r="E103" s="221" t="inlineStr">
        <is>
          <t>南通大学启东校区</t>
        </is>
      </c>
      <c r="F103" s="219" t="inlineStr">
        <is>
          <t>分组作业</t>
        </is>
      </c>
      <c r="G103" s="222" t="inlineStr">
        <is>
          <t>位军浩</t>
        </is>
      </c>
      <c r="H103" s="222" t="inlineStr">
        <is>
          <t>第七班组</t>
        </is>
      </c>
      <c r="I103" s="237" t="inlineStr">
        <is>
          <t>面条馄饨</t>
        </is>
      </c>
      <c r="J103" s="503" t="inlineStr">
        <is>
          <t>邵国才</t>
        </is>
      </c>
      <c r="K103" s="503" t="n"/>
      <c r="L103" s="224" t="n"/>
      <c r="M103" s="224" t="inlineStr">
        <is>
          <t>/</t>
        </is>
      </c>
      <c r="N103" s="651" t="n">
        <v>1080000</v>
      </c>
      <c r="O103" s="247" t="n">
        <v>0.23</v>
      </c>
      <c r="P103" s="235" t="inlineStr">
        <is>
          <t>/</t>
        </is>
      </c>
      <c r="Q103" s="235" t="inlineStr">
        <is>
          <t>/</t>
        </is>
      </c>
      <c r="R103" s="247" t="inlineStr">
        <is>
          <t>/</t>
        </is>
      </c>
      <c r="S103" s="247" t="inlineStr">
        <is>
          <t>/</t>
        </is>
      </c>
      <c r="T103" s="247" t="inlineStr">
        <is>
          <t>按比例分摊</t>
        </is>
      </c>
      <c r="U103" s="566" t="inlineStr">
        <is>
          <t>500/月，1、2、7、8月不收</t>
        </is>
      </c>
      <c r="V103" s="247" t="n">
        <v>0.03</v>
      </c>
      <c r="W103" s="247" t="n">
        <v>0.04</v>
      </c>
      <c r="X103" s="235" t="inlineStr">
        <is>
          <t xml:space="preserve"> 按实</t>
        </is>
      </c>
      <c r="Y103" s="235" t="inlineStr">
        <is>
          <t>/</t>
        </is>
      </c>
      <c r="Z103" s="235" t="inlineStr">
        <is>
          <t>/</t>
        </is>
      </c>
      <c r="AA103" s="235" t="inlineStr">
        <is>
          <t xml:space="preserve"> 按实</t>
        </is>
      </c>
      <c r="AB103" s="22" t="inlineStr">
        <is>
          <t>/</t>
        </is>
      </c>
      <c r="AC103" s="224" t="inlineStr">
        <is>
          <t>/</t>
        </is>
      </c>
      <c r="AD103" s="250" t="inlineStr">
        <is>
          <t>1、甲方管理费：校方按营业额比例13%收取，分组作业应分摊未分摊，已补分摊，服务费比例应做相应调整；</t>
        </is>
      </c>
      <c r="AE103" s="232" t="inlineStr">
        <is>
          <t>1、签订期间：2025.9.1-2026.8.31；
2、指标按照全年换算；</t>
        </is>
      </c>
    </row>
    <row r="104" ht="24" customFormat="1" customHeight="1" s="209">
      <c r="A104" s="219" t="n">
        <v>102</v>
      </c>
      <c r="B104" s="220" t="inlineStr">
        <is>
          <t>KQCY0102</t>
        </is>
      </c>
      <c r="C104" s="221" t="inlineStr">
        <is>
          <t>餐饮二分部</t>
        </is>
      </c>
      <c r="D104" s="221" t="inlineStr">
        <is>
          <t>CF363</t>
        </is>
      </c>
      <c r="E104" s="221" t="inlineStr">
        <is>
          <t>南通大学启东校区</t>
        </is>
      </c>
      <c r="F104" s="219" t="inlineStr">
        <is>
          <t>分组作业</t>
        </is>
      </c>
      <c r="G104" s="222" t="inlineStr">
        <is>
          <t>位军浩</t>
        </is>
      </c>
      <c r="H104" s="222" t="inlineStr">
        <is>
          <t>第八班组</t>
        </is>
      </c>
      <c r="I104" s="237" t="inlineStr">
        <is>
          <t>米线汤包</t>
        </is>
      </c>
      <c r="J104" s="503" t="inlineStr">
        <is>
          <t>王友强</t>
        </is>
      </c>
      <c r="K104" s="503" t="n"/>
      <c r="L104" s="224" t="n"/>
      <c r="M104" s="224" t="inlineStr">
        <is>
          <t>/</t>
        </is>
      </c>
      <c r="N104" s="651" t="n">
        <v>880000</v>
      </c>
      <c r="O104" s="247" t="n">
        <v>0.23</v>
      </c>
      <c r="P104" s="235" t="inlineStr">
        <is>
          <t>/</t>
        </is>
      </c>
      <c r="Q104" s="235" t="inlineStr">
        <is>
          <t>/</t>
        </is>
      </c>
      <c r="R104" s="247" t="inlineStr">
        <is>
          <t>/</t>
        </is>
      </c>
      <c r="S104" s="247" t="inlineStr">
        <is>
          <t>/</t>
        </is>
      </c>
      <c r="T104" s="247" t="inlineStr">
        <is>
          <t>按比例分摊</t>
        </is>
      </c>
      <c r="U104" s="566" t="inlineStr">
        <is>
          <t>500/月，1、2、7、8月不收</t>
        </is>
      </c>
      <c r="V104" s="247" t="n">
        <v>0.03</v>
      </c>
      <c r="W104" s="247" t="n">
        <v>0.04</v>
      </c>
      <c r="X104" s="235" t="inlineStr">
        <is>
          <t xml:space="preserve"> 按实</t>
        </is>
      </c>
      <c r="Y104" s="235" t="inlineStr">
        <is>
          <t>/</t>
        </is>
      </c>
      <c r="Z104" s="235" t="inlineStr">
        <is>
          <t>/</t>
        </is>
      </c>
      <c r="AA104" s="235" t="inlineStr">
        <is>
          <t xml:space="preserve"> 按实</t>
        </is>
      </c>
      <c r="AB104" s="22" t="inlineStr">
        <is>
          <t>/</t>
        </is>
      </c>
      <c r="AC104" s="224" t="inlineStr">
        <is>
          <t>/</t>
        </is>
      </c>
      <c r="AD104" s="250" t="inlineStr">
        <is>
          <t>1、甲方管理费：校方按营业额比例13%收取，分组作业应分摊未分摊，已补分摊，服务费比例应做相应调整；</t>
        </is>
      </c>
      <c r="AE104" s="232" t="inlineStr">
        <is>
          <t>1、签订期间：2025.9.1-2026.8.31；
2、指标按照全年换算；</t>
        </is>
      </c>
    </row>
    <row r="105" ht="24" customFormat="1" customHeight="1" s="209">
      <c r="A105" s="219" t="n">
        <v>103</v>
      </c>
      <c r="B105" s="220" t="inlineStr">
        <is>
          <t>KQCY0103</t>
        </is>
      </c>
      <c r="C105" s="221" t="inlineStr">
        <is>
          <t>餐饮二分部</t>
        </is>
      </c>
      <c r="D105" s="221" t="inlineStr">
        <is>
          <t>CF363</t>
        </is>
      </c>
      <c r="E105" s="221" t="inlineStr">
        <is>
          <t>南通大学启东校区</t>
        </is>
      </c>
      <c r="F105" s="219" t="inlineStr">
        <is>
          <t>分组作业</t>
        </is>
      </c>
      <c r="G105" s="222" t="inlineStr">
        <is>
          <t>位军浩</t>
        </is>
      </c>
      <c r="H105" s="222" t="inlineStr">
        <is>
          <t>第九班组</t>
        </is>
      </c>
      <c r="I105" s="237" t="inlineStr">
        <is>
          <t>香锅焖面</t>
        </is>
      </c>
      <c r="J105" s="503" t="inlineStr">
        <is>
          <t>王正明</t>
        </is>
      </c>
      <c r="K105" s="503" t="n"/>
      <c r="L105" s="224" t="n"/>
      <c r="M105" s="224" t="inlineStr">
        <is>
          <t>/</t>
        </is>
      </c>
      <c r="N105" s="651" t="n">
        <v>880000</v>
      </c>
      <c r="O105" s="247" t="n">
        <v>0.23</v>
      </c>
      <c r="P105" s="235" t="inlineStr">
        <is>
          <t>/</t>
        </is>
      </c>
      <c r="Q105" s="235" t="inlineStr">
        <is>
          <t>/</t>
        </is>
      </c>
      <c r="R105" s="247" t="inlineStr">
        <is>
          <t>/</t>
        </is>
      </c>
      <c r="S105" s="247" t="inlineStr">
        <is>
          <t>/</t>
        </is>
      </c>
      <c r="T105" s="247" t="inlineStr">
        <is>
          <t>按比例分摊</t>
        </is>
      </c>
      <c r="U105" s="566" t="inlineStr">
        <is>
          <t>500/月，1、2、7、8月不收</t>
        </is>
      </c>
      <c r="V105" s="247" t="n">
        <v>0.03</v>
      </c>
      <c r="W105" s="247" t="n">
        <v>0.04</v>
      </c>
      <c r="X105" s="235" t="inlineStr">
        <is>
          <t xml:space="preserve"> 按实</t>
        </is>
      </c>
      <c r="Y105" s="235" t="inlineStr">
        <is>
          <t>/</t>
        </is>
      </c>
      <c r="Z105" s="235" t="inlineStr">
        <is>
          <t>/</t>
        </is>
      </c>
      <c r="AA105" s="235" t="inlineStr">
        <is>
          <t xml:space="preserve"> 按实</t>
        </is>
      </c>
      <c r="AB105" s="22" t="inlineStr">
        <is>
          <t>/</t>
        </is>
      </c>
      <c r="AC105" s="224" t="inlineStr">
        <is>
          <t>/</t>
        </is>
      </c>
      <c r="AD105" s="250" t="inlineStr">
        <is>
          <t>1、甲方管理费：校方按营业额比例13%收取，分组作业应分摊未分摊，已补分摊，服务费比例应做相应调整；</t>
        </is>
      </c>
      <c r="AE105" s="232" t="inlineStr">
        <is>
          <t>1、签订期间：2025.9.1-2026.8.31；
2、指标按照全年换算；</t>
        </is>
      </c>
    </row>
    <row r="106" ht="36" customFormat="1" customHeight="1" s="209">
      <c r="A106" s="219" t="n">
        <v>104</v>
      </c>
      <c r="B106" s="220" t="inlineStr">
        <is>
          <t>KQCY0104</t>
        </is>
      </c>
      <c r="C106" s="221" t="inlineStr">
        <is>
          <t>餐饮二分部</t>
        </is>
      </c>
      <c r="D106" s="221" t="inlineStr">
        <is>
          <t>CF363</t>
        </is>
      </c>
      <c r="E106" s="221" t="inlineStr">
        <is>
          <t>南通大学启东校区</t>
        </is>
      </c>
      <c r="F106" s="219" t="inlineStr">
        <is>
          <t>分组作业</t>
        </is>
      </c>
      <c r="G106" s="222" t="inlineStr">
        <is>
          <t>位军浩</t>
        </is>
      </c>
      <c r="H106" s="222" t="inlineStr">
        <is>
          <t>第十班组</t>
        </is>
      </c>
      <c r="I106" s="237" t="inlineStr">
        <is>
          <t>猪肚鸡瓦罐汤套餐</t>
        </is>
      </c>
      <c r="J106" s="503" t="inlineStr">
        <is>
          <t>翟林璐</t>
        </is>
      </c>
      <c r="K106" s="503" t="n"/>
      <c r="L106" s="224" t="n"/>
      <c r="M106" s="224" t="inlineStr">
        <is>
          <t>/</t>
        </is>
      </c>
      <c r="N106" s="651" t="n">
        <v>1520000</v>
      </c>
      <c r="O106" s="247" t="n">
        <v>0.21</v>
      </c>
      <c r="P106" s="235" t="inlineStr">
        <is>
          <t>/</t>
        </is>
      </c>
      <c r="Q106" s="235" t="inlineStr">
        <is>
          <t>/</t>
        </is>
      </c>
      <c r="R106" s="247" t="inlineStr">
        <is>
          <t>/</t>
        </is>
      </c>
      <c r="S106" s="247" t="inlineStr">
        <is>
          <t>/</t>
        </is>
      </c>
      <c r="T106" s="247" t="inlineStr">
        <is>
          <t>按比例分摊</t>
        </is>
      </c>
      <c r="U106" s="566" t="inlineStr">
        <is>
          <t>500/月，1、2、7、8月不收</t>
        </is>
      </c>
      <c r="V106" s="247" t="n">
        <v>0.03</v>
      </c>
      <c r="W106" s="247" t="n">
        <v>0.04</v>
      </c>
      <c r="X106" s="235" t="inlineStr">
        <is>
          <t xml:space="preserve"> 按实</t>
        </is>
      </c>
      <c r="Y106" s="235" t="inlineStr">
        <is>
          <t>/</t>
        </is>
      </c>
      <c r="Z106" s="235" t="inlineStr">
        <is>
          <t>/</t>
        </is>
      </c>
      <c r="AA106" s="235" t="inlineStr">
        <is>
          <t xml:space="preserve"> 按实</t>
        </is>
      </c>
      <c r="AB106" s="22" t="inlineStr">
        <is>
          <t>/</t>
        </is>
      </c>
      <c r="AC106" s="224" t="inlineStr">
        <is>
          <t>/</t>
        </is>
      </c>
      <c r="AD106" s="250" t="inlineStr">
        <is>
          <t>1、甲方管理费：校方按营业额比例13%收取，分组作业应分摊未分摊，已补分摊，服务费比例应做相应调整；</t>
        </is>
      </c>
      <c r="AE106" s="232" t="inlineStr">
        <is>
          <t xml:space="preserve">1、签订期间：2025.9.1-2026.8.31；
2、指标按照全年换算；
</t>
        </is>
      </c>
    </row>
    <row r="107" ht="36" customFormat="1" customHeight="1" s="209">
      <c r="A107" s="219" t="n">
        <v>105</v>
      </c>
      <c r="B107" s="220" t="inlineStr">
        <is>
          <t>KQCY0105</t>
        </is>
      </c>
      <c r="C107" s="221" t="inlineStr">
        <is>
          <t>餐饮二分部</t>
        </is>
      </c>
      <c r="D107" s="221" t="inlineStr">
        <is>
          <t>CF363</t>
        </is>
      </c>
      <c r="E107" s="221" t="inlineStr">
        <is>
          <t>南通大学启东校区</t>
        </is>
      </c>
      <c r="F107" s="219" t="inlineStr">
        <is>
          <t>分组作业</t>
        </is>
      </c>
      <c r="G107" s="222" t="inlineStr">
        <is>
          <t>位军浩</t>
        </is>
      </c>
      <c r="H107" s="222" t="inlineStr">
        <is>
          <t>第十一班组</t>
        </is>
      </c>
      <c r="I107" s="237" t="inlineStr">
        <is>
          <t>汉堡小锅现炒</t>
        </is>
      </c>
      <c r="J107" s="503" t="inlineStr">
        <is>
          <t>韩荣荣</t>
        </is>
      </c>
      <c r="K107" s="503" t="n"/>
      <c r="L107" s="224" t="n"/>
      <c r="M107" s="224" t="inlineStr">
        <is>
          <t>/</t>
        </is>
      </c>
      <c r="N107" s="651" t="n">
        <v>1080000</v>
      </c>
      <c r="O107" s="247" t="n">
        <v>0.22</v>
      </c>
      <c r="P107" s="235" t="inlineStr">
        <is>
          <t>/</t>
        </is>
      </c>
      <c r="Q107" s="235" t="inlineStr">
        <is>
          <t>/</t>
        </is>
      </c>
      <c r="R107" s="247" t="inlineStr">
        <is>
          <t>/</t>
        </is>
      </c>
      <c r="S107" s="247" t="inlineStr">
        <is>
          <t>/</t>
        </is>
      </c>
      <c r="T107" s="247" t="inlineStr">
        <is>
          <t>按比例分摊</t>
        </is>
      </c>
      <c r="U107" s="566" t="inlineStr">
        <is>
          <t>500/月，1、2、7、8月不收</t>
        </is>
      </c>
      <c r="V107" s="247" t="n">
        <v>0.03</v>
      </c>
      <c r="W107" s="247" t="n">
        <v>0.04</v>
      </c>
      <c r="X107" s="235" t="inlineStr">
        <is>
          <t xml:space="preserve"> 按实</t>
        </is>
      </c>
      <c r="Y107" s="235" t="inlineStr">
        <is>
          <t>/</t>
        </is>
      </c>
      <c r="Z107" s="235" t="inlineStr">
        <is>
          <t>/</t>
        </is>
      </c>
      <c r="AA107" s="235" t="inlineStr">
        <is>
          <t xml:space="preserve"> 按实</t>
        </is>
      </c>
      <c r="AB107" s="22" t="inlineStr">
        <is>
          <t>/</t>
        </is>
      </c>
      <c r="AC107" s="224" t="inlineStr">
        <is>
          <t>/</t>
        </is>
      </c>
      <c r="AD107" s="250" t="inlineStr">
        <is>
          <t>1、甲方管理费：校方按营业额比例13%收取，分组作业应分摊未分摊，已补分摊，服务费比例应做相应调整；</t>
        </is>
      </c>
      <c r="AE107" s="232" t="inlineStr">
        <is>
          <t xml:space="preserve">1、签订期间：2025.9.1-2026.8.31；
2、指标按照全年换算；
</t>
        </is>
      </c>
    </row>
    <row r="108" ht="36" customFormat="1" customHeight="1" s="209">
      <c r="A108" s="219" t="n">
        <v>106</v>
      </c>
      <c r="B108" s="220" t="inlineStr">
        <is>
          <t>KQCY0106</t>
        </is>
      </c>
      <c r="C108" s="221" t="inlineStr">
        <is>
          <t>餐饮二分部</t>
        </is>
      </c>
      <c r="D108" s="221" t="inlineStr">
        <is>
          <t>CF363</t>
        </is>
      </c>
      <c r="E108" s="221" t="inlineStr">
        <is>
          <t>南通大学启东校区</t>
        </is>
      </c>
      <c r="F108" s="219" t="inlineStr">
        <is>
          <t>分组作业</t>
        </is>
      </c>
      <c r="G108" s="222" t="inlineStr">
        <is>
          <t>位军浩</t>
        </is>
      </c>
      <c r="H108" s="222" t="inlineStr">
        <is>
          <t>第十二班组</t>
        </is>
      </c>
      <c r="I108" s="237" t="inlineStr">
        <is>
          <t>铁板炒饭</t>
        </is>
      </c>
      <c r="J108" s="503" t="inlineStr">
        <is>
          <t>王志河</t>
        </is>
      </c>
      <c r="K108" s="503" t="n"/>
      <c r="L108" s="224" t="n"/>
      <c r="M108" s="224" t="inlineStr">
        <is>
          <t>/</t>
        </is>
      </c>
      <c r="N108" s="651" t="n">
        <v>880000</v>
      </c>
      <c r="O108" s="247" t="n">
        <v>0.23</v>
      </c>
      <c r="P108" s="235" t="inlineStr">
        <is>
          <t>/</t>
        </is>
      </c>
      <c r="Q108" s="235" t="inlineStr">
        <is>
          <t>/</t>
        </is>
      </c>
      <c r="R108" s="247" t="inlineStr">
        <is>
          <t>/</t>
        </is>
      </c>
      <c r="S108" s="247" t="inlineStr">
        <is>
          <t>/</t>
        </is>
      </c>
      <c r="T108" s="247" t="inlineStr">
        <is>
          <t>按比例分摊</t>
        </is>
      </c>
      <c r="U108" s="566" t="inlineStr">
        <is>
          <t>500/月，1、2、7、8月不收</t>
        </is>
      </c>
      <c r="V108" s="247" t="n">
        <v>0.03</v>
      </c>
      <c r="W108" s="247" t="n">
        <v>0.04</v>
      </c>
      <c r="X108" s="235" t="inlineStr">
        <is>
          <t xml:space="preserve"> 按实</t>
        </is>
      </c>
      <c r="Y108" s="235" t="inlineStr">
        <is>
          <t>/</t>
        </is>
      </c>
      <c r="Z108" s="235" t="inlineStr">
        <is>
          <t>/</t>
        </is>
      </c>
      <c r="AA108" s="235" t="inlineStr">
        <is>
          <t xml:space="preserve"> 按实</t>
        </is>
      </c>
      <c r="AB108" s="22" t="inlineStr">
        <is>
          <t>/</t>
        </is>
      </c>
      <c r="AC108" s="224" t="inlineStr">
        <is>
          <t>/</t>
        </is>
      </c>
      <c r="AD108" s="250" t="inlineStr">
        <is>
          <t>1、甲方管理费：校方按营业额比例13%收取，分组作业应分摊未分摊，已补分摊，服务费比例应做相应调整；</t>
        </is>
      </c>
      <c r="AE108" s="232" t="inlineStr">
        <is>
          <t xml:space="preserve">1、签订期间：2025.9.1-2026.8.31；
2、指标按照全年换算；
</t>
        </is>
      </c>
    </row>
    <row r="109" hidden="1" ht="12" customFormat="1" customHeight="1" s="209">
      <c r="A109" s="219" t="n">
        <v>107</v>
      </c>
      <c r="B109" s="220" t="inlineStr">
        <is>
          <t>KQCY0107</t>
        </is>
      </c>
      <c r="C109" s="221" t="inlineStr">
        <is>
          <t>餐饮二分部</t>
        </is>
      </c>
      <c r="D109" s="221" t="inlineStr">
        <is>
          <t>CF160</t>
        </is>
      </c>
      <c r="E109" s="221" t="inlineStr">
        <is>
          <t>高新区实验高中食堂(金山路校区)</t>
        </is>
      </c>
      <c r="F109" s="219" t="inlineStr">
        <is>
          <t>人员服务外包</t>
        </is>
      </c>
      <c r="G109" s="222" t="inlineStr">
        <is>
          <t>徐敏捷</t>
        </is>
      </c>
      <c r="H109" s="222" t="inlineStr">
        <is>
          <t>/</t>
        </is>
      </c>
      <c r="I109" s="232" t="inlineStr">
        <is>
          <t>/</t>
        </is>
      </c>
      <c r="J109" s="503" t="inlineStr">
        <is>
          <t>/</t>
        </is>
      </c>
      <c r="K109" s="503" t="n"/>
      <c r="L109" s="224" t="n"/>
      <c r="M109" s="224" t="inlineStr">
        <is>
          <t>/</t>
        </is>
      </c>
      <c r="N109" s="651" t="n">
        <v>2462000</v>
      </c>
      <c r="O109" s="552" t="inlineStr">
        <is>
          <t>/</t>
        </is>
      </c>
      <c r="P109" s="227" t="inlineStr">
        <is>
          <t>/</t>
        </is>
      </c>
      <c r="Q109" s="227" t="inlineStr">
        <is>
          <t>/</t>
        </is>
      </c>
      <c r="R109" s="227" t="inlineStr">
        <is>
          <t>/</t>
        </is>
      </c>
      <c r="S109" s="227" t="inlineStr">
        <is>
          <t>/</t>
        </is>
      </c>
      <c r="T109" s="235" t="inlineStr">
        <is>
          <t>/</t>
        </is>
      </c>
      <c r="U109" s="235" t="inlineStr">
        <is>
          <t>/</t>
        </is>
      </c>
      <c r="V109" s="235" t="inlineStr">
        <is>
          <t>/</t>
        </is>
      </c>
      <c r="W109" s="235" t="inlineStr">
        <is>
          <t>/</t>
        </is>
      </c>
      <c r="X109" s="235" t="inlineStr">
        <is>
          <t>/</t>
        </is>
      </c>
      <c r="Y109" s="461" t="n"/>
      <c r="Z109" s="461" t="n"/>
      <c r="AA109" s="461" t="inlineStr">
        <is>
          <t>/</t>
        </is>
      </c>
      <c r="AB109" s="220" t="n"/>
      <c r="AC109" s="46" t="inlineStr">
        <is>
          <t>/</t>
        </is>
      </c>
      <c r="AD109" s="230" t="inlineStr">
        <is>
          <t>1、分部管理费：卡机营业额的3%，最高限额20万元</t>
        </is>
      </c>
      <c r="AE109" s="232" t="n"/>
    </row>
    <row r="110" hidden="1" ht="12" customFormat="1" customHeight="1" s="209">
      <c r="A110" s="219" t="n">
        <v>108</v>
      </c>
      <c r="B110" s="220" t="inlineStr">
        <is>
          <t>KQCY0108</t>
        </is>
      </c>
      <c r="C110" s="221" t="inlineStr">
        <is>
          <t>餐饮二分部</t>
        </is>
      </c>
      <c r="D110" s="221" t="inlineStr">
        <is>
          <t>CF174</t>
        </is>
      </c>
      <c r="E110" s="221" t="inlineStr">
        <is>
          <t>高新区实验高中食堂(科技城校区)</t>
        </is>
      </c>
      <c r="F110" s="219" t="inlineStr">
        <is>
          <t>人员服务外包</t>
        </is>
      </c>
      <c r="G110" s="222" t="inlineStr">
        <is>
          <t>徐敏捷</t>
        </is>
      </c>
      <c r="H110" s="222" t="inlineStr">
        <is>
          <t>/</t>
        </is>
      </c>
      <c r="I110" s="232" t="inlineStr">
        <is>
          <t>/</t>
        </is>
      </c>
      <c r="J110" s="503" t="inlineStr">
        <is>
          <t>/</t>
        </is>
      </c>
      <c r="K110" s="503" t="n"/>
      <c r="L110" s="224" t="n"/>
      <c r="M110" s="224" t="inlineStr">
        <is>
          <t>/</t>
        </is>
      </c>
      <c r="N110" s="651" t="n">
        <v>2465000</v>
      </c>
      <c r="O110" s="552" t="inlineStr">
        <is>
          <t>/</t>
        </is>
      </c>
      <c r="P110" s="227" t="inlineStr">
        <is>
          <t>/</t>
        </is>
      </c>
      <c r="Q110" s="227" t="inlineStr">
        <is>
          <t>/</t>
        </is>
      </c>
      <c r="R110" s="227" t="inlineStr">
        <is>
          <t>/</t>
        </is>
      </c>
      <c r="S110" s="227" t="inlineStr">
        <is>
          <t>/</t>
        </is>
      </c>
      <c r="T110" s="235" t="inlineStr">
        <is>
          <t>/</t>
        </is>
      </c>
      <c r="U110" s="235" t="inlineStr">
        <is>
          <t>/</t>
        </is>
      </c>
      <c r="V110" s="235" t="inlineStr">
        <is>
          <t>/</t>
        </is>
      </c>
      <c r="W110" s="235" t="inlineStr">
        <is>
          <t>/</t>
        </is>
      </c>
      <c r="X110" s="235" t="inlineStr">
        <is>
          <t>/</t>
        </is>
      </c>
      <c r="Y110" s="461" t="n"/>
      <c r="Z110" s="461" t="n"/>
      <c r="AA110" s="461" t="inlineStr">
        <is>
          <t>/</t>
        </is>
      </c>
      <c r="AB110" s="220" t="n"/>
      <c r="AC110" s="46" t="inlineStr">
        <is>
          <t>/</t>
        </is>
      </c>
      <c r="AD110" s="230" t="inlineStr">
        <is>
          <t>1、分部管理费：卡机营业额的3%，最高限额20万元</t>
        </is>
      </c>
      <c r="AE110" s="232" t="n"/>
    </row>
    <row r="111" hidden="1" ht="12" customFormat="1" customHeight="1" s="209">
      <c r="A111" s="219" t="n">
        <v>109</v>
      </c>
      <c r="B111" s="220" t="inlineStr">
        <is>
          <t>KQCY0109</t>
        </is>
      </c>
      <c r="C111" s="221" t="inlineStr">
        <is>
          <t>餐饮二分部</t>
        </is>
      </c>
      <c r="D111" s="221" t="inlineStr">
        <is>
          <t>CF175</t>
        </is>
      </c>
      <c r="E111" s="221" t="inlineStr">
        <is>
          <t>高新区实验初中食堂(金山路校区)</t>
        </is>
      </c>
      <c r="F111" s="219" t="inlineStr">
        <is>
          <t>人员服务外包</t>
        </is>
      </c>
      <c r="G111" s="222" t="inlineStr">
        <is>
          <t>徐敏捷</t>
        </is>
      </c>
      <c r="H111" s="222" t="inlineStr">
        <is>
          <t>/</t>
        </is>
      </c>
      <c r="I111" s="232" t="inlineStr">
        <is>
          <t>/</t>
        </is>
      </c>
      <c r="J111" s="503" t="inlineStr">
        <is>
          <t>/</t>
        </is>
      </c>
      <c r="K111" s="503" t="n"/>
      <c r="L111" s="224" t="n"/>
      <c r="M111" s="224" t="inlineStr">
        <is>
          <t>/</t>
        </is>
      </c>
      <c r="N111" s="651" t="n">
        <v>2650000</v>
      </c>
      <c r="O111" s="552" t="inlineStr">
        <is>
          <t>/</t>
        </is>
      </c>
      <c r="P111" s="227" t="inlineStr">
        <is>
          <t>/</t>
        </is>
      </c>
      <c r="Q111" s="227" t="inlineStr">
        <is>
          <t>/</t>
        </is>
      </c>
      <c r="R111" s="227" t="inlineStr">
        <is>
          <t>/</t>
        </is>
      </c>
      <c r="S111" s="227" t="inlineStr">
        <is>
          <t>/</t>
        </is>
      </c>
      <c r="T111" s="235" t="inlineStr">
        <is>
          <t>/</t>
        </is>
      </c>
      <c r="U111" s="235" t="inlineStr">
        <is>
          <t>/</t>
        </is>
      </c>
      <c r="V111" s="235" t="inlineStr">
        <is>
          <t>/</t>
        </is>
      </c>
      <c r="W111" s="235" t="inlineStr">
        <is>
          <t>/</t>
        </is>
      </c>
      <c r="X111" s="235" t="inlineStr">
        <is>
          <t>/</t>
        </is>
      </c>
      <c r="Y111" s="461" t="n"/>
      <c r="Z111" s="461" t="n"/>
      <c r="AA111" s="461" t="inlineStr">
        <is>
          <t>/</t>
        </is>
      </c>
      <c r="AB111" s="220" t="n"/>
      <c r="AC111" s="46" t="inlineStr">
        <is>
          <t>/</t>
        </is>
      </c>
      <c r="AD111" s="230" t="inlineStr">
        <is>
          <t>1、分部管理费：卡机营业额的3%，最高限额20万元</t>
        </is>
      </c>
      <c r="AE111" s="232" t="n"/>
    </row>
    <row r="112" hidden="1" ht="12" customFormat="1" customHeight="1" s="209">
      <c r="A112" s="219" t="n">
        <v>110</v>
      </c>
      <c r="B112" s="220" t="inlineStr">
        <is>
          <t>KQCY0110</t>
        </is>
      </c>
      <c r="C112" s="221" t="inlineStr">
        <is>
          <t>餐饮二分部</t>
        </is>
      </c>
      <c r="D112" s="221" t="inlineStr">
        <is>
          <t>CF177</t>
        </is>
      </c>
      <c r="E112" s="221" t="inlineStr">
        <is>
          <t>高新区实验初中食堂(锦峰路校区)</t>
        </is>
      </c>
      <c r="F112" s="219" t="inlineStr">
        <is>
          <t>人员服务外包</t>
        </is>
      </c>
      <c r="G112" s="222" t="inlineStr">
        <is>
          <t>徐敏捷</t>
        </is>
      </c>
      <c r="H112" s="222" t="inlineStr">
        <is>
          <t>/</t>
        </is>
      </c>
      <c r="I112" s="232" t="inlineStr">
        <is>
          <t>/</t>
        </is>
      </c>
      <c r="J112" s="503" t="inlineStr">
        <is>
          <t>/</t>
        </is>
      </c>
      <c r="K112" s="503" t="n"/>
      <c r="L112" s="224" t="n"/>
      <c r="M112" s="224" t="inlineStr">
        <is>
          <t>/</t>
        </is>
      </c>
      <c r="N112" s="651" t="n">
        <v>1574000</v>
      </c>
      <c r="O112" s="552" t="inlineStr">
        <is>
          <t>/</t>
        </is>
      </c>
      <c r="P112" s="227" t="inlineStr">
        <is>
          <t>/</t>
        </is>
      </c>
      <c r="Q112" s="227" t="inlineStr">
        <is>
          <t>/</t>
        </is>
      </c>
      <c r="R112" s="227" t="inlineStr">
        <is>
          <t>/</t>
        </is>
      </c>
      <c r="S112" s="227" t="inlineStr">
        <is>
          <t>/</t>
        </is>
      </c>
      <c r="T112" s="235" t="inlineStr">
        <is>
          <t>/</t>
        </is>
      </c>
      <c r="U112" s="235" t="inlineStr">
        <is>
          <t>/</t>
        </is>
      </c>
      <c r="V112" s="235" t="inlineStr">
        <is>
          <t>/</t>
        </is>
      </c>
      <c r="W112" s="235" t="inlineStr">
        <is>
          <t>/</t>
        </is>
      </c>
      <c r="X112" s="235" t="inlineStr">
        <is>
          <t>/</t>
        </is>
      </c>
      <c r="Y112" s="461" t="n"/>
      <c r="Z112" s="461" t="n"/>
      <c r="AA112" s="461" t="inlineStr">
        <is>
          <t>/</t>
        </is>
      </c>
      <c r="AB112" s="220" t="n"/>
      <c r="AC112" s="46" t="inlineStr">
        <is>
          <t>/</t>
        </is>
      </c>
      <c r="AD112" s="230" t="inlineStr">
        <is>
          <t>1、分部管理费：卡机营业额的3%，最高限额20万元</t>
        </is>
      </c>
      <c r="AE112" s="232" t="n"/>
    </row>
    <row r="113" hidden="1" ht="12" customFormat="1" customHeight="1" s="209">
      <c r="A113" s="219" t="n">
        <v>111</v>
      </c>
      <c r="B113" s="220" t="inlineStr">
        <is>
          <t>KQCY0111</t>
        </is>
      </c>
      <c r="C113" s="221" t="inlineStr">
        <is>
          <t>餐饮二分部</t>
        </is>
      </c>
      <c r="D113" s="221" t="inlineStr">
        <is>
          <t>CF173</t>
        </is>
      </c>
      <c r="E113" s="221" t="inlineStr">
        <is>
          <t>高新区一中食堂（汾湖路校区）</t>
        </is>
      </c>
      <c r="F113" s="219" t="inlineStr">
        <is>
          <t>人员服务外包</t>
        </is>
      </c>
      <c r="G113" s="222" t="inlineStr">
        <is>
          <t>徐敏捷</t>
        </is>
      </c>
      <c r="H113" s="222" t="inlineStr">
        <is>
          <t>/</t>
        </is>
      </c>
      <c r="I113" s="232" t="inlineStr">
        <is>
          <t>/</t>
        </is>
      </c>
      <c r="J113" s="503" t="inlineStr">
        <is>
          <t>/</t>
        </is>
      </c>
      <c r="K113" s="503" t="n"/>
      <c r="L113" s="224" t="n"/>
      <c r="M113" s="224" t="inlineStr">
        <is>
          <t>/</t>
        </is>
      </c>
      <c r="N113" s="651" t="n">
        <v>3130000</v>
      </c>
      <c r="O113" s="552" t="inlineStr">
        <is>
          <t>/</t>
        </is>
      </c>
      <c r="P113" s="227" t="inlineStr">
        <is>
          <t>/</t>
        </is>
      </c>
      <c r="Q113" s="227" t="inlineStr">
        <is>
          <t>/</t>
        </is>
      </c>
      <c r="R113" s="227" t="inlineStr">
        <is>
          <t>/</t>
        </is>
      </c>
      <c r="S113" s="227" t="inlineStr">
        <is>
          <t>/</t>
        </is>
      </c>
      <c r="T113" s="235" t="inlineStr">
        <is>
          <t>/</t>
        </is>
      </c>
      <c r="U113" s="235" t="inlineStr">
        <is>
          <t>/</t>
        </is>
      </c>
      <c r="V113" s="235" t="inlineStr">
        <is>
          <t>/</t>
        </is>
      </c>
      <c r="W113" s="235" t="inlineStr">
        <is>
          <t>/</t>
        </is>
      </c>
      <c r="X113" s="235" t="inlineStr">
        <is>
          <t>/</t>
        </is>
      </c>
      <c r="Y113" s="461" t="n"/>
      <c r="Z113" s="461" t="n"/>
      <c r="AA113" s="461" t="inlineStr">
        <is>
          <t>/</t>
        </is>
      </c>
      <c r="AB113" s="220" t="n"/>
      <c r="AC113" s="46" t="inlineStr">
        <is>
          <t>/</t>
        </is>
      </c>
      <c r="AD113" s="230" t="inlineStr">
        <is>
          <t>1、分部管理费：卡机营业额的3%，最高限额20万元</t>
        </is>
      </c>
      <c r="AE113" s="232" t="n"/>
    </row>
    <row r="114" hidden="1" ht="12" customFormat="1" customHeight="1" s="209">
      <c r="A114" s="219" t="n">
        <v>112</v>
      </c>
      <c r="B114" s="220" t="inlineStr">
        <is>
          <t>KQCY0112</t>
        </is>
      </c>
      <c r="C114" s="221" t="inlineStr">
        <is>
          <t>餐饮二分部</t>
        </is>
      </c>
      <c r="D114" s="221" t="inlineStr">
        <is>
          <t>CF179</t>
        </is>
      </c>
      <c r="E114" s="221" t="inlineStr">
        <is>
          <t>高新区一中食堂（科技城校区）</t>
        </is>
      </c>
      <c r="F114" s="219" t="inlineStr">
        <is>
          <t>人员服务外包</t>
        </is>
      </c>
      <c r="G114" s="222" t="inlineStr">
        <is>
          <t>徐敏捷</t>
        </is>
      </c>
      <c r="H114" s="222" t="inlineStr">
        <is>
          <t>/</t>
        </is>
      </c>
      <c r="I114" s="232" t="inlineStr">
        <is>
          <t>/</t>
        </is>
      </c>
      <c r="J114" s="503" t="inlineStr">
        <is>
          <t>/</t>
        </is>
      </c>
      <c r="K114" s="503" t="n"/>
      <c r="L114" s="224" t="n"/>
      <c r="M114" s="224" t="inlineStr">
        <is>
          <t>/</t>
        </is>
      </c>
      <c r="N114" s="651" t="n">
        <v>2588000</v>
      </c>
      <c r="O114" s="552" t="inlineStr">
        <is>
          <t>/</t>
        </is>
      </c>
      <c r="P114" s="227" t="inlineStr">
        <is>
          <t>/</t>
        </is>
      </c>
      <c r="Q114" s="227" t="inlineStr">
        <is>
          <t>/</t>
        </is>
      </c>
      <c r="R114" s="227" t="inlineStr">
        <is>
          <t>/</t>
        </is>
      </c>
      <c r="S114" s="227" t="inlineStr">
        <is>
          <t>/</t>
        </is>
      </c>
      <c r="T114" s="235" t="inlineStr">
        <is>
          <t>/</t>
        </is>
      </c>
      <c r="U114" s="235" t="inlineStr">
        <is>
          <t>/</t>
        </is>
      </c>
      <c r="V114" s="235" t="inlineStr">
        <is>
          <t>/</t>
        </is>
      </c>
      <c r="W114" s="235" t="inlineStr">
        <is>
          <t>/</t>
        </is>
      </c>
      <c r="X114" s="235" t="inlineStr">
        <is>
          <t>/</t>
        </is>
      </c>
      <c r="Y114" s="461" t="n"/>
      <c r="Z114" s="461" t="n"/>
      <c r="AA114" s="461" t="inlineStr">
        <is>
          <t>/</t>
        </is>
      </c>
      <c r="AB114" s="220" t="n"/>
      <c r="AC114" s="46" t="inlineStr">
        <is>
          <t>/</t>
        </is>
      </c>
      <c r="AD114" s="230" t="inlineStr">
        <is>
          <t>1、分部管理费：卡机营业额的3%，最高限额20万元</t>
        </is>
      </c>
      <c r="AE114" s="232" t="n"/>
    </row>
    <row r="115" hidden="1" ht="12" customFormat="1" customHeight="1" s="209">
      <c r="A115" s="219" t="n">
        <v>113</v>
      </c>
      <c r="B115" s="220" t="inlineStr">
        <is>
          <t>KQCY0113</t>
        </is>
      </c>
      <c r="C115" s="221" t="inlineStr">
        <is>
          <t>餐饮二分部</t>
        </is>
      </c>
      <c r="D115" s="221" t="inlineStr">
        <is>
          <t>CF180</t>
        </is>
      </c>
      <c r="E115" s="221" t="inlineStr">
        <is>
          <t>高新区一初中食堂（珠江路校区）</t>
        </is>
      </c>
      <c r="F115" s="219" t="inlineStr">
        <is>
          <t>人员服务外包</t>
        </is>
      </c>
      <c r="G115" s="222" t="inlineStr">
        <is>
          <t>徐敏捷</t>
        </is>
      </c>
      <c r="H115" s="222" t="inlineStr">
        <is>
          <t>/</t>
        </is>
      </c>
      <c r="I115" s="232" t="inlineStr">
        <is>
          <t>/</t>
        </is>
      </c>
      <c r="J115" s="503" t="inlineStr">
        <is>
          <t>/</t>
        </is>
      </c>
      <c r="K115" s="503" t="n"/>
      <c r="L115" s="224" t="n"/>
      <c r="M115" s="224" t="inlineStr">
        <is>
          <t>/</t>
        </is>
      </c>
      <c r="N115" s="651" t="n">
        <v>1249000</v>
      </c>
      <c r="O115" s="552" t="inlineStr">
        <is>
          <t>/</t>
        </is>
      </c>
      <c r="P115" s="227" t="inlineStr">
        <is>
          <t>/</t>
        </is>
      </c>
      <c r="Q115" s="227" t="inlineStr">
        <is>
          <t>/</t>
        </is>
      </c>
      <c r="R115" s="227" t="inlineStr">
        <is>
          <t>/</t>
        </is>
      </c>
      <c r="S115" s="227" t="inlineStr">
        <is>
          <t>/</t>
        </is>
      </c>
      <c r="T115" s="235" t="inlineStr">
        <is>
          <t>/</t>
        </is>
      </c>
      <c r="U115" s="235" t="inlineStr">
        <is>
          <t>/</t>
        </is>
      </c>
      <c r="V115" s="235" t="inlineStr">
        <is>
          <t>/</t>
        </is>
      </c>
      <c r="W115" s="235" t="inlineStr">
        <is>
          <t>/</t>
        </is>
      </c>
      <c r="X115" s="235" t="inlineStr">
        <is>
          <t>/</t>
        </is>
      </c>
      <c r="Y115" s="461" t="n"/>
      <c r="Z115" s="461" t="n"/>
      <c r="AA115" s="461" t="inlineStr">
        <is>
          <t>/</t>
        </is>
      </c>
      <c r="AB115" s="220" t="n"/>
      <c r="AC115" s="46" t="inlineStr">
        <is>
          <t>/</t>
        </is>
      </c>
      <c r="AD115" s="230" t="inlineStr">
        <is>
          <t>1、分部管理费：卡机营业额的3%，最高限额20万元</t>
        </is>
      </c>
      <c r="AE115" s="232" t="n"/>
    </row>
    <row r="116" hidden="1" ht="12" customFormat="1" customHeight="1" s="209">
      <c r="A116" s="219" t="n">
        <v>114</v>
      </c>
      <c r="B116" s="220" t="inlineStr">
        <is>
          <t>KQCY0114</t>
        </is>
      </c>
      <c r="C116" s="221" t="inlineStr">
        <is>
          <t>餐饮二分部</t>
        </is>
      </c>
      <c r="D116" s="221" t="inlineStr">
        <is>
          <t>CF183</t>
        </is>
      </c>
      <c r="E116" s="221" t="inlineStr">
        <is>
          <t>中医科苏州新校区食堂</t>
        </is>
      </c>
      <c r="F116" s="219" t="inlineStr">
        <is>
          <t>人员服务外包</t>
        </is>
      </c>
      <c r="G116" s="222" t="inlineStr">
        <is>
          <t>陆琪</t>
        </is>
      </c>
      <c r="H116" s="222" t="inlineStr">
        <is>
          <t>/</t>
        </is>
      </c>
      <c r="I116" s="232" t="inlineStr">
        <is>
          <t>/</t>
        </is>
      </c>
      <c r="J116" s="503" t="inlineStr">
        <is>
          <t>/</t>
        </is>
      </c>
      <c r="K116" s="503" t="n"/>
      <c r="L116" s="224" t="n"/>
      <c r="M116" s="224" t="inlineStr">
        <is>
          <t>/</t>
        </is>
      </c>
      <c r="N116" s="651" t="inlineStr">
        <is>
          <t>/</t>
        </is>
      </c>
      <c r="O116" s="227" t="inlineStr">
        <is>
          <t>/</t>
        </is>
      </c>
      <c r="P116" s="227" t="inlineStr">
        <is>
          <t>/</t>
        </is>
      </c>
      <c r="Q116" s="227" t="inlineStr">
        <is>
          <t>/</t>
        </is>
      </c>
      <c r="R116" s="227" t="inlineStr">
        <is>
          <t>/</t>
        </is>
      </c>
      <c r="S116" s="227" t="inlineStr">
        <is>
          <t>/</t>
        </is>
      </c>
      <c r="T116" s="227" t="inlineStr">
        <is>
          <t>/</t>
        </is>
      </c>
      <c r="U116" s="227" t="inlineStr">
        <is>
          <t>/</t>
        </is>
      </c>
      <c r="V116" s="461" t="inlineStr">
        <is>
          <t>/</t>
        </is>
      </c>
      <c r="W116" s="227" t="inlineStr">
        <is>
          <t>/</t>
        </is>
      </c>
      <c r="X116" s="227" t="inlineStr">
        <is>
          <t>/</t>
        </is>
      </c>
      <c r="Y116" s="461" t="n"/>
      <c r="Z116" s="461" t="n"/>
      <c r="AA116" s="461" t="inlineStr">
        <is>
          <t>/</t>
        </is>
      </c>
      <c r="AB116" s="51" t="n">
        <v>0.08</v>
      </c>
      <c r="AC116" s="46" t="n">
        <v>0.015</v>
      </c>
      <c r="AD116" s="232" t="n"/>
      <c r="AE116" s="232" t="n"/>
    </row>
    <row r="117" hidden="1" ht="12" customFormat="1" customHeight="1" s="209">
      <c r="A117" s="219" t="n">
        <v>115</v>
      </c>
      <c r="B117" s="220" t="inlineStr">
        <is>
          <t>KQCY0115</t>
        </is>
      </c>
      <c r="C117" s="221" t="inlineStr">
        <is>
          <t>餐饮二分部</t>
        </is>
      </c>
      <c r="D117" s="221" t="inlineStr">
        <is>
          <t>CF183</t>
        </is>
      </c>
      <c r="E117" s="221" t="inlineStr">
        <is>
          <t>中医科苏州新校区食堂</t>
        </is>
      </c>
      <c r="F117" s="219" t="inlineStr">
        <is>
          <t>自营</t>
        </is>
      </c>
      <c r="G117" s="222" t="inlineStr">
        <is>
          <t>陆琪</t>
        </is>
      </c>
      <c r="H117" s="222" t="inlineStr">
        <is>
          <t>/</t>
        </is>
      </c>
      <c r="I117" s="237" t="inlineStr">
        <is>
          <t>/</t>
        </is>
      </c>
      <c r="J117" s="222" t="inlineStr">
        <is>
          <t>/</t>
        </is>
      </c>
      <c r="K117" s="222" t="n"/>
      <c r="L117" s="224" t="n"/>
      <c r="M117" s="224" t="inlineStr">
        <is>
          <t>/</t>
        </is>
      </c>
      <c r="N117" s="651" t="inlineStr">
        <is>
          <t>/</t>
        </is>
      </c>
      <c r="O117" s="235" t="inlineStr">
        <is>
          <t>/</t>
        </is>
      </c>
      <c r="P117" s="235" t="inlineStr">
        <is>
          <t>/</t>
        </is>
      </c>
      <c r="Q117" s="235" t="n">
        <v>0.02</v>
      </c>
      <c r="R117" s="235" t="inlineStr">
        <is>
          <t>/</t>
        </is>
      </c>
      <c r="S117" s="235" t="inlineStr">
        <is>
          <t>/</t>
        </is>
      </c>
      <c r="T117" s="235" t="inlineStr">
        <is>
          <t>/</t>
        </is>
      </c>
      <c r="U117" s="235" t="inlineStr">
        <is>
          <t>/</t>
        </is>
      </c>
      <c r="V117" s="235" t="inlineStr">
        <is>
          <t>/</t>
        </is>
      </c>
      <c r="W117" s="235" t="inlineStr">
        <is>
          <t>/</t>
        </is>
      </c>
      <c r="X117" s="235" t="inlineStr">
        <is>
          <t>/</t>
        </is>
      </c>
      <c r="Y117" s="461" t="n"/>
      <c r="Z117" s="461" t="n"/>
      <c r="AA117" s="461" t="inlineStr">
        <is>
          <t>/</t>
        </is>
      </c>
      <c r="AB117" s="51" t="n">
        <v>0.08</v>
      </c>
      <c r="AC117" s="46" t="n">
        <v>0.015</v>
      </c>
      <c r="AD117" s="232" t="n"/>
      <c r="AE117" s="232" t="n"/>
    </row>
    <row r="118" hidden="1" ht="12" customFormat="1" customHeight="1" s="209">
      <c r="A118" s="219" t="n">
        <v>116</v>
      </c>
      <c r="B118" s="220" t="inlineStr">
        <is>
          <t>KQCY0116</t>
        </is>
      </c>
      <c r="C118" s="221" t="inlineStr">
        <is>
          <t>餐饮二分部</t>
        </is>
      </c>
      <c r="D118" s="221" t="inlineStr">
        <is>
          <t>CF450</t>
        </is>
      </c>
      <c r="E118" s="221" t="inlineStr">
        <is>
          <t>天津大学学二食堂</t>
        </is>
      </c>
      <c r="F118" s="219" t="inlineStr">
        <is>
          <t>强责</t>
        </is>
      </c>
      <c r="G118" s="222" t="inlineStr">
        <is>
          <t>陆琪</t>
        </is>
      </c>
      <c r="H118" s="222" t="inlineStr">
        <is>
          <t>/</t>
        </is>
      </c>
      <c r="I118" s="232" t="inlineStr">
        <is>
          <t>/</t>
        </is>
      </c>
      <c r="J118" s="503" t="inlineStr">
        <is>
          <t>张宪</t>
        </is>
      </c>
      <c r="K118" s="503" t="n"/>
      <c r="L118" s="224" t="n"/>
      <c r="M118" s="224" t="inlineStr">
        <is>
          <t>/</t>
        </is>
      </c>
      <c r="N118" s="651" t="inlineStr">
        <is>
          <t>/</t>
        </is>
      </c>
      <c r="O118" s="227" t="inlineStr">
        <is>
          <t>/</t>
        </is>
      </c>
      <c r="P118" s="227" t="inlineStr">
        <is>
          <t>/</t>
        </is>
      </c>
      <c r="Q118" s="227" t="inlineStr">
        <is>
          <t>/</t>
        </is>
      </c>
      <c r="R118" s="227" t="inlineStr">
        <is>
          <t>/</t>
        </is>
      </c>
      <c r="S118" s="227" t="inlineStr">
        <is>
          <t>/</t>
        </is>
      </c>
      <c r="T118" s="227" t="inlineStr">
        <is>
          <t>/</t>
        </is>
      </c>
      <c r="U118" s="227" t="inlineStr">
        <is>
          <t>/</t>
        </is>
      </c>
      <c r="V118" s="461" t="inlineStr">
        <is>
          <t>/</t>
        </is>
      </c>
      <c r="W118" s="227" t="inlineStr">
        <is>
          <t>/</t>
        </is>
      </c>
      <c r="X118" s="227" t="inlineStr">
        <is>
          <t>/</t>
        </is>
      </c>
      <c r="Y118" s="461" t="n"/>
      <c r="Z118" s="461" t="n"/>
      <c r="AA118" s="461" t="n"/>
      <c r="AB118" s="113" t="n">
        <v>0.03</v>
      </c>
      <c r="AC118" s="502" t="inlineStr">
        <is>
          <t>/</t>
        </is>
      </c>
      <c r="AD118" s="232" t="n"/>
      <c r="AE118" s="232" t="n"/>
    </row>
    <row r="119" hidden="1" ht="36" customFormat="1" customHeight="1" s="209">
      <c r="A119" s="219" t="n">
        <v>117</v>
      </c>
      <c r="B119" s="220" t="inlineStr">
        <is>
          <t>KQCY0117</t>
        </is>
      </c>
      <c r="C119" s="221" t="inlineStr">
        <is>
          <t>餐饮二分部</t>
        </is>
      </c>
      <c r="D119" s="221" t="inlineStr">
        <is>
          <t>CF450</t>
        </is>
      </c>
      <c r="E119" s="221" t="inlineStr">
        <is>
          <t>天津大学学二食堂</t>
        </is>
      </c>
      <c r="F119" s="219" t="inlineStr">
        <is>
          <t>强责</t>
        </is>
      </c>
      <c r="G119" s="222" t="inlineStr">
        <is>
          <t>陆琪</t>
        </is>
      </c>
      <c r="H119" s="503" t="inlineStr">
        <is>
          <t>/</t>
        </is>
      </c>
      <c r="I119" s="232" t="inlineStr">
        <is>
          <t>馄饨（轻食）</t>
        </is>
      </c>
      <c r="J119" s="503" t="inlineStr">
        <is>
          <t>李佳玉</t>
        </is>
      </c>
      <c r="K119" s="503" t="n"/>
      <c r="L119" s="224" t="n"/>
      <c r="M119" s="224" t="inlineStr">
        <is>
          <t>/</t>
        </is>
      </c>
      <c r="N119" s="651" t="n">
        <v>400000</v>
      </c>
      <c r="O119" s="276" t="n">
        <v>0.17</v>
      </c>
      <c r="P119" s="227" t="inlineStr">
        <is>
          <t>/</t>
        </is>
      </c>
      <c r="Q119" s="276" t="n">
        <v>0.02</v>
      </c>
      <c r="R119" s="227" t="inlineStr">
        <is>
          <t>/</t>
        </is>
      </c>
      <c r="S119" s="227" t="inlineStr">
        <is>
          <t>/</t>
        </is>
      </c>
      <c r="T119" s="227" t="inlineStr">
        <is>
          <t>/</t>
        </is>
      </c>
      <c r="U119" s="227" t="inlineStr">
        <is>
          <t>/</t>
        </is>
      </c>
      <c r="V119" s="235" t="n">
        <v>0.04</v>
      </c>
      <c r="W119" s="235" t="n">
        <v>0.04</v>
      </c>
      <c r="X119" s="227" t="inlineStr">
        <is>
          <t>/</t>
        </is>
      </c>
      <c r="Y119" s="279" t="n"/>
      <c r="Z119" s="279" t="n"/>
      <c r="AA119" s="279" t="n">
        <v>0.5</v>
      </c>
      <c r="AB119" s="502" t="inlineStr">
        <is>
          <t>/</t>
        </is>
      </c>
      <c r="AC119" s="502" t="inlineStr">
        <is>
          <t>/</t>
        </is>
      </c>
      <c r="AD119" s="232" t="n"/>
      <c r="AE119" s="232" t="inlineStr">
        <is>
          <t xml:space="preserve">
1、签订期间：2026.1.1-2026.8.1；
2、指标按照全年换算；</t>
        </is>
      </c>
    </row>
    <row r="120" hidden="1" ht="36" customFormat="1" customHeight="1" s="209">
      <c r="A120" s="219" t="n">
        <v>118</v>
      </c>
      <c r="B120" s="220" t="inlineStr">
        <is>
          <t>KQCY0118</t>
        </is>
      </c>
      <c r="C120" s="221" t="inlineStr">
        <is>
          <t>餐饮二分部</t>
        </is>
      </c>
      <c r="D120" s="221" t="inlineStr">
        <is>
          <t>CF450</t>
        </is>
      </c>
      <c r="E120" s="221" t="inlineStr">
        <is>
          <t>天津大学学二食堂</t>
        </is>
      </c>
      <c r="F120" s="219" t="inlineStr">
        <is>
          <t>强责</t>
        </is>
      </c>
      <c r="G120" s="222" t="inlineStr">
        <is>
          <t>陆琪</t>
        </is>
      </c>
      <c r="H120" s="503" t="inlineStr">
        <is>
          <t>/</t>
        </is>
      </c>
      <c r="I120" s="237" t="inlineStr">
        <is>
          <t>面夫子</t>
        </is>
      </c>
      <c r="J120" s="461" t="inlineStr">
        <is>
          <t>刘魁</t>
        </is>
      </c>
      <c r="K120" s="503" t="n"/>
      <c r="L120" s="224" t="n"/>
      <c r="M120" s="224" t="inlineStr">
        <is>
          <t>/</t>
        </is>
      </c>
      <c r="N120" s="651" t="n">
        <v>380000</v>
      </c>
      <c r="O120" s="276" t="n">
        <v>0.15</v>
      </c>
      <c r="P120" s="227" t="inlineStr">
        <is>
          <t>/</t>
        </is>
      </c>
      <c r="Q120" s="276" t="n">
        <v>0.02</v>
      </c>
      <c r="R120" s="227" t="inlineStr">
        <is>
          <t>/</t>
        </is>
      </c>
      <c r="S120" s="227" t="inlineStr">
        <is>
          <t>/</t>
        </is>
      </c>
      <c r="T120" s="227" t="inlineStr">
        <is>
          <t>/</t>
        </is>
      </c>
      <c r="U120" s="227" t="inlineStr">
        <is>
          <t>/</t>
        </is>
      </c>
      <c r="V120" s="235" t="n">
        <v>0.04</v>
      </c>
      <c r="W120" s="235" t="n">
        <v>0.04</v>
      </c>
      <c r="X120" s="227" t="inlineStr">
        <is>
          <t>/</t>
        </is>
      </c>
      <c r="Y120" s="279" t="n"/>
      <c r="Z120" s="279" t="n"/>
      <c r="AA120" s="279" t="n">
        <v>0.5</v>
      </c>
      <c r="AB120" s="502" t="inlineStr">
        <is>
          <t>/</t>
        </is>
      </c>
      <c r="AC120" s="502" t="inlineStr">
        <is>
          <t>/</t>
        </is>
      </c>
      <c r="AD120" s="232" t="n"/>
      <c r="AE120" s="232" t="inlineStr">
        <is>
          <t xml:space="preserve">
1、签订期间：2026.1.1-2026.8.1；
2、指标按照全年换算；</t>
        </is>
      </c>
    </row>
    <row r="121" hidden="1" ht="36" customFormat="1" customHeight="1" s="209">
      <c r="A121" s="219" t="n">
        <v>119</v>
      </c>
      <c r="B121" s="220" t="inlineStr">
        <is>
          <t>KQCY0119</t>
        </is>
      </c>
      <c r="C121" s="221" t="inlineStr">
        <is>
          <t>餐饮二分部</t>
        </is>
      </c>
      <c r="D121" s="221" t="inlineStr">
        <is>
          <t>CF450</t>
        </is>
      </c>
      <c r="E121" s="221" t="inlineStr">
        <is>
          <t>天津大学学二食堂</t>
        </is>
      </c>
      <c r="F121" s="219" t="inlineStr">
        <is>
          <t>强责</t>
        </is>
      </c>
      <c r="G121" s="222" t="inlineStr">
        <is>
          <t>陆琪</t>
        </is>
      </c>
      <c r="H121" s="503" t="inlineStr">
        <is>
          <t>/</t>
        </is>
      </c>
      <c r="I121" s="237" t="inlineStr">
        <is>
          <t>滑蛋饭</t>
        </is>
      </c>
      <c r="J121" s="503" t="inlineStr">
        <is>
          <t>李保</t>
        </is>
      </c>
      <c r="K121" s="503" t="n"/>
      <c r="L121" s="224" t="n"/>
      <c r="M121" s="224" t="inlineStr">
        <is>
          <t>/</t>
        </is>
      </c>
      <c r="N121" s="651" t="n">
        <v>500000</v>
      </c>
      <c r="O121" s="276" t="n">
        <v>0.18</v>
      </c>
      <c r="P121" s="227" t="inlineStr">
        <is>
          <t>/</t>
        </is>
      </c>
      <c r="Q121" s="276" t="n">
        <v>0.02</v>
      </c>
      <c r="R121" s="227" t="inlineStr">
        <is>
          <t>/</t>
        </is>
      </c>
      <c r="S121" s="227" t="inlineStr">
        <is>
          <t>/</t>
        </is>
      </c>
      <c r="T121" s="227" t="inlineStr">
        <is>
          <t>/</t>
        </is>
      </c>
      <c r="U121" s="227" t="inlineStr">
        <is>
          <t>/</t>
        </is>
      </c>
      <c r="V121" s="235" t="n">
        <v>0.04</v>
      </c>
      <c r="W121" s="235" t="n">
        <v>0.04</v>
      </c>
      <c r="X121" s="227" t="inlineStr">
        <is>
          <t>/</t>
        </is>
      </c>
      <c r="Y121" s="279" t="n"/>
      <c r="Z121" s="279" t="n"/>
      <c r="AA121" s="279" t="n">
        <v>0.5</v>
      </c>
      <c r="AB121" s="502" t="inlineStr">
        <is>
          <t>/</t>
        </is>
      </c>
      <c r="AC121" s="502" t="inlineStr">
        <is>
          <t>/</t>
        </is>
      </c>
      <c r="AD121" s="232" t="n"/>
      <c r="AE121" s="232" t="inlineStr">
        <is>
          <t xml:space="preserve">
1、签订期间：2026.1.1-2026.8.1；
2、指标按照全年换算；</t>
        </is>
      </c>
    </row>
    <row r="122" hidden="1" ht="36" customFormat="1" customHeight="1" s="209">
      <c r="A122" s="219" t="n">
        <v>120</v>
      </c>
      <c r="B122" s="220" t="inlineStr">
        <is>
          <t>KQCY0120</t>
        </is>
      </c>
      <c r="C122" s="221" t="inlineStr">
        <is>
          <t>餐饮二分部</t>
        </is>
      </c>
      <c r="D122" s="221" t="inlineStr">
        <is>
          <t>CF450</t>
        </is>
      </c>
      <c r="E122" s="221" t="inlineStr">
        <is>
          <t>天津大学学二食堂</t>
        </is>
      </c>
      <c r="F122" s="219" t="inlineStr">
        <is>
          <t>强责</t>
        </is>
      </c>
      <c r="G122" s="222" t="inlineStr">
        <is>
          <t>陆琪</t>
        </is>
      </c>
      <c r="H122" s="503" t="inlineStr">
        <is>
          <t>/</t>
        </is>
      </c>
      <c r="I122" s="237" t="inlineStr">
        <is>
          <t>基本伙窗口</t>
        </is>
      </c>
      <c r="J122" s="503" t="inlineStr">
        <is>
          <t>孟祥东</t>
        </is>
      </c>
      <c r="K122" s="503" t="n"/>
      <c r="L122" s="224" t="n"/>
      <c r="M122" s="224" t="inlineStr">
        <is>
          <t>/</t>
        </is>
      </c>
      <c r="N122" s="651" t="n">
        <v>800000</v>
      </c>
      <c r="O122" s="276" t="n">
        <v>0.1</v>
      </c>
      <c r="P122" s="227" t="inlineStr">
        <is>
          <t>/</t>
        </is>
      </c>
      <c r="Q122" s="227" t="inlineStr">
        <is>
          <t>/</t>
        </is>
      </c>
      <c r="R122" s="227" t="inlineStr">
        <is>
          <t>/</t>
        </is>
      </c>
      <c r="S122" s="227" t="inlineStr">
        <is>
          <t>/</t>
        </is>
      </c>
      <c r="T122" s="227" t="inlineStr">
        <is>
          <t>/</t>
        </is>
      </c>
      <c r="U122" s="227" t="inlineStr">
        <is>
          <t>/</t>
        </is>
      </c>
      <c r="V122" s="235" t="n">
        <v>0.04</v>
      </c>
      <c r="W122" s="235" t="n">
        <v>0.04</v>
      </c>
      <c r="X122" s="227" t="inlineStr">
        <is>
          <t>/</t>
        </is>
      </c>
      <c r="Y122" s="279" t="n"/>
      <c r="Z122" s="279" t="n"/>
      <c r="AA122" s="279" t="n">
        <v>0.5</v>
      </c>
      <c r="AB122" s="502" t="inlineStr">
        <is>
          <t>/</t>
        </is>
      </c>
      <c r="AC122" s="502" t="inlineStr">
        <is>
          <t>/</t>
        </is>
      </c>
      <c r="AD122" s="232" t="n"/>
      <c r="AE122" s="232" t="inlineStr">
        <is>
          <t xml:space="preserve">
1、签订期间：2026.1.1-2026.8.1；
2、指标按照全年换算；</t>
        </is>
      </c>
    </row>
    <row r="123" hidden="1" ht="36" customFormat="1" customHeight="1" s="209">
      <c r="A123" s="219" t="n">
        <v>121</v>
      </c>
      <c r="B123" s="220" t="inlineStr">
        <is>
          <t>KQCY0121</t>
        </is>
      </c>
      <c r="C123" s="221" t="inlineStr">
        <is>
          <t>餐饮二分部</t>
        </is>
      </c>
      <c r="D123" s="221" t="inlineStr">
        <is>
          <t>CF450</t>
        </is>
      </c>
      <c r="E123" s="221" t="inlineStr">
        <is>
          <t>天津大学学二食堂</t>
        </is>
      </c>
      <c r="F123" s="219" t="inlineStr">
        <is>
          <t>强责</t>
        </is>
      </c>
      <c r="G123" s="222" t="inlineStr">
        <is>
          <t>陆琪</t>
        </is>
      </c>
      <c r="H123" s="503" t="inlineStr">
        <is>
          <t>/</t>
        </is>
      </c>
      <c r="I123" s="237" t="inlineStr">
        <is>
          <t>小卖部</t>
        </is>
      </c>
      <c r="J123" s="503" t="inlineStr">
        <is>
          <t>张玉珠</t>
        </is>
      </c>
      <c r="K123" s="503" t="n"/>
      <c r="L123" s="224" t="n"/>
      <c r="M123" s="224" t="inlineStr">
        <is>
          <t>/</t>
        </is>
      </c>
      <c r="N123" s="651" t="n">
        <v>240000</v>
      </c>
      <c r="O123" s="276" t="n">
        <v>0.02</v>
      </c>
      <c r="P123" s="227" t="inlineStr">
        <is>
          <t>/</t>
        </is>
      </c>
      <c r="Q123" s="276" t="n">
        <v>0.02</v>
      </c>
      <c r="R123" s="227" t="inlineStr">
        <is>
          <t>/</t>
        </is>
      </c>
      <c r="S123" s="227" t="inlineStr">
        <is>
          <t>/</t>
        </is>
      </c>
      <c r="T123" s="227" t="inlineStr">
        <is>
          <t>/</t>
        </is>
      </c>
      <c r="U123" s="227" t="inlineStr">
        <is>
          <t>/</t>
        </is>
      </c>
      <c r="V123" s="235" t="n">
        <v>0.04</v>
      </c>
      <c r="W123" s="276" t="n">
        <v>0.01</v>
      </c>
      <c r="X123" s="227" t="inlineStr">
        <is>
          <t>/</t>
        </is>
      </c>
      <c r="Y123" s="279" t="n"/>
      <c r="Z123" s="279" t="n"/>
      <c r="AA123" s="279" t="n">
        <v>0.5</v>
      </c>
      <c r="AB123" s="502" t="inlineStr">
        <is>
          <t>/</t>
        </is>
      </c>
      <c r="AC123" s="502" t="inlineStr">
        <is>
          <t>/</t>
        </is>
      </c>
      <c r="AD123" s="232" t="n"/>
      <c r="AE123" s="232" t="inlineStr">
        <is>
          <t xml:space="preserve">
1、签订期间：2026.1.1-2026.8.1；
2、指标按照全年换算；</t>
        </is>
      </c>
    </row>
    <row r="124" hidden="1" ht="36" customFormat="1" customHeight="1" s="209">
      <c r="A124" s="219" t="n">
        <v>122</v>
      </c>
      <c r="B124" s="220" t="inlineStr">
        <is>
          <t>KQCY0122</t>
        </is>
      </c>
      <c r="C124" s="221" t="inlineStr">
        <is>
          <t>餐饮二分部</t>
        </is>
      </c>
      <c r="D124" s="221" t="inlineStr">
        <is>
          <t>CF450</t>
        </is>
      </c>
      <c r="E124" s="221" t="inlineStr">
        <is>
          <t>天津大学学二食堂</t>
        </is>
      </c>
      <c r="F124" s="219" t="inlineStr">
        <is>
          <t>强责</t>
        </is>
      </c>
      <c r="G124" s="222" t="inlineStr">
        <is>
          <t>陆琪</t>
        </is>
      </c>
      <c r="H124" s="503" t="inlineStr">
        <is>
          <t>/</t>
        </is>
      </c>
      <c r="I124" s="237" t="inlineStr">
        <is>
          <t>黄焖鸡</t>
        </is>
      </c>
      <c r="J124" s="503" t="inlineStr">
        <is>
          <t>蒋彩云</t>
        </is>
      </c>
      <c r="K124" s="503" t="n"/>
      <c r="L124" s="224" t="n"/>
      <c r="M124" s="224" t="inlineStr">
        <is>
          <t>/</t>
        </is>
      </c>
      <c r="N124" s="651" t="n">
        <v>480000</v>
      </c>
      <c r="O124" s="276" t="n">
        <v>0.18</v>
      </c>
      <c r="P124" s="227" t="inlineStr">
        <is>
          <t>/</t>
        </is>
      </c>
      <c r="Q124" s="276" t="n">
        <v>0.02</v>
      </c>
      <c r="R124" s="227" t="inlineStr">
        <is>
          <t>/</t>
        </is>
      </c>
      <c r="S124" s="227" t="inlineStr">
        <is>
          <t>/</t>
        </is>
      </c>
      <c r="T124" s="227" t="inlineStr">
        <is>
          <t>/</t>
        </is>
      </c>
      <c r="U124" s="227" t="inlineStr">
        <is>
          <t>/</t>
        </is>
      </c>
      <c r="V124" s="235" t="n">
        <v>0.04</v>
      </c>
      <c r="W124" s="235" t="n">
        <v>0.04</v>
      </c>
      <c r="X124" s="227" t="inlineStr">
        <is>
          <t>/</t>
        </is>
      </c>
      <c r="Y124" s="279" t="n"/>
      <c r="Z124" s="279" t="n"/>
      <c r="AA124" s="279" t="n">
        <v>0.5</v>
      </c>
      <c r="AB124" s="502" t="inlineStr">
        <is>
          <t>/</t>
        </is>
      </c>
      <c r="AC124" s="502" t="inlineStr">
        <is>
          <t>/</t>
        </is>
      </c>
      <c r="AD124" s="232" t="n"/>
      <c r="AE124" s="232" t="inlineStr">
        <is>
          <t xml:space="preserve">
1、签订期间：2026.1.1-2026.8.1；
2、指标按照全年换算；</t>
        </is>
      </c>
    </row>
    <row r="125" hidden="1" ht="36" customFormat="1" customHeight="1" s="209">
      <c r="A125" s="219" t="n">
        <v>123</v>
      </c>
      <c r="B125" s="220" t="inlineStr">
        <is>
          <t>KQCY0123</t>
        </is>
      </c>
      <c r="C125" s="221" t="inlineStr">
        <is>
          <t>餐饮二分部</t>
        </is>
      </c>
      <c r="D125" s="221" t="inlineStr">
        <is>
          <t>CF450</t>
        </is>
      </c>
      <c r="E125" s="221" t="inlineStr">
        <is>
          <t>天津大学学二食堂</t>
        </is>
      </c>
      <c r="F125" s="219" t="inlineStr">
        <is>
          <t>强责</t>
        </is>
      </c>
      <c r="G125" s="222" t="inlineStr">
        <is>
          <t>陆琪</t>
        </is>
      </c>
      <c r="H125" s="503" t="inlineStr">
        <is>
          <t>/</t>
        </is>
      </c>
      <c r="I125" s="237" t="inlineStr">
        <is>
          <t>南方面条</t>
        </is>
      </c>
      <c r="J125" s="503" t="inlineStr">
        <is>
          <t>孟祥东</t>
        </is>
      </c>
      <c r="K125" s="503" t="n"/>
      <c r="L125" s="224" t="n"/>
      <c r="M125" s="224" t="inlineStr">
        <is>
          <t>/</t>
        </is>
      </c>
      <c r="N125" s="651" t="n">
        <v>240000</v>
      </c>
      <c r="O125" s="276" t="n">
        <v>0.18</v>
      </c>
      <c r="P125" s="227" t="inlineStr">
        <is>
          <t>/</t>
        </is>
      </c>
      <c r="Q125" s="276" t="n">
        <v>0.02</v>
      </c>
      <c r="R125" s="227" t="inlineStr">
        <is>
          <t>/</t>
        </is>
      </c>
      <c r="S125" s="227" t="inlineStr">
        <is>
          <t>/</t>
        </is>
      </c>
      <c r="T125" s="227" t="inlineStr">
        <is>
          <t>/</t>
        </is>
      </c>
      <c r="U125" s="227" t="inlineStr">
        <is>
          <t>/</t>
        </is>
      </c>
      <c r="V125" s="235" t="n">
        <v>0.04</v>
      </c>
      <c r="W125" s="235" t="n">
        <v>0.04</v>
      </c>
      <c r="X125" s="227" t="inlineStr">
        <is>
          <t>/</t>
        </is>
      </c>
      <c r="Y125" s="279" t="n"/>
      <c r="Z125" s="279" t="n"/>
      <c r="AA125" s="279" t="n">
        <v>0.5</v>
      </c>
      <c r="AB125" s="502" t="inlineStr">
        <is>
          <t>/</t>
        </is>
      </c>
      <c r="AC125" s="502" t="inlineStr">
        <is>
          <t>/</t>
        </is>
      </c>
      <c r="AD125" s="232" t="n"/>
      <c r="AE125" s="232" t="inlineStr">
        <is>
          <t xml:space="preserve">
1、签订期间：2026.1.1-2026.8.1；
2、指标按照全年换算；</t>
        </is>
      </c>
    </row>
    <row r="126" hidden="1" ht="36" customFormat="1" customHeight="1" s="209">
      <c r="A126" s="219" t="n">
        <v>124</v>
      </c>
      <c r="B126" s="220" t="inlineStr">
        <is>
          <t>KQCY0124</t>
        </is>
      </c>
      <c r="C126" s="221" t="inlineStr">
        <is>
          <t>餐饮二分部</t>
        </is>
      </c>
      <c r="D126" s="221" t="inlineStr">
        <is>
          <t>CF450</t>
        </is>
      </c>
      <c r="E126" s="221" t="inlineStr">
        <is>
          <t>天津大学学二食堂</t>
        </is>
      </c>
      <c r="F126" s="219" t="inlineStr">
        <is>
          <t>强责</t>
        </is>
      </c>
      <c r="G126" s="222" t="inlineStr">
        <is>
          <t>陆琪</t>
        </is>
      </c>
      <c r="H126" s="503" t="inlineStr">
        <is>
          <t>/</t>
        </is>
      </c>
      <c r="I126" s="237" t="inlineStr">
        <is>
          <t>饸饹面</t>
        </is>
      </c>
      <c r="J126" s="503" t="inlineStr">
        <is>
          <t>要志远</t>
        </is>
      </c>
      <c r="K126" s="503" t="n"/>
      <c r="L126" s="224" t="n"/>
      <c r="M126" s="224" t="inlineStr">
        <is>
          <t>/</t>
        </is>
      </c>
      <c r="N126" s="651" t="n">
        <v>220000</v>
      </c>
      <c r="O126" s="276" t="n">
        <v>0.18</v>
      </c>
      <c r="P126" s="227" t="inlineStr">
        <is>
          <t>/</t>
        </is>
      </c>
      <c r="Q126" s="276" t="n">
        <v>0.02</v>
      </c>
      <c r="R126" s="227" t="inlineStr">
        <is>
          <t>/</t>
        </is>
      </c>
      <c r="S126" s="227" t="inlineStr">
        <is>
          <t>/</t>
        </is>
      </c>
      <c r="T126" s="227" t="inlineStr">
        <is>
          <t>/</t>
        </is>
      </c>
      <c r="U126" s="227" t="inlineStr">
        <is>
          <t>/</t>
        </is>
      </c>
      <c r="V126" s="235" t="n">
        <v>0.04</v>
      </c>
      <c r="W126" s="235" t="n">
        <v>0.04</v>
      </c>
      <c r="X126" s="227" t="inlineStr">
        <is>
          <t>/</t>
        </is>
      </c>
      <c r="Y126" s="279" t="n"/>
      <c r="Z126" s="279" t="n"/>
      <c r="AA126" s="279" t="n">
        <v>0.5</v>
      </c>
      <c r="AB126" s="502" t="inlineStr">
        <is>
          <t>/</t>
        </is>
      </c>
      <c r="AC126" s="502" t="inlineStr">
        <is>
          <t>/</t>
        </is>
      </c>
      <c r="AD126" s="232" t="n"/>
      <c r="AE126" s="232" t="inlineStr">
        <is>
          <t xml:space="preserve">
1、签订期间：2026.1.1-2026.8.1；
2、指标按照全年换算；</t>
        </is>
      </c>
    </row>
    <row r="127" hidden="1" ht="36" customFormat="1" customHeight="1" s="209">
      <c r="A127" s="219" t="n">
        <v>125</v>
      </c>
      <c r="B127" s="220" t="inlineStr">
        <is>
          <t>KQCY0125</t>
        </is>
      </c>
      <c r="C127" s="221" t="inlineStr">
        <is>
          <t>餐饮二分部</t>
        </is>
      </c>
      <c r="D127" s="221" t="inlineStr">
        <is>
          <t>CF450</t>
        </is>
      </c>
      <c r="E127" s="221" t="inlineStr">
        <is>
          <t>天津大学学二食堂</t>
        </is>
      </c>
      <c r="F127" s="219" t="inlineStr">
        <is>
          <t>强责</t>
        </is>
      </c>
      <c r="G127" s="222" t="inlineStr">
        <is>
          <t>陆琪</t>
        </is>
      </c>
      <c r="H127" s="503" t="inlineStr">
        <is>
          <t>/</t>
        </is>
      </c>
      <c r="I127" s="237" t="inlineStr">
        <is>
          <t>麻辣烫</t>
        </is>
      </c>
      <c r="J127" s="503" t="inlineStr">
        <is>
          <t>孟迪</t>
        </is>
      </c>
      <c r="K127" s="503" t="n"/>
      <c r="L127" s="224" t="n"/>
      <c r="M127" s="224" t="inlineStr">
        <is>
          <t>/</t>
        </is>
      </c>
      <c r="N127" s="651" t="n">
        <v>300000</v>
      </c>
      <c r="O127" s="276" t="n">
        <v>0.18</v>
      </c>
      <c r="P127" s="227" t="inlineStr">
        <is>
          <t>/</t>
        </is>
      </c>
      <c r="Q127" s="276" t="n">
        <v>0.02</v>
      </c>
      <c r="R127" s="227" t="inlineStr">
        <is>
          <t>/</t>
        </is>
      </c>
      <c r="S127" s="227" t="inlineStr">
        <is>
          <t>/</t>
        </is>
      </c>
      <c r="T127" s="227" t="inlineStr">
        <is>
          <t>/</t>
        </is>
      </c>
      <c r="U127" s="227" t="inlineStr">
        <is>
          <t>/</t>
        </is>
      </c>
      <c r="V127" s="235" t="n">
        <v>0.04</v>
      </c>
      <c r="W127" s="235" t="n">
        <v>0.04</v>
      </c>
      <c r="X127" s="227" t="inlineStr">
        <is>
          <t>/</t>
        </is>
      </c>
      <c r="Y127" s="279" t="n"/>
      <c r="Z127" s="279" t="n"/>
      <c r="AA127" s="279" t="n">
        <v>0.5</v>
      </c>
      <c r="AB127" s="502" t="inlineStr">
        <is>
          <t>/</t>
        </is>
      </c>
      <c r="AC127" s="502" t="inlineStr">
        <is>
          <t>/</t>
        </is>
      </c>
      <c r="AD127" s="232" t="n"/>
      <c r="AE127" s="232" t="inlineStr">
        <is>
          <t xml:space="preserve">
1、签订期间：2026.1.1-2026.8.1；
2、指标按照全年换算；</t>
        </is>
      </c>
    </row>
    <row r="128" hidden="1" ht="36" customFormat="1" customHeight="1" s="209">
      <c r="A128" s="219" t="n">
        <v>126</v>
      </c>
      <c r="B128" s="220" t="inlineStr">
        <is>
          <t>KQCY0126</t>
        </is>
      </c>
      <c r="C128" s="221" t="inlineStr">
        <is>
          <t>餐饮二分部</t>
        </is>
      </c>
      <c r="D128" s="221" t="inlineStr">
        <is>
          <t>CF450</t>
        </is>
      </c>
      <c r="E128" s="221" t="inlineStr">
        <is>
          <t>天津大学学二食堂</t>
        </is>
      </c>
      <c r="F128" s="219" t="inlineStr">
        <is>
          <t>强责</t>
        </is>
      </c>
      <c r="G128" s="222" t="inlineStr">
        <is>
          <t>陆琪</t>
        </is>
      </c>
      <c r="H128" s="503" t="inlineStr">
        <is>
          <t>/</t>
        </is>
      </c>
      <c r="I128" s="237" t="inlineStr">
        <is>
          <t>烤鸭饭</t>
        </is>
      </c>
      <c r="J128" s="503" t="inlineStr">
        <is>
          <t>董子帅</t>
        </is>
      </c>
      <c r="K128" s="503" t="n"/>
      <c r="L128" s="224" t="n"/>
      <c r="M128" s="224" t="inlineStr">
        <is>
          <t>/</t>
        </is>
      </c>
      <c r="N128" s="651" t="n">
        <v>400000</v>
      </c>
      <c r="O128" s="276" t="n">
        <v>0.18</v>
      </c>
      <c r="P128" s="227" t="inlineStr">
        <is>
          <t>/</t>
        </is>
      </c>
      <c r="Q128" s="276" t="n">
        <v>0.02</v>
      </c>
      <c r="R128" s="227" t="inlineStr">
        <is>
          <t>/</t>
        </is>
      </c>
      <c r="S128" s="227" t="inlineStr">
        <is>
          <t>/</t>
        </is>
      </c>
      <c r="T128" s="227" t="inlineStr">
        <is>
          <t>/</t>
        </is>
      </c>
      <c r="U128" s="227" t="inlineStr">
        <is>
          <t>/</t>
        </is>
      </c>
      <c r="V128" s="235" t="n">
        <v>0.04</v>
      </c>
      <c r="W128" s="235" t="n">
        <v>0.04</v>
      </c>
      <c r="X128" s="227" t="inlineStr">
        <is>
          <t>/</t>
        </is>
      </c>
      <c r="Y128" s="279" t="n"/>
      <c r="Z128" s="279" t="n"/>
      <c r="AA128" s="279" t="n">
        <v>0.5</v>
      </c>
      <c r="AB128" s="502" t="inlineStr">
        <is>
          <t>/</t>
        </is>
      </c>
      <c r="AC128" s="502" t="inlineStr">
        <is>
          <t>/</t>
        </is>
      </c>
      <c r="AD128" s="232" t="n"/>
      <c r="AE128" s="232" t="inlineStr">
        <is>
          <t xml:space="preserve">
1、签订期间：2026.1.1-2026.8.1；
2、指标按照全年换算；</t>
        </is>
      </c>
    </row>
    <row r="129" hidden="1" ht="36" customFormat="1" customHeight="1" s="209">
      <c r="A129" s="219" t="n">
        <v>127</v>
      </c>
      <c r="B129" s="220" t="inlineStr">
        <is>
          <t>KQCY0127</t>
        </is>
      </c>
      <c r="C129" s="221" t="inlineStr">
        <is>
          <t>餐饮二分部</t>
        </is>
      </c>
      <c r="D129" s="221" t="inlineStr">
        <is>
          <t>CF450</t>
        </is>
      </c>
      <c r="E129" s="221" t="inlineStr">
        <is>
          <t>天津大学学二食堂</t>
        </is>
      </c>
      <c r="F129" s="219" t="inlineStr">
        <is>
          <t>强责</t>
        </is>
      </c>
      <c r="G129" s="222" t="inlineStr">
        <is>
          <t>陆琪</t>
        </is>
      </c>
      <c r="H129" s="503" t="inlineStr">
        <is>
          <t>/</t>
        </is>
      </c>
      <c r="I129" s="237" t="inlineStr">
        <is>
          <t>真有面</t>
        </is>
      </c>
      <c r="J129" s="461" t="inlineStr">
        <is>
          <t>尹细老</t>
        </is>
      </c>
      <c r="K129" s="503" t="n"/>
      <c r="L129" s="224" t="n"/>
      <c r="M129" s="224" t="inlineStr">
        <is>
          <t>/</t>
        </is>
      </c>
      <c r="N129" s="651" t="n">
        <v>300000</v>
      </c>
      <c r="O129" s="276" t="n">
        <v>0.18</v>
      </c>
      <c r="P129" s="227" t="inlineStr">
        <is>
          <t>/</t>
        </is>
      </c>
      <c r="Q129" s="276" t="n">
        <v>0.02</v>
      </c>
      <c r="R129" s="227" t="inlineStr">
        <is>
          <t>/</t>
        </is>
      </c>
      <c r="S129" s="227" t="inlineStr">
        <is>
          <t>/</t>
        </is>
      </c>
      <c r="T129" s="227" t="inlineStr">
        <is>
          <t>/</t>
        </is>
      </c>
      <c r="U129" s="227" t="inlineStr">
        <is>
          <t>/</t>
        </is>
      </c>
      <c r="V129" s="235" t="n">
        <v>0.04</v>
      </c>
      <c r="W129" s="235" t="n">
        <v>0.04</v>
      </c>
      <c r="X129" s="227" t="inlineStr">
        <is>
          <t>/</t>
        </is>
      </c>
      <c r="Y129" s="279" t="n"/>
      <c r="Z129" s="279" t="n"/>
      <c r="AA129" s="279" t="n">
        <v>0.5</v>
      </c>
      <c r="AB129" s="502" t="inlineStr">
        <is>
          <t>/</t>
        </is>
      </c>
      <c r="AC129" s="502" t="inlineStr">
        <is>
          <t>/</t>
        </is>
      </c>
      <c r="AD129" s="232" t="n"/>
      <c r="AE129" s="232" t="inlineStr">
        <is>
          <t xml:space="preserve">
1、签订期间：2026.1.1-2026.8.1；
2、指标按照全年换算；</t>
        </is>
      </c>
    </row>
    <row r="130" hidden="1" ht="36" customFormat="1" customHeight="1" s="209">
      <c r="A130" s="219" t="n">
        <v>128</v>
      </c>
      <c r="B130" s="220" t="inlineStr">
        <is>
          <t>KQCY0128</t>
        </is>
      </c>
      <c r="C130" s="221" t="inlineStr">
        <is>
          <t>餐饮二分部</t>
        </is>
      </c>
      <c r="D130" s="221" t="inlineStr">
        <is>
          <t>CF450</t>
        </is>
      </c>
      <c r="E130" s="221" t="inlineStr">
        <is>
          <t>天津大学学二食堂</t>
        </is>
      </c>
      <c r="F130" s="219" t="inlineStr">
        <is>
          <t>强责</t>
        </is>
      </c>
      <c r="G130" s="222" t="inlineStr">
        <is>
          <t>陆琪</t>
        </is>
      </c>
      <c r="H130" s="503" t="inlineStr">
        <is>
          <t>/</t>
        </is>
      </c>
      <c r="I130" s="237" t="inlineStr">
        <is>
          <t>云南生烫米线</t>
        </is>
      </c>
      <c r="J130" s="503" t="inlineStr">
        <is>
          <t>由俊楠</t>
        </is>
      </c>
      <c r="K130" s="503" t="n"/>
      <c r="L130" s="224" t="n"/>
      <c r="M130" s="224" t="inlineStr">
        <is>
          <t>/</t>
        </is>
      </c>
      <c r="N130" s="651" t="n">
        <v>220000</v>
      </c>
      <c r="O130" s="276" t="n">
        <v>0.18</v>
      </c>
      <c r="P130" s="227" t="inlineStr">
        <is>
          <t>/</t>
        </is>
      </c>
      <c r="Q130" s="276" t="n">
        <v>0.02</v>
      </c>
      <c r="R130" s="227" t="inlineStr">
        <is>
          <t>/</t>
        </is>
      </c>
      <c r="S130" s="227" t="inlineStr">
        <is>
          <t>/</t>
        </is>
      </c>
      <c r="T130" s="227" t="inlineStr">
        <is>
          <t>/</t>
        </is>
      </c>
      <c r="U130" s="227" t="inlineStr">
        <is>
          <t>/</t>
        </is>
      </c>
      <c r="V130" s="235" t="n">
        <v>0.04</v>
      </c>
      <c r="W130" s="235" t="n">
        <v>0.04</v>
      </c>
      <c r="X130" s="227" t="inlineStr">
        <is>
          <t>/</t>
        </is>
      </c>
      <c r="Y130" s="279" t="n"/>
      <c r="Z130" s="279" t="n"/>
      <c r="AA130" s="279" t="n">
        <v>0.5</v>
      </c>
      <c r="AB130" s="502" t="inlineStr">
        <is>
          <t>/</t>
        </is>
      </c>
      <c r="AC130" s="502" t="inlineStr">
        <is>
          <t>/</t>
        </is>
      </c>
      <c r="AD130" s="232" t="n"/>
      <c r="AE130" s="232" t="inlineStr">
        <is>
          <t xml:space="preserve">
1、签订期间：2026.1.1-2026.8.1；
2、指标按照全年换算；</t>
        </is>
      </c>
    </row>
    <row r="131" hidden="1" ht="12" customFormat="1" customHeight="1" s="209">
      <c r="A131" s="219" t="n">
        <v>129</v>
      </c>
      <c r="B131" s="220" t="inlineStr">
        <is>
          <t>KQCY0129</t>
        </is>
      </c>
      <c r="C131" s="221" t="inlineStr">
        <is>
          <t>餐饮二分部</t>
        </is>
      </c>
      <c r="D131" s="221" t="inlineStr">
        <is>
          <t>CF513</t>
        </is>
      </c>
      <c r="E131" s="221" t="inlineStr">
        <is>
          <t>天津大学学三食堂</t>
        </is>
      </c>
      <c r="F131" s="219" t="inlineStr">
        <is>
          <t>人员服务外包</t>
        </is>
      </c>
      <c r="G131" s="222" t="inlineStr">
        <is>
          <t>陆琪</t>
        </is>
      </c>
      <c r="H131" s="222" t="inlineStr">
        <is>
          <t>/</t>
        </is>
      </c>
      <c r="I131" s="232" t="inlineStr">
        <is>
          <t>/</t>
        </is>
      </c>
      <c r="J131" s="503" t="inlineStr">
        <is>
          <t>/</t>
        </is>
      </c>
      <c r="K131" s="503" t="n"/>
      <c r="L131" s="224" t="n"/>
      <c r="M131" s="224" t="inlineStr">
        <is>
          <t>/</t>
        </is>
      </c>
      <c r="N131" s="651" t="n">
        <v>566000</v>
      </c>
      <c r="O131" s="227" t="inlineStr">
        <is>
          <t>/</t>
        </is>
      </c>
      <c r="P131" s="227" t="inlineStr">
        <is>
          <t>/</t>
        </is>
      </c>
      <c r="Q131" s="227" t="inlineStr">
        <is>
          <t>/</t>
        </is>
      </c>
      <c r="R131" s="227" t="inlineStr">
        <is>
          <t>/</t>
        </is>
      </c>
      <c r="S131" s="227" t="inlineStr">
        <is>
          <t>/</t>
        </is>
      </c>
      <c r="T131" s="227" t="inlineStr">
        <is>
          <t>/</t>
        </is>
      </c>
      <c r="U131" s="227" t="inlineStr">
        <is>
          <t>/</t>
        </is>
      </c>
      <c r="V131" s="461" t="inlineStr">
        <is>
          <t>/</t>
        </is>
      </c>
      <c r="W131" s="227" t="inlineStr">
        <is>
          <t>/</t>
        </is>
      </c>
      <c r="X131" s="227" t="inlineStr">
        <is>
          <t>/</t>
        </is>
      </c>
      <c r="Y131" s="461" t="n"/>
      <c r="Z131" s="461" t="n"/>
      <c r="AA131" s="461" t="inlineStr">
        <is>
          <t>/</t>
        </is>
      </c>
      <c r="AB131" s="222" t="n">
        <v>100000</v>
      </c>
      <c r="AC131" s="46" t="inlineStr">
        <is>
          <t>/</t>
        </is>
      </c>
      <c r="AD131" s="232" t="inlineStr">
        <is>
          <t>1、分部管理费：10万元</t>
        </is>
      </c>
      <c r="AE131" s="232" t="n"/>
    </row>
    <row r="132" hidden="1" ht="12" customFormat="1" customHeight="1" s="209">
      <c r="A132" s="219" t="n">
        <v>130</v>
      </c>
      <c r="B132" s="220" t="inlineStr">
        <is>
          <t>KQCY0130</t>
        </is>
      </c>
      <c r="C132" s="221" t="inlineStr">
        <is>
          <t>餐饮二分部</t>
        </is>
      </c>
      <c r="D132" s="221" t="inlineStr">
        <is>
          <t>CF453</t>
        </is>
      </c>
      <c r="E132" s="221" t="inlineStr">
        <is>
          <t>天津大学学四食堂</t>
        </is>
      </c>
      <c r="F132" s="219" t="inlineStr">
        <is>
          <t>人员服务外包</t>
        </is>
      </c>
      <c r="G132" s="222" t="inlineStr">
        <is>
          <t>陆琪</t>
        </is>
      </c>
      <c r="H132" s="222" t="inlineStr">
        <is>
          <t>/</t>
        </is>
      </c>
      <c r="I132" s="232" t="inlineStr">
        <is>
          <t>/</t>
        </is>
      </c>
      <c r="J132" s="503" t="inlineStr">
        <is>
          <t>/</t>
        </is>
      </c>
      <c r="K132" s="503" t="n"/>
      <c r="L132" s="224" t="n"/>
      <c r="M132" s="224" t="inlineStr">
        <is>
          <t>/</t>
        </is>
      </c>
      <c r="N132" s="651" t="n">
        <v>710000</v>
      </c>
      <c r="O132" s="227" t="inlineStr">
        <is>
          <t>/</t>
        </is>
      </c>
      <c r="P132" s="227" t="inlineStr">
        <is>
          <t>/</t>
        </is>
      </c>
      <c r="Q132" s="227" t="inlineStr">
        <is>
          <t>/</t>
        </is>
      </c>
      <c r="R132" s="227" t="inlineStr">
        <is>
          <t>/</t>
        </is>
      </c>
      <c r="S132" s="227" t="inlineStr">
        <is>
          <t>/</t>
        </is>
      </c>
      <c r="T132" s="227" t="inlineStr">
        <is>
          <t>/</t>
        </is>
      </c>
      <c r="U132" s="227" t="inlineStr">
        <is>
          <t>/</t>
        </is>
      </c>
      <c r="V132" s="461" t="inlineStr">
        <is>
          <t>/</t>
        </is>
      </c>
      <c r="W132" s="227" t="inlineStr">
        <is>
          <t>/</t>
        </is>
      </c>
      <c r="X132" s="227" t="inlineStr">
        <is>
          <t>/</t>
        </is>
      </c>
      <c r="Y132" s="461" t="n"/>
      <c r="Z132" s="461" t="n"/>
      <c r="AA132" s="461" t="inlineStr">
        <is>
          <t>/</t>
        </is>
      </c>
      <c r="AB132" s="222" t="n">
        <v>100000</v>
      </c>
      <c r="AC132" s="46" t="inlineStr">
        <is>
          <t>/</t>
        </is>
      </c>
      <c r="AD132" s="232" t="inlineStr">
        <is>
          <t>1、分部管理费：10万元</t>
        </is>
      </c>
      <c r="AE132" s="232" t="n"/>
    </row>
    <row r="133" ht="24" customFormat="1" customHeight="1" s="209">
      <c r="A133" s="219" t="n">
        <v>131</v>
      </c>
      <c r="B133" s="220" t="inlineStr">
        <is>
          <t>KQCY0131</t>
        </is>
      </c>
      <c r="C133" s="221" t="inlineStr">
        <is>
          <t>餐饮三分部</t>
        </is>
      </c>
      <c r="D133" s="221" t="inlineStr">
        <is>
          <t>CF190</t>
        </is>
      </c>
      <c r="E133" s="221" t="inlineStr">
        <is>
          <t>苏旅财食堂</t>
        </is>
      </c>
      <c r="F133" s="221" t="inlineStr">
        <is>
          <t>人员服务外包</t>
        </is>
      </c>
      <c r="G133" s="220" t="inlineStr">
        <is>
          <t>位军浩</t>
        </is>
      </c>
      <c r="H133" s="220" t="inlineStr">
        <is>
          <t>/</t>
        </is>
      </c>
      <c r="I133" s="239" t="inlineStr">
        <is>
          <t>/</t>
        </is>
      </c>
      <c r="J133" s="220" t="inlineStr">
        <is>
          <t>/</t>
        </is>
      </c>
      <c r="K133" s="220" t="n"/>
      <c r="L133" s="235" t="n"/>
      <c r="M133" s="235" t="inlineStr">
        <is>
          <t>/</t>
        </is>
      </c>
      <c r="N133" s="651" t="inlineStr">
        <is>
          <t>/</t>
        </is>
      </c>
      <c r="O133" s="227" t="inlineStr">
        <is>
          <t>/</t>
        </is>
      </c>
      <c r="P133" s="235" t="n"/>
      <c r="Q133" s="227" t="n"/>
      <c r="R133" s="227" t="n"/>
      <c r="S133" s="227" t="inlineStr">
        <is>
          <t>/</t>
        </is>
      </c>
      <c r="T133" s="227" t="inlineStr">
        <is>
          <t>/</t>
        </is>
      </c>
      <c r="U133" s="227" t="inlineStr">
        <is>
          <t>/</t>
        </is>
      </c>
      <c r="V133" s="461" t="inlineStr">
        <is>
          <t>/</t>
        </is>
      </c>
      <c r="W133" s="227" t="inlineStr">
        <is>
          <t>/</t>
        </is>
      </c>
      <c r="X133" s="227" t="inlineStr">
        <is>
          <t>/</t>
        </is>
      </c>
      <c r="Y133" s="461" t="n"/>
      <c r="Z133" s="461" t="n"/>
      <c r="AA133" s="461" t="inlineStr">
        <is>
          <t>/</t>
        </is>
      </c>
      <c r="AB133" s="220" t="n"/>
      <c r="AC133" s="224" t="inlineStr">
        <is>
          <t>/</t>
        </is>
      </c>
      <c r="AD133" s="230" t="inlineStr">
        <is>
          <t>1、自营未实际经营；
2、分部管理费：100000/年+1%营业额</t>
        </is>
      </c>
      <c r="AE133" s="232" t="n"/>
    </row>
    <row r="134" ht="24" customFormat="1" customHeight="1" s="209">
      <c r="A134" s="219" t="n">
        <v>132</v>
      </c>
      <c r="B134" s="220" t="inlineStr">
        <is>
          <t>KQCY0132</t>
        </is>
      </c>
      <c r="C134" s="221" t="inlineStr">
        <is>
          <t>餐饮三分部</t>
        </is>
      </c>
      <c r="D134" s="221" t="inlineStr">
        <is>
          <t>CF190</t>
        </is>
      </c>
      <c r="E134" s="221" t="inlineStr">
        <is>
          <t>苏旅财食堂</t>
        </is>
      </c>
      <c r="F134" s="221" t="inlineStr">
        <is>
          <t>人员服务外包</t>
        </is>
      </c>
      <c r="G134" s="222" t="inlineStr">
        <is>
          <t>位军浩</t>
        </is>
      </c>
      <c r="H134" s="222" t="inlineStr">
        <is>
          <t>第一班组</t>
        </is>
      </c>
      <c r="I134" s="232" t="inlineStr">
        <is>
          <t>苏式汤面</t>
        </is>
      </c>
      <c r="J134" s="503" t="inlineStr">
        <is>
          <t>闵晓均</t>
        </is>
      </c>
      <c r="K134" s="503" t="n"/>
      <c r="L134" s="224" t="n"/>
      <c r="M134" s="224" t="inlineStr">
        <is>
          <t>/</t>
        </is>
      </c>
      <c r="N134" s="651" t="n">
        <v>280000</v>
      </c>
      <c r="O134" s="247" t="n">
        <v>0.09</v>
      </c>
      <c r="P134" s="235" t="n">
        <v>0</v>
      </c>
      <c r="Q134" s="235" t="n">
        <v>0</v>
      </c>
      <c r="R134" s="227" t="inlineStr">
        <is>
          <t>137.45 元/月，3、4、5、6月收取</t>
        </is>
      </c>
      <c r="S134" s="276" t="n">
        <v>0.02</v>
      </c>
      <c r="T134" s="247" t="n">
        <v>0</v>
      </c>
      <c r="U134" s="235" t="n">
        <v>0</v>
      </c>
      <c r="V134" s="247" t="inlineStr">
        <is>
          <t>按实</t>
        </is>
      </c>
      <c r="W134" s="284" t="n">
        <v>0</v>
      </c>
      <c r="X134" s="235" t="inlineStr">
        <is>
          <t>外卖营业额的4％</t>
        </is>
      </c>
      <c r="Y134" s="235" t="inlineStr">
        <is>
          <t>/</t>
        </is>
      </c>
      <c r="Z134" s="235" t="inlineStr">
        <is>
          <t>/</t>
        </is>
      </c>
      <c r="AA134" s="235" t="inlineStr">
        <is>
          <t>按实</t>
        </is>
      </c>
      <c r="AB134" s="22" t="inlineStr">
        <is>
          <t>/</t>
        </is>
      </c>
      <c r="AC134" s="503" t="inlineStr">
        <is>
          <t>/</t>
        </is>
      </c>
      <c r="AD134" s="232" t="inlineStr">
        <is>
          <t>1、其他：外卖人员服务费按照实际外卖营业额4%收取</t>
        </is>
      </c>
      <c r="AE134" s="232" t="inlineStr">
        <is>
          <t>1、签订期间：2026.3.1-2026.8.30；
2、指标按照全年换算；</t>
        </is>
      </c>
    </row>
    <row r="135" ht="24" customFormat="1" customHeight="1" s="209">
      <c r="A135" s="219" t="n">
        <v>133</v>
      </c>
      <c r="B135" s="220" t="inlineStr">
        <is>
          <t>KQCY0133</t>
        </is>
      </c>
      <c r="C135" s="221" t="inlineStr">
        <is>
          <t>餐饮三分部</t>
        </is>
      </c>
      <c r="D135" s="221" t="inlineStr">
        <is>
          <t>CF190</t>
        </is>
      </c>
      <c r="E135" s="221" t="inlineStr">
        <is>
          <t>苏旅财食堂</t>
        </is>
      </c>
      <c r="F135" s="221" t="inlineStr">
        <is>
          <t>人员服务外包</t>
        </is>
      </c>
      <c r="G135" s="222" t="inlineStr">
        <is>
          <t>位军浩</t>
        </is>
      </c>
      <c r="H135" s="222" t="inlineStr">
        <is>
          <t>第二班组</t>
        </is>
      </c>
      <c r="I135" s="232" t="inlineStr">
        <is>
          <t>铁板砂锅</t>
        </is>
      </c>
      <c r="J135" s="503" t="inlineStr">
        <is>
          <t>付鹏亮</t>
        </is>
      </c>
      <c r="K135" s="503" t="n"/>
      <c r="L135" s="224" t="n"/>
      <c r="M135" s="224" t="inlineStr">
        <is>
          <t>/</t>
        </is>
      </c>
      <c r="N135" s="651" t="n">
        <v>560000</v>
      </c>
      <c r="O135" s="247" t="n">
        <v>0.1</v>
      </c>
      <c r="P135" s="235" t="n">
        <v>0</v>
      </c>
      <c r="Q135" s="235" t="n">
        <v>0</v>
      </c>
      <c r="R135" s="227" t="inlineStr">
        <is>
          <t>308.9元/月，3、4、5、6月收取</t>
        </is>
      </c>
      <c r="S135" s="276" t="n">
        <v>0.02</v>
      </c>
      <c r="T135" s="247" t="n">
        <v>0</v>
      </c>
      <c r="U135" s="235" t="n">
        <v>0</v>
      </c>
      <c r="V135" s="247" t="inlineStr">
        <is>
          <t>按实</t>
        </is>
      </c>
      <c r="W135" s="284" t="n">
        <v>0</v>
      </c>
      <c r="X135" s="235" t="inlineStr">
        <is>
          <t>外卖营业额的4％</t>
        </is>
      </c>
      <c r="Y135" s="235" t="inlineStr">
        <is>
          <t>/</t>
        </is>
      </c>
      <c r="Z135" s="235" t="inlineStr">
        <is>
          <t>/</t>
        </is>
      </c>
      <c r="AA135" s="235" t="inlineStr">
        <is>
          <t>按实</t>
        </is>
      </c>
      <c r="AB135" s="22" t="inlineStr">
        <is>
          <t>/</t>
        </is>
      </c>
      <c r="AC135" s="503" t="inlineStr">
        <is>
          <t>/</t>
        </is>
      </c>
      <c r="AD135" s="232" t="inlineStr">
        <is>
          <t>1、其他：外卖人员服务费按照实际外卖营业额4%收取</t>
        </is>
      </c>
      <c r="AE135" s="232" t="inlineStr">
        <is>
          <t>1、签订期间：2026.3.1-2026.8.30；
2、指标按照全年换算；</t>
        </is>
      </c>
    </row>
    <row r="136" ht="24" customFormat="1" customHeight="1" s="209">
      <c r="A136" s="219" t="n">
        <v>134</v>
      </c>
      <c r="B136" s="220" t="inlineStr">
        <is>
          <t>KQCY0134</t>
        </is>
      </c>
      <c r="C136" s="221" t="inlineStr">
        <is>
          <t>餐饮三分部</t>
        </is>
      </c>
      <c r="D136" s="221" t="inlineStr">
        <is>
          <t>CF190</t>
        </is>
      </c>
      <c r="E136" s="221" t="inlineStr">
        <is>
          <t>苏旅财食堂</t>
        </is>
      </c>
      <c r="F136" s="221" t="inlineStr">
        <is>
          <t>人员服务外包</t>
        </is>
      </c>
      <c r="G136" s="222" t="inlineStr">
        <is>
          <t>位军浩</t>
        </is>
      </c>
      <c r="H136" s="222" t="inlineStr">
        <is>
          <t>第三班组</t>
        </is>
      </c>
      <c r="I136" s="232" t="inlineStr">
        <is>
          <t>石锅拌饭</t>
        </is>
      </c>
      <c r="J136" s="503" t="inlineStr">
        <is>
          <t>于红艳</t>
        </is>
      </c>
      <c r="K136" s="503" t="n"/>
      <c r="L136" s="224" t="n"/>
      <c r="M136" s="224" t="inlineStr">
        <is>
          <t>/</t>
        </is>
      </c>
      <c r="N136" s="651" t="n">
        <v>420000</v>
      </c>
      <c r="O136" s="247" t="n">
        <v>0.1</v>
      </c>
      <c r="P136" s="235" t="n">
        <v>0</v>
      </c>
      <c r="Q136" s="235" t="n">
        <v>0</v>
      </c>
      <c r="R136" s="227" t="inlineStr">
        <is>
          <t>217.9元/月，3、4、5、6月收取</t>
        </is>
      </c>
      <c r="S136" s="276" t="n">
        <v>0.02</v>
      </c>
      <c r="T136" s="247" t="n">
        <v>0</v>
      </c>
      <c r="U136" s="235" t="n">
        <v>0</v>
      </c>
      <c r="V136" s="247" t="inlineStr">
        <is>
          <t>按实</t>
        </is>
      </c>
      <c r="W136" s="284" t="n">
        <v>0</v>
      </c>
      <c r="X136" s="235" t="inlineStr">
        <is>
          <t>外卖营业额的4％</t>
        </is>
      </c>
      <c r="Y136" s="235" t="inlineStr">
        <is>
          <t>/</t>
        </is>
      </c>
      <c r="Z136" s="235" t="inlineStr">
        <is>
          <t>/</t>
        </is>
      </c>
      <c r="AA136" s="235" t="inlineStr">
        <is>
          <t>按实</t>
        </is>
      </c>
      <c r="AB136" s="22" t="inlineStr">
        <is>
          <t>/</t>
        </is>
      </c>
      <c r="AC136" s="503" t="inlineStr">
        <is>
          <t>/</t>
        </is>
      </c>
      <c r="AD136" s="232" t="inlineStr">
        <is>
          <t>1、其他：外卖人员服务费按照实际外卖营业额4%收取</t>
        </is>
      </c>
      <c r="AE136" s="232" t="inlineStr">
        <is>
          <t>1、签订期间：2026.3.1-2026.8.30；
2、指标按照全年换算；</t>
        </is>
      </c>
    </row>
    <row r="137" ht="24" customFormat="1" customHeight="1" s="209">
      <c r="A137" s="219" t="n">
        <v>135</v>
      </c>
      <c r="B137" s="220" t="inlineStr">
        <is>
          <t>KQCY0135</t>
        </is>
      </c>
      <c r="C137" s="221" t="inlineStr">
        <is>
          <t>餐饮三分部</t>
        </is>
      </c>
      <c r="D137" s="221" t="inlineStr">
        <is>
          <t>CF190</t>
        </is>
      </c>
      <c r="E137" s="221" t="inlineStr">
        <is>
          <t>苏旅财食堂</t>
        </is>
      </c>
      <c r="F137" s="221" t="inlineStr">
        <is>
          <t>人员服务外包</t>
        </is>
      </c>
      <c r="G137" s="222" t="inlineStr">
        <is>
          <t>位军浩</t>
        </is>
      </c>
      <c r="H137" s="222" t="inlineStr">
        <is>
          <t>第四班组</t>
        </is>
      </c>
      <c r="I137" s="232" t="inlineStr">
        <is>
          <t>杂粮煎饼</t>
        </is>
      </c>
      <c r="J137" s="503" t="inlineStr">
        <is>
          <t>李右华</t>
        </is>
      </c>
      <c r="K137" s="503" t="n"/>
      <c r="L137" s="224" t="n"/>
      <c r="M137" s="224" t="inlineStr">
        <is>
          <t>/</t>
        </is>
      </c>
      <c r="N137" s="651" t="n">
        <v>210000</v>
      </c>
      <c r="O137" s="247" t="n">
        <v>0.1</v>
      </c>
      <c r="P137" s="235" t="n">
        <v>0</v>
      </c>
      <c r="Q137" s="235" t="n">
        <v>0</v>
      </c>
      <c r="R137" s="227" t="inlineStr">
        <is>
          <t>175.4元/月，3、4、5、6月收取</t>
        </is>
      </c>
      <c r="S137" s="276" t="n">
        <v>0.02</v>
      </c>
      <c r="T137" s="247" t="n">
        <v>0</v>
      </c>
      <c r="U137" s="235" t="n">
        <v>0</v>
      </c>
      <c r="V137" s="247" t="inlineStr">
        <is>
          <t>按实</t>
        </is>
      </c>
      <c r="W137" s="284" t="n">
        <v>0</v>
      </c>
      <c r="X137" s="235" t="inlineStr">
        <is>
          <t>外卖营业额的4％</t>
        </is>
      </c>
      <c r="Y137" s="235" t="inlineStr">
        <is>
          <t>/</t>
        </is>
      </c>
      <c r="Z137" s="235" t="inlineStr">
        <is>
          <t>/</t>
        </is>
      </c>
      <c r="AA137" s="235" t="inlineStr">
        <is>
          <t>按实</t>
        </is>
      </c>
      <c r="AB137" s="22" t="inlineStr">
        <is>
          <t>/</t>
        </is>
      </c>
      <c r="AC137" s="503" t="inlineStr">
        <is>
          <t>/</t>
        </is>
      </c>
      <c r="AD137" s="232" t="inlineStr">
        <is>
          <t>1、其他：外卖人员服务费按照实际外卖营业额4%收取</t>
        </is>
      </c>
      <c r="AE137" s="232" t="inlineStr">
        <is>
          <t>1、签订期间：2026.3.1-2026.8.30；
2、指标按照全年换算；</t>
        </is>
      </c>
    </row>
    <row r="138" ht="24" customFormat="1" customHeight="1" s="209">
      <c r="A138" s="219" t="n">
        <v>136</v>
      </c>
      <c r="B138" s="220" t="inlineStr">
        <is>
          <t>KQCY0136</t>
        </is>
      </c>
      <c r="C138" s="221" t="inlineStr">
        <is>
          <t>餐饮三分部</t>
        </is>
      </c>
      <c r="D138" s="221" t="inlineStr">
        <is>
          <t>CF190</t>
        </is>
      </c>
      <c r="E138" s="221" t="inlineStr">
        <is>
          <t>苏旅财食堂</t>
        </is>
      </c>
      <c r="F138" s="221" t="inlineStr">
        <is>
          <t>人员服务外包</t>
        </is>
      </c>
      <c r="G138" s="222" t="inlineStr">
        <is>
          <t>位军浩</t>
        </is>
      </c>
      <c r="H138" s="222" t="inlineStr">
        <is>
          <t>第五班组</t>
        </is>
      </c>
      <c r="I138" s="232" t="inlineStr">
        <is>
          <t>水饺</t>
        </is>
      </c>
      <c r="J138" s="503" t="inlineStr">
        <is>
          <t>汪于超</t>
        </is>
      </c>
      <c r="K138" s="503" t="n"/>
      <c r="L138" s="224" t="n"/>
      <c r="M138" s="224" t="inlineStr">
        <is>
          <t>/</t>
        </is>
      </c>
      <c r="N138" s="651" t="n">
        <v>490000</v>
      </c>
      <c r="O138" s="247" t="n">
        <v>0.1</v>
      </c>
      <c r="P138" s="235" t="n">
        <v>0</v>
      </c>
      <c r="Q138" s="235" t="n">
        <v>0</v>
      </c>
      <c r="R138" s="227" t="inlineStr">
        <is>
          <t>268.7元/月，3、4、5、6月收取</t>
        </is>
      </c>
      <c r="S138" s="276" t="n">
        <v>0.02</v>
      </c>
      <c r="T138" s="247" t="n">
        <v>0</v>
      </c>
      <c r="U138" s="235" t="n">
        <v>0</v>
      </c>
      <c r="V138" s="247" t="inlineStr">
        <is>
          <t>按实</t>
        </is>
      </c>
      <c r="W138" s="284" t="n">
        <v>0</v>
      </c>
      <c r="X138" s="235" t="inlineStr">
        <is>
          <t>外卖营业额的4％</t>
        </is>
      </c>
      <c r="Y138" s="235" t="inlineStr">
        <is>
          <t>/</t>
        </is>
      </c>
      <c r="Z138" s="235" t="inlineStr">
        <is>
          <t>/</t>
        </is>
      </c>
      <c r="AA138" s="235" t="inlineStr">
        <is>
          <t>按实</t>
        </is>
      </c>
      <c r="AB138" s="22" t="inlineStr">
        <is>
          <t>/</t>
        </is>
      </c>
      <c r="AC138" s="503" t="inlineStr">
        <is>
          <t>/</t>
        </is>
      </c>
      <c r="AD138" s="232" t="inlineStr">
        <is>
          <t>1、其他：外卖人员服务费按照实际外卖营业额4%收取</t>
        </is>
      </c>
      <c r="AE138" s="232" t="inlineStr">
        <is>
          <t>1、签订期间：2026.3.1-2026.8.30；
2、指标按照全年换算；</t>
        </is>
      </c>
    </row>
    <row r="139" ht="24" customFormat="1" customHeight="1" s="209">
      <c r="A139" s="219" t="n">
        <v>137</v>
      </c>
      <c r="B139" s="220" t="inlineStr">
        <is>
          <t>KQCY0137</t>
        </is>
      </c>
      <c r="C139" s="221" t="inlineStr">
        <is>
          <t>餐饮三分部</t>
        </is>
      </c>
      <c r="D139" s="221" t="inlineStr">
        <is>
          <t>CF190</t>
        </is>
      </c>
      <c r="E139" s="221" t="inlineStr">
        <is>
          <t>苏旅财食堂</t>
        </is>
      </c>
      <c r="F139" s="221" t="inlineStr">
        <is>
          <t>人员服务外包</t>
        </is>
      </c>
      <c r="G139" s="222" t="inlineStr">
        <is>
          <t>位军浩</t>
        </is>
      </c>
      <c r="H139" s="222" t="inlineStr">
        <is>
          <t>第六班组</t>
        </is>
      </c>
      <c r="I139" s="232" t="inlineStr">
        <is>
          <t>奶茶汉堡</t>
        </is>
      </c>
      <c r="J139" s="503" t="inlineStr">
        <is>
          <t>吕鹏飞</t>
        </is>
      </c>
      <c r="K139" s="503" t="n"/>
      <c r="L139" s="224" t="n"/>
      <c r="M139" s="224" t="inlineStr">
        <is>
          <t>/</t>
        </is>
      </c>
      <c r="N139" s="651" t="n">
        <v>560000</v>
      </c>
      <c r="O139" s="247" t="n">
        <v>0.09</v>
      </c>
      <c r="P139" s="235" t="n">
        <v>0</v>
      </c>
      <c r="Q139" s="235" t="n">
        <v>0</v>
      </c>
      <c r="R139" s="227" t="inlineStr">
        <is>
          <t>139.2元/月，3、4、5、6月收取</t>
        </is>
      </c>
      <c r="S139" s="276" t="n">
        <v>0.02</v>
      </c>
      <c r="T139" s="247" t="n">
        <v>0</v>
      </c>
      <c r="U139" s="235" t="n">
        <v>0</v>
      </c>
      <c r="V139" s="247" t="inlineStr">
        <is>
          <t>按实</t>
        </is>
      </c>
      <c r="W139" s="284" t="n">
        <v>0</v>
      </c>
      <c r="X139" s="235" t="inlineStr">
        <is>
          <t>外卖营业额的4％</t>
        </is>
      </c>
      <c r="Y139" s="235" t="inlineStr">
        <is>
          <t>/</t>
        </is>
      </c>
      <c r="Z139" s="235" t="inlineStr">
        <is>
          <t>/</t>
        </is>
      </c>
      <c r="AA139" s="235" t="inlineStr">
        <is>
          <t>按实</t>
        </is>
      </c>
      <c r="AB139" s="22" t="inlineStr">
        <is>
          <t>/</t>
        </is>
      </c>
      <c r="AC139" s="503" t="inlineStr">
        <is>
          <t>/</t>
        </is>
      </c>
      <c r="AD139" s="232" t="inlineStr">
        <is>
          <t>1、其他：外卖人员服务费按照实际外卖营业额4%收取</t>
        </is>
      </c>
      <c r="AE139" s="232" t="inlineStr">
        <is>
          <t>1、签订期间：2026.3.1-2026.8.30；
2、指标按照全年换算；</t>
        </is>
      </c>
    </row>
    <row r="140" ht="24" customFormat="1" customHeight="1" s="209">
      <c r="A140" s="219" t="n">
        <v>138</v>
      </c>
      <c r="B140" s="220" t="inlineStr">
        <is>
          <t>KQCY0138</t>
        </is>
      </c>
      <c r="C140" s="221" t="inlineStr">
        <is>
          <t>餐饮三分部</t>
        </is>
      </c>
      <c r="D140" s="221" t="inlineStr">
        <is>
          <t>CF190</t>
        </is>
      </c>
      <c r="E140" s="221" t="inlineStr">
        <is>
          <t>苏旅财食堂</t>
        </is>
      </c>
      <c r="F140" s="221" t="inlineStr">
        <is>
          <t>人员服务外包</t>
        </is>
      </c>
      <c r="G140" s="222" t="inlineStr">
        <is>
          <t>位军浩</t>
        </is>
      </c>
      <c r="H140" s="222" t="inlineStr">
        <is>
          <t>第七班组</t>
        </is>
      </c>
      <c r="I140" s="232" t="inlineStr">
        <is>
          <t>麻辣烫</t>
        </is>
      </c>
      <c r="J140" s="503" t="inlineStr">
        <is>
          <t>袁吉</t>
        </is>
      </c>
      <c r="K140" s="503" t="n"/>
      <c r="L140" s="224" t="n"/>
      <c r="M140" s="224" t="inlineStr">
        <is>
          <t>/</t>
        </is>
      </c>
      <c r="N140" s="651" t="n">
        <v>210000</v>
      </c>
      <c r="O140" s="247" t="n">
        <v>0.09</v>
      </c>
      <c r="P140" s="235" t="n">
        <v>0</v>
      </c>
      <c r="Q140" s="235" t="n">
        <v>0</v>
      </c>
      <c r="R140" s="227" t="inlineStr">
        <is>
          <t>137.45元/月，3、4、5、6月收取</t>
        </is>
      </c>
      <c r="S140" s="276" t="n">
        <v>0.02</v>
      </c>
      <c r="T140" s="247" t="n">
        <v>0</v>
      </c>
      <c r="U140" s="235" t="n">
        <v>0</v>
      </c>
      <c r="V140" s="247" t="inlineStr">
        <is>
          <t>按实</t>
        </is>
      </c>
      <c r="W140" s="284" t="n">
        <v>0</v>
      </c>
      <c r="X140" s="235" t="inlineStr">
        <is>
          <t>外卖营业额的4％</t>
        </is>
      </c>
      <c r="Y140" s="235" t="inlineStr">
        <is>
          <t>/</t>
        </is>
      </c>
      <c r="Z140" s="235" t="inlineStr">
        <is>
          <t>/</t>
        </is>
      </c>
      <c r="AA140" s="235" t="inlineStr">
        <is>
          <t>按实</t>
        </is>
      </c>
      <c r="AB140" s="22" t="inlineStr">
        <is>
          <t>/</t>
        </is>
      </c>
      <c r="AC140" s="503" t="inlineStr">
        <is>
          <t>/</t>
        </is>
      </c>
      <c r="AD140" s="232" t="inlineStr">
        <is>
          <t>1、其他：外卖人员服务费按照实际外卖营业额4%收取</t>
        </is>
      </c>
      <c r="AE140" s="232" t="inlineStr">
        <is>
          <t>1、签订期间：2026.3.1-2026.8.30；
2、指标按照全年换算；</t>
        </is>
      </c>
    </row>
    <row r="141" ht="12" customFormat="1" customHeight="1" s="209">
      <c r="A141" s="219" t="n">
        <v>139</v>
      </c>
      <c r="B141" s="220" t="inlineStr">
        <is>
          <t>KQCY0139</t>
        </is>
      </c>
      <c r="C141" s="221" t="inlineStr">
        <is>
          <t>餐饮三分部</t>
        </is>
      </c>
      <c r="D141" s="221" t="inlineStr">
        <is>
          <t>CF276</t>
        </is>
      </c>
      <c r="E141" s="221" t="inlineStr">
        <is>
          <t>苏州经贸二食堂</t>
        </is>
      </c>
      <c r="F141" s="219" t="inlineStr">
        <is>
          <t>自营</t>
        </is>
      </c>
      <c r="G141" s="222" t="inlineStr">
        <is>
          <t>位军浩</t>
        </is>
      </c>
      <c r="H141" s="222" t="inlineStr">
        <is>
          <t>/</t>
        </is>
      </c>
      <c r="I141" s="237" t="inlineStr">
        <is>
          <t>/</t>
        </is>
      </c>
      <c r="J141" s="222" t="inlineStr">
        <is>
          <t>/</t>
        </is>
      </c>
      <c r="K141" s="222" t="n"/>
      <c r="L141" s="224" t="n"/>
      <c r="M141" s="224" t="inlineStr">
        <is>
          <t>/</t>
        </is>
      </c>
      <c r="N141" s="651" t="inlineStr">
        <is>
          <t>/</t>
        </is>
      </c>
      <c r="O141" s="235" t="inlineStr">
        <is>
          <t>/</t>
        </is>
      </c>
      <c r="P141" s="235" t="n"/>
      <c r="Q141" s="235" t="n">
        <v>0.05</v>
      </c>
      <c r="R141" s="235" t="n"/>
      <c r="S141" s="235" t="inlineStr">
        <is>
          <t>/</t>
        </is>
      </c>
      <c r="T141" s="235" t="inlineStr">
        <is>
          <t>/</t>
        </is>
      </c>
      <c r="U141" s="235" t="inlineStr">
        <is>
          <t>/</t>
        </is>
      </c>
      <c r="V141" s="235" t="inlineStr">
        <is>
          <t>/</t>
        </is>
      </c>
      <c r="W141" s="235" t="inlineStr">
        <is>
          <t>/</t>
        </is>
      </c>
      <c r="X141" s="235" t="inlineStr">
        <is>
          <t>/</t>
        </is>
      </c>
      <c r="Y141" s="235" t="n"/>
      <c r="Z141" s="235" t="n"/>
      <c r="AA141" s="235" t="n"/>
      <c r="AB141" s="22" t="n">
        <v>0.05</v>
      </c>
      <c r="AC141" s="503" t="inlineStr">
        <is>
          <t>/</t>
        </is>
      </c>
      <c r="AD141" s="232" t="inlineStr">
        <is>
          <t>1、采购费：采购额的5%</t>
        </is>
      </c>
      <c r="AE141" s="232" t="n"/>
    </row>
    <row r="142" ht="36" customFormat="1" customHeight="1" s="209">
      <c r="A142" s="219" t="n">
        <v>140</v>
      </c>
      <c r="B142" s="220" t="inlineStr">
        <is>
          <t>KQCY0140</t>
        </is>
      </c>
      <c r="C142" s="221" t="inlineStr">
        <is>
          <t>餐饮三分部</t>
        </is>
      </c>
      <c r="D142" s="221" t="inlineStr">
        <is>
          <t>CF276</t>
        </is>
      </c>
      <c r="E142" s="221" t="inlineStr">
        <is>
          <t>苏州经贸二食堂</t>
        </is>
      </c>
      <c r="F142" s="219" t="inlineStr">
        <is>
          <t>分组作业</t>
        </is>
      </c>
      <c r="G142" s="222" t="inlineStr">
        <is>
          <t>位军浩</t>
        </is>
      </c>
      <c r="H142" s="222" t="inlineStr">
        <is>
          <t>第一班组</t>
        </is>
      </c>
      <c r="I142" s="232" t="inlineStr">
        <is>
          <t>卤烤套餐饭</t>
        </is>
      </c>
      <c r="J142" s="503" t="inlineStr">
        <is>
          <t>康小伟</t>
        </is>
      </c>
      <c r="K142" s="503" t="n"/>
      <c r="L142" s="224" t="n"/>
      <c r="M142" s="224" t="inlineStr">
        <is>
          <t>/</t>
        </is>
      </c>
      <c r="N142" s="651" t="inlineStr">
        <is>
          <t>/</t>
        </is>
      </c>
      <c r="O142" s="247" t="n">
        <v>0.035</v>
      </c>
      <c r="P142" s="235" t="inlineStr">
        <is>
          <t>/</t>
        </is>
      </c>
      <c r="Q142" s="235" t="inlineStr">
        <is>
          <t>/</t>
        </is>
      </c>
      <c r="R142" s="247" t="inlineStr">
        <is>
          <t>/</t>
        </is>
      </c>
      <c r="S142" s="247" t="inlineStr">
        <is>
          <t>/</t>
        </is>
      </c>
      <c r="T142" s="247" t="inlineStr">
        <is>
          <t>/</t>
        </is>
      </c>
      <c r="U142" s="235" t="inlineStr">
        <is>
          <t>/</t>
        </is>
      </c>
      <c r="V142" s="247" t="n">
        <v>0.035</v>
      </c>
      <c r="W142" s="247" t="n">
        <v>0.06</v>
      </c>
      <c r="X142" s="551" t="inlineStr">
        <is>
          <t>按实</t>
        </is>
      </c>
      <c r="Y142" s="235" t="inlineStr">
        <is>
          <t>固定租金2万元/学期，3月打款至公司</t>
        </is>
      </c>
      <c r="Z142" s="235" t="inlineStr">
        <is>
          <t>/</t>
        </is>
      </c>
      <c r="AA142" s="235" t="inlineStr">
        <is>
          <t>按实</t>
        </is>
      </c>
      <c r="AB142" s="22" t="inlineStr">
        <is>
          <t>/</t>
        </is>
      </c>
      <c r="AC142" s="503" t="inlineStr">
        <is>
          <t>/</t>
        </is>
      </c>
      <c r="AD142" s="230" t="inlineStr">
        <is>
          <t>1、其他：固定资金2万元/学期，作为折旧费
2、采购费：采购额的5%，分组作业未分摊，服务费已包含；</t>
        </is>
      </c>
      <c r="AE142" s="232" t="inlineStr">
        <is>
          <t>1、签订期间：2026.3.1-2026.7.31；
2、指标按照全年换算；</t>
        </is>
      </c>
    </row>
    <row r="143" ht="48" customFormat="1" customHeight="1" s="209">
      <c r="A143" s="219" t="n">
        <v>141</v>
      </c>
      <c r="B143" s="220" t="inlineStr">
        <is>
          <t>KQCY0141</t>
        </is>
      </c>
      <c r="C143" s="221" t="inlineStr">
        <is>
          <t>餐饮三分部</t>
        </is>
      </c>
      <c r="D143" s="221" t="inlineStr">
        <is>
          <t>CF276</t>
        </is>
      </c>
      <c r="E143" s="221" t="inlineStr">
        <is>
          <t>苏州经贸二食堂</t>
        </is>
      </c>
      <c r="F143" s="219" t="inlineStr">
        <is>
          <t>分组作业</t>
        </is>
      </c>
      <c r="G143" s="222" t="inlineStr">
        <is>
          <t>位军浩</t>
        </is>
      </c>
      <c r="H143" s="222" t="inlineStr">
        <is>
          <t>第二班组</t>
        </is>
      </c>
      <c r="I143" s="232" t="inlineStr">
        <is>
          <t>阿满烤鸭</t>
        </is>
      </c>
      <c r="J143" s="503" t="inlineStr">
        <is>
          <t>李嘉康</t>
        </is>
      </c>
      <c r="K143" s="503" t="n"/>
      <c r="L143" s="224" t="n"/>
      <c r="M143" s="224" t="inlineStr">
        <is>
          <t>/</t>
        </is>
      </c>
      <c r="N143" s="651" t="inlineStr">
        <is>
          <t>/</t>
        </is>
      </c>
      <c r="O143" s="247" t="n">
        <v>0.025</v>
      </c>
      <c r="P143" s="235" t="n">
        <v>0</v>
      </c>
      <c r="Q143" s="235" t="n">
        <v>0</v>
      </c>
      <c r="R143" s="247" t="n">
        <v>0</v>
      </c>
      <c r="S143" s="247" t="n">
        <v>0</v>
      </c>
      <c r="T143" s="247" t="n">
        <v>0</v>
      </c>
      <c r="U143" s="235" t="n">
        <v>0</v>
      </c>
      <c r="V143" s="247" t="n">
        <v>0.035</v>
      </c>
      <c r="W143" s="247" t="n">
        <v>0.07000000000000001</v>
      </c>
      <c r="X143" s="551" t="inlineStr">
        <is>
          <t>按实</t>
        </is>
      </c>
      <c r="Y143" s="235" t="inlineStr">
        <is>
          <t>固定租金2万元/学期，3、4、5、6每月扣5000元</t>
        </is>
      </c>
      <c r="Z143" s="235" t="inlineStr">
        <is>
          <t>/</t>
        </is>
      </c>
      <c r="AA143" s="235" t="inlineStr">
        <is>
          <t>按实</t>
        </is>
      </c>
      <c r="AB143" s="22" t="inlineStr">
        <is>
          <t>/</t>
        </is>
      </c>
      <c r="AC143" s="503" t="inlineStr">
        <is>
          <t>/</t>
        </is>
      </c>
      <c r="AD143" s="230" t="inlineStr">
        <is>
          <t>1、其他：固定资金2万元/学期，作为折旧费
2、采购费：采购额的5%，分组作业未分摊，服务费已包含；</t>
        </is>
      </c>
      <c r="AE143" s="232" t="inlineStr">
        <is>
          <t>1、签订期间：2026.3.1-2026.7.31；
2、指标按照全年换算；</t>
        </is>
      </c>
    </row>
    <row r="144" ht="48" customFormat="1" customHeight="1" s="209">
      <c r="A144" s="219" t="n">
        <v>142</v>
      </c>
      <c r="B144" s="220" t="inlineStr">
        <is>
          <t>KQCY0142</t>
        </is>
      </c>
      <c r="C144" s="221" t="inlineStr">
        <is>
          <t>餐饮三分部</t>
        </is>
      </c>
      <c r="D144" s="221" t="inlineStr">
        <is>
          <t>CF276</t>
        </is>
      </c>
      <c r="E144" s="221" t="inlineStr">
        <is>
          <t>苏州经贸二食堂</t>
        </is>
      </c>
      <c r="F144" s="219" t="inlineStr">
        <is>
          <t>分组作业</t>
        </is>
      </c>
      <c r="G144" s="222" t="inlineStr">
        <is>
          <t>位军浩</t>
        </is>
      </c>
      <c r="H144" s="222" t="inlineStr">
        <is>
          <t>第三班组</t>
        </is>
      </c>
      <c r="I144" s="237" t="inlineStr">
        <is>
          <t>鸡公煲</t>
        </is>
      </c>
      <c r="J144" s="503" t="inlineStr">
        <is>
          <t>陈洋</t>
        </is>
      </c>
      <c r="K144" s="503" t="n"/>
      <c r="L144" s="224" t="n"/>
      <c r="M144" s="224" t="inlineStr">
        <is>
          <t>/</t>
        </is>
      </c>
      <c r="N144" s="651" t="inlineStr">
        <is>
          <t>/</t>
        </is>
      </c>
      <c r="O144" s="247" t="n">
        <v>0.025</v>
      </c>
      <c r="P144" s="235" t="n">
        <v>0</v>
      </c>
      <c r="Q144" s="235" t="n">
        <v>0</v>
      </c>
      <c r="R144" s="247" t="n">
        <v>0</v>
      </c>
      <c r="S144" s="247" t="n">
        <v>0</v>
      </c>
      <c r="T144" s="247" t="n">
        <v>0</v>
      </c>
      <c r="U144" s="235" t="n">
        <v>0</v>
      </c>
      <c r="V144" s="247" t="n">
        <v>0.035</v>
      </c>
      <c r="W144" s="247" t="n">
        <v>0.07000000000000001</v>
      </c>
      <c r="X144" s="551" t="inlineStr">
        <is>
          <t>按实</t>
        </is>
      </c>
      <c r="Y144" s="235" t="inlineStr">
        <is>
          <t>固定租金1.5万元/学期，3、4、5、6每月扣3750元</t>
        </is>
      </c>
      <c r="Z144" s="235" t="inlineStr">
        <is>
          <t>/</t>
        </is>
      </c>
      <c r="AA144" s="235" t="inlineStr">
        <is>
          <t>按实</t>
        </is>
      </c>
      <c r="AB144" s="22" t="inlineStr">
        <is>
          <t>/</t>
        </is>
      </c>
      <c r="AC144" s="503" t="inlineStr">
        <is>
          <t>/</t>
        </is>
      </c>
      <c r="AD144" s="230" t="inlineStr">
        <is>
          <t>1、其他：固定资金1、5万元/学期，作为折旧费
2、采购费：采购额的5%，分组作业未分摊，服务费已包含；</t>
        </is>
      </c>
      <c r="AE144" s="232" t="inlineStr">
        <is>
          <t>1、签订期间：2026.3.1-2026.7.31；
2、指标按照全年换算；</t>
        </is>
      </c>
    </row>
    <row r="145" ht="48" customFormat="1" customHeight="1" s="209">
      <c r="A145" s="219" t="n">
        <v>143</v>
      </c>
      <c r="B145" s="220" t="inlineStr">
        <is>
          <t>KQCY0143</t>
        </is>
      </c>
      <c r="C145" s="221" t="inlineStr">
        <is>
          <t>餐饮三分部</t>
        </is>
      </c>
      <c r="D145" s="221" t="inlineStr">
        <is>
          <t>CF276</t>
        </is>
      </c>
      <c r="E145" s="221" t="inlineStr">
        <is>
          <t>苏州经贸二食堂</t>
        </is>
      </c>
      <c r="F145" s="219" t="inlineStr">
        <is>
          <t>分组作业</t>
        </is>
      </c>
      <c r="G145" s="222" t="inlineStr">
        <is>
          <t>位军浩</t>
        </is>
      </c>
      <c r="H145" s="222" t="inlineStr">
        <is>
          <t>第四班组</t>
        </is>
      </c>
      <c r="I145" s="237" t="inlineStr">
        <is>
          <t>羊杂面</t>
        </is>
      </c>
      <c r="J145" s="503" t="inlineStr">
        <is>
          <t>赵连财</t>
        </is>
      </c>
      <c r="K145" s="503" t="n"/>
      <c r="L145" s="224" t="n"/>
      <c r="M145" s="224" t="inlineStr">
        <is>
          <t>/</t>
        </is>
      </c>
      <c r="N145" s="651" t="inlineStr">
        <is>
          <t>/</t>
        </is>
      </c>
      <c r="O145" s="247" t="n">
        <v>0.025</v>
      </c>
      <c r="P145" s="235" t="n">
        <v>0</v>
      </c>
      <c r="Q145" s="235" t="n">
        <v>0</v>
      </c>
      <c r="R145" s="247" t="n">
        <v>0</v>
      </c>
      <c r="S145" s="247" t="n">
        <v>0</v>
      </c>
      <c r="T145" s="247" t="n">
        <v>0</v>
      </c>
      <c r="U145" s="235" t="n">
        <v>0</v>
      </c>
      <c r="V145" s="247" t="n">
        <v>0.035</v>
      </c>
      <c r="W145" s="247" t="n">
        <v>0.07000000000000001</v>
      </c>
      <c r="X145" s="551" t="inlineStr">
        <is>
          <t>按实</t>
        </is>
      </c>
      <c r="Y145" s="235" t="inlineStr">
        <is>
          <t>固定租金2万元/学期，3、4、5、6每月扣5000元</t>
        </is>
      </c>
      <c r="Z145" s="235" t="inlineStr">
        <is>
          <t>/</t>
        </is>
      </c>
      <c r="AA145" s="235" t="inlineStr">
        <is>
          <t>按实</t>
        </is>
      </c>
      <c r="AB145" s="22" t="inlineStr">
        <is>
          <t>/</t>
        </is>
      </c>
      <c r="AC145" s="503" t="inlineStr">
        <is>
          <t>/</t>
        </is>
      </c>
      <c r="AD145" s="230" t="inlineStr">
        <is>
          <t>1、其他：固定资金2万元/学期，作为折旧费
2、采购费：采购额的5%，分组作业未分摊，服务费已包含；</t>
        </is>
      </c>
      <c r="AE145" s="232" t="inlineStr">
        <is>
          <t>1、签订期间：2026.3.1-2026.7.31；
2、指标按照全年换算；</t>
        </is>
      </c>
    </row>
    <row r="146" ht="48" customFormat="1" customHeight="1" s="209">
      <c r="A146" s="219" t="n">
        <v>144</v>
      </c>
      <c r="B146" s="220" t="inlineStr">
        <is>
          <t>KQCY0144</t>
        </is>
      </c>
      <c r="C146" s="221" t="inlineStr">
        <is>
          <t>餐饮三分部</t>
        </is>
      </c>
      <c r="D146" s="221" t="inlineStr">
        <is>
          <t>CF276</t>
        </is>
      </c>
      <c r="E146" s="221" t="inlineStr">
        <is>
          <t>苏州经贸二食堂</t>
        </is>
      </c>
      <c r="F146" s="219" t="inlineStr">
        <is>
          <t>分组作业</t>
        </is>
      </c>
      <c r="G146" s="222" t="inlineStr">
        <is>
          <t>位军浩</t>
        </is>
      </c>
      <c r="H146" s="222" t="inlineStr">
        <is>
          <t>第五班组</t>
        </is>
      </c>
      <c r="I146" s="237" t="inlineStr">
        <is>
          <t>汉堡</t>
        </is>
      </c>
      <c r="J146" s="503" t="inlineStr">
        <is>
          <t>邵宁</t>
        </is>
      </c>
      <c r="K146" s="503" t="n"/>
      <c r="L146" s="224" t="n"/>
      <c r="M146" s="224" t="inlineStr">
        <is>
          <t>/</t>
        </is>
      </c>
      <c r="N146" s="651" t="inlineStr">
        <is>
          <t>/</t>
        </is>
      </c>
      <c r="O146" s="247" t="n">
        <v>0</v>
      </c>
      <c r="P146" s="247" t="n">
        <v>0</v>
      </c>
      <c r="Q146" s="235" t="n">
        <v>0</v>
      </c>
      <c r="R146" s="247" t="n">
        <v>0</v>
      </c>
      <c r="S146" s="247" t="n">
        <v>0</v>
      </c>
      <c r="T146" s="247" t="n">
        <v>0</v>
      </c>
      <c r="U146" s="247" t="n">
        <v>0</v>
      </c>
      <c r="V146" s="247" t="n">
        <v>0.035</v>
      </c>
      <c r="W146" s="247" t="n">
        <v>0.065</v>
      </c>
      <c r="X146" s="551" t="inlineStr">
        <is>
          <t>按实</t>
        </is>
      </c>
      <c r="Y146" s="235" t="inlineStr">
        <is>
          <t>固定租金2万元/学期，3、4、5、6每月扣5000元</t>
        </is>
      </c>
      <c r="Z146" s="235" t="inlineStr">
        <is>
          <t>/</t>
        </is>
      </c>
      <c r="AA146" s="235" t="inlineStr">
        <is>
          <t>按实</t>
        </is>
      </c>
      <c r="AB146" s="22" t="inlineStr">
        <is>
          <t>/</t>
        </is>
      </c>
      <c r="AC146" s="503" t="inlineStr">
        <is>
          <t>/</t>
        </is>
      </c>
      <c r="AD146" s="230" t="inlineStr">
        <is>
          <t>1、其他：固定资金2万元/学期，作为折旧费
2、采购费：档口营业所用全部物品由加盟商指定供应商提供，无采购费。</t>
        </is>
      </c>
      <c r="AE146" s="232" t="inlineStr">
        <is>
          <t>1、签订期间：2026.3.1-2026.7.31；
2、指标按照全年换算；</t>
        </is>
      </c>
    </row>
    <row r="147" ht="48" customFormat="1" customHeight="1" s="209">
      <c r="A147" s="219" t="n">
        <v>145</v>
      </c>
      <c r="B147" s="220" t="inlineStr">
        <is>
          <t>KQCY0145</t>
        </is>
      </c>
      <c r="C147" s="221" t="inlineStr">
        <is>
          <t>餐饮三分部</t>
        </is>
      </c>
      <c r="D147" s="221" t="inlineStr">
        <is>
          <t>CF276</t>
        </is>
      </c>
      <c r="E147" s="221" t="inlineStr">
        <is>
          <t>苏州经贸二食堂</t>
        </is>
      </c>
      <c r="F147" s="219" t="inlineStr">
        <is>
          <t>分组作业</t>
        </is>
      </c>
      <c r="G147" s="222" t="inlineStr">
        <is>
          <t>位军浩</t>
        </is>
      </c>
      <c r="H147" s="222" t="inlineStr">
        <is>
          <t>第六班组</t>
        </is>
      </c>
      <c r="I147" s="237" t="inlineStr">
        <is>
          <t>精品菜</t>
        </is>
      </c>
      <c r="J147" s="503" t="inlineStr">
        <is>
          <t>查祈恩</t>
        </is>
      </c>
      <c r="K147" s="503" t="n"/>
      <c r="L147" s="224" t="n"/>
      <c r="M147" s="224" t="inlineStr">
        <is>
          <t>/</t>
        </is>
      </c>
      <c r="N147" s="651" t="inlineStr">
        <is>
          <t>/</t>
        </is>
      </c>
      <c r="O147" s="247" t="n">
        <v>0.025</v>
      </c>
      <c r="P147" s="235" t="n">
        <v>0</v>
      </c>
      <c r="Q147" s="235" t="n">
        <v>0</v>
      </c>
      <c r="R147" s="247" t="n">
        <v>0</v>
      </c>
      <c r="S147" s="247" t="n">
        <v>0</v>
      </c>
      <c r="T147" s="247" t="n">
        <v>0</v>
      </c>
      <c r="U147" s="235" t="n">
        <v>0</v>
      </c>
      <c r="V147" s="247" t="n">
        <v>0.035</v>
      </c>
      <c r="W147" s="247" t="n">
        <v>0.07000000000000001</v>
      </c>
      <c r="X147" s="551" t="inlineStr">
        <is>
          <t>按实</t>
        </is>
      </c>
      <c r="Y147" s="235" t="inlineStr">
        <is>
          <t>固定租金2.25万元/学期，3、4、5、6每月扣5625元</t>
        </is>
      </c>
      <c r="Z147" s="235" t="inlineStr">
        <is>
          <t>/</t>
        </is>
      </c>
      <c r="AA147" s="235" t="inlineStr">
        <is>
          <t>按实</t>
        </is>
      </c>
      <c r="AB147" s="22" t="inlineStr">
        <is>
          <t>/</t>
        </is>
      </c>
      <c r="AC147" s="503" t="inlineStr">
        <is>
          <t>/</t>
        </is>
      </c>
      <c r="AD147" s="230" t="inlineStr">
        <is>
          <t>1、其他：固定资金2.25万元/学期，作为折旧费
2、采购费：采购额的5%，分组作业未分摊，服务费已包含；</t>
        </is>
      </c>
      <c r="AE147" s="232" t="inlineStr">
        <is>
          <t>1、签订期间：2026.3.1-2026.7.31；
2、指标按照全年换算；</t>
        </is>
      </c>
    </row>
    <row r="148" ht="24" customFormat="1" customHeight="1" s="209">
      <c r="A148" s="219" t="n">
        <v>146</v>
      </c>
      <c r="B148" s="220" t="inlineStr">
        <is>
          <t>KQCY0146</t>
        </is>
      </c>
      <c r="C148" s="221" t="inlineStr">
        <is>
          <t>餐饮三分部</t>
        </is>
      </c>
      <c r="D148" s="221" t="inlineStr">
        <is>
          <t>CF276</t>
        </is>
      </c>
      <c r="E148" s="221" t="inlineStr">
        <is>
          <t>苏州经贸二食堂</t>
        </is>
      </c>
      <c r="F148" s="219" t="inlineStr">
        <is>
          <t>分组作业</t>
        </is>
      </c>
      <c r="G148" s="222" t="inlineStr">
        <is>
          <t>位军浩</t>
        </is>
      </c>
      <c r="H148" s="222" t="inlineStr">
        <is>
          <t>第七班组</t>
        </is>
      </c>
      <c r="I148" s="237" t="inlineStr">
        <is>
          <t>快餐</t>
        </is>
      </c>
      <c r="J148" s="503" t="inlineStr">
        <is>
          <t>黄化里</t>
        </is>
      </c>
      <c r="K148" s="503" t="n"/>
      <c r="L148" s="224" t="n"/>
      <c r="M148" s="224" t="inlineStr">
        <is>
          <t>/</t>
        </is>
      </c>
      <c r="N148" s="651" t="inlineStr">
        <is>
          <t>/</t>
        </is>
      </c>
      <c r="O148" s="247" t="n">
        <v>0.025</v>
      </c>
      <c r="P148" s="235" t="n">
        <v>0</v>
      </c>
      <c r="Q148" s="235" t="n">
        <v>0</v>
      </c>
      <c r="R148" s="247" t="n">
        <v>0</v>
      </c>
      <c r="S148" s="247" t="n">
        <v>0</v>
      </c>
      <c r="T148" s="247" t="n">
        <v>0</v>
      </c>
      <c r="U148" s="235" t="n">
        <v>0</v>
      </c>
      <c r="V148" s="247" t="n">
        <v>0.035</v>
      </c>
      <c r="W148" s="247" t="n">
        <v>0.07000000000000001</v>
      </c>
      <c r="X148" s="235" t="inlineStr">
        <is>
          <t>按实</t>
        </is>
      </c>
      <c r="Y148" s="235" t="inlineStr">
        <is>
          <t>/</t>
        </is>
      </c>
      <c r="Z148" s="235" t="inlineStr">
        <is>
          <t>/</t>
        </is>
      </c>
      <c r="AA148" s="235" t="inlineStr">
        <is>
          <t>按实</t>
        </is>
      </c>
      <c r="AB148" s="22" t="inlineStr">
        <is>
          <t>/</t>
        </is>
      </c>
      <c r="AC148" s="503" t="inlineStr">
        <is>
          <t>/</t>
        </is>
      </c>
      <c r="AD148" s="250" t="inlineStr">
        <is>
          <t>1、已撤场，窗口现为自营</t>
        </is>
      </c>
      <c r="AE148" s="232" t="inlineStr">
        <is>
          <t>1、签订期间：2026.3.1-2026.7.31；
2、指标按照全年换算；</t>
        </is>
      </c>
    </row>
    <row r="149" ht="48" customFormat="1" customHeight="1" s="209">
      <c r="A149" s="219" t="n">
        <v>147</v>
      </c>
      <c r="B149" s="220" t="inlineStr">
        <is>
          <t>KQCY0147</t>
        </is>
      </c>
      <c r="C149" s="221" t="inlineStr">
        <is>
          <t>餐饮三分部</t>
        </is>
      </c>
      <c r="D149" s="221" t="inlineStr">
        <is>
          <t>CF276</t>
        </is>
      </c>
      <c r="E149" s="221" t="inlineStr">
        <is>
          <t>苏州经贸二食堂</t>
        </is>
      </c>
      <c r="F149" s="219" t="inlineStr">
        <is>
          <t>分组作业</t>
        </is>
      </c>
      <c r="G149" s="222" t="inlineStr">
        <is>
          <t>位军浩</t>
        </is>
      </c>
      <c r="H149" s="222" t="inlineStr">
        <is>
          <t>第八班组</t>
        </is>
      </c>
      <c r="I149" s="237" t="inlineStr">
        <is>
          <t>教工餐厅</t>
        </is>
      </c>
      <c r="J149" s="503" t="inlineStr">
        <is>
          <t>黄化里</t>
        </is>
      </c>
      <c r="K149" s="503" t="n"/>
      <c r="L149" s="224" t="n"/>
      <c r="M149" s="224" t="inlineStr">
        <is>
          <t>/</t>
        </is>
      </c>
      <c r="N149" s="651" t="inlineStr">
        <is>
          <t>/</t>
        </is>
      </c>
      <c r="O149" s="247" t="n">
        <v>0</v>
      </c>
      <c r="P149" s="247" t="n">
        <v>0</v>
      </c>
      <c r="Q149" s="235" t="n">
        <v>0</v>
      </c>
      <c r="R149" s="247" t="n">
        <v>0</v>
      </c>
      <c r="S149" s="247" t="n">
        <v>0</v>
      </c>
      <c r="T149" s="247" t="n">
        <v>0</v>
      </c>
      <c r="U149" s="247" t="n">
        <v>0</v>
      </c>
      <c r="V149" s="247" t="n">
        <v>0.035</v>
      </c>
      <c r="W149" s="247" t="inlineStr">
        <is>
          <t>按表收取</t>
        </is>
      </c>
      <c r="X149" s="551" t="inlineStr">
        <is>
          <t>按实</t>
        </is>
      </c>
      <c r="Y149" s="235" t="inlineStr">
        <is>
          <t>固定租金0.5万元/学期，3、4、5、6、7每月扣1000元</t>
        </is>
      </c>
      <c r="Z149" s="235" t="inlineStr">
        <is>
          <t>/</t>
        </is>
      </c>
      <c r="AA149" s="235" t="inlineStr">
        <is>
          <t>按实</t>
        </is>
      </c>
      <c r="AB149" s="22" t="inlineStr">
        <is>
          <t>/</t>
        </is>
      </c>
      <c r="AC149" s="503" t="inlineStr">
        <is>
          <t>/</t>
        </is>
      </c>
      <c r="AD149" s="250" t="inlineStr">
        <is>
          <t>1、已撤场，窗口现为自营</t>
        </is>
      </c>
      <c r="AE149" s="232" t="inlineStr">
        <is>
          <t>1、签订期间：2026.3.1-2026.7.31；
2、指标按照全年换算；</t>
        </is>
      </c>
    </row>
    <row r="150" ht="12" customFormat="1" customHeight="1" s="209">
      <c r="A150" s="219" t="n">
        <v>148</v>
      </c>
      <c r="B150" s="220" t="inlineStr">
        <is>
          <t>KQCY0148</t>
        </is>
      </c>
      <c r="C150" s="221" t="inlineStr">
        <is>
          <t>餐饮三分部</t>
        </is>
      </c>
      <c r="D150" s="221" t="inlineStr">
        <is>
          <t>CF126</t>
        </is>
      </c>
      <c r="E150" s="221" t="inlineStr">
        <is>
          <t>西浦附校食堂</t>
        </is>
      </c>
      <c r="F150" s="219" t="inlineStr">
        <is>
          <t>自营</t>
        </is>
      </c>
      <c r="G150" s="222" t="inlineStr">
        <is>
          <t>位军浩</t>
        </is>
      </c>
      <c r="H150" s="222" t="inlineStr">
        <is>
          <t>/</t>
        </is>
      </c>
      <c r="I150" s="237" t="inlineStr">
        <is>
          <t>/</t>
        </is>
      </c>
      <c r="J150" s="222" t="inlineStr">
        <is>
          <t>/</t>
        </is>
      </c>
      <c r="K150" s="222" t="n"/>
      <c r="L150" s="224" t="n"/>
      <c r="M150" s="224" t="inlineStr">
        <is>
          <t>/</t>
        </is>
      </c>
      <c r="N150" s="651" t="n">
        <v>17000000</v>
      </c>
      <c r="O150" s="235" t="inlineStr">
        <is>
          <t>/</t>
        </is>
      </c>
      <c r="P150" s="235" t="inlineStr">
        <is>
          <t>/</t>
        </is>
      </c>
      <c r="Q150" s="235" t="n">
        <v>0.02</v>
      </c>
      <c r="R150" s="235" t="inlineStr">
        <is>
          <t>/</t>
        </is>
      </c>
      <c r="S150" s="235" t="inlineStr">
        <is>
          <t>/</t>
        </is>
      </c>
      <c r="T150" s="235" t="inlineStr">
        <is>
          <t>/</t>
        </is>
      </c>
      <c r="U150" s="235" t="inlineStr">
        <is>
          <t>/</t>
        </is>
      </c>
      <c r="V150" s="235" t="inlineStr">
        <is>
          <t>/</t>
        </is>
      </c>
      <c r="W150" s="235" t="inlineStr">
        <is>
          <t>/</t>
        </is>
      </c>
      <c r="X150" s="235" t="inlineStr">
        <is>
          <t>/</t>
        </is>
      </c>
      <c r="Y150" s="235" t="n"/>
      <c r="Z150" s="235" t="n"/>
      <c r="AA150" s="235" t="n"/>
      <c r="AB150" s="46" t="n">
        <v>0.045</v>
      </c>
      <c r="AC150" s="46" t="inlineStr">
        <is>
          <t>/</t>
        </is>
      </c>
      <c r="AD150" s="232" t="n"/>
      <c r="AE150" s="232" t="n"/>
    </row>
    <row r="151" hidden="1" ht="12" customFormat="1" customHeight="1" s="209">
      <c r="A151" s="219" t="n">
        <v>149</v>
      </c>
      <c r="B151" s="220" t="inlineStr">
        <is>
          <t>KQCY0149</t>
        </is>
      </c>
      <c r="C151" s="221" t="inlineStr">
        <is>
          <t>餐饮三分部</t>
        </is>
      </c>
      <c r="D151" s="221" t="inlineStr">
        <is>
          <t>CF782</t>
        </is>
      </c>
      <c r="E151" s="221" t="inlineStr">
        <is>
          <t>宿迁安园中央厨房</t>
        </is>
      </c>
      <c r="F151" s="219" t="inlineStr">
        <is>
          <t>人员服务外包</t>
        </is>
      </c>
      <c r="G151" s="222" t="inlineStr">
        <is>
          <t>陆琪</t>
        </is>
      </c>
      <c r="H151" s="222" t="inlineStr">
        <is>
          <t>/</t>
        </is>
      </c>
      <c r="I151" s="232" t="inlineStr">
        <is>
          <t>/</t>
        </is>
      </c>
      <c r="J151" s="503" t="inlineStr">
        <is>
          <t>/</t>
        </is>
      </c>
      <c r="K151" s="503" t="n"/>
      <c r="L151" s="224" t="n"/>
      <c r="M151" s="224" t="inlineStr">
        <is>
          <t>/</t>
        </is>
      </c>
      <c r="N151" s="651" t="n">
        <v>522000</v>
      </c>
      <c r="O151" s="227" t="inlineStr">
        <is>
          <t>/</t>
        </is>
      </c>
      <c r="P151" s="227" t="inlineStr">
        <is>
          <t>/</t>
        </is>
      </c>
      <c r="Q151" s="227" t="inlineStr">
        <is>
          <t>/</t>
        </is>
      </c>
      <c r="R151" s="227" t="inlineStr">
        <is>
          <t>/</t>
        </is>
      </c>
      <c r="S151" s="227" t="inlineStr">
        <is>
          <t>/</t>
        </is>
      </c>
      <c r="T151" s="227" t="inlineStr">
        <is>
          <t>/</t>
        </is>
      </c>
      <c r="U151" s="227" t="inlineStr">
        <is>
          <t>/</t>
        </is>
      </c>
      <c r="V151" s="461" t="inlineStr">
        <is>
          <t>/</t>
        </is>
      </c>
      <c r="W151" s="227" t="inlineStr">
        <is>
          <t>/</t>
        </is>
      </c>
      <c r="X151" s="227" t="inlineStr">
        <is>
          <t>/</t>
        </is>
      </c>
      <c r="Y151" s="461" t="n"/>
      <c r="Z151" s="461" t="n"/>
      <c r="AA151" s="461" t="inlineStr">
        <is>
          <t>/</t>
        </is>
      </c>
      <c r="AB151" s="222" t="n">
        <v>100000</v>
      </c>
      <c r="AC151" s="46" t="inlineStr">
        <is>
          <t>/</t>
        </is>
      </c>
      <c r="AD151" s="232" t="inlineStr">
        <is>
          <t>1、分部管理费：10万元</t>
        </is>
      </c>
      <c r="AE151" s="232" t="n"/>
    </row>
    <row r="152" hidden="1" ht="12" customFormat="1" customHeight="1" s="209">
      <c r="A152" s="219" t="n">
        <v>150</v>
      </c>
      <c r="B152" s="220" t="inlineStr">
        <is>
          <t>KQCY0150</t>
        </is>
      </c>
      <c r="C152" s="221" t="inlineStr">
        <is>
          <t>餐饮三分部</t>
        </is>
      </c>
      <c r="D152" s="221" t="inlineStr">
        <is>
          <t>CF699</t>
        </is>
      </c>
      <c r="E152" s="221" t="inlineStr">
        <is>
          <t>徐医大第一食堂</t>
        </is>
      </c>
      <c r="F152" s="239" t="inlineStr">
        <is>
          <t>自营</t>
        </is>
      </c>
      <c r="G152" s="222" t="inlineStr">
        <is>
          <t>陆琪</t>
        </is>
      </c>
      <c r="H152" s="220" t="inlineStr">
        <is>
          <t>/</t>
        </is>
      </c>
      <c r="I152" s="461" t="inlineStr">
        <is>
          <t>/</t>
        </is>
      </c>
      <c r="J152" s="461" t="inlineStr">
        <is>
          <t>/</t>
        </is>
      </c>
      <c r="K152" s="461" t="n"/>
      <c r="L152" s="235" t="n"/>
      <c r="M152" s="235" t="inlineStr">
        <is>
          <t>/</t>
        </is>
      </c>
      <c r="N152" s="651" t="inlineStr">
        <is>
          <t>/</t>
        </is>
      </c>
      <c r="O152" s="227" t="inlineStr">
        <is>
          <t>/</t>
        </is>
      </c>
      <c r="P152" s="227" t="inlineStr">
        <is>
          <t>/</t>
        </is>
      </c>
      <c r="Q152" s="227" t="inlineStr">
        <is>
          <t>/</t>
        </is>
      </c>
      <c r="R152" s="227" t="n"/>
      <c r="S152" s="227" t="inlineStr">
        <is>
          <t>/</t>
        </is>
      </c>
      <c r="T152" s="227" t="inlineStr">
        <is>
          <t>/</t>
        </is>
      </c>
      <c r="U152" s="227" t="inlineStr">
        <is>
          <t>/</t>
        </is>
      </c>
      <c r="V152" s="461" t="n"/>
      <c r="W152" s="227" t="inlineStr">
        <is>
          <t>/</t>
        </is>
      </c>
      <c r="X152" s="227" t="inlineStr">
        <is>
          <t>/</t>
        </is>
      </c>
      <c r="Y152" s="461" t="n"/>
      <c r="Z152" s="461" t="n"/>
      <c r="AA152" s="461" t="inlineStr">
        <is>
          <t>/</t>
        </is>
      </c>
      <c r="AB152" s="46" t="n">
        <v>0.05</v>
      </c>
      <c r="AC152" s="229" t="inlineStr">
        <is>
          <t>/</t>
        </is>
      </c>
      <c r="AD152" s="230" t="inlineStr">
        <is>
          <t>1、自营未实际经营；</t>
        </is>
      </c>
      <c r="AE152" s="232" t="n"/>
    </row>
    <row r="153" hidden="1" ht="36" customFormat="1" customHeight="1" s="209">
      <c r="A153" s="219" t="n">
        <v>151</v>
      </c>
      <c r="B153" s="220" t="inlineStr">
        <is>
          <t>KQCY0151</t>
        </is>
      </c>
      <c r="C153" s="221" t="inlineStr">
        <is>
          <t>餐饮三分部</t>
        </is>
      </c>
      <c r="D153" s="221" t="inlineStr">
        <is>
          <t>CF699</t>
        </is>
      </c>
      <c r="E153" s="221" t="inlineStr">
        <is>
          <t>徐医大第一食堂</t>
        </is>
      </c>
      <c r="F153" s="219" t="inlineStr">
        <is>
          <t>分组作业</t>
        </is>
      </c>
      <c r="G153" s="222" t="inlineStr">
        <is>
          <t>陆琪</t>
        </is>
      </c>
      <c r="H153" s="503" t="inlineStr">
        <is>
          <t>/</t>
        </is>
      </c>
      <c r="I153" s="237" t="inlineStr">
        <is>
          <t>麻辣烫</t>
        </is>
      </c>
      <c r="J153" s="503" t="inlineStr">
        <is>
          <t>董浩</t>
        </is>
      </c>
      <c r="K153" s="503" t="n"/>
      <c r="L153" s="224" t="n"/>
      <c r="M153" s="224" t="inlineStr">
        <is>
          <t>/</t>
        </is>
      </c>
      <c r="N153" s="651" t="n">
        <v>564000</v>
      </c>
      <c r="O153" s="276" t="n">
        <v>0.18</v>
      </c>
      <c r="P153" s="227" t="inlineStr">
        <is>
          <t>/</t>
        </is>
      </c>
      <c r="Q153" s="551" t="n"/>
      <c r="R153" s="227" t="inlineStr">
        <is>
          <t>/</t>
        </is>
      </c>
      <c r="S153" s="227" t="inlineStr">
        <is>
          <t>/</t>
        </is>
      </c>
      <c r="T153" s="227" t="inlineStr">
        <is>
          <t>/</t>
        </is>
      </c>
      <c r="U153" s="227" t="inlineStr">
        <is>
          <t>/</t>
        </is>
      </c>
      <c r="V153" s="551" t="n">
        <v>1500</v>
      </c>
      <c r="W153" s="551" t="n"/>
      <c r="X153" s="227" t="inlineStr">
        <is>
          <t>/</t>
        </is>
      </c>
      <c r="Y153" s="247" t="n"/>
      <c r="Z153" s="247" t="n"/>
      <c r="AA153" s="247" t="n">
        <v>0.501</v>
      </c>
      <c r="AB153" s="51" t="inlineStr">
        <is>
          <t>/</t>
        </is>
      </c>
      <c r="AC153" s="46" t="inlineStr">
        <is>
          <t>/</t>
        </is>
      </c>
      <c r="AD153" s="297" t="inlineStr">
        <is>
          <t>1、卫生费：每月固定1500元，寒暑假根据实际运营天数结算</t>
        </is>
      </c>
      <c r="AE153" s="232" t="inlineStr">
        <is>
          <t xml:space="preserve">1、签订期间：2026.2.25-2026.7.31；
2、指标按照全年换算；
</t>
        </is>
      </c>
    </row>
    <row r="154" hidden="1" ht="24" customFormat="1" customHeight="1" s="209">
      <c r="A154" s="219" t="n">
        <v>152</v>
      </c>
      <c r="B154" s="220" t="inlineStr">
        <is>
          <t>KQCY0152</t>
        </is>
      </c>
      <c r="C154" s="221" t="inlineStr">
        <is>
          <t>餐饮三分部</t>
        </is>
      </c>
      <c r="D154" s="221" t="inlineStr">
        <is>
          <t>CF699</t>
        </is>
      </c>
      <c r="E154" s="221" t="inlineStr">
        <is>
          <t>徐医大第一食堂</t>
        </is>
      </c>
      <c r="F154" s="219" t="inlineStr">
        <is>
          <t>分组作业</t>
        </is>
      </c>
      <c r="G154" s="222" t="inlineStr">
        <is>
          <t>陆琪</t>
        </is>
      </c>
      <c r="H154" s="503" t="inlineStr">
        <is>
          <t>/</t>
        </is>
      </c>
      <c r="I154" s="237" t="inlineStr">
        <is>
          <t>脆香鸡</t>
        </is>
      </c>
      <c r="J154" s="503" t="inlineStr">
        <is>
          <t>闫玉净</t>
        </is>
      </c>
      <c r="K154" s="503" t="n"/>
      <c r="L154" s="224" t="n"/>
      <c r="M154" s="224" t="inlineStr">
        <is>
          <t>/</t>
        </is>
      </c>
      <c r="N154" s="651" t="n">
        <v>924000</v>
      </c>
      <c r="O154" s="276" t="n">
        <v>0.19</v>
      </c>
      <c r="P154" s="227" t="inlineStr">
        <is>
          <t>/</t>
        </is>
      </c>
      <c r="Q154" s="551" t="n"/>
      <c r="R154" s="227" t="inlineStr">
        <is>
          <t>/</t>
        </is>
      </c>
      <c r="S154" s="227" t="inlineStr">
        <is>
          <t>/</t>
        </is>
      </c>
      <c r="T154" s="227" t="inlineStr">
        <is>
          <t>/</t>
        </is>
      </c>
      <c r="U154" s="227" t="inlineStr">
        <is>
          <t>/</t>
        </is>
      </c>
      <c r="V154" s="551" t="n">
        <v>1500</v>
      </c>
      <c r="W154" s="551" t="n"/>
      <c r="X154" s="227" t="inlineStr">
        <is>
          <t>/</t>
        </is>
      </c>
      <c r="Y154" s="247" t="n"/>
      <c r="Z154" s="247" t="n"/>
      <c r="AA154" s="247" t="n">
        <v>0.501</v>
      </c>
      <c r="AB154" s="51" t="inlineStr">
        <is>
          <t>/</t>
        </is>
      </c>
      <c r="AC154" s="46" t="inlineStr">
        <is>
          <t>/</t>
        </is>
      </c>
      <c r="AD154" s="297" t="inlineStr">
        <is>
          <t>1、卫生费：每月固定1500元，寒暑假根据实际运营天数结算</t>
        </is>
      </c>
      <c r="AE154" s="232" t="inlineStr">
        <is>
          <t>1、签订期间：2026.2.25-2026.7.31；
2、指标按照全年换算；</t>
        </is>
      </c>
    </row>
    <row r="155" hidden="1" ht="24" customFormat="1" customHeight="1" s="209">
      <c r="A155" s="219" t="n">
        <v>153</v>
      </c>
      <c r="B155" s="220" t="inlineStr">
        <is>
          <t>KQCY0153</t>
        </is>
      </c>
      <c r="C155" s="221" t="inlineStr">
        <is>
          <t>餐饮三分部</t>
        </is>
      </c>
      <c r="D155" s="221" t="inlineStr">
        <is>
          <t>CF699</t>
        </is>
      </c>
      <c r="E155" s="221" t="inlineStr">
        <is>
          <t>徐医大第一食堂</t>
        </is>
      </c>
      <c r="F155" s="219" t="inlineStr">
        <is>
          <t>分组作业</t>
        </is>
      </c>
      <c r="G155" s="222" t="inlineStr">
        <is>
          <t>陆琪</t>
        </is>
      </c>
      <c r="H155" s="503" t="inlineStr">
        <is>
          <t>/</t>
        </is>
      </c>
      <c r="I155" s="237" t="inlineStr">
        <is>
          <t>鸡柳窜巷</t>
        </is>
      </c>
      <c r="J155" s="503" t="inlineStr">
        <is>
          <t>王晨</t>
        </is>
      </c>
      <c r="K155" s="503" t="n"/>
      <c r="L155" s="224" t="n"/>
      <c r="M155" s="224" t="inlineStr">
        <is>
          <t>/</t>
        </is>
      </c>
      <c r="N155" s="651" t="n">
        <v>384000</v>
      </c>
      <c r="O155" s="276" t="n">
        <v>0.19</v>
      </c>
      <c r="P155" s="227" t="inlineStr">
        <is>
          <t>/</t>
        </is>
      </c>
      <c r="Q155" s="551" t="n"/>
      <c r="R155" s="227" t="inlineStr">
        <is>
          <t>/</t>
        </is>
      </c>
      <c r="S155" s="227" t="inlineStr">
        <is>
          <t>/</t>
        </is>
      </c>
      <c r="T155" s="227" t="inlineStr">
        <is>
          <t>/</t>
        </is>
      </c>
      <c r="U155" s="227" t="inlineStr">
        <is>
          <t>/</t>
        </is>
      </c>
      <c r="V155" s="551" t="n">
        <v>1000</v>
      </c>
      <c r="W155" s="551" t="n"/>
      <c r="X155" s="227" t="inlineStr">
        <is>
          <t>/</t>
        </is>
      </c>
      <c r="Y155" s="247" t="n"/>
      <c r="Z155" s="247" t="n"/>
      <c r="AA155" s="247" t="n">
        <v>0.501</v>
      </c>
      <c r="AB155" s="51" t="inlineStr">
        <is>
          <t>/</t>
        </is>
      </c>
      <c r="AC155" s="46" t="inlineStr">
        <is>
          <t>/</t>
        </is>
      </c>
      <c r="AD155" s="297" t="inlineStr">
        <is>
          <t>1、卫生费：每月固定1000元，寒暑假根据实际运营天数结算</t>
        </is>
      </c>
      <c r="AE155" s="232" t="inlineStr">
        <is>
          <t>1、签订期间：2026.2.25-2026.7.31；
2、指标按照全年换算；</t>
        </is>
      </c>
    </row>
    <row r="156" hidden="1" ht="24" customFormat="1" customHeight="1" s="209">
      <c r="A156" s="219" t="n">
        <v>154</v>
      </c>
      <c r="B156" s="220" t="inlineStr">
        <is>
          <t>KQCY0154</t>
        </is>
      </c>
      <c r="C156" s="221" t="inlineStr">
        <is>
          <t>餐饮三分部</t>
        </is>
      </c>
      <c r="D156" s="221" t="inlineStr">
        <is>
          <t>CF699</t>
        </is>
      </c>
      <c r="E156" s="221" t="inlineStr">
        <is>
          <t>徐医大第一食堂</t>
        </is>
      </c>
      <c r="F156" s="219" t="inlineStr">
        <is>
          <t>分组作业</t>
        </is>
      </c>
      <c r="G156" s="222" t="inlineStr">
        <is>
          <t>陆琪</t>
        </is>
      </c>
      <c r="H156" s="503" t="inlineStr">
        <is>
          <t>/</t>
        </is>
      </c>
      <c r="I156" s="237" t="inlineStr">
        <is>
          <t>螺蛳粉</t>
        </is>
      </c>
      <c r="J156" s="503" t="inlineStr">
        <is>
          <t>王梅</t>
        </is>
      </c>
      <c r="K156" s="503" t="n"/>
      <c r="L156" s="224" t="n"/>
      <c r="M156" s="224" t="inlineStr">
        <is>
          <t>/</t>
        </is>
      </c>
      <c r="N156" s="651" t="n">
        <v>588000</v>
      </c>
      <c r="O156" s="276" t="n">
        <v>0.19</v>
      </c>
      <c r="P156" s="227" t="inlineStr">
        <is>
          <t>/</t>
        </is>
      </c>
      <c r="Q156" s="551" t="n"/>
      <c r="R156" s="227" t="inlineStr">
        <is>
          <t>/</t>
        </is>
      </c>
      <c r="S156" s="227" t="inlineStr">
        <is>
          <t>/</t>
        </is>
      </c>
      <c r="T156" s="227" t="inlineStr">
        <is>
          <t>/</t>
        </is>
      </c>
      <c r="U156" s="227" t="inlineStr">
        <is>
          <t>/</t>
        </is>
      </c>
      <c r="V156" s="551" t="n">
        <v>1500</v>
      </c>
      <c r="W156" s="551" t="n"/>
      <c r="X156" s="227" t="inlineStr">
        <is>
          <t>/</t>
        </is>
      </c>
      <c r="Y156" s="247" t="n"/>
      <c r="Z156" s="247" t="n"/>
      <c r="AA156" s="247" t="n">
        <v>0.501</v>
      </c>
      <c r="AB156" s="51" t="inlineStr">
        <is>
          <t>/</t>
        </is>
      </c>
      <c r="AC156" s="46" t="inlineStr">
        <is>
          <t>/</t>
        </is>
      </c>
      <c r="AD156" s="297" t="inlineStr">
        <is>
          <t>1、卫生费：每月固定1500元，寒暑假根据实际运营天数结算</t>
        </is>
      </c>
      <c r="AE156" s="232" t="inlineStr">
        <is>
          <t>1、签订期间：2026.2.25-2026.7.31；
2、指标按照全年换算；</t>
        </is>
      </c>
    </row>
    <row r="157" hidden="1" ht="36" customFormat="1" customHeight="1" s="209">
      <c r="A157" s="219" t="n">
        <v>155</v>
      </c>
      <c r="B157" s="220" t="inlineStr">
        <is>
          <t>KQCY0155</t>
        </is>
      </c>
      <c r="C157" s="221" t="inlineStr">
        <is>
          <t>餐饮三分部</t>
        </is>
      </c>
      <c r="D157" s="221" t="inlineStr">
        <is>
          <t>CF699</t>
        </is>
      </c>
      <c r="E157" s="221" t="inlineStr">
        <is>
          <t>徐医大第一食堂</t>
        </is>
      </c>
      <c r="F157" s="219" t="inlineStr">
        <is>
          <t>分组作业</t>
        </is>
      </c>
      <c r="G157" s="222" t="inlineStr">
        <is>
          <t>陆琪</t>
        </is>
      </c>
      <c r="H157" s="503" t="inlineStr">
        <is>
          <t>/</t>
        </is>
      </c>
      <c r="I157" s="237" t="inlineStr">
        <is>
          <t>苏式汤面</t>
        </is>
      </c>
      <c r="J157" s="503" t="inlineStr">
        <is>
          <t>刘行行</t>
        </is>
      </c>
      <c r="K157" s="503" t="n"/>
      <c r="L157" s="224" t="n"/>
      <c r="M157" s="224" t="inlineStr">
        <is>
          <t>/</t>
        </is>
      </c>
      <c r="N157" s="651" t="n">
        <v>660000</v>
      </c>
      <c r="O157" s="276" t="n">
        <v>0.19</v>
      </c>
      <c r="P157" s="227" t="inlineStr">
        <is>
          <t>/</t>
        </is>
      </c>
      <c r="Q157" s="551" t="n"/>
      <c r="R157" s="227" t="inlineStr">
        <is>
          <t>/</t>
        </is>
      </c>
      <c r="S157" s="227" t="inlineStr">
        <is>
          <t>/</t>
        </is>
      </c>
      <c r="T157" s="227" t="inlineStr">
        <is>
          <t>/</t>
        </is>
      </c>
      <c r="U157" s="227" t="inlineStr">
        <is>
          <t>/</t>
        </is>
      </c>
      <c r="V157" s="551" t="n">
        <v>1500</v>
      </c>
      <c r="W157" s="551" t="n"/>
      <c r="X157" s="227" t="inlineStr">
        <is>
          <t>/</t>
        </is>
      </c>
      <c r="Y157" s="247" t="n"/>
      <c r="Z157" s="247" t="n"/>
      <c r="AA157" s="247" t="n">
        <v>0.501</v>
      </c>
      <c r="AB157" s="51" t="inlineStr">
        <is>
          <t>/</t>
        </is>
      </c>
      <c r="AC157" s="46" t="inlineStr">
        <is>
          <t>/</t>
        </is>
      </c>
      <c r="AD157" s="297" t="inlineStr">
        <is>
          <t>1、卫生费：每月固定1500元，寒暑假根据实际运营天数结算</t>
        </is>
      </c>
      <c r="AE157" s="232" t="inlineStr">
        <is>
          <t xml:space="preserve">1、签订期间：2026.2.25-2026.7.31；
2、指标按照全年换算；
</t>
        </is>
      </c>
    </row>
    <row r="158" hidden="1" ht="36" customFormat="1" customHeight="1" s="209">
      <c r="A158" s="219" t="n">
        <v>156</v>
      </c>
      <c r="B158" s="220" t="inlineStr">
        <is>
          <t>KQCY0156</t>
        </is>
      </c>
      <c r="C158" s="221" t="inlineStr">
        <is>
          <t>餐饮三分部</t>
        </is>
      </c>
      <c r="D158" s="221" t="inlineStr">
        <is>
          <t>CF699</t>
        </is>
      </c>
      <c r="E158" s="221" t="inlineStr">
        <is>
          <t>徐医大第一食堂</t>
        </is>
      </c>
      <c r="F158" s="219" t="inlineStr">
        <is>
          <t>分组作业</t>
        </is>
      </c>
      <c r="G158" s="222" t="inlineStr">
        <is>
          <t>陆琪</t>
        </is>
      </c>
      <c r="H158" s="503" t="inlineStr">
        <is>
          <t>/</t>
        </is>
      </c>
      <c r="I158" s="237" t="inlineStr">
        <is>
          <t>营养粥</t>
        </is>
      </c>
      <c r="J158" s="503" t="inlineStr">
        <is>
          <t>周冰</t>
        </is>
      </c>
      <c r="K158" s="503" t="n"/>
      <c r="L158" s="224" t="n"/>
      <c r="M158" s="224" t="inlineStr">
        <is>
          <t>/</t>
        </is>
      </c>
      <c r="N158" s="651" t="n">
        <v>660000</v>
      </c>
      <c r="O158" s="276" t="n">
        <v>0.19</v>
      </c>
      <c r="P158" s="227" t="inlineStr">
        <is>
          <t>/</t>
        </is>
      </c>
      <c r="Q158" s="551" t="n"/>
      <c r="R158" s="227" t="inlineStr">
        <is>
          <t>/</t>
        </is>
      </c>
      <c r="S158" s="227" t="inlineStr">
        <is>
          <t>/</t>
        </is>
      </c>
      <c r="T158" s="227" t="inlineStr">
        <is>
          <t>/</t>
        </is>
      </c>
      <c r="U158" s="227" t="inlineStr">
        <is>
          <t>/</t>
        </is>
      </c>
      <c r="V158" s="551" t="n">
        <v>1000</v>
      </c>
      <c r="W158" s="551" t="n"/>
      <c r="X158" s="227" t="inlineStr">
        <is>
          <t>/</t>
        </is>
      </c>
      <c r="Y158" s="247" t="n"/>
      <c r="Z158" s="247" t="n"/>
      <c r="AA158" s="247" t="n">
        <v>0.501</v>
      </c>
      <c r="AB158" s="51" t="inlineStr">
        <is>
          <t>/</t>
        </is>
      </c>
      <c r="AC158" s="46" t="inlineStr">
        <is>
          <t>/</t>
        </is>
      </c>
      <c r="AD158" s="297" t="inlineStr">
        <is>
          <t>1、卫生费：每月固定1000元，寒暑假根据实际运营天数结算</t>
        </is>
      </c>
      <c r="AE158" s="232" t="inlineStr">
        <is>
          <t xml:space="preserve">1、签订期间：2026.2.25-2026.7.31；
2、指标按照全年换算；
</t>
        </is>
      </c>
    </row>
    <row r="159" hidden="1" ht="36" customFormat="1" customHeight="1" s="209">
      <c r="A159" s="219" t="n">
        <v>157</v>
      </c>
      <c r="B159" s="220" t="inlineStr">
        <is>
          <t>KQCY0157</t>
        </is>
      </c>
      <c r="C159" s="221" t="inlineStr">
        <is>
          <t>餐饮三分部</t>
        </is>
      </c>
      <c r="D159" s="221" t="inlineStr">
        <is>
          <t>CF699</t>
        </is>
      </c>
      <c r="E159" s="221" t="inlineStr">
        <is>
          <t>徐医大第一食堂</t>
        </is>
      </c>
      <c r="F159" s="219" t="inlineStr">
        <is>
          <t>分组作业</t>
        </is>
      </c>
      <c r="G159" s="222" t="inlineStr">
        <is>
          <t>陆琪</t>
        </is>
      </c>
      <c r="H159" s="503" t="inlineStr">
        <is>
          <t>/</t>
        </is>
      </c>
      <c r="I159" s="237" t="inlineStr">
        <is>
          <t>辣椒炒肉</t>
        </is>
      </c>
      <c r="J159" s="503" t="inlineStr">
        <is>
          <t>王桐</t>
        </is>
      </c>
      <c r="K159" s="503" t="n"/>
      <c r="L159" s="224" t="n"/>
      <c r="M159" s="224" t="inlineStr">
        <is>
          <t>/</t>
        </is>
      </c>
      <c r="N159" s="651" t="n">
        <v>588000</v>
      </c>
      <c r="O159" s="276" t="n">
        <v>0.16</v>
      </c>
      <c r="P159" s="227" t="inlineStr">
        <is>
          <t>/</t>
        </is>
      </c>
      <c r="Q159" s="551" t="n"/>
      <c r="R159" s="227" t="inlineStr">
        <is>
          <t>/</t>
        </is>
      </c>
      <c r="S159" s="227" t="inlineStr">
        <is>
          <t>/</t>
        </is>
      </c>
      <c r="T159" s="227" t="inlineStr">
        <is>
          <t>/</t>
        </is>
      </c>
      <c r="U159" s="227" t="inlineStr">
        <is>
          <t>/</t>
        </is>
      </c>
      <c r="V159" s="551" t="n">
        <v>1500</v>
      </c>
      <c r="W159" s="551" t="n"/>
      <c r="X159" s="227" t="inlineStr">
        <is>
          <t>/</t>
        </is>
      </c>
      <c r="Y159" s="247" t="n"/>
      <c r="Z159" s="247" t="n"/>
      <c r="AA159" s="247" t="n">
        <v>0.501</v>
      </c>
      <c r="AB159" s="51" t="inlineStr">
        <is>
          <t>/</t>
        </is>
      </c>
      <c r="AC159" s="46" t="inlineStr">
        <is>
          <t>/</t>
        </is>
      </c>
      <c r="AD159" s="297" t="inlineStr">
        <is>
          <t>1、卫生费：每月固定1500元，寒暑假根据实际运营天数结算</t>
        </is>
      </c>
      <c r="AE159" s="232" t="inlineStr">
        <is>
          <t xml:space="preserve">1、签订期间：2026.2.25-2026.7.31；
2、指标按照全年换算；
</t>
        </is>
      </c>
    </row>
    <row r="160" hidden="1" ht="36" customFormat="1" customHeight="1" s="209">
      <c r="A160" s="219" t="n">
        <v>158</v>
      </c>
      <c r="B160" s="220" t="inlineStr">
        <is>
          <t>KQCY0158</t>
        </is>
      </c>
      <c r="C160" s="221" t="inlineStr">
        <is>
          <t>餐饮三分部</t>
        </is>
      </c>
      <c r="D160" s="221" t="inlineStr">
        <is>
          <t>CF699</t>
        </is>
      </c>
      <c r="E160" s="221" t="inlineStr">
        <is>
          <t>徐医大第一食堂</t>
        </is>
      </c>
      <c r="F160" s="219" t="inlineStr">
        <is>
          <t>分组作业</t>
        </is>
      </c>
      <c r="G160" s="222" t="inlineStr">
        <is>
          <t>陆琪</t>
        </is>
      </c>
      <c r="H160" s="503" t="inlineStr">
        <is>
          <t>/</t>
        </is>
      </c>
      <c r="I160" s="237" t="inlineStr">
        <is>
          <t>板煮演义</t>
        </is>
      </c>
      <c r="J160" s="503" t="inlineStr">
        <is>
          <t>郑亚兰</t>
        </is>
      </c>
      <c r="K160" s="503" t="n"/>
      <c r="L160" s="224" t="n"/>
      <c r="M160" s="224" t="inlineStr">
        <is>
          <t>/</t>
        </is>
      </c>
      <c r="N160" s="651" t="n">
        <v>564000</v>
      </c>
      <c r="O160" s="276" t="n">
        <v>0.19</v>
      </c>
      <c r="P160" s="227" t="inlineStr">
        <is>
          <t>/</t>
        </is>
      </c>
      <c r="Q160" s="551" t="n"/>
      <c r="R160" s="227" t="inlineStr">
        <is>
          <t>/</t>
        </is>
      </c>
      <c r="S160" s="227" t="inlineStr">
        <is>
          <t>/</t>
        </is>
      </c>
      <c r="T160" s="227" t="inlineStr">
        <is>
          <t>/</t>
        </is>
      </c>
      <c r="U160" s="227" t="inlineStr">
        <is>
          <t>/</t>
        </is>
      </c>
      <c r="V160" s="551" t="n">
        <v>1500</v>
      </c>
      <c r="W160" s="551" t="n"/>
      <c r="X160" s="227" t="inlineStr">
        <is>
          <t>/</t>
        </is>
      </c>
      <c r="Y160" s="247" t="n"/>
      <c r="Z160" s="247" t="n"/>
      <c r="AA160" s="247" t="n">
        <v>0.501</v>
      </c>
      <c r="AB160" s="51" t="inlineStr">
        <is>
          <t>/</t>
        </is>
      </c>
      <c r="AC160" s="46" t="inlineStr">
        <is>
          <t>/</t>
        </is>
      </c>
      <c r="AD160" s="297" t="inlineStr">
        <is>
          <t>1、卫生费：每月固定1500元，寒暑假根据实际运营天数结算</t>
        </is>
      </c>
      <c r="AE160" s="232" t="inlineStr">
        <is>
          <t xml:space="preserve">1、签订期间：2026.2.25-2026.7.31；
2、指标按照全年换算；
</t>
        </is>
      </c>
    </row>
    <row r="161" hidden="1" ht="36" customFormat="1" customHeight="1" s="209">
      <c r="A161" s="219" t="n">
        <v>159</v>
      </c>
      <c r="B161" s="220" t="inlineStr">
        <is>
          <t>KQCY0159</t>
        </is>
      </c>
      <c r="C161" s="221" t="inlineStr">
        <is>
          <t>餐饮三分部</t>
        </is>
      </c>
      <c r="D161" s="221" t="inlineStr">
        <is>
          <t>CF699</t>
        </is>
      </c>
      <c r="E161" s="221" t="inlineStr">
        <is>
          <t>徐医大第一食堂</t>
        </is>
      </c>
      <c r="F161" s="219" t="inlineStr">
        <is>
          <t>分组作业</t>
        </is>
      </c>
      <c r="G161" s="222" t="inlineStr">
        <is>
          <t>陆琪</t>
        </is>
      </c>
      <c r="H161" s="503" t="inlineStr">
        <is>
          <t>/</t>
        </is>
      </c>
      <c r="I161" s="237" t="inlineStr">
        <is>
          <t>老翟板面</t>
        </is>
      </c>
      <c r="J161" s="503" t="inlineStr">
        <is>
          <t>经蕊蕊</t>
        </is>
      </c>
      <c r="K161" s="503" t="n"/>
      <c r="L161" s="224" t="n"/>
      <c r="M161" s="224" t="inlineStr">
        <is>
          <t>/</t>
        </is>
      </c>
      <c r="N161" s="651" t="n">
        <v>672000</v>
      </c>
      <c r="O161" s="276" t="n">
        <v>0.16</v>
      </c>
      <c r="P161" s="227" t="inlineStr">
        <is>
          <t>/</t>
        </is>
      </c>
      <c r="Q161" s="551" t="n"/>
      <c r="R161" s="227" t="inlineStr">
        <is>
          <t>/</t>
        </is>
      </c>
      <c r="S161" s="227" t="inlineStr">
        <is>
          <t>/</t>
        </is>
      </c>
      <c r="T161" s="227" t="inlineStr">
        <is>
          <t>/</t>
        </is>
      </c>
      <c r="U161" s="227" t="inlineStr">
        <is>
          <t>/</t>
        </is>
      </c>
      <c r="V161" s="551" t="n">
        <v>1000</v>
      </c>
      <c r="W161" s="551" t="n"/>
      <c r="X161" s="227" t="inlineStr">
        <is>
          <t>/</t>
        </is>
      </c>
      <c r="Y161" s="247" t="n"/>
      <c r="Z161" s="247" t="n"/>
      <c r="AA161" s="247" t="n">
        <v>0.501</v>
      </c>
      <c r="AB161" s="51" t="inlineStr">
        <is>
          <t>/</t>
        </is>
      </c>
      <c r="AC161" s="46" t="inlineStr">
        <is>
          <t>/</t>
        </is>
      </c>
      <c r="AD161" s="297" t="inlineStr">
        <is>
          <t>1、卫生费：每月固定1000元，寒暑假根据实际运
营天数结算</t>
        </is>
      </c>
      <c r="AE161" s="232" t="inlineStr">
        <is>
          <t xml:space="preserve">1、签订期间：2026.2.25-2026.7.31；
2、指标按照全年换算；
</t>
        </is>
      </c>
    </row>
    <row r="162" hidden="1" ht="36" customFormat="1" customHeight="1" s="209">
      <c r="A162" s="219" t="n">
        <v>160</v>
      </c>
      <c r="B162" s="220" t="inlineStr">
        <is>
          <t>KQCY0160</t>
        </is>
      </c>
      <c r="C162" s="221" t="inlineStr">
        <is>
          <t>餐饮三分部</t>
        </is>
      </c>
      <c r="D162" s="221" t="inlineStr">
        <is>
          <t>CF699</t>
        </is>
      </c>
      <c r="E162" s="221" t="inlineStr">
        <is>
          <t>徐医大第一食堂</t>
        </is>
      </c>
      <c r="F162" s="219" t="inlineStr">
        <is>
          <t>分组作业</t>
        </is>
      </c>
      <c r="G162" s="222" t="inlineStr">
        <is>
          <t>陆琪</t>
        </is>
      </c>
      <c r="H162" s="503" t="inlineStr">
        <is>
          <t>/</t>
        </is>
      </c>
      <c r="I162" s="237" t="inlineStr">
        <is>
          <t>杂粮煎饼</t>
        </is>
      </c>
      <c r="J162" s="503" t="inlineStr">
        <is>
          <t>陈希广</t>
        </is>
      </c>
      <c r="K162" s="503" t="n"/>
      <c r="L162" s="224" t="n"/>
      <c r="M162" s="224" t="inlineStr">
        <is>
          <t>/</t>
        </is>
      </c>
      <c r="N162" s="651" t="n">
        <v>588000</v>
      </c>
      <c r="O162" s="276" t="n">
        <v>0.19</v>
      </c>
      <c r="P162" s="227" t="inlineStr">
        <is>
          <t>/</t>
        </is>
      </c>
      <c r="Q162" s="551" t="n"/>
      <c r="R162" s="227" t="inlineStr">
        <is>
          <t>/</t>
        </is>
      </c>
      <c r="S162" s="227" t="inlineStr">
        <is>
          <t>/</t>
        </is>
      </c>
      <c r="T162" s="227" t="inlineStr">
        <is>
          <t>/</t>
        </is>
      </c>
      <c r="U162" s="227" t="inlineStr">
        <is>
          <t>/</t>
        </is>
      </c>
      <c r="V162" s="551" t="n">
        <v>600</v>
      </c>
      <c r="W162" s="551" t="n"/>
      <c r="X162" s="227" t="inlineStr">
        <is>
          <t>/</t>
        </is>
      </c>
      <c r="Y162" s="247" t="n"/>
      <c r="Z162" s="247" t="n"/>
      <c r="AA162" s="247" t="n">
        <v>0.501</v>
      </c>
      <c r="AB162" s="51" t="inlineStr">
        <is>
          <t>/</t>
        </is>
      </c>
      <c r="AC162" s="46" t="inlineStr">
        <is>
          <t>/</t>
        </is>
      </c>
      <c r="AD162" s="297" t="inlineStr">
        <is>
          <t>1、卫生费：每月固定600元，
寒暑假根据实际运
营天数结算</t>
        </is>
      </c>
      <c r="AE162" s="232" t="inlineStr">
        <is>
          <t xml:space="preserve">1、签订期间：2026.2.25-2026.7.31；
2、指标按照全年换算；
</t>
        </is>
      </c>
    </row>
    <row r="163" hidden="1" ht="36" customFormat="1" customHeight="1" s="209">
      <c r="A163" s="219" t="n">
        <v>161</v>
      </c>
      <c r="B163" s="220" t="inlineStr">
        <is>
          <t>KQCY0161</t>
        </is>
      </c>
      <c r="C163" s="221" t="inlineStr">
        <is>
          <t>餐饮三分部</t>
        </is>
      </c>
      <c r="D163" s="221" t="inlineStr">
        <is>
          <t>CF699</t>
        </is>
      </c>
      <c r="E163" s="221" t="inlineStr">
        <is>
          <t>徐医大第一食堂</t>
        </is>
      </c>
      <c r="F163" s="219" t="inlineStr">
        <is>
          <t>分组作业</t>
        </is>
      </c>
      <c r="G163" s="222" t="inlineStr">
        <is>
          <t>陆琪</t>
        </is>
      </c>
      <c r="H163" s="503" t="inlineStr">
        <is>
          <t>/</t>
        </is>
      </c>
      <c r="I163" s="237" t="inlineStr">
        <is>
          <t>早餐</t>
        </is>
      </c>
      <c r="J163" s="503" t="inlineStr">
        <is>
          <t>张召兵</t>
        </is>
      </c>
      <c r="K163" s="503" t="n"/>
      <c r="L163" s="224" t="n"/>
      <c r="M163" s="224" t="inlineStr">
        <is>
          <t>/</t>
        </is>
      </c>
      <c r="N163" s="651" t="n">
        <v>1056000</v>
      </c>
      <c r="O163" s="276" t="n">
        <v>0.16</v>
      </c>
      <c r="P163" s="227" t="inlineStr">
        <is>
          <t>/</t>
        </is>
      </c>
      <c r="Q163" s="551" t="n"/>
      <c r="R163" s="227" t="inlineStr">
        <is>
          <t>/</t>
        </is>
      </c>
      <c r="S163" s="227" t="inlineStr">
        <is>
          <t>/</t>
        </is>
      </c>
      <c r="T163" s="227" t="inlineStr">
        <is>
          <t>/</t>
        </is>
      </c>
      <c r="U163" s="227" t="inlineStr">
        <is>
          <t>/</t>
        </is>
      </c>
      <c r="V163" s="551" t="n">
        <v>1000</v>
      </c>
      <c r="W163" s="551" t="n"/>
      <c r="X163" s="227" t="inlineStr">
        <is>
          <t>/</t>
        </is>
      </c>
      <c r="Y163" s="247" t="n"/>
      <c r="Z163" s="247" t="n"/>
      <c r="AA163" s="247" t="n">
        <v>0.501</v>
      </c>
      <c r="AB163" s="51" t="inlineStr">
        <is>
          <t>/</t>
        </is>
      </c>
      <c r="AC163" s="46" t="inlineStr">
        <is>
          <t>/</t>
        </is>
      </c>
      <c r="AD163" s="297" t="inlineStr">
        <is>
          <t>1、卫生费：每月固定1000元，寒暑假根据实际运
营天数结算</t>
        </is>
      </c>
      <c r="AE163" s="232" t="inlineStr">
        <is>
          <t xml:space="preserve">1、签订期间：2026.2.25-2026.7.31；
2、指标按照全年换算；
</t>
        </is>
      </c>
    </row>
    <row r="164" hidden="1" ht="36" customFormat="1" customHeight="1" s="209">
      <c r="A164" s="219" t="n">
        <v>162</v>
      </c>
      <c r="B164" s="220" t="inlineStr">
        <is>
          <t>KQCY0162</t>
        </is>
      </c>
      <c r="C164" s="221" t="inlineStr">
        <is>
          <t>餐饮三分部</t>
        </is>
      </c>
      <c r="D164" s="221" t="inlineStr">
        <is>
          <t>CF699</t>
        </is>
      </c>
      <c r="E164" s="221" t="inlineStr">
        <is>
          <t>徐医大第一食堂</t>
        </is>
      </c>
      <c r="F164" s="219" t="inlineStr">
        <is>
          <t>分组作业</t>
        </is>
      </c>
      <c r="G164" s="222" t="inlineStr">
        <is>
          <t>陆琪</t>
        </is>
      </c>
      <c r="H164" s="503" t="inlineStr">
        <is>
          <t>/</t>
        </is>
      </c>
      <c r="I164" s="237" t="inlineStr">
        <is>
          <t>快餐</t>
        </is>
      </c>
      <c r="J164" s="503" t="inlineStr">
        <is>
          <t>任现军</t>
        </is>
      </c>
      <c r="K164" s="503" t="n"/>
      <c r="L164" s="224" t="n"/>
      <c r="M164" s="224" t="inlineStr">
        <is>
          <t>/</t>
        </is>
      </c>
      <c r="N164" s="651" t="n">
        <v>1548000</v>
      </c>
      <c r="O164" s="276" t="n">
        <v>0.16</v>
      </c>
      <c r="P164" s="227" t="inlineStr">
        <is>
          <t>/</t>
        </is>
      </c>
      <c r="Q164" s="551" t="n"/>
      <c r="R164" s="227" t="inlineStr">
        <is>
          <t>/</t>
        </is>
      </c>
      <c r="S164" s="227" t="inlineStr">
        <is>
          <t>/</t>
        </is>
      </c>
      <c r="T164" s="227" t="inlineStr">
        <is>
          <t>/</t>
        </is>
      </c>
      <c r="U164" s="227" t="inlineStr">
        <is>
          <t>/</t>
        </is>
      </c>
      <c r="V164" s="551" t="n">
        <v>2500</v>
      </c>
      <c r="W164" s="551" t="n"/>
      <c r="X164" s="227" t="inlineStr">
        <is>
          <t>/</t>
        </is>
      </c>
      <c r="Y164" s="247" t="n"/>
      <c r="Z164" s="247" t="n"/>
      <c r="AA164" s="247" t="n">
        <v>0.501</v>
      </c>
      <c r="AB164" s="51" t="inlineStr">
        <is>
          <t>/</t>
        </is>
      </c>
      <c r="AC164" s="46" t="inlineStr">
        <is>
          <t>/</t>
        </is>
      </c>
      <c r="AD164" s="297" t="inlineStr">
        <is>
          <t>1、卫生费：每月固定2500元，寒暑假根据实际运
营天数结算</t>
        </is>
      </c>
      <c r="AE164" s="232" t="inlineStr">
        <is>
          <t xml:space="preserve">1、签订期间：2026.2.25-2026.7.31；
2、指标按照全年换算；
</t>
        </is>
      </c>
    </row>
    <row r="165" hidden="1" ht="36" customFormat="1" customHeight="1" s="209">
      <c r="A165" s="219" t="n">
        <v>163</v>
      </c>
      <c r="B165" s="220" t="inlineStr">
        <is>
          <t>KQCY0163</t>
        </is>
      </c>
      <c r="C165" s="221" t="inlineStr">
        <is>
          <t>餐饮三分部</t>
        </is>
      </c>
      <c r="D165" s="221" t="inlineStr">
        <is>
          <t>CF699</t>
        </is>
      </c>
      <c r="E165" s="221" t="inlineStr">
        <is>
          <t>徐医大第一食堂</t>
        </is>
      </c>
      <c r="F165" s="219" t="inlineStr">
        <is>
          <t>分组作业</t>
        </is>
      </c>
      <c r="G165" s="222" t="inlineStr">
        <is>
          <t>陆琪</t>
        </is>
      </c>
      <c r="H165" s="503" t="inlineStr">
        <is>
          <t>/</t>
        </is>
      </c>
      <c r="I165" s="237" t="inlineStr">
        <is>
          <t>精品套餐</t>
        </is>
      </c>
      <c r="J165" s="503" t="inlineStr">
        <is>
          <t>任现军</t>
        </is>
      </c>
      <c r="K165" s="503" t="n"/>
      <c r="L165" s="224" t="n"/>
      <c r="M165" s="224" t="inlineStr">
        <is>
          <t>/</t>
        </is>
      </c>
      <c r="N165" s="651" t="n">
        <v>564000</v>
      </c>
      <c r="O165" s="276" t="n">
        <v>0.15</v>
      </c>
      <c r="P165" s="227" t="inlineStr">
        <is>
          <t>/</t>
        </is>
      </c>
      <c r="Q165" s="551" t="n"/>
      <c r="R165" s="227" t="inlineStr">
        <is>
          <t>/</t>
        </is>
      </c>
      <c r="S165" s="227" t="inlineStr">
        <is>
          <t>/</t>
        </is>
      </c>
      <c r="T165" s="227" t="inlineStr">
        <is>
          <t>/</t>
        </is>
      </c>
      <c r="U165" s="227" t="inlineStr">
        <is>
          <t>/</t>
        </is>
      </c>
      <c r="V165" s="551" t="n">
        <v>1500</v>
      </c>
      <c r="W165" s="551" t="n"/>
      <c r="X165" s="227" t="inlineStr">
        <is>
          <t>/</t>
        </is>
      </c>
      <c r="Y165" s="247" t="n"/>
      <c r="Z165" s="247" t="n"/>
      <c r="AA165" s="247" t="n">
        <v>0.501</v>
      </c>
      <c r="AB165" s="51" t="inlineStr">
        <is>
          <t>/</t>
        </is>
      </c>
      <c r="AC165" s="46" t="inlineStr">
        <is>
          <t>/</t>
        </is>
      </c>
      <c r="AD165" s="297" t="inlineStr">
        <is>
          <t>1、卫生费：每月固定1500元，寒暑假根据实际运
营天数结算</t>
        </is>
      </c>
      <c r="AE165" s="232" t="inlineStr">
        <is>
          <t xml:space="preserve">1、签订期间：2026.2.25-2026.7.31；
2、指标按照全年换算；
</t>
        </is>
      </c>
    </row>
    <row r="166" hidden="1" ht="36" customFormat="1" customHeight="1" s="209">
      <c r="A166" s="219" t="n">
        <v>164</v>
      </c>
      <c r="B166" s="220" t="inlineStr">
        <is>
          <t>KQCY0164</t>
        </is>
      </c>
      <c r="C166" s="221" t="inlineStr">
        <is>
          <t>餐饮三分部</t>
        </is>
      </c>
      <c r="D166" s="221" t="inlineStr">
        <is>
          <t>CF699</t>
        </is>
      </c>
      <c r="E166" s="221" t="inlineStr">
        <is>
          <t>徐医大第一食堂</t>
        </is>
      </c>
      <c r="F166" s="219" t="inlineStr">
        <is>
          <t>分组作业</t>
        </is>
      </c>
      <c r="G166" s="222" t="inlineStr">
        <is>
          <t>陆琪</t>
        </is>
      </c>
      <c r="H166" s="503" t="inlineStr">
        <is>
          <t>/</t>
        </is>
      </c>
      <c r="I166" s="237" t="inlineStr">
        <is>
          <t>家家乐烘焙</t>
        </is>
      </c>
      <c r="J166" s="503" t="inlineStr">
        <is>
          <t>朱江平</t>
        </is>
      </c>
      <c r="K166" s="503" t="n"/>
      <c r="L166" s="224" t="n"/>
      <c r="M166" s="224" t="inlineStr">
        <is>
          <t>/</t>
        </is>
      </c>
      <c r="N166" s="651" t="n">
        <v>672000</v>
      </c>
      <c r="O166" s="276" t="n">
        <v>0.19</v>
      </c>
      <c r="P166" s="227" t="inlineStr">
        <is>
          <t>/</t>
        </is>
      </c>
      <c r="Q166" s="551" t="n"/>
      <c r="R166" s="227" t="inlineStr">
        <is>
          <t>/</t>
        </is>
      </c>
      <c r="S166" s="227" t="inlineStr">
        <is>
          <t>/</t>
        </is>
      </c>
      <c r="T166" s="227" t="inlineStr">
        <is>
          <t>/</t>
        </is>
      </c>
      <c r="U166" s="227" t="inlineStr">
        <is>
          <t>/</t>
        </is>
      </c>
      <c r="V166" s="551" t="n">
        <v>600</v>
      </c>
      <c r="W166" s="551" t="n"/>
      <c r="X166" s="227" t="inlineStr">
        <is>
          <t>/</t>
        </is>
      </c>
      <c r="Y166" s="247" t="n"/>
      <c r="Z166" s="247" t="n"/>
      <c r="AA166" s="247" t="n">
        <v>0.501</v>
      </c>
      <c r="AB166" s="51" t="inlineStr">
        <is>
          <t>/</t>
        </is>
      </c>
      <c r="AC166" s="46" t="inlineStr">
        <is>
          <t>/</t>
        </is>
      </c>
      <c r="AD166" s="297" t="inlineStr">
        <is>
          <t>1、卫生费：每月固定600元，寒暑假根据实际运营天数结算</t>
        </is>
      </c>
      <c r="AE166" s="232" t="inlineStr">
        <is>
          <t xml:space="preserve">1、签订期间：2026.2.25-2026.7.31；
2、指标按照全年换算；
</t>
        </is>
      </c>
    </row>
    <row r="167" hidden="1" ht="36" customFormat="1" customHeight="1" s="209">
      <c r="A167" s="219" t="n">
        <v>165</v>
      </c>
      <c r="B167" s="220" t="inlineStr">
        <is>
          <t>KQCY0165</t>
        </is>
      </c>
      <c r="C167" s="221" t="inlineStr">
        <is>
          <t>餐饮三分部</t>
        </is>
      </c>
      <c r="D167" s="221" t="inlineStr">
        <is>
          <t>CF699</t>
        </is>
      </c>
      <c r="E167" s="221" t="inlineStr">
        <is>
          <t>徐医大第一食堂</t>
        </is>
      </c>
      <c r="F167" s="219" t="inlineStr">
        <is>
          <t>分组作业</t>
        </is>
      </c>
      <c r="G167" s="222" t="inlineStr">
        <is>
          <t>陆琪</t>
        </is>
      </c>
      <c r="H167" s="503" t="inlineStr">
        <is>
          <t>/</t>
        </is>
      </c>
      <c r="I167" s="237" t="inlineStr">
        <is>
          <t>马老头江南小吃（炒饭）</t>
        </is>
      </c>
      <c r="J167" s="503" t="inlineStr">
        <is>
          <t>曾莉</t>
        </is>
      </c>
      <c r="K167" s="503" t="n"/>
      <c r="L167" s="224" t="n"/>
      <c r="M167" s="224" t="inlineStr">
        <is>
          <t>/</t>
        </is>
      </c>
      <c r="N167" s="651" t="n">
        <v>660000</v>
      </c>
      <c r="O167" s="276" t="n">
        <v>0.19</v>
      </c>
      <c r="P167" s="227" t="inlineStr">
        <is>
          <t>/</t>
        </is>
      </c>
      <c r="Q167" s="551" t="n"/>
      <c r="R167" s="227" t="inlineStr">
        <is>
          <t>/</t>
        </is>
      </c>
      <c r="S167" s="227" t="inlineStr">
        <is>
          <t>/</t>
        </is>
      </c>
      <c r="T167" s="227" t="inlineStr">
        <is>
          <t>/</t>
        </is>
      </c>
      <c r="U167" s="227" t="inlineStr">
        <is>
          <t>/</t>
        </is>
      </c>
      <c r="V167" s="551" t="n">
        <v>800</v>
      </c>
      <c r="W167" s="551" t="n"/>
      <c r="X167" s="227" t="inlineStr">
        <is>
          <t>/</t>
        </is>
      </c>
      <c r="Y167" s="247" t="n"/>
      <c r="Z167" s="247" t="n"/>
      <c r="AA167" s="247" t="n">
        <v>0.501</v>
      </c>
      <c r="AB167" s="51" t="inlineStr">
        <is>
          <t>/</t>
        </is>
      </c>
      <c r="AC167" s="46" t="inlineStr">
        <is>
          <t>/</t>
        </is>
      </c>
      <c r="AD167" s="297" t="inlineStr">
        <is>
          <t>1、卫生费：每月固定800元，寒暑假根据实际运营天数结算</t>
        </is>
      </c>
      <c r="AE167" s="232" t="inlineStr">
        <is>
          <t xml:space="preserve">1、签订期间：2026.2.25-2026.7.31；
2、指标按照全年换算；
</t>
        </is>
      </c>
    </row>
    <row r="168" hidden="1" ht="36" customFormat="1" customHeight="1" s="209">
      <c r="A168" s="219" t="n">
        <v>166</v>
      </c>
      <c r="B168" s="220" t="inlineStr">
        <is>
          <t>KQCY0166</t>
        </is>
      </c>
      <c r="C168" s="221" t="inlineStr">
        <is>
          <t>餐饮三分部</t>
        </is>
      </c>
      <c r="D168" s="221" t="inlineStr">
        <is>
          <t>CF699</t>
        </is>
      </c>
      <c r="E168" s="221" t="inlineStr">
        <is>
          <t>徐医大第一食堂</t>
        </is>
      </c>
      <c r="F168" s="219" t="inlineStr">
        <is>
          <t>分组作业</t>
        </is>
      </c>
      <c r="G168" s="222" t="inlineStr">
        <is>
          <t>陆琪</t>
        </is>
      </c>
      <c r="H168" s="503" t="inlineStr">
        <is>
          <t>/</t>
        </is>
      </c>
      <c r="I168" s="237" t="inlineStr">
        <is>
          <t>鸡架拌面</t>
        </is>
      </c>
      <c r="J168" s="503" t="inlineStr">
        <is>
          <t>冀振杰</t>
        </is>
      </c>
      <c r="K168" s="503" t="n"/>
      <c r="L168" s="224" t="n"/>
      <c r="M168" s="224" t="inlineStr">
        <is>
          <t>/</t>
        </is>
      </c>
      <c r="N168" s="651" t="n">
        <v>660000</v>
      </c>
      <c r="O168" s="276" t="n">
        <v>0.17</v>
      </c>
      <c r="P168" s="227" t="inlineStr">
        <is>
          <t>/</t>
        </is>
      </c>
      <c r="Q168" s="551" t="n"/>
      <c r="R168" s="227" t="inlineStr">
        <is>
          <t>/</t>
        </is>
      </c>
      <c r="S168" s="227" t="inlineStr">
        <is>
          <t>/</t>
        </is>
      </c>
      <c r="T168" s="227" t="inlineStr">
        <is>
          <t>/</t>
        </is>
      </c>
      <c r="U168" s="227" t="inlineStr">
        <is>
          <t>/</t>
        </is>
      </c>
      <c r="V168" s="551" t="n">
        <v>1500</v>
      </c>
      <c r="W168" s="551" t="n"/>
      <c r="X168" s="227" t="inlineStr">
        <is>
          <t>/</t>
        </is>
      </c>
      <c r="Y168" s="247" t="n"/>
      <c r="Z168" s="247" t="n"/>
      <c r="AA168" s="247" t="n">
        <v>0.501</v>
      </c>
      <c r="AB168" s="51" t="inlineStr">
        <is>
          <t>/</t>
        </is>
      </c>
      <c r="AC168" s="46" t="inlineStr">
        <is>
          <t>/</t>
        </is>
      </c>
      <c r="AD168" s="297" t="inlineStr">
        <is>
          <t>1、卫生费：每月固定1500元，寒暑假根据实际运营天数结算</t>
        </is>
      </c>
      <c r="AE168" s="232" t="inlineStr">
        <is>
          <t xml:space="preserve">1、签订期间：2026.2.25-2026.7.31；
2、指标按照全年换算；
</t>
        </is>
      </c>
    </row>
    <row r="169" hidden="1" ht="36" customFormat="1" customHeight="1" s="209">
      <c r="A169" s="219" t="n">
        <v>167</v>
      </c>
      <c r="B169" s="220" t="inlineStr">
        <is>
          <t>KQCY0167</t>
        </is>
      </c>
      <c r="C169" s="221" t="inlineStr">
        <is>
          <t>餐饮三分部</t>
        </is>
      </c>
      <c r="D169" s="221" t="inlineStr">
        <is>
          <t>CF699</t>
        </is>
      </c>
      <c r="E169" s="221" t="inlineStr">
        <is>
          <t>徐医大第一食堂</t>
        </is>
      </c>
      <c r="F169" s="219" t="inlineStr">
        <is>
          <t>分组作业</t>
        </is>
      </c>
      <c r="G169" s="222" t="inlineStr">
        <is>
          <t>陆琪</t>
        </is>
      </c>
      <c r="H169" s="503" t="inlineStr">
        <is>
          <t>/</t>
        </is>
      </c>
      <c r="I169" s="237" t="inlineStr">
        <is>
          <t>自选称菜</t>
        </is>
      </c>
      <c r="J169" s="503" t="inlineStr">
        <is>
          <t>韦志得</t>
        </is>
      </c>
      <c r="K169" s="503" t="n"/>
      <c r="L169" s="224" t="n"/>
      <c r="M169" s="224" t="inlineStr">
        <is>
          <t>/</t>
        </is>
      </c>
      <c r="N169" s="651" t="n">
        <v>2004000</v>
      </c>
      <c r="O169" s="276" t="n">
        <v>0.15</v>
      </c>
      <c r="P169" s="227" t="inlineStr">
        <is>
          <t>/</t>
        </is>
      </c>
      <c r="Q169" s="551" t="n"/>
      <c r="R169" s="227" t="inlineStr">
        <is>
          <t>/</t>
        </is>
      </c>
      <c r="S169" s="227" t="inlineStr">
        <is>
          <t>/</t>
        </is>
      </c>
      <c r="T169" s="227" t="inlineStr">
        <is>
          <t>/</t>
        </is>
      </c>
      <c r="U169" s="227" t="inlineStr">
        <is>
          <t>/</t>
        </is>
      </c>
      <c r="V169" s="551" t="n">
        <v>2000</v>
      </c>
      <c r="W169" s="551" t="n"/>
      <c r="X169" s="227" t="inlineStr">
        <is>
          <t>/</t>
        </is>
      </c>
      <c r="Y169" s="247" t="n"/>
      <c r="Z169" s="247" t="n"/>
      <c r="AA169" s="247" t="n">
        <v>0.501</v>
      </c>
      <c r="AB169" s="51" t="inlineStr">
        <is>
          <t>/</t>
        </is>
      </c>
      <c r="AC169" s="46" t="inlineStr">
        <is>
          <t>/</t>
        </is>
      </c>
      <c r="AD169" s="297" t="inlineStr">
        <is>
          <t>1、卫生费：每月固定2000元，寒暑假根据实际运营天数结算</t>
        </is>
      </c>
      <c r="AE169" s="232" t="inlineStr">
        <is>
          <t xml:space="preserve">1、签订期间：2026.2.25-2026.7.31；
2、指标按照全年换算；
</t>
        </is>
      </c>
    </row>
    <row r="170" hidden="1" ht="36" customFormat="1" customHeight="1" s="209">
      <c r="A170" s="219" t="n">
        <v>168</v>
      </c>
      <c r="B170" s="220" t="inlineStr">
        <is>
          <t>KQCY0168</t>
        </is>
      </c>
      <c r="C170" s="221" t="inlineStr">
        <is>
          <t>餐饮三分部</t>
        </is>
      </c>
      <c r="D170" s="221" t="inlineStr">
        <is>
          <t>CF699</t>
        </is>
      </c>
      <c r="E170" s="221" t="inlineStr">
        <is>
          <t>徐医大第一食堂</t>
        </is>
      </c>
      <c r="F170" s="219" t="inlineStr">
        <is>
          <t>分组作业</t>
        </is>
      </c>
      <c r="G170" s="222" t="inlineStr">
        <is>
          <t>陆琪</t>
        </is>
      </c>
      <c r="H170" s="503" t="inlineStr">
        <is>
          <t>/</t>
        </is>
      </c>
      <c r="I170" s="237" t="inlineStr">
        <is>
          <t>肥牛火锅粉</t>
        </is>
      </c>
      <c r="J170" s="503" t="inlineStr">
        <is>
          <t>李跃跃</t>
        </is>
      </c>
      <c r="K170" s="503" t="n"/>
      <c r="L170" s="224" t="n"/>
      <c r="M170" s="224" t="inlineStr">
        <is>
          <t>/</t>
        </is>
      </c>
      <c r="N170" s="651" t="n">
        <v>348000</v>
      </c>
      <c r="O170" s="276" t="n">
        <v>0.19</v>
      </c>
      <c r="P170" s="227" t="inlineStr">
        <is>
          <t>/</t>
        </is>
      </c>
      <c r="Q170" s="551" t="n"/>
      <c r="R170" s="227" t="inlineStr">
        <is>
          <t>/</t>
        </is>
      </c>
      <c r="S170" s="227" t="inlineStr">
        <is>
          <t>/</t>
        </is>
      </c>
      <c r="T170" s="227" t="inlineStr">
        <is>
          <t>/</t>
        </is>
      </c>
      <c r="U170" s="227" t="inlineStr">
        <is>
          <t>/</t>
        </is>
      </c>
      <c r="V170" s="551" t="n">
        <v>1500</v>
      </c>
      <c r="W170" s="551" t="n"/>
      <c r="X170" s="227" t="inlineStr">
        <is>
          <t>/</t>
        </is>
      </c>
      <c r="Y170" s="247" t="n"/>
      <c r="Z170" s="247" t="n"/>
      <c r="AA170" s="247" t="n">
        <v>0.501</v>
      </c>
      <c r="AB170" s="51" t="inlineStr">
        <is>
          <t>/</t>
        </is>
      </c>
      <c r="AC170" s="46" t="inlineStr">
        <is>
          <t>/</t>
        </is>
      </c>
      <c r="AD170" s="297" t="inlineStr">
        <is>
          <t>1、卫生费：每月固定1500元，寒暑假根据实际运营天数结算</t>
        </is>
      </c>
      <c r="AE170" s="232" t="inlineStr">
        <is>
          <t xml:space="preserve">1、签订期间：2026.2.25-2026.7.31；
2、指标按照全年换算；
</t>
        </is>
      </c>
    </row>
    <row r="171" hidden="1" ht="36" customFormat="1" customHeight="1" s="209">
      <c r="A171" s="219" t="n">
        <v>169</v>
      </c>
      <c r="B171" s="220" t="inlineStr">
        <is>
          <t>KQCY0169</t>
        </is>
      </c>
      <c r="C171" s="221" t="inlineStr">
        <is>
          <t>餐饮三分部</t>
        </is>
      </c>
      <c r="D171" s="221" t="inlineStr">
        <is>
          <t>CF699</t>
        </is>
      </c>
      <c r="E171" s="221" t="inlineStr">
        <is>
          <t>徐医大第一食堂</t>
        </is>
      </c>
      <c r="F171" s="219" t="inlineStr">
        <is>
          <t>分组作业</t>
        </is>
      </c>
      <c r="G171" s="222" t="inlineStr">
        <is>
          <t>陆琪</t>
        </is>
      </c>
      <c r="H171" s="503" t="inlineStr">
        <is>
          <t>/</t>
        </is>
      </c>
      <c r="I171" s="237" t="inlineStr">
        <is>
          <t>千里香馄饨</t>
        </is>
      </c>
      <c r="J171" s="503" t="inlineStr">
        <is>
          <t>王才早</t>
        </is>
      </c>
      <c r="K171" s="503" t="n"/>
      <c r="L171" s="224" t="n"/>
      <c r="M171" s="224" t="inlineStr">
        <is>
          <t>/</t>
        </is>
      </c>
      <c r="N171" s="651" t="n">
        <v>1032000</v>
      </c>
      <c r="O171" s="276" t="n">
        <v>0.19</v>
      </c>
      <c r="P171" s="227" t="inlineStr">
        <is>
          <t>/</t>
        </is>
      </c>
      <c r="Q171" s="551" t="n"/>
      <c r="R171" s="227" t="inlineStr">
        <is>
          <t>/</t>
        </is>
      </c>
      <c r="S171" s="227" t="inlineStr">
        <is>
          <t>/</t>
        </is>
      </c>
      <c r="T171" s="227" t="inlineStr">
        <is>
          <t>/</t>
        </is>
      </c>
      <c r="U171" s="227" t="inlineStr">
        <is>
          <t>/</t>
        </is>
      </c>
      <c r="V171" s="551" t="n">
        <v>1500</v>
      </c>
      <c r="W171" s="551" t="n"/>
      <c r="X171" s="227" t="inlineStr">
        <is>
          <t>/</t>
        </is>
      </c>
      <c r="Y171" s="247" t="n"/>
      <c r="Z171" s="247" t="n"/>
      <c r="AA171" s="247" t="n">
        <v>0.501</v>
      </c>
      <c r="AB171" s="51" t="inlineStr">
        <is>
          <t>/</t>
        </is>
      </c>
      <c r="AC171" s="46" t="inlineStr">
        <is>
          <t>/</t>
        </is>
      </c>
      <c r="AD171" s="297" t="inlineStr">
        <is>
          <t>1、卫生费：每月固定1500元，寒暑假根据实际运营天数结算</t>
        </is>
      </c>
      <c r="AE171" s="232" t="inlineStr">
        <is>
          <t xml:space="preserve">1、签订期间：2026.2.25-2026.7.31；
2、指标按照全年换算；
</t>
        </is>
      </c>
    </row>
    <row r="172" hidden="1" ht="36" customFormat="1" customHeight="1" s="209">
      <c r="A172" s="219" t="n">
        <v>170</v>
      </c>
      <c r="B172" s="220" t="inlineStr">
        <is>
          <t>KQCY0170</t>
        </is>
      </c>
      <c r="C172" s="221" t="inlineStr">
        <is>
          <t>餐饮三分部</t>
        </is>
      </c>
      <c r="D172" s="221" t="inlineStr">
        <is>
          <t>CF699</t>
        </is>
      </c>
      <c r="E172" s="221" t="inlineStr">
        <is>
          <t>徐医大第一食堂</t>
        </is>
      </c>
      <c r="F172" s="219" t="inlineStr">
        <is>
          <t>分组作业</t>
        </is>
      </c>
      <c r="G172" s="222" t="inlineStr">
        <is>
          <t>陆琪</t>
        </is>
      </c>
      <c r="H172" s="503" t="inlineStr">
        <is>
          <t>/</t>
        </is>
      </c>
      <c r="I172" s="237" t="inlineStr">
        <is>
          <t>农家小炒盖浇饭</t>
        </is>
      </c>
      <c r="J172" s="503" t="inlineStr">
        <is>
          <t>崔小平</t>
        </is>
      </c>
      <c r="K172" s="503" t="n"/>
      <c r="L172" s="224" t="n"/>
      <c r="M172" s="224" t="inlineStr">
        <is>
          <t>/</t>
        </is>
      </c>
      <c r="N172" s="651" t="n">
        <v>1128000</v>
      </c>
      <c r="O172" s="276" t="n">
        <v>0.18</v>
      </c>
      <c r="P172" s="227" t="inlineStr">
        <is>
          <t>/</t>
        </is>
      </c>
      <c r="Q172" s="551" t="n"/>
      <c r="R172" s="227" t="inlineStr">
        <is>
          <t>/</t>
        </is>
      </c>
      <c r="S172" s="227" t="inlineStr">
        <is>
          <t>/</t>
        </is>
      </c>
      <c r="T172" s="227" t="inlineStr">
        <is>
          <t>/</t>
        </is>
      </c>
      <c r="U172" s="227" t="inlineStr">
        <is>
          <t>/</t>
        </is>
      </c>
      <c r="V172" s="551" t="n">
        <v>1000</v>
      </c>
      <c r="W172" s="551" t="n"/>
      <c r="X172" s="227" t="inlineStr">
        <is>
          <t>/</t>
        </is>
      </c>
      <c r="Y172" s="247" t="n"/>
      <c r="Z172" s="247" t="n"/>
      <c r="AA172" s="247" t="n">
        <v>0.501</v>
      </c>
      <c r="AB172" s="51" t="inlineStr">
        <is>
          <t>/</t>
        </is>
      </c>
      <c r="AC172" s="46" t="inlineStr">
        <is>
          <t>/</t>
        </is>
      </c>
      <c r="AD172" s="297" t="inlineStr">
        <is>
          <t>1、卫生费：每月固定1000元，寒暑假根据实际运营天数结算</t>
        </is>
      </c>
      <c r="AE172" s="232" t="inlineStr">
        <is>
          <t xml:space="preserve">1、签订期间：2026.2.25-2026.7.31；
2、指标按照全年换算；
</t>
        </is>
      </c>
    </row>
    <row r="173" hidden="1" ht="36" customFormat="1" customHeight="1" s="209">
      <c r="A173" s="219" t="n">
        <v>171</v>
      </c>
      <c r="B173" s="220" t="inlineStr">
        <is>
          <t>KQCY0171</t>
        </is>
      </c>
      <c r="C173" s="221" t="inlineStr">
        <is>
          <t>餐饮三分部</t>
        </is>
      </c>
      <c r="D173" s="221" t="inlineStr">
        <is>
          <t>CF699</t>
        </is>
      </c>
      <c r="E173" s="221" t="inlineStr">
        <is>
          <t>徐医大第一食堂</t>
        </is>
      </c>
      <c r="F173" s="219" t="inlineStr">
        <is>
          <t>分组作业</t>
        </is>
      </c>
      <c r="G173" s="222" t="inlineStr">
        <is>
          <t>陆琪</t>
        </is>
      </c>
      <c r="H173" s="503" t="inlineStr">
        <is>
          <t>/</t>
        </is>
      </c>
      <c r="I173" s="237" t="inlineStr">
        <is>
          <t>蜜雪冰城</t>
        </is>
      </c>
      <c r="J173" s="503" t="inlineStr">
        <is>
          <t>周雨</t>
        </is>
      </c>
      <c r="K173" s="503" t="n"/>
      <c r="L173" s="224" t="n"/>
      <c r="M173" s="224" t="inlineStr">
        <is>
          <t>/</t>
        </is>
      </c>
      <c r="N173" s="651" t="n">
        <v>912000</v>
      </c>
      <c r="O173" s="276" t="n">
        <v>0.19</v>
      </c>
      <c r="P173" s="227" t="inlineStr">
        <is>
          <t>/</t>
        </is>
      </c>
      <c r="Q173" s="551" t="n"/>
      <c r="R173" s="227" t="inlineStr">
        <is>
          <t>/</t>
        </is>
      </c>
      <c r="S173" s="227" t="inlineStr">
        <is>
          <t>/</t>
        </is>
      </c>
      <c r="T173" s="227" t="inlineStr">
        <is>
          <t>/</t>
        </is>
      </c>
      <c r="U173" s="227" t="inlineStr">
        <is>
          <t>/</t>
        </is>
      </c>
      <c r="V173" s="551" t="n">
        <v>600</v>
      </c>
      <c r="W173" s="551" t="n"/>
      <c r="X173" s="227" t="inlineStr">
        <is>
          <t>/</t>
        </is>
      </c>
      <c r="Y173" s="247" t="n"/>
      <c r="Z173" s="247" t="n"/>
      <c r="AA173" s="247" t="n">
        <v>0.501</v>
      </c>
      <c r="AB173" s="51" t="inlineStr">
        <is>
          <t>/</t>
        </is>
      </c>
      <c r="AC173" s="46" t="inlineStr">
        <is>
          <t>/</t>
        </is>
      </c>
      <c r="AD173" s="297" t="inlineStr">
        <is>
          <t>1、卫生费：每月固定600元，寒暑假根据实际运营天数结算</t>
        </is>
      </c>
      <c r="AE173" s="232" t="inlineStr">
        <is>
          <t xml:space="preserve">1、签订期间：2026.2.25-2026.7.31；
2、指标按照全年换算；
</t>
        </is>
      </c>
    </row>
    <row r="174" hidden="1" ht="12" customFormat="1" customHeight="1" s="209">
      <c r="A174" s="219" t="n">
        <v>172</v>
      </c>
      <c r="B174" s="220" t="inlineStr">
        <is>
          <t>KQCY0172</t>
        </is>
      </c>
      <c r="C174" s="221" t="inlineStr">
        <is>
          <t>餐饮三分部</t>
        </is>
      </c>
      <c r="D174" s="221" t="inlineStr">
        <is>
          <t>CF251</t>
        </is>
      </c>
      <c r="E174" s="221" t="inlineStr">
        <is>
          <t>苏州职大二食堂</t>
        </is>
      </c>
      <c r="F174" s="239" t="inlineStr">
        <is>
          <t>自营</t>
        </is>
      </c>
      <c r="G174" s="222" t="inlineStr">
        <is>
          <t>张镁镁</t>
        </is>
      </c>
      <c r="H174" s="461" t="inlineStr">
        <is>
          <t>/</t>
        </is>
      </c>
      <c r="I174" s="239" t="inlineStr">
        <is>
          <t>/</t>
        </is>
      </c>
      <c r="J174" s="461" t="inlineStr">
        <is>
          <t>/</t>
        </is>
      </c>
      <c r="K174" s="461" t="n"/>
      <c r="L174" s="235" t="n"/>
      <c r="M174" s="235" t="inlineStr">
        <is>
          <t>/</t>
        </is>
      </c>
      <c r="N174" s="651" t="inlineStr">
        <is>
          <t>/</t>
        </is>
      </c>
      <c r="O174" s="276" t="inlineStr">
        <is>
          <t>/</t>
        </is>
      </c>
      <c r="P174" s="227" t="inlineStr">
        <is>
          <t>/</t>
        </is>
      </c>
      <c r="Q174" s="551" t="n"/>
      <c r="R174" s="227" t="n"/>
      <c r="S174" s="227" t="inlineStr">
        <is>
          <t>/</t>
        </is>
      </c>
      <c r="T174" s="227" t="inlineStr">
        <is>
          <t>/</t>
        </is>
      </c>
      <c r="U174" s="227" t="inlineStr">
        <is>
          <t>/</t>
        </is>
      </c>
      <c r="V174" s="551" t="n"/>
      <c r="W174" s="551" t="n"/>
      <c r="X174" s="227" t="inlineStr">
        <is>
          <t>/</t>
        </is>
      </c>
      <c r="Y174" s="461" t="n"/>
      <c r="Z174" s="461" t="n"/>
      <c r="AA174" s="461" t="inlineStr">
        <is>
          <t>/</t>
        </is>
      </c>
      <c r="AB174" s="46" t="n">
        <v>0.05</v>
      </c>
      <c r="AC174" s="46" t="n">
        <v>0.005</v>
      </c>
      <c r="AD174" s="297" t="inlineStr">
        <is>
          <t>1、自营未实际经营；</t>
        </is>
      </c>
      <c r="AE174" s="232" t="n"/>
    </row>
    <row r="175" hidden="1" ht="48" customFormat="1" customHeight="1" s="209">
      <c r="A175" s="219" t="n">
        <v>173</v>
      </c>
      <c r="B175" s="220" t="inlineStr">
        <is>
          <t>KQCY0173</t>
        </is>
      </c>
      <c r="C175" s="221" t="inlineStr">
        <is>
          <t>餐饮三分部</t>
        </is>
      </c>
      <c r="D175" s="221" t="inlineStr">
        <is>
          <t>CF251</t>
        </is>
      </c>
      <c r="E175" s="221" t="inlineStr">
        <is>
          <t>苏州职大二食堂</t>
        </is>
      </c>
      <c r="F175" s="219" t="inlineStr">
        <is>
          <t>分组作业</t>
        </is>
      </c>
      <c r="G175" s="222" t="inlineStr">
        <is>
          <t>张镁镁</t>
        </is>
      </c>
      <c r="H175" s="222" t="inlineStr">
        <is>
          <t>第一班组</t>
        </is>
      </c>
      <c r="I175" s="232" t="inlineStr">
        <is>
          <t>烘焙</t>
        </is>
      </c>
      <c r="J175" s="461" t="inlineStr">
        <is>
          <t>邵晓丽</t>
        </is>
      </c>
      <c r="K175" s="503" t="n"/>
      <c r="L175" s="224" t="n"/>
      <c r="M175" s="224" t="inlineStr">
        <is>
          <t>/</t>
        </is>
      </c>
      <c r="N175" s="651" t="inlineStr">
        <is>
          <t>/</t>
        </is>
      </c>
      <c r="O175" s="284" t="n">
        <v>0.05</v>
      </c>
      <c r="P175" s="235" t="inlineStr">
        <is>
          <t>/</t>
        </is>
      </c>
      <c r="Q175" s="227" t="inlineStr">
        <is>
          <t>/</t>
        </is>
      </c>
      <c r="R175" s="227" t="inlineStr">
        <is>
          <t>/</t>
        </is>
      </c>
      <c r="S175" s="227" t="inlineStr">
        <is>
          <t>/</t>
        </is>
      </c>
      <c r="T175" s="227" t="inlineStr">
        <is>
          <t>/</t>
        </is>
      </c>
      <c r="U175" s="227" t="inlineStr">
        <is>
          <t>/</t>
        </is>
      </c>
      <c r="V175" s="247" t="inlineStr">
        <is>
          <t>/</t>
        </is>
      </c>
      <c r="W175" s="284" t="n">
        <v>0.06</v>
      </c>
      <c r="X175" s="551" t="inlineStr">
        <is>
          <t>按实</t>
        </is>
      </c>
      <c r="Y175" s="461" t="n">
        <v>30000</v>
      </c>
      <c r="Z175" s="461" t="inlineStr">
        <is>
          <t>/</t>
        </is>
      </c>
      <c r="AA175" s="461" t="inlineStr">
        <is>
          <t>按实</t>
        </is>
      </c>
      <c r="AB175" s="46" t="inlineStr">
        <is>
          <t>/</t>
        </is>
      </c>
      <c r="AC175" s="46" t="inlineStr">
        <is>
          <t>/</t>
        </is>
      </c>
      <c r="AD175" s="230" t="inlineStr">
        <is>
          <t xml:space="preserve">1、其他：3万不收取学期作为装修折旧摊销；
2、卫生费不收取；
3、采购费不收取；
</t>
        </is>
      </c>
      <c r="AE175" s="232" t="inlineStr">
        <is>
          <t>1、签订期间：2026.3.1-2026.7.31；
2、指标按照全年换算；</t>
        </is>
      </c>
    </row>
    <row r="176" hidden="1" ht="60" customFormat="1" customHeight="1" s="209">
      <c r="A176" s="219" t="n">
        <v>174</v>
      </c>
      <c r="B176" s="220" t="inlineStr">
        <is>
          <t>KQCY0174</t>
        </is>
      </c>
      <c r="C176" s="221" t="inlineStr">
        <is>
          <t>餐饮三分部</t>
        </is>
      </c>
      <c r="D176" s="221" t="inlineStr">
        <is>
          <t>CF251</t>
        </is>
      </c>
      <c r="E176" s="221" t="inlineStr">
        <is>
          <t>苏州职大二食堂</t>
        </is>
      </c>
      <c r="F176" s="219" t="inlineStr">
        <is>
          <t>分组作业</t>
        </is>
      </c>
      <c r="G176" s="222" t="inlineStr">
        <is>
          <t>张镁镁</t>
        </is>
      </c>
      <c r="H176" s="222" t="inlineStr">
        <is>
          <t>第二班组</t>
        </is>
      </c>
      <c r="I176" s="232" t="inlineStr">
        <is>
          <t>奶茶饮品</t>
        </is>
      </c>
      <c r="J176" s="503" t="inlineStr">
        <is>
          <t>严振宇</t>
        </is>
      </c>
      <c r="K176" s="503" t="n"/>
      <c r="L176" s="224" t="n"/>
      <c r="M176" s="224" t="inlineStr">
        <is>
          <t>/</t>
        </is>
      </c>
      <c r="N176" s="651" t="inlineStr">
        <is>
          <t>/</t>
        </is>
      </c>
      <c r="O176" s="284" t="n">
        <v>0.19</v>
      </c>
      <c r="P176" s="235" t="inlineStr">
        <is>
          <t>/</t>
        </is>
      </c>
      <c r="Q176" s="227" t="inlineStr">
        <is>
          <t>/</t>
        </is>
      </c>
      <c r="R176" s="276" t="inlineStr">
        <is>
          <t>/</t>
        </is>
      </c>
      <c r="S176" s="227" t="inlineStr">
        <is>
          <t>/</t>
        </is>
      </c>
      <c r="T176" s="227" t="inlineStr">
        <is>
          <t>/</t>
        </is>
      </c>
      <c r="U176" s="227" t="inlineStr">
        <is>
          <t>/</t>
        </is>
      </c>
      <c r="V176" s="247" t="inlineStr">
        <is>
          <t>/</t>
        </is>
      </c>
      <c r="W176" s="284" t="n">
        <v>0.06</v>
      </c>
      <c r="X176" s="227" t="inlineStr">
        <is>
          <t>按实</t>
        </is>
      </c>
      <c r="Y176" s="461" t="inlineStr">
        <is>
          <t>/</t>
        </is>
      </c>
      <c r="Z176" s="461" t="inlineStr">
        <is>
          <t>/</t>
        </is>
      </c>
      <c r="AA176" s="461" t="inlineStr">
        <is>
          <t>按实</t>
        </is>
      </c>
      <c r="AB176" s="46" t="inlineStr">
        <is>
          <t>/</t>
        </is>
      </c>
      <c r="AC176" s="46" t="inlineStr">
        <is>
          <t>/</t>
        </is>
      </c>
      <c r="AD176" s="230" t="inlineStr">
        <is>
          <t xml:space="preserve">1、装修折旧费：营业额的5%，分组作业未分摊，服务费已包含；
2、卫生费不收取；
3、采购费不收取；
</t>
        </is>
      </c>
      <c r="AE176" s="232" t="inlineStr">
        <is>
          <t>1、签订期间：2026.3.1-2026.7.31；
2、指标按照全年换算；</t>
        </is>
      </c>
    </row>
    <row r="177" hidden="1" ht="36" customFormat="1" customHeight="1" s="209">
      <c r="A177" s="219" t="n">
        <v>175</v>
      </c>
      <c r="B177" s="220" t="inlineStr">
        <is>
          <t>KQCY0175</t>
        </is>
      </c>
      <c r="C177" s="221" t="inlineStr">
        <is>
          <t>餐饮三分部</t>
        </is>
      </c>
      <c r="D177" s="221" t="inlineStr">
        <is>
          <t>CF251</t>
        </is>
      </c>
      <c r="E177" s="221" t="inlineStr">
        <is>
          <t>苏州职大二食堂</t>
        </is>
      </c>
      <c r="F177" s="219" t="inlineStr">
        <is>
          <t>分组作业</t>
        </is>
      </c>
      <c r="G177" s="222" t="inlineStr">
        <is>
          <t>张镁镁</t>
        </is>
      </c>
      <c r="H177" s="222" t="inlineStr">
        <is>
          <t>第三班组</t>
        </is>
      </c>
      <c r="I177" s="232" t="inlineStr">
        <is>
          <t>早点</t>
        </is>
      </c>
      <c r="J177" s="503" t="inlineStr">
        <is>
          <t>缪文</t>
        </is>
      </c>
      <c r="K177" s="503" t="n"/>
      <c r="L177" s="224" t="n"/>
      <c r="M177" s="224" t="inlineStr">
        <is>
          <t>/</t>
        </is>
      </c>
      <c r="N177" s="651" t="inlineStr">
        <is>
          <t>/</t>
        </is>
      </c>
      <c r="O177" s="284" t="n">
        <v>0.165</v>
      </c>
      <c r="P177" s="235" t="inlineStr">
        <is>
          <t>/</t>
        </is>
      </c>
      <c r="Q177" s="227" t="inlineStr">
        <is>
          <t>/</t>
        </is>
      </c>
      <c r="R177" s="276" t="inlineStr">
        <is>
          <t>/</t>
        </is>
      </c>
      <c r="S177" s="227" t="inlineStr">
        <is>
          <t>/</t>
        </is>
      </c>
      <c r="T177" s="227" t="inlineStr">
        <is>
          <t>/</t>
        </is>
      </c>
      <c r="U177" s="227" t="inlineStr">
        <is>
          <t>/</t>
        </is>
      </c>
      <c r="V177" s="247" t="n">
        <v>0.035</v>
      </c>
      <c r="W177" s="284" t="n">
        <v>0.06</v>
      </c>
      <c r="X177" s="227" t="inlineStr">
        <is>
          <t>按实</t>
        </is>
      </c>
      <c r="Y177" s="461" t="inlineStr">
        <is>
          <t>/</t>
        </is>
      </c>
      <c r="Z177" s="461" t="inlineStr">
        <is>
          <t>/</t>
        </is>
      </c>
      <c r="AA177" s="461" t="inlineStr">
        <is>
          <t>按实</t>
        </is>
      </c>
      <c r="AB177" s="46" t="inlineStr">
        <is>
          <t>/</t>
        </is>
      </c>
      <c r="AC177" s="46" t="inlineStr">
        <is>
          <t>/</t>
        </is>
      </c>
      <c r="AD177" s="230" t="inlineStr">
        <is>
          <t>1、装修折旧费：营业额的5%，分组作业未分摊，服务费已包含；
2、采购费不收取；</t>
        </is>
      </c>
      <c r="AE177" s="232" t="inlineStr">
        <is>
          <t>1、签订期间：2026.3.1-2026.7.31；
2、指标按照全年换算；</t>
        </is>
      </c>
    </row>
    <row r="178" hidden="1" ht="48" customFormat="1" customHeight="1" s="209">
      <c r="A178" s="219" t="n">
        <v>176</v>
      </c>
      <c r="B178" s="220" t="inlineStr">
        <is>
          <t>KQCY0176</t>
        </is>
      </c>
      <c r="C178" s="221" t="inlineStr">
        <is>
          <t>餐饮三分部</t>
        </is>
      </c>
      <c r="D178" s="221" t="inlineStr">
        <is>
          <t>CF251</t>
        </is>
      </c>
      <c r="E178" s="221" t="inlineStr">
        <is>
          <t>苏州职大二食堂</t>
        </is>
      </c>
      <c r="F178" s="219" t="inlineStr">
        <is>
          <t>分组作业</t>
        </is>
      </c>
      <c r="G178" s="222" t="inlineStr">
        <is>
          <t>张镁镁</t>
        </is>
      </c>
      <c r="H178" s="222" t="inlineStr">
        <is>
          <t>第四班组</t>
        </is>
      </c>
      <c r="I178" s="232" t="inlineStr">
        <is>
          <t>快餐</t>
        </is>
      </c>
      <c r="J178" s="503" t="inlineStr">
        <is>
          <t>耿传垒</t>
        </is>
      </c>
      <c r="K178" s="503" t="n"/>
      <c r="L178" s="224" t="n"/>
      <c r="M178" s="224" t="inlineStr">
        <is>
          <t>/</t>
        </is>
      </c>
      <c r="N178" s="651" t="inlineStr">
        <is>
          <t>/</t>
        </is>
      </c>
      <c r="O178" s="284" t="n">
        <v>0.135</v>
      </c>
      <c r="P178" s="235" t="inlineStr">
        <is>
          <t>/</t>
        </is>
      </c>
      <c r="Q178" s="227" t="inlineStr">
        <is>
          <t>/</t>
        </is>
      </c>
      <c r="R178" s="276" t="inlineStr">
        <is>
          <t>/</t>
        </is>
      </c>
      <c r="S178" s="227" t="inlineStr">
        <is>
          <t>/</t>
        </is>
      </c>
      <c r="T178" s="227" t="inlineStr">
        <is>
          <t>/</t>
        </is>
      </c>
      <c r="U178" s="227" t="inlineStr">
        <is>
          <t>/</t>
        </is>
      </c>
      <c r="V178" s="247" t="n">
        <v>0.035</v>
      </c>
      <c r="W178" s="284" t="n">
        <v>0.06</v>
      </c>
      <c r="X178" s="227" t="inlineStr">
        <is>
          <t>按实</t>
        </is>
      </c>
      <c r="Y178" s="461" t="inlineStr">
        <is>
          <t>/</t>
        </is>
      </c>
      <c r="Z178" s="461" t="inlineStr">
        <is>
          <t>/</t>
        </is>
      </c>
      <c r="AA178" s="461" t="inlineStr">
        <is>
          <t>按实</t>
        </is>
      </c>
      <c r="AB178" s="46" t="inlineStr">
        <is>
          <t>/</t>
        </is>
      </c>
      <c r="AC178" s="46" t="inlineStr">
        <is>
          <t>/</t>
        </is>
      </c>
      <c r="AD178" s="230" t="inlineStr">
        <is>
          <t>1、装修折旧费：营业额的5%，分组作业未分摊，服务费已包含；
2、快餐房租4000/学期；
3、采购费不收取；</t>
        </is>
      </c>
      <c r="AE178" s="230" t="inlineStr">
        <is>
          <t>1、签订期间：2026.3.1-2026.7.31；
2、指标按照全年换算；</t>
        </is>
      </c>
    </row>
    <row r="179" hidden="1" ht="48" customFormat="1" customHeight="1" s="209">
      <c r="A179" s="219" t="n">
        <v>177</v>
      </c>
      <c r="B179" s="220" t="inlineStr">
        <is>
          <t>KQCY0177</t>
        </is>
      </c>
      <c r="C179" s="221" t="inlineStr">
        <is>
          <t>餐饮三分部</t>
        </is>
      </c>
      <c r="D179" s="221" t="inlineStr">
        <is>
          <t>CF251</t>
        </is>
      </c>
      <c r="E179" s="221" t="inlineStr">
        <is>
          <t>苏州职大二食堂</t>
        </is>
      </c>
      <c r="F179" s="219" t="inlineStr">
        <is>
          <t>分组作业</t>
        </is>
      </c>
      <c r="G179" s="222" t="inlineStr">
        <is>
          <t>张镁镁</t>
        </is>
      </c>
      <c r="H179" s="222" t="inlineStr">
        <is>
          <t>第五班组</t>
        </is>
      </c>
      <c r="I179" s="232" t="inlineStr">
        <is>
          <t>盖浇饭</t>
        </is>
      </c>
      <c r="J179" s="503" t="inlineStr">
        <is>
          <t>龙明涛</t>
        </is>
      </c>
      <c r="K179" s="503" t="n"/>
      <c r="L179" s="224" t="n"/>
      <c r="M179" s="224" t="inlineStr">
        <is>
          <t>/</t>
        </is>
      </c>
      <c r="N179" s="651" t="inlineStr">
        <is>
          <t>/</t>
        </is>
      </c>
      <c r="O179" s="284" t="n">
        <v>0.155</v>
      </c>
      <c r="P179" s="235" t="inlineStr">
        <is>
          <t>/</t>
        </is>
      </c>
      <c r="Q179" s="227" t="inlineStr">
        <is>
          <t>/</t>
        </is>
      </c>
      <c r="R179" s="276" t="inlineStr">
        <is>
          <t>/</t>
        </is>
      </c>
      <c r="S179" s="227" t="inlineStr">
        <is>
          <t>/</t>
        </is>
      </c>
      <c r="T179" s="227" t="inlineStr">
        <is>
          <t>/</t>
        </is>
      </c>
      <c r="U179" s="227" t="inlineStr">
        <is>
          <t>/</t>
        </is>
      </c>
      <c r="V179" s="247" t="n">
        <v>0.035</v>
      </c>
      <c r="W179" s="284" t="n">
        <v>0.06</v>
      </c>
      <c r="X179" s="227" t="inlineStr">
        <is>
          <t>按实</t>
        </is>
      </c>
      <c r="Y179" s="461" t="inlineStr">
        <is>
          <t>/</t>
        </is>
      </c>
      <c r="Z179" s="461" t="inlineStr">
        <is>
          <t>/</t>
        </is>
      </c>
      <c r="AA179" s="461" t="inlineStr">
        <is>
          <t>按实</t>
        </is>
      </c>
      <c r="AB179" s="46" t="inlineStr">
        <is>
          <t>/</t>
        </is>
      </c>
      <c r="AC179" s="46" t="inlineStr">
        <is>
          <t>/</t>
        </is>
      </c>
      <c r="AD179" s="230" t="inlineStr">
        <is>
          <t>1、装修折旧费：营业额的5%，分组作业未分摊，服务费已包含；
2、盖浇饭房租4000/学期；
3、采购费不收取；</t>
        </is>
      </c>
      <c r="AE179" s="232" t="inlineStr">
        <is>
          <t>1、签订期间：2026.3.1-2026.7.31；
2、指标按照全年换算；</t>
        </is>
      </c>
    </row>
    <row r="180" hidden="1" ht="36" customFormat="1" customHeight="1" s="209">
      <c r="A180" s="219" t="n">
        <v>178</v>
      </c>
      <c r="B180" s="220" t="inlineStr">
        <is>
          <t>KQCY0178</t>
        </is>
      </c>
      <c r="C180" s="221" t="inlineStr">
        <is>
          <t>餐饮三分部</t>
        </is>
      </c>
      <c r="D180" s="221" t="inlineStr">
        <is>
          <t>CF251</t>
        </is>
      </c>
      <c r="E180" s="221" t="inlineStr">
        <is>
          <t>苏州职大二食堂</t>
        </is>
      </c>
      <c r="F180" s="219" t="inlineStr">
        <is>
          <t>分组作业</t>
        </is>
      </c>
      <c r="G180" s="222" t="inlineStr">
        <is>
          <t>张镁镁</t>
        </is>
      </c>
      <c r="H180" s="222" t="inlineStr">
        <is>
          <t>第六班组</t>
        </is>
      </c>
      <c r="I180" s="232" t="inlineStr">
        <is>
          <t>黄焖鸡</t>
        </is>
      </c>
      <c r="J180" s="461" t="inlineStr">
        <is>
          <t>余国凤</t>
        </is>
      </c>
      <c r="K180" s="503" t="n"/>
      <c r="L180" s="224" t="n"/>
      <c r="M180" s="224" t="inlineStr">
        <is>
          <t>/</t>
        </is>
      </c>
      <c r="N180" s="651" t="inlineStr">
        <is>
          <t>/</t>
        </is>
      </c>
      <c r="O180" s="284" t="n">
        <v>0.155</v>
      </c>
      <c r="P180" s="235" t="inlineStr">
        <is>
          <t>/</t>
        </is>
      </c>
      <c r="Q180" s="227" t="inlineStr">
        <is>
          <t>/</t>
        </is>
      </c>
      <c r="R180" s="276" t="inlineStr">
        <is>
          <t>/</t>
        </is>
      </c>
      <c r="S180" s="227" t="inlineStr">
        <is>
          <t>/</t>
        </is>
      </c>
      <c r="T180" s="227" t="inlineStr">
        <is>
          <t>/</t>
        </is>
      </c>
      <c r="U180" s="227" t="inlineStr">
        <is>
          <t>/</t>
        </is>
      </c>
      <c r="V180" s="247" t="n">
        <v>0.035</v>
      </c>
      <c r="W180" s="284" t="n">
        <v>0.06</v>
      </c>
      <c r="X180" s="227" t="inlineStr">
        <is>
          <t>按实</t>
        </is>
      </c>
      <c r="Y180" s="461" t="inlineStr">
        <is>
          <t>/</t>
        </is>
      </c>
      <c r="Z180" s="461" t="inlineStr">
        <is>
          <t>/</t>
        </is>
      </c>
      <c r="AA180" s="461" t="inlineStr">
        <is>
          <t>按实</t>
        </is>
      </c>
      <c r="AB180" s="46" t="inlineStr">
        <is>
          <t>/</t>
        </is>
      </c>
      <c r="AC180" s="46" t="inlineStr">
        <is>
          <t>/</t>
        </is>
      </c>
      <c r="AD180" s="230" t="inlineStr">
        <is>
          <t>1、装修折旧费：营业额的5%，分组作业未分摊，服务费已包含；
2、采购费不收取；</t>
        </is>
      </c>
      <c r="AE180" s="232" t="inlineStr">
        <is>
          <t>1、签订期间：2026.3.1-2026.7.31；
2、指标按照全年换算；</t>
        </is>
      </c>
    </row>
    <row r="181" hidden="1" ht="36" customFormat="1" customHeight="1" s="209">
      <c r="A181" s="219" t="n">
        <v>179</v>
      </c>
      <c r="B181" s="220" t="inlineStr">
        <is>
          <t>KQCY0179</t>
        </is>
      </c>
      <c r="C181" s="221" t="inlineStr">
        <is>
          <t>餐饮三分部</t>
        </is>
      </c>
      <c r="D181" s="221" t="inlineStr">
        <is>
          <t>CF251</t>
        </is>
      </c>
      <c r="E181" s="221" t="inlineStr">
        <is>
          <t>苏州职大二食堂</t>
        </is>
      </c>
      <c r="F181" s="219" t="inlineStr">
        <is>
          <t>分组作业</t>
        </is>
      </c>
      <c r="G181" s="222" t="inlineStr">
        <is>
          <t>张镁镁</t>
        </is>
      </c>
      <c r="H181" s="222" t="inlineStr">
        <is>
          <t>第七班组</t>
        </is>
      </c>
      <c r="I181" s="232" t="inlineStr">
        <is>
          <t>杂粮煎饼</t>
        </is>
      </c>
      <c r="J181" s="503" t="inlineStr">
        <is>
          <t>王朝风</t>
        </is>
      </c>
      <c r="K181" s="503" t="n"/>
      <c r="L181" s="224" t="n"/>
      <c r="M181" s="224" t="inlineStr">
        <is>
          <t>/</t>
        </is>
      </c>
      <c r="N181" s="651" t="inlineStr">
        <is>
          <t>/</t>
        </is>
      </c>
      <c r="O181" s="284" t="n">
        <v>0.185</v>
      </c>
      <c r="P181" s="235" t="inlineStr">
        <is>
          <t>/</t>
        </is>
      </c>
      <c r="Q181" s="227" t="inlineStr">
        <is>
          <t>/</t>
        </is>
      </c>
      <c r="R181" s="276" t="inlineStr">
        <is>
          <t>/</t>
        </is>
      </c>
      <c r="S181" s="227" t="inlineStr">
        <is>
          <t>/</t>
        </is>
      </c>
      <c r="T181" s="227" t="inlineStr">
        <is>
          <t>/</t>
        </is>
      </c>
      <c r="U181" s="227" t="inlineStr">
        <is>
          <t>/</t>
        </is>
      </c>
      <c r="V181" s="247" t="n">
        <v>0.035</v>
      </c>
      <c r="W181" s="284" t="n">
        <v>0.06</v>
      </c>
      <c r="X181" s="227" t="inlineStr">
        <is>
          <t>按实</t>
        </is>
      </c>
      <c r="Y181" s="461" t="inlineStr">
        <is>
          <t>/</t>
        </is>
      </c>
      <c r="Z181" s="461" t="inlineStr">
        <is>
          <t>/</t>
        </is>
      </c>
      <c r="AA181" s="461" t="inlineStr">
        <is>
          <t>按实</t>
        </is>
      </c>
      <c r="AB181" s="46" t="inlineStr">
        <is>
          <t>/</t>
        </is>
      </c>
      <c r="AC181" s="46" t="inlineStr">
        <is>
          <t>/</t>
        </is>
      </c>
      <c r="AD181" s="230" t="inlineStr">
        <is>
          <t>1、装修折旧费：营业额的5%，分组作业未分摊，服务费已包含；
2、采购费不收取；</t>
        </is>
      </c>
      <c r="AE181" s="232" t="inlineStr">
        <is>
          <t>1、签订期间：2026.3.1-2026.7.31；
2、指标按照全年换算；</t>
        </is>
      </c>
    </row>
    <row r="182" hidden="1" ht="36" customFormat="1" customHeight="1" s="209">
      <c r="A182" s="219" t="n">
        <v>180</v>
      </c>
      <c r="B182" s="220" t="inlineStr">
        <is>
          <t>KQCY0180</t>
        </is>
      </c>
      <c r="C182" s="221" t="inlineStr">
        <is>
          <t>餐饮三分部</t>
        </is>
      </c>
      <c r="D182" s="221" t="inlineStr">
        <is>
          <t>CF251</t>
        </is>
      </c>
      <c r="E182" s="221" t="inlineStr">
        <is>
          <t>苏州职大二食堂</t>
        </is>
      </c>
      <c r="F182" s="219" t="inlineStr">
        <is>
          <t>分组作业</t>
        </is>
      </c>
      <c r="G182" s="222" t="inlineStr">
        <is>
          <t>张镁镁</t>
        </is>
      </c>
      <c r="H182" s="222" t="inlineStr">
        <is>
          <t>第八班组</t>
        </is>
      </c>
      <c r="I182" s="232" t="inlineStr">
        <is>
          <t>苏式热干面</t>
        </is>
      </c>
      <c r="J182" s="461" t="inlineStr">
        <is>
          <t>田振</t>
        </is>
      </c>
      <c r="K182" s="503" t="n"/>
      <c r="L182" s="224" t="n"/>
      <c r="M182" s="224" t="inlineStr">
        <is>
          <t>/</t>
        </is>
      </c>
      <c r="N182" s="651" t="inlineStr">
        <is>
          <t>/</t>
        </is>
      </c>
      <c r="O182" s="284" t="n">
        <v>0.185</v>
      </c>
      <c r="P182" s="235" t="inlineStr">
        <is>
          <t>/</t>
        </is>
      </c>
      <c r="Q182" s="227" t="inlineStr">
        <is>
          <t>/</t>
        </is>
      </c>
      <c r="R182" s="276" t="inlineStr">
        <is>
          <t>/</t>
        </is>
      </c>
      <c r="S182" s="227" t="inlineStr">
        <is>
          <t>/</t>
        </is>
      </c>
      <c r="T182" s="227" t="inlineStr">
        <is>
          <t>/</t>
        </is>
      </c>
      <c r="U182" s="227" t="inlineStr">
        <is>
          <t>/</t>
        </is>
      </c>
      <c r="V182" s="247" t="n">
        <v>0.035</v>
      </c>
      <c r="W182" s="284" t="n">
        <v>0.06</v>
      </c>
      <c r="X182" s="227" t="inlineStr">
        <is>
          <t>按实</t>
        </is>
      </c>
      <c r="Y182" s="461" t="inlineStr">
        <is>
          <t>/</t>
        </is>
      </c>
      <c r="Z182" s="461" t="inlineStr">
        <is>
          <t>/</t>
        </is>
      </c>
      <c r="AA182" s="461" t="inlineStr">
        <is>
          <t>按实</t>
        </is>
      </c>
      <c r="AB182" s="46" t="inlineStr">
        <is>
          <t>/</t>
        </is>
      </c>
      <c r="AC182" s="46" t="inlineStr">
        <is>
          <t>/</t>
        </is>
      </c>
      <c r="AD182" s="230" t="inlineStr">
        <is>
          <t>1、装修折旧费：营业额的5%，分组作业未分摊，服务费已包含；
2、采购费不收取；</t>
        </is>
      </c>
      <c r="AE182" s="232" t="inlineStr">
        <is>
          <t>1、签订期间：2026.3.1-2026.7.31；
2、指标按照全年换算；</t>
        </is>
      </c>
    </row>
    <row r="183" hidden="1" ht="36" customFormat="1" customHeight="1" s="209">
      <c r="A183" s="219" t="n">
        <v>181</v>
      </c>
      <c r="B183" s="220" t="inlineStr">
        <is>
          <t>KQCY0181</t>
        </is>
      </c>
      <c r="C183" s="221" t="inlineStr">
        <is>
          <t>餐饮三分部</t>
        </is>
      </c>
      <c r="D183" s="221" t="inlineStr">
        <is>
          <t>CF251</t>
        </is>
      </c>
      <c r="E183" s="221" t="inlineStr">
        <is>
          <t>苏州职大二食堂</t>
        </is>
      </c>
      <c r="F183" s="219" t="inlineStr">
        <is>
          <t>分组作业</t>
        </is>
      </c>
      <c r="G183" s="222" t="inlineStr">
        <is>
          <t>张镁镁</t>
        </is>
      </c>
      <c r="H183" s="222" t="inlineStr">
        <is>
          <t>第九班组</t>
        </is>
      </c>
      <c r="I183" s="232" t="inlineStr">
        <is>
          <t>馄饨炒饭</t>
        </is>
      </c>
      <c r="J183" s="503" t="inlineStr">
        <is>
          <t>戴国强</t>
        </is>
      </c>
      <c r="K183" s="503" t="n"/>
      <c r="L183" s="224" t="n"/>
      <c r="M183" s="224" t="inlineStr">
        <is>
          <t>/</t>
        </is>
      </c>
      <c r="N183" s="651" t="inlineStr">
        <is>
          <t>/</t>
        </is>
      </c>
      <c r="O183" s="284" t="n">
        <v>0.175</v>
      </c>
      <c r="P183" s="235" t="inlineStr">
        <is>
          <t>/</t>
        </is>
      </c>
      <c r="Q183" s="227" t="inlineStr">
        <is>
          <t>/</t>
        </is>
      </c>
      <c r="R183" s="276" t="inlineStr">
        <is>
          <t>/</t>
        </is>
      </c>
      <c r="S183" s="227" t="inlineStr">
        <is>
          <t>/</t>
        </is>
      </c>
      <c r="T183" s="227" t="inlineStr">
        <is>
          <t>/</t>
        </is>
      </c>
      <c r="U183" s="227" t="inlineStr">
        <is>
          <t>/</t>
        </is>
      </c>
      <c r="V183" s="247" t="n">
        <v>0.035</v>
      </c>
      <c r="W183" s="284" t="n">
        <v>0.06</v>
      </c>
      <c r="X183" s="227" t="inlineStr">
        <is>
          <t>按实</t>
        </is>
      </c>
      <c r="Y183" s="461" t="inlineStr">
        <is>
          <t>/</t>
        </is>
      </c>
      <c r="Z183" s="461" t="inlineStr">
        <is>
          <t>/</t>
        </is>
      </c>
      <c r="AA183" s="461" t="inlineStr">
        <is>
          <t>按实</t>
        </is>
      </c>
      <c r="AB183" s="46" t="inlineStr">
        <is>
          <t>/</t>
        </is>
      </c>
      <c r="AC183" s="46" t="inlineStr">
        <is>
          <t>/</t>
        </is>
      </c>
      <c r="AD183" s="230" t="inlineStr">
        <is>
          <t>1、装修折旧费：营业额的5%，分组作业未分摊，服务费已包含；
2、采购费不收取；</t>
        </is>
      </c>
      <c r="AE183" s="232" t="inlineStr">
        <is>
          <t>1、签订期间：2026.3.1-2026.7.31；
2、指标按照全年换算；</t>
        </is>
      </c>
    </row>
    <row r="184" hidden="1" ht="48" customFormat="1" customHeight="1" s="209">
      <c r="A184" s="219" t="n">
        <v>182</v>
      </c>
      <c r="B184" s="220" t="inlineStr">
        <is>
          <t>KQCY0182</t>
        </is>
      </c>
      <c r="C184" s="221" t="inlineStr">
        <is>
          <t>餐饮三分部</t>
        </is>
      </c>
      <c r="D184" s="221" t="inlineStr">
        <is>
          <t>CF251</t>
        </is>
      </c>
      <c r="E184" s="221" t="inlineStr">
        <is>
          <t>苏州职大二食堂</t>
        </is>
      </c>
      <c r="F184" s="219" t="inlineStr">
        <is>
          <t>分组作业</t>
        </is>
      </c>
      <c r="G184" s="222" t="inlineStr">
        <is>
          <t>张镁镁</t>
        </is>
      </c>
      <c r="H184" s="222" t="inlineStr">
        <is>
          <t>第十班组</t>
        </is>
      </c>
      <c r="I184" s="232" t="inlineStr">
        <is>
          <t>汉堡</t>
        </is>
      </c>
      <c r="J184" s="461" t="inlineStr">
        <is>
          <t>朱燕</t>
        </is>
      </c>
      <c r="K184" s="503" t="n"/>
      <c r="L184" s="224" t="n"/>
      <c r="M184" s="224" t="inlineStr">
        <is>
          <t>/</t>
        </is>
      </c>
      <c r="N184" s="651" t="inlineStr">
        <is>
          <t>/</t>
        </is>
      </c>
      <c r="O184" s="284" t="n">
        <v>0.19</v>
      </c>
      <c r="P184" s="235" t="inlineStr">
        <is>
          <t>/</t>
        </is>
      </c>
      <c r="Q184" s="227" t="inlineStr">
        <is>
          <t>/</t>
        </is>
      </c>
      <c r="R184" s="276" t="inlineStr">
        <is>
          <t>/</t>
        </is>
      </c>
      <c r="S184" s="227" t="inlineStr">
        <is>
          <t>/</t>
        </is>
      </c>
      <c r="T184" s="227" t="inlineStr">
        <is>
          <t>/</t>
        </is>
      </c>
      <c r="U184" s="227" t="inlineStr">
        <is>
          <t>/</t>
        </is>
      </c>
      <c r="V184" s="247" t="inlineStr">
        <is>
          <t>/</t>
        </is>
      </c>
      <c r="W184" s="284" t="n">
        <v>0.06</v>
      </c>
      <c r="X184" s="227" t="inlineStr">
        <is>
          <t>按实</t>
        </is>
      </c>
      <c r="Y184" s="461" t="inlineStr">
        <is>
          <t>/</t>
        </is>
      </c>
      <c r="Z184" s="461" t="inlineStr">
        <is>
          <t>/</t>
        </is>
      </c>
      <c r="AA184" s="461" t="inlineStr">
        <is>
          <t>按实</t>
        </is>
      </c>
      <c r="AB184" s="46" t="inlineStr">
        <is>
          <t>/</t>
        </is>
      </c>
      <c r="AC184" s="46" t="inlineStr">
        <is>
          <t>/</t>
        </is>
      </c>
      <c r="AD184" s="230" t="inlineStr">
        <is>
          <t>1、装修折旧费：营业额的5%，分组作业未分摊，服务费已包含；
2、卫生费不收取；
3、采购费不收取；</t>
        </is>
      </c>
      <c r="AE184" s="232" t="inlineStr">
        <is>
          <t>1、签订期间：2026.3.1-2026.7.31；
2、指标按照全年换算；</t>
        </is>
      </c>
    </row>
    <row r="185" hidden="1" ht="36" customFormat="1" customHeight="1" s="209">
      <c r="A185" s="219" t="n">
        <v>183</v>
      </c>
      <c r="B185" s="220" t="inlineStr">
        <is>
          <t>KQCY0183</t>
        </is>
      </c>
      <c r="C185" s="221" t="inlineStr">
        <is>
          <t>餐饮三分部</t>
        </is>
      </c>
      <c r="D185" s="221" t="inlineStr">
        <is>
          <t>CF251</t>
        </is>
      </c>
      <c r="E185" s="221" t="inlineStr">
        <is>
          <t>苏州职大二食堂</t>
        </is>
      </c>
      <c r="F185" s="219" t="inlineStr">
        <is>
          <t>分组作业</t>
        </is>
      </c>
      <c r="G185" s="222" t="inlineStr">
        <is>
          <t>张镁镁</t>
        </is>
      </c>
      <c r="H185" s="222" t="inlineStr">
        <is>
          <t>第十一班组</t>
        </is>
      </c>
      <c r="I185" s="232" t="inlineStr">
        <is>
          <t>麻辣烫</t>
        </is>
      </c>
      <c r="J185" s="503" t="inlineStr">
        <is>
          <t>孙华玲</t>
        </is>
      </c>
      <c r="K185" s="503" t="n"/>
      <c r="L185" s="224" t="n"/>
      <c r="M185" s="224" t="inlineStr">
        <is>
          <t>/</t>
        </is>
      </c>
      <c r="N185" s="651" t="inlineStr">
        <is>
          <t>/</t>
        </is>
      </c>
      <c r="O185" s="284" t="n">
        <v>0.145</v>
      </c>
      <c r="P185" s="235" t="inlineStr">
        <is>
          <t>/</t>
        </is>
      </c>
      <c r="Q185" s="227" t="inlineStr">
        <is>
          <t>/</t>
        </is>
      </c>
      <c r="R185" s="276" t="inlineStr">
        <is>
          <t>/</t>
        </is>
      </c>
      <c r="S185" s="227" t="inlineStr">
        <is>
          <t>/</t>
        </is>
      </c>
      <c r="T185" s="227" t="inlineStr">
        <is>
          <t>/</t>
        </is>
      </c>
      <c r="U185" s="227" t="inlineStr">
        <is>
          <t>/</t>
        </is>
      </c>
      <c r="V185" s="247" t="n">
        <v>0.035</v>
      </c>
      <c r="W185" s="284" t="n">
        <v>0.06</v>
      </c>
      <c r="X185" s="227" t="inlineStr">
        <is>
          <t>按实</t>
        </is>
      </c>
      <c r="Y185" s="461" t="inlineStr">
        <is>
          <t>/</t>
        </is>
      </c>
      <c r="Z185" s="461" t="inlineStr">
        <is>
          <t>/</t>
        </is>
      </c>
      <c r="AA185" s="461" t="inlineStr">
        <is>
          <t>按实</t>
        </is>
      </c>
      <c r="AB185" s="46" t="inlineStr">
        <is>
          <t>/</t>
        </is>
      </c>
      <c r="AC185" s="46" t="inlineStr">
        <is>
          <t>/</t>
        </is>
      </c>
      <c r="AD185" s="230" t="inlineStr">
        <is>
          <t>1、装修折旧费：营业额的5%，分组作业未分摊，服务费已包含；
2、采购费不收取；</t>
        </is>
      </c>
      <c r="AE185" s="232" t="inlineStr">
        <is>
          <t>1、签订期间：2026.3.1-2026.7.31；
2、指标按照全年换算；</t>
        </is>
      </c>
    </row>
    <row r="186" hidden="1" ht="36" customFormat="1" customHeight="1" s="209">
      <c r="A186" s="219" t="n">
        <v>184</v>
      </c>
      <c r="B186" s="220" t="inlineStr">
        <is>
          <t>KQCY0184</t>
        </is>
      </c>
      <c r="C186" s="221" t="inlineStr">
        <is>
          <t>餐饮三分部</t>
        </is>
      </c>
      <c r="D186" s="221" t="inlineStr">
        <is>
          <t>CF251</t>
        </is>
      </c>
      <c r="E186" s="221" t="inlineStr">
        <is>
          <t>苏州职大二食堂</t>
        </is>
      </c>
      <c r="F186" s="219" t="inlineStr">
        <is>
          <t>分组作业</t>
        </is>
      </c>
      <c r="G186" s="222" t="inlineStr">
        <is>
          <t>张镁镁</t>
        </is>
      </c>
      <c r="H186" s="222" t="inlineStr">
        <is>
          <t>第十二班组</t>
        </is>
      </c>
      <c r="I186" s="232" t="inlineStr">
        <is>
          <t>香扒饭</t>
        </is>
      </c>
      <c r="J186" s="503" t="inlineStr">
        <is>
          <t>魏加健</t>
        </is>
      </c>
      <c r="K186" s="503" t="n"/>
      <c r="L186" s="224" t="n"/>
      <c r="M186" s="224" t="inlineStr">
        <is>
          <t>/</t>
        </is>
      </c>
      <c r="N186" s="651" t="inlineStr">
        <is>
          <t>/</t>
        </is>
      </c>
      <c r="O186" s="284" t="n">
        <v>0.145</v>
      </c>
      <c r="P186" s="235" t="inlineStr">
        <is>
          <t>/</t>
        </is>
      </c>
      <c r="Q186" s="227" t="inlineStr">
        <is>
          <t>/</t>
        </is>
      </c>
      <c r="R186" s="276" t="inlineStr">
        <is>
          <t>/</t>
        </is>
      </c>
      <c r="S186" s="227" t="inlineStr">
        <is>
          <t>/</t>
        </is>
      </c>
      <c r="T186" s="227" t="inlineStr">
        <is>
          <t>/</t>
        </is>
      </c>
      <c r="U186" s="227" t="inlineStr">
        <is>
          <t>/</t>
        </is>
      </c>
      <c r="V186" s="247" t="n">
        <v>0.035</v>
      </c>
      <c r="W186" s="284" t="n">
        <v>0.06</v>
      </c>
      <c r="X186" s="227" t="inlineStr">
        <is>
          <t>按实</t>
        </is>
      </c>
      <c r="Y186" s="461" t="inlineStr">
        <is>
          <t>/</t>
        </is>
      </c>
      <c r="Z186" s="461" t="inlineStr">
        <is>
          <t>/</t>
        </is>
      </c>
      <c r="AA186" s="461" t="inlineStr">
        <is>
          <t>按实</t>
        </is>
      </c>
      <c r="AB186" s="46" t="inlineStr">
        <is>
          <t>/</t>
        </is>
      </c>
      <c r="AC186" s="46" t="inlineStr">
        <is>
          <t>/</t>
        </is>
      </c>
      <c r="AD186" s="230" t="inlineStr">
        <is>
          <t>1、装修折旧费：营业额的5%，分组作业未分摊，服务费已包含；
2、采购费不收取；</t>
        </is>
      </c>
      <c r="AE186" s="232" t="inlineStr">
        <is>
          <t>1、签订期间：2026.3.1-2026.7.31；
2、指标按照全年换算；</t>
        </is>
      </c>
    </row>
    <row r="187" hidden="1" ht="36" customFormat="1" customHeight="1" s="209">
      <c r="A187" s="219" t="n">
        <v>185</v>
      </c>
      <c r="B187" s="220" t="inlineStr">
        <is>
          <t>KQCY0185</t>
        </is>
      </c>
      <c r="C187" s="221" t="inlineStr">
        <is>
          <t>餐饮三分部</t>
        </is>
      </c>
      <c r="D187" s="221" t="inlineStr">
        <is>
          <t>CF251</t>
        </is>
      </c>
      <c r="E187" s="221" t="inlineStr">
        <is>
          <t>苏州职大二食堂</t>
        </is>
      </c>
      <c r="F187" s="219" t="inlineStr">
        <is>
          <t>分组作业</t>
        </is>
      </c>
      <c r="G187" s="222" t="inlineStr">
        <is>
          <t>张镁镁</t>
        </is>
      </c>
      <c r="H187" s="222" t="inlineStr">
        <is>
          <t>第十三班组</t>
        </is>
      </c>
      <c r="I187" s="232" t="inlineStr">
        <is>
          <t>瓦香鸡</t>
        </is>
      </c>
      <c r="J187" s="503" t="inlineStr">
        <is>
          <t>张明明</t>
        </is>
      </c>
      <c r="K187" s="503" t="n"/>
      <c r="L187" s="224" t="n"/>
      <c r="M187" s="224" t="inlineStr">
        <is>
          <t>/</t>
        </is>
      </c>
      <c r="N187" s="651" t="inlineStr">
        <is>
          <t>/</t>
        </is>
      </c>
      <c r="O187" s="284" t="n">
        <v>0.145</v>
      </c>
      <c r="P187" s="235" t="inlineStr">
        <is>
          <t>/</t>
        </is>
      </c>
      <c r="Q187" s="227" t="inlineStr">
        <is>
          <t>/</t>
        </is>
      </c>
      <c r="R187" s="276" t="inlineStr">
        <is>
          <t>/</t>
        </is>
      </c>
      <c r="S187" s="227" t="inlineStr">
        <is>
          <t>/</t>
        </is>
      </c>
      <c r="T187" s="227" t="inlineStr">
        <is>
          <t>/</t>
        </is>
      </c>
      <c r="U187" s="227" t="inlineStr">
        <is>
          <t>/</t>
        </is>
      </c>
      <c r="V187" s="247" t="n">
        <v>0.035</v>
      </c>
      <c r="W187" s="284" t="n">
        <v>0.06</v>
      </c>
      <c r="X187" s="227" t="inlineStr">
        <is>
          <t>按实</t>
        </is>
      </c>
      <c r="Y187" s="461" t="inlineStr">
        <is>
          <t>/</t>
        </is>
      </c>
      <c r="Z187" s="461" t="inlineStr">
        <is>
          <t>/</t>
        </is>
      </c>
      <c r="AA187" s="461" t="inlineStr">
        <is>
          <t>按实</t>
        </is>
      </c>
      <c r="AB187" s="46" t="inlineStr">
        <is>
          <t>/</t>
        </is>
      </c>
      <c r="AC187" s="46" t="inlineStr">
        <is>
          <t>/</t>
        </is>
      </c>
      <c r="AD187" s="230" t="inlineStr">
        <is>
          <t>1、装修折旧费：营业额的5%，分组作业未分摊，服务费已包含；
2、采购费不收取；</t>
        </is>
      </c>
      <c r="AE187" s="232" t="inlineStr">
        <is>
          <t>1、签订期间：2026.3.1-2026.7.31；
2、指标按照全年换算；</t>
        </is>
      </c>
    </row>
    <row r="188" hidden="1" ht="36" customFormat="1" customHeight="1" s="209">
      <c r="A188" s="219" t="n">
        <v>186</v>
      </c>
      <c r="B188" s="220" t="inlineStr">
        <is>
          <t>KQCY0186</t>
        </is>
      </c>
      <c r="C188" s="221" t="inlineStr">
        <is>
          <t>餐饮三分部</t>
        </is>
      </c>
      <c r="D188" s="221" t="inlineStr">
        <is>
          <t>CF251</t>
        </is>
      </c>
      <c r="E188" s="221" t="inlineStr">
        <is>
          <t>苏州职大二食堂</t>
        </is>
      </c>
      <c r="F188" s="219" t="inlineStr">
        <is>
          <t>分组作业</t>
        </is>
      </c>
      <c r="G188" s="222" t="inlineStr">
        <is>
          <t>张镁镁</t>
        </is>
      </c>
      <c r="H188" s="222" t="inlineStr">
        <is>
          <t>第十四班组</t>
        </is>
      </c>
      <c r="I188" s="232" t="inlineStr">
        <is>
          <t>羊杂面</t>
        </is>
      </c>
      <c r="J188" s="503" t="inlineStr">
        <is>
          <t>王俊鹏</t>
        </is>
      </c>
      <c r="K188" s="503" t="n"/>
      <c r="L188" s="224" t="n"/>
      <c r="M188" s="224" t="inlineStr">
        <is>
          <t>/</t>
        </is>
      </c>
      <c r="N188" s="651" t="inlineStr">
        <is>
          <t>/</t>
        </is>
      </c>
      <c r="O188" s="284" t="n">
        <v>0.165</v>
      </c>
      <c r="P188" s="235" t="inlineStr">
        <is>
          <t>/</t>
        </is>
      </c>
      <c r="Q188" s="227" t="inlineStr">
        <is>
          <t>/</t>
        </is>
      </c>
      <c r="R188" s="276" t="inlineStr">
        <is>
          <t>/</t>
        </is>
      </c>
      <c r="S188" s="227" t="inlineStr">
        <is>
          <t>/</t>
        </is>
      </c>
      <c r="T188" s="227" t="inlineStr">
        <is>
          <t>/</t>
        </is>
      </c>
      <c r="U188" s="227" t="inlineStr">
        <is>
          <t>/</t>
        </is>
      </c>
      <c r="V188" s="247" t="n">
        <v>0.035</v>
      </c>
      <c r="W188" s="284" t="n">
        <v>0.06</v>
      </c>
      <c r="X188" s="227" t="inlineStr">
        <is>
          <t>按实</t>
        </is>
      </c>
      <c r="Y188" s="461" t="inlineStr">
        <is>
          <t>/</t>
        </is>
      </c>
      <c r="Z188" s="461" t="inlineStr">
        <is>
          <t>/</t>
        </is>
      </c>
      <c r="AA188" s="461" t="inlineStr">
        <is>
          <t>按实</t>
        </is>
      </c>
      <c r="AB188" s="46" t="inlineStr">
        <is>
          <t>/</t>
        </is>
      </c>
      <c r="AC188" s="46" t="inlineStr">
        <is>
          <t>/</t>
        </is>
      </c>
      <c r="AD188" s="230" t="inlineStr">
        <is>
          <t>1、装修折旧费：营业额的5%，分组作业未分摊，服务费已包含；
2、采购费不收取；</t>
        </is>
      </c>
      <c r="AE188" s="232" t="inlineStr">
        <is>
          <t>1、签订期间：2026.3.1-2026.7.31；
2、指标按照全年换算；</t>
        </is>
      </c>
    </row>
    <row r="189" hidden="1" ht="36" customFormat="1" customHeight="1" s="209">
      <c r="A189" s="219" t="n">
        <v>187</v>
      </c>
      <c r="B189" s="220" t="inlineStr">
        <is>
          <t>KQCY0187</t>
        </is>
      </c>
      <c r="C189" s="221" t="inlineStr">
        <is>
          <t>餐饮三分部</t>
        </is>
      </c>
      <c r="D189" s="221" t="inlineStr">
        <is>
          <t>CF251</t>
        </is>
      </c>
      <c r="E189" s="221" t="inlineStr">
        <is>
          <t>苏州职大二食堂</t>
        </is>
      </c>
      <c r="F189" s="219" t="inlineStr">
        <is>
          <t>分组作业</t>
        </is>
      </c>
      <c r="G189" s="222" t="inlineStr">
        <is>
          <t>张镁镁</t>
        </is>
      </c>
      <c r="H189" s="222" t="inlineStr">
        <is>
          <t>第十五班组</t>
        </is>
      </c>
      <c r="I189" s="232" t="inlineStr">
        <is>
          <t>苏式红汤面</t>
        </is>
      </c>
      <c r="J189" s="503" t="inlineStr">
        <is>
          <t>程周如</t>
        </is>
      </c>
      <c r="K189" s="503" t="n"/>
      <c r="L189" s="224" t="n"/>
      <c r="M189" s="224" t="inlineStr">
        <is>
          <t>/</t>
        </is>
      </c>
      <c r="N189" s="651" t="inlineStr">
        <is>
          <t>/</t>
        </is>
      </c>
      <c r="O189" s="284" t="n">
        <v>0.165</v>
      </c>
      <c r="P189" s="235" t="inlineStr">
        <is>
          <t>/</t>
        </is>
      </c>
      <c r="Q189" s="227" t="inlineStr">
        <is>
          <t>/</t>
        </is>
      </c>
      <c r="R189" s="276" t="inlineStr">
        <is>
          <t>/</t>
        </is>
      </c>
      <c r="S189" s="227" t="inlineStr">
        <is>
          <t>/</t>
        </is>
      </c>
      <c r="T189" s="227" t="inlineStr">
        <is>
          <t>/</t>
        </is>
      </c>
      <c r="U189" s="227" t="inlineStr">
        <is>
          <t>/</t>
        </is>
      </c>
      <c r="V189" s="247" t="n">
        <v>0.035</v>
      </c>
      <c r="W189" s="284" t="n">
        <v>0.06</v>
      </c>
      <c r="X189" s="227" t="inlineStr">
        <is>
          <t>按实</t>
        </is>
      </c>
      <c r="Y189" s="461" t="inlineStr">
        <is>
          <t>/</t>
        </is>
      </c>
      <c r="Z189" s="461" t="inlineStr">
        <is>
          <t>/</t>
        </is>
      </c>
      <c r="AA189" s="461" t="inlineStr">
        <is>
          <t>按实</t>
        </is>
      </c>
      <c r="AB189" s="46" t="inlineStr">
        <is>
          <t>/</t>
        </is>
      </c>
      <c r="AC189" s="46" t="inlineStr">
        <is>
          <t>/</t>
        </is>
      </c>
      <c r="AD189" s="230" t="inlineStr">
        <is>
          <t>1、装修折旧费：营业额的5%，分组作业未分摊，服务费已包含；
2、采购费不收取；</t>
        </is>
      </c>
      <c r="AE189" s="232" t="inlineStr">
        <is>
          <t>1、签订期间：2026.3.1-2026.7.31；
2、指标按照全年换算；</t>
        </is>
      </c>
    </row>
    <row r="190" hidden="1" ht="48" customFormat="1" customHeight="1" s="209">
      <c r="A190" s="219" t="n">
        <v>188</v>
      </c>
      <c r="B190" s="220" t="inlineStr">
        <is>
          <t>KQCY0188</t>
        </is>
      </c>
      <c r="C190" s="221" t="inlineStr">
        <is>
          <t>餐饮三分部</t>
        </is>
      </c>
      <c r="D190" s="221" t="inlineStr">
        <is>
          <t>CF251</t>
        </is>
      </c>
      <c r="E190" s="221" t="inlineStr">
        <is>
          <t>苏州职大二食堂</t>
        </is>
      </c>
      <c r="F190" s="219" t="inlineStr">
        <is>
          <t>分组作业</t>
        </is>
      </c>
      <c r="G190" s="222" t="inlineStr">
        <is>
          <t>张镁镁</t>
        </is>
      </c>
      <c r="H190" s="222" t="inlineStr">
        <is>
          <t>第十六班组</t>
        </is>
      </c>
      <c r="I190" s="232" t="inlineStr">
        <is>
          <t>烤鸭</t>
        </is>
      </c>
      <c r="J190" s="461" t="inlineStr">
        <is>
          <t>李嘉康</t>
        </is>
      </c>
      <c r="K190" s="503" t="n"/>
      <c r="L190" s="224" t="n"/>
      <c r="M190" s="224" t="inlineStr">
        <is>
          <t>/</t>
        </is>
      </c>
      <c r="N190" s="651" t="inlineStr">
        <is>
          <t>/</t>
        </is>
      </c>
      <c r="O190" s="284" t="n">
        <v>0.155</v>
      </c>
      <c r="P190" s="235" t="inlineStr">
        <is>
          <t>/</t>
        </is>
      </c>
      <c r="Q190" s="227" t="inlineStr">
        <is>
          <t>/</t>
        </is>
      </c>
      <c r="R190" s="276" t="inlineStr">
        <is>
          <t>/</t>
        </is>
      </c>
      <c r="S190" s="227" t="inlineStr">
        <is>
          <t>/</t>
        </is>
      </c>
      <c r="T190" s="227" t="inlineStr">
        <is>
          <t>/</t>
        </is>
      </c>
      <c r="U190" s="227" t="inlineStr">
        <is>
          <t>/</t>
        </is>
      </c>
      <c r="V190" s="247" t="n">
        <v>0.035</v>
      </c>
      <c r="W190" s="284" t="n">
        <v>0.06</v>
      </c>
      <c r="X190" s="227" t="inlineStr">
        <is>
          <t>按实</t>
        </is>
      </c>
      <c r="Y190" s="461" t="inlineStr">
        <is>
          <t>/</t>
        </is>
      </c>
      <c r="Z190" s="461" t="inlineStr">
        <is>
          <t>/</t>
        </is>
      </c>
      <c r="AA190" s="461" t="inlineStr">
        <is>
          <t>按实</t>
        </is>
      </c>
      <c r="AB190" s="46" t="inlineStr">
        <is>
          <t>/</t>
        </is>
      </c>
      <c r="AC190" s="46" t="inlineStr">
        <is>
          <t>/</t>
        </is>
      </c>
      <c r="AD190" s="230" t="inlineStr">
        <is>
          <t>1、装修折旧费：营业额的5%，分组作业未分摊，服务费已包含；
2、烤鸭房租2000/学期
3、采购费不收取；</t>
        </is>
      </c>
      <c r="AE190" s="232" t="inlineStr">
        <is>
          <t>1、签订期间：2026.3.1-2026.7.31；
2、指标按照全年换算；</t>
        </is>
      </c>
    </row>
    <row r="191" hidden="1" ht="36" customFormat="1" customHeight="1" s="209">
      <c r="A191" s="219" t="n">
        <v>189</v>
      </c>
      <c r="B191" s="220" t="inlineStr">
        <is>
          <t>KQCY0189</t>
        </is>
      </c>
      <c r="C191" s="221" t="inlineStr">
        <is>
          <t>餐饮三分部</t>
        </is>
      </c>
      <c r="D191" s="221" t="inlineStr">
        <is>
          <t>CF251</t>
        </is>
      </c>
      <c r="E191" s="221" t="inlineStr">
        <is>
          <t>苏州职大二食堂</t>
        </is>
      </c>
      <c r="F191" s="219" t="inlineStr">
        <is>
          <t>分组作业</t>
        </is>
      </c>
      <c r="G191" s="222" t="inlineStr">
        <is>
          <t>张镁镁</t>
        </is>
      </c>
      <c r="H191" s="222" t="inlineStr">
        <is>
          <t>第十七班组</t>
        </is>
      </c>
      <c r="I191" s="232" t="inlineStr">
        <is>
          <t>手工水饺</t>
        </is>
      </c>
      <c r="J191" s="461" t="inlineStr">
        <is>
          <t>汪玉凤</t>
        </is>
      </c>
      <c r="K191" s="503" t="n"/>
      <c r="L191" s="224" t="n"/>
      <c r="M191" s="224" t="inlineStr">
        <is>
          <t>/</t>
        </is>
      </c>
      <c r="N191" s="651" t="inlineStr">
        <is>
          <t>/</t>
        </is>
      </c>
      <c r="O191" s="284" t="n">
        <v>0.155</v>
      </c>
      <c r="P191" s="235" t="inlineStr">
        <is>
          <t>/</t>
        </is>
      </c>
      <c r="Q191" s="227" t="inlineStr">
        <is>
          <t>/</t>
        </is>
      </c>
      <c r="R191" s="276" t="inlineStr">
        <is>
          <t>/</t>
        </is>
      </c>
      <c r="S191" s="227" t="inlineStr">
        <is>
          <t>/</t>
        </is>
      </c>
      <c r="T191" s="227" t="inlineStr">
        <is>
          <t>/</t>
        </is>
      </c>
      <c r="U191" s="227" t="inlineStr">
        <is>
          <t>/</t>
        </is>
      </c>
      <c r="V191" s="247" t="n">
        <v>0.035</v>
      </c>
      <c r="W191" s="284" t="n">
        <v>0.06</v>
      </c>
      <c r="X191" s="227" t="inlineStr">
        <is>
          <t>按实</t>
        </is>
      </c>
      <c r="Y191" s="461" t="inlineStr">
        <is>
          <t>/</t>
        </is>
      </c>
      <c r="Z191" s="461" t="inlineStr">
        <is>
          <t>/</t>
        </is>
      </c>
      <c r="AA191" s="461" t="inlineStr">
        <is>
          <t>按实</t>
        </is>
      </c>
      <c r="AB191" s="46" t="inlineStr">
        <is>
          <t>/</t>
        </is>
      </c>
      <c r="AC191" s="46" t="inlineStr">
        <is>
          <t>/</t>
        </is>
      </c>
      <c r="AD191" s="230" t="inlineStr">
        <is>
          <t>1、装修折旧费：营业额的5%，分组作业未分摊，服务费已包含；
2、采购费不收取；</t>
        </is>
      </c>
      <c r="AE191" s="232" t="inlineStr">
        <is>
          <t>1、签订期间：2026.3.1-2026.7.31；
2、指标按照全年换算；</t>
        </is>
      </c>
    </row>
    <row r="192" hidden="1" ht="36" customFormat="1" customHeight="1" s="209">
      <c r="A192" s="219" t="n">
        <v>190</v>
      </c>
      <c r="B192" s="220" t="inlineStr">
        <is>
          <t>KQCY0190</t>
        </is>
      </c>
      <c r="C192" s="221" t="inlineStr">
        <is>
          <t>餐饮三分部</t>
        </is>
      </c>
      <c r="D192" s="221" t="inlineStr">
        <is>
          <t>CF251</t>
        </is>
      </c>
      <c r="E192" s="221" t="inlineStr">
        <is>
          <t>苏州职大二食堂</t>
        </is>
      </c>
      <c r="F192" s="219" t="inlineStr">
        <is>
          <t>分组作业</t>
        </is>
      </c>
      <c r="G192" s="222" t="inlineStr">
        <is>
          <t>张镁镁</t>
        </is>
      </c>
      <c r="H192" s="222" t="inlineStr">
        <is>
          <t>第十八班组</t>
        </is>
      </c>
      <c r="I192" s="232" t="inlineStr">
        <is>
          <t>把子肉</t>
        </is>
      </c>
      <c r="J192" s="461" t="inlineStr">
        <is>
          <t>杜故乡</t>
        </is>
      </c>
      <c r="K192" s="503" t="n"/>
      <c r="L192" s="224" t="n"/>
      <c r="M192" s="224" t="inlineStr">
        <is>
          <t>/</t>
        </is>
      </c>
      <c r="N192" s="651" t="inlineStr">
        <is>
          <t>/</t>
        </is>
      </c>
      <c r="O192" s="284" t="n">
        <v>0.135</v>
      </c>
      <c r="P192" s="235" t="inlineStr">
        <is>
          <t>/</t>
        </is>
      </c>
      <c r="Q192" s="227" t="inlineStr">
        <is>
          <t>/</t>
        </is>
      </c>
      <c r="R192" s="276" t="inlineStr">
        <is>
          <t>/</t>
        </is>
      </c>
      <c r="S192" s="227" t="inlineStr">
        <is>
          <t>/</t>
        </is>
      </c>
      <c r="T192" s="227" t="inlineStr">
        <is>
          <t>/</t>
        </is>
      </c>
      <c r="U192" s="227" t="inlineStr">
        <is>
          <t>/</t>
        </is>
      </c>
      <c r="V192" s="247" t="n">
        <v>0.035</v>
      </c>
      <c r="W192" s="284" t="n">
        <v>0.06</v>
      </c>
      <c r="X192" s="227" t="inlineStr">
        <is>
          <t>按实</t>
        </is>
      </c>
      <c r="Y192" s="461" t="inlineStr">
        <is>
          <t>/</t>
        </is>
      </c>
      <c r="Z192" s="461" t="inlineStr">
        <is>
          <t>/</t>
        </is>
      </c>
      <c r="AA192" s="461" t="inlineStr">
        <is>
          <t>按实</t>
        </is>
      </c>
      <c r="AB192" s="46" t="inlineStr">
        <is>
          <t>/</t>
        </is>
      </c>
      <c r="AC192" s="46" t="inlineStr">
        <is>
          <t>/</t>
        </is>
      </c>
      <c r="AD192" s="230" t="inlineStr">
        <is>
          <t>1、装修折旧费：营业额的5%，分组作业未分摊，服务费已包含；
2、采购费不收取；</t>
        </is>
      </c>
      <c r="AE192" s="232" t="inlineStr">
        <is>
          <t>1、签订期间：2026.3.1-2026.7.31；
2、指标按照全年换算；</t>
        </is>
      </c>
    </row>
    <row r="193" hidden="1" ht="12" customFormat="1" customHeight="1" s="209">
      <c r="A193" s="219" t="n">
        <v>191</v>
      </c>
      <c r="B193" s="220" t="inlineStr">
        <is>
          <t>KQCY0191</t>
        </is>
      </c>
      <c r="C193" s="221" t="inlineStr">
        <is>
          <t>餐饮三分部</t>
        </is>
      </c>
      <c r="D193" s="221" t="inlineStr">
        <is>
          <t>CF780</t>
        </is>
      </c>
      <c r="E193" s="221" t="inlineStr">
        <is>
          <t>吉建大二食堂</t>
        </is>
      </c>
      <c r="F193" s="219" t="inlineStr">
        <is>
          <t>自营</t>
        </is>
      </c>
      <c r="G193" s="222" t="inlineStr">
        <is>
          <t>吉沐牛</t>
        </is>
      </c>
      <c r="H193" s="222" t="inlineStr">
        <is>
          <t>/</t>
        </is>
      </c>
      <c r="I193" s="237" t="inlineStr">
        <is>
          <t>/</t>
        </is>
      </c>
      <c r="J193" s="222" t="inlineStr">
        <is>
          <t>/</t>
        </is>
      </c>
      <c r="K193" s="222" t="n"/>
      <c r="L193" s="224" t="n"/>
      <c r="M193" s="224" t="inlineStr">
        <is>
          <t>/</t>
        </is>
      </c>
      <c r="N193" s="651" t="inlineStr">
        <is>
          <t>/</t>
        </is>
      </c>
      <c r="O193" s="235" t="inlineStr">
        <is>
          <t>/</t>
        </is>
      </c>
      <c r="P193" s="235" t="n"/>
      <c r="Q193" s="235" t="inlineStr">
        <is>
          <t>/</t>
        </is>
      </c>
      <c r="R193" s="235" t="n"/>
      <c r="S193" s="235" t="inlineStr">
        <is>
          <t>/</t>
        </is>
      </c>
      <c r="T193" s="235" t="inlineStr">
        <is>
          <t>/</t>
        </is>
      </c>
      <c r="U193" s="235" t="inlineStr">
        <is>
          <t>/</t>
        </is>
      </c>
      <c r="V193" s="235" t="n"/>
      <c r="W193" s="235" t="n"/>
      <c r="X193" s="235" t="inlineStr">
        <is>
          <t>/</t>
        </is>
      </c>
      <c r="Y193" s="461" t="n"/>
      <c r="Z193" s="461" t="n"/>
      <c r="AA193" s="461" t="n"/>
      <c r="AB193" s="46" t="n">
        <v>0.05</v>
      </c>
      <c r="AC193" s="46" t="inlineStr">
        <is>
          <t>/</t>
        </is>
      </c>
      <c r="AD193" s="232" t="n"/>
      <c r="AE193" s="232" t="n"/>
    </row>
    <row r="194" hidden="1" ht="24" customFormat="1" customHeight="1" s="209">
      <c r="A194" s="219" t="n">
        <v>192</v>
      </c>
      <c r="B194" s="220" t="inlineStr">
        <is>
          <t>KQCY0192</t>
        </is>
      </c>
      <c r="C194" s="221" t="inlineStr">
        <is>
          <t>餐饮三分部</t>
        </is>
      </c>
      <c r="D194" s="221" t="inlineStr">
        <is>
          <t>CF780</t>
        </is>
      </c>
      <c r="E194" s="221" t="inlineStr">
        <is>
          <t>吉建大二食堂</t>
        </is>
      </c>
      <c r="F194" s="219" t="inlineStr">
        <is>
          <t>分组作业</t>
        </is>
      </c>
      <c r="G194" s="222" t="inlineStr">
        <is>
          <t>吉沐牛</t>
        </is>
      </c>
      <c r="H194" s="503" t="inlineStr">
        <is>
          <t>/</t>
        </is>
      </c>
      <c r="I194" s="237" t="inlineStr">
        <is>
          <t>早点</t>
        </is>
      </c>
      <c r="J194" s="222" t="inlineStr">
        <is>
          <t>李帮</t>
        </is>
      </c>
      <c r="K194" s="222" t="n"/>
      <c r="L194" s="224" t="n"/>
      <c r="M194" s="224" t="inlineStr">
        <is>
          <t>/</t>
        </is>
      </c>
      <c r="N194" s="651" t="n">
        <v>2352000</v>
      </c>
      <c r="O194" s="552" t="n">
        <v>0.15</v>
      </c>
      <c r="P194" s="235" t="n">
        <v>0.01</v>
      </c>
      <c r="Q194" s="235" t="inlineStr">
        <is>
          <t>/</t>
        </is>
      </c>
      <c r="R194" s="235" t="n">
        <v>0.04</v>
      </c>
      <c r="S194" s="235" t="n">
        <v>0.03</v>
      </c>
      <c r="T194" s="235" t="n">
        <v>0.01</v>
      </c>
      <c r="U194" s="235" t="n">
        <v>0.01</v>
      </c>
      <c r="V194" s="461" t="n">
        <v>0</v>
      </c>
      <c r="W194" s="461" t="n">
        <v>0</v>
      </c>
      <c r="X194" s="461" t="inlineStr">
        <is>
          <t>按实</t>
        </is>
      </c>
      <c r="Y194" s="461" t="inlineStr">
        <is>
          <t>/</t>
        </is>
      </c>
      <c r="Z194" s="461" t="inlineStr">
        <is>
          <t>/</t>
        </is>
      </c>
      <c r="AA194" s="461" t="inlineStr">
        <is>
          <t>按实</t>
        </is>
      </c>
      <c r="AB194" s="46" t="inlineStr">
        <is>
          <t>/</t>
        </is>
      </c>
      <c r="AC194" s="46" t="inlineStr">
        <is>
          <t>/</t>
        </is>
      </c>
      <c r="AD194" s="232" t="inlineStr">
        <is>
          <t>1、甲方捐赠：项目反馈不收取，包含在服务费中；</t>
        </is>
      </c>
      <c r="AE194" s="232" t="inlineStr">
        <is>
          <t>1、签订期间：2026.3-7月；
2、指标按照全年换算；</t>
        </is>
      </c>
    </row>
    <row r="195" hidden="1" ht="36" customFormat="1" customHeight="1" s="209">
      <c r="A195" s="219" t="n">
        <v>193</v>
      </c>
      <c r="B195" s="220" t="inlineStr">
        <is>
          <t>KQCY0193</t>
        </is>
      </c>
      <c r="C195" s="221" t="inlineStr">
        <is>
          <t>餐饮三分部</t>
        </is>
      </c>
      <c r="D195" s="221" t="inlineStr">
        <is>
          <t>CF780</t>
        </is>
      </c>
      <c r="E195" s="221" t="inlineStr">
        <is>
          <t>吉建大二食堂</t>
        </is>
      </c>
      <c r="F195" s="219" t="inlineStr">
        <is>
          <t>分组作业</t>
        </is>
      </c>
      <c r="G195" s="222" t="inlineStr">
        <is>
          <t>吉沐牛</t>
        </is>
      </c>
      <c r="H195" s="503" t="inlineStr">
        <is>
          <t>/</t>
        </is>
      </c>
      <c r="I195" s="237" t="inlineStr">
        <is>
          <t>0090汉堡</t>
        </is>
      </c>
      <c r="J195" s="222" t="inlineStr">
        <is>
          <t>戴杰</t>
        </is>
      </c>
      <c r="K195" s="222" t="n"/>
      <c r="L195" s="224" t="n"/>
      <c r="M195" s="224" t="inlineStr">
        <is>
          <t>/</t>
        </is>
      </c>
      <c r="N195" s="651" t="n">
        <v>2280000</v>
      </c>
      <c r="O195" s="235" t="inlineStr">
        <is>
          <t>17%&amp;16%</t>
        </is>
      </c>
      <c r="P195" s="235" t="n">
        <v>0.01</v>
      </c>
      <c r="Q195" s="235" t="inlineStr">
        <is>
          <t>/</t>
        </is>
      </c>
      <c r="R195" s="235" t="n">
        <v>0.04</v>
      </c>
      <c r="S195" s="235" t="n">
        <v>0.03</v>
      </c>
      <c r="T195" s="235" t="n">
        <v>0.01</v>
      </c>
      <c r="U195" s="235" t="n">
        <v>0.01</v>
      </c>
      <c r="V195" s="461" t="n">
        <v>0</v>
      </c>
      <c r="W195" s="461" t="n">
        <v>0</v>
      </c>
      <c r="X195" s="461" t="inlineStr">
        <is>
          <t>按实</t>
        </is>
      </c>
      <c r="Y195" s="461" t="inlineStr">
        <is>
          <t>/</t>
        </is>
      </c>
      <c r="Z195" s="461" t="inlineStr">
        <is>
          <t>/</t>
        </is>
      </c>
      <c r="AA195" s="461" t="inlineStr">
        <is>
          <t>按实</t>
        </is>
      </c>
      <c r="AB195" s="46" t="inlineStr">
        <is>
          <t>/</t>
        </is>
      </c>
      <c r="AC195" s="46" t="inlineStr">
        <is>
          <t>/</t>
        </is>
      </c>
      <c r="AD195" s="232" t="inlineStr">
        <is>
          <t>1、服务费：超过20万按16%收取，未超过按17%收取管理费；
2、甲方捐赠：项目反馈不收取，包含在服务费中；</t>
        </is>
      </c>
      <c r="AE195" s="232" t="inlineStr">
        <is>
          <t>1、签订期间：2026.3-7月；
2、指标按照全年换算；
3、超过20万按16%收取，未超过按17%收取管理费；</t>
        </is>
      </c>
    </row>
    <row r="196" hidden="1" ht="36" customFormat="1" customHeight="1" s="209">
      <c r="A196" s="219" t="n">
        <v>194</v>
      </c>
      <c r="B196" s="220" t="inlineStr">
        <is>
          <t>KQCY0194</t>
        </is>
      </c>
      <c r="C196" s="221" t="inlineStr">
        <is>
          <t>餐饮三分部</t>
        </is>
      </c>
      <c r="D196" s="221" t="inlineStr">
        <is>
          <t>CF780</t>
        </is>
      </c>
      <c r="E196" s="221" t="inlineStr">
        <is>
          <t>吉建大二食堂</t>
        </is>
      </c>
      <c r="F196" s="219" t="inlineStr">
        <is>
          <t>分组作业</t>
        </is>
      </c>
      <c r="G196" s="222" t="inlineStr">
        <is>
          <t>吉沐牛</t>
        </is>
      </c>
      <c r="H196" s="503" t="inlineStr">
        <is>
          <t>/</t>
        </is>
      </c>
      <c r="I196" s="237" t="inlineStr">
        <is>
          <t>果檬鲜果</t>
        </is>
      </c>
      <c r="J196" s="222" t="inlineStr">
        <is>
          <t>曹雪</t>
        </is>
      </c>
      <c r="K196" s="222" t="n"/>
      <c r="L196" s="224" t="n"/>
      <c r="M196" s="224" t="inlineStr">
        <is>
          <t>/</t>
        </is>
      </c>
      <c r="N196" s="651" t="n">
        <v>816000</v>
      </c>
      <c r="O196" s="235" t="inlineStr">
        <is>
          <t>17%&amp;16%</t>
        </is>
      </c>
      <c r="P196" s="235" t="n">
        <v>0.01</v>
      </c>
      <c r="Q196" s="235" t="inlineStr">
        <is>
          <t>/</t>
        </is>
      </c>
      <c r="R196" s="235" t="n">
        <v>0.04</v>
      </c>
      <c r="S196" s="235" t="n">
        <v>0.03</v>
      </c>
      <c r="T196" s="235" t="n">
        <v>0.01</v>
      </c>
      <c r="U196" s="235" t="n">
        <v>0.01</v>
      </c>
      <c r="V196" s="461" t="n">
        <v>0</v>
      </c>
      <c r="W196" s="461" t="n">
        <v>0</v>
      </c>
      <c r="X196" s="461" t="inlineStr">
        <is>
          <t>按实</t>
        </is>
      </c>
      <c r="Y196" s="461" t="inlineStr">
        <is>
          <t>/</t>
        </is>
      </c>
      <c r="Z196" s="461" t="inlineStr">
        <is>
          <t>/</t>
        </is>
      </c>
      <c r="AA196" s="461" t="inlineStr">
        <is>
          <t>按实</t>
        </is>
      </c>
      <c r="AB196" s="46" t="inlineStr">
        <is>
          <t>/</t>
        </is>
      </c>
      <c r="AC196" s="46" t="inlineStr">
        <is>
          <t>/</t>
        </is>
      </c>
      <c r="AD196" s="232" t="inlineStr">
        <is>
          <t>1、服务费：超过20万按16%收取，未超过按17%收取管理费；
2、甲方捐赠：项目反馈不收取，包含在服务费中；</t>
        </is>
      </c>
      <c r="AE196" s="232" t="inlineStr">
        <is>
          <t>1、签订期间：2026.3-7月；
2、指标按照全年换算；
3、超过20万按16%收取，未超过按17%收取管理费；</t>
        </is>
      </c>
    </row>
    <row r="197" hidden="1" ht="24" customFormat="1" customHeight="1" s="209">
      <c r="A197" s="219" t="n">
        <v>195</v>
      </c>
      <c r="B197" s="220" t="inlineStr">
        <is>
          <t>KQCY0195</t>
        </is>
      </c>
      <c r="C197" s="221" t="inlineStr">
        <is>
          <t>餐饮三分部</t>
        </is>
      </c>
      <c r="D197" s="221" t="inlineStr">
        <is>
          <t>CF780</t>
        </is>
      </c>
      <c r="E197" s="221" t="inlineStr">
        <is>
          <t>吉建大二食堂</t>
        </is>
      </c>
      <c r="F197" s="219" t="inlineStr">
        <is>
          <t>分组作业</t>
        </is>
      </c>
      <c r="G197" s="222" t="inlineStr">
        <is>
          <t>吉沐牛</t>
        </is>
      </c>
      <c r="H197" s="503" t="inlineStr">
        <is>
          <t>/</t>
        </is>
      </c>
      <c r="I197" s="237" t="inlineStr">
        <is>
          <t>自选水饺</t>
        </is>
      </c>
      <c r="J197" s="222" t="inlineStr">
        <is>
          <t>李英</t>
        </is>
      </c>
      <c r="K197" s="222" t="n"/>
      <c r="L197" s="224" t="n"/>
      <c r="M197" s="224" t="inlineStr">
        <is>
          <t>/</t>
        </is>
      </c>
      <c r="N197" s="651" t="n">
        <v>700800</v>
      </c>
      <c r="O197" s="235" t="n">
        <v>0.1</v>
      </c>
      <c r="P197" s="235" t="n">
        <v>0.01</v>
      </c>
      <c r="Q197" s="235" t="inlineStr">
        <is>
          <t>/</t>
        </is>
      </c>
      <c r="R197" s="235" t="n">
        <v>0.04</v>
      </c>
      <c r="S197" s="235" t="n">
        <v>0.03</v>
      </c>
      <c r="T197" s="235" t="n">
        <v>0.01</v>
      </c>
      <c r="U197" s="235" t="n">
        <v>0.01</v>
      </c>
      <c r="V197" s="461" t="inlineStr">
        <is>
          <t>按实</t>
        </is>
      </c>
      <c r="W197" s="461" t="inlineStr">
        <is>
          <t>按实</t>
        </is>
      </c>
      <c r="X197" s="461" t="inlineStr">
        <is>
          <t>按实</t>
        </is>
      </c>
      <c r="Y197" s="461" t="inlineStr">
        <is>
          <t>/</t>
        </is>
      </c>
      <c r="Z197" s="461" t="inlineStr">
        <is>
          <t>/</t>
        </is>
      </c>
      <c r="AA197" s="461" t="inlineStr">
        <is>
          <t>按实</t>
        </is>
      </c>
      <c r="AB197" s="46" t="inlineStr">
        <is>
          <t>/</t>
        </is>
      </c>
      <c r="AC197" s="46" t="inlineStr">
        <is>
          <t>/</t>
        </is>
      </c>
      <c r="AD197" s="232" t="inlineStr">
        <is>
          <t>1、甲方捐赠：项目反馈不收取，包含在服务费中；</t>
        </is>
      </c>
      <c r="AE197" s="232" t="inlineStr">
        <is>
          <t>1、签订期间：2026.3-7月；
2、指标按照全年换算；</t>
        </is>
      </c>
    </row>
    <row r="198" hidden="1" ht="24" customFormat="1" customHeight="1" s="209">
      <c r="A198" s="219" t="n">
        <v>196</v>
      </c>
      <c r="B198" s="220" t="inlineStr">
        <is>
          <t>KQCY0196</t>
        </is>
      </c>
      <c r="C198" s="221" t="inlineStr">
        <is>
          <t>餐饮三分部</t>
        </is>
      </c>
      <c r="D198" s="221" t="inlineStr">
        <is>
          <t>CF780</t>
        </is>
      </c>
      <c r="E198" s="221" t="inlineStr">
        <is>
          <t>吉建大二食堂</t>
        </is>
      </c>
      <c r="F198" s="219" t="inlineStr">
        <is>
          <t>分组作业</t>
        </is>
      </c>
      <c r="G198" s="222" t="inlineStr">
        <is>
          <t>吉沐牛</t>
        </is>
      </c>
      <c r="H198" s="503" t="inlineStr">
        <is>
          <t>/</t>
        </is>
      </c>
      <c r="I198" s="237" t="inlineStr">
        <is>
          <t>渔之谷渔粉</t>
        </is>
      </c>
      <c r="J198" s="222" t="inlineStr">
        <is>
          <t>李荣</t>
        </is>
      </c>
      <c r="K198" s="222" t="n"/>
      <c r="L198" s="224" t="n"/>
      <c r="M198" s="224" t="inlineStr">
        <is>
          <t>/</t>
        </is>
      </c>
      <c r="N198" s="651" t="n">
        <v>720000</v>
      </c>
      <c r="O198" s="552" t="n">
        <v>0.1</v>
      </c>
      <c r="P198" s="235" t="n">
        <v>0.01</v>
      </c>
      <c r="Q198" s="235" t="inlineStr">
        <is>
          <t>/</t>
        </is>
      </c>
      <c r="R198" s="235" t="n">
        <v>0.04</v>
      </c>
      <c r="S198" s="235" t="n">
        <v>0.03</v>
      </c>
      <c r="T198" s="235" t="n">
        <v>0.01</v>
      </c>
      <c r="U198" s="235" t="n">
        <v>0.01</v>
      </c>
      <c r="V198" s="461" t="inlineStr">
        <is>
          <t>按实</t>
        </is>
      </c>
      <c r="W198" s="461" t="inlineStr">
        <is>
          <t>按实</t>
        </is>
      </c>
      <c r="X198" s="461" t="inlineStr">
        <is>
          <t>按实</t>
        </is>
      </c>
      <c r="Y198" s="461" t="inlineStr">
        <is>
          <t>/</t>
        </is>
      </c>
      <c r="Z198" s="461" t="inlineStr">
        <is>
          <t>/</t>
        </is>
      </c>
      <c r="AA198" s="461" t="inlineStr">
        <is>
          <t>按实</t>
        </is>
      </c>
      <c r="AB198" s="46" t="inlineStr">
        <is>
          <t>/</t>
        </is>
      </c>
      <c r="AC198" s="46" t="inlineStr">
        <is>
          <t>/</t>
        </is>
      </c>
      <c r="AD198" s="232" t="inlineStr">
        <is>
          <t>1、甲方捐赠：项目反馈不收取，包含在服务费中；</t>
        </is>
      </c>
      <c r="AE198" s="232" t="inlineStr">
        <is>
          <t>1、签订期间：2026.3-7月；
2、指标按照全年换算；</t>
        </is>
      </c>
    </row>
    <row r="199" hidden="1" ht="24" customFormat="1" customHeight="1" s="209">
      <c r="A199" s="219" t="n">
        <v>197</v>
      </c>
      <c r="B199" s="220" t="inlineStr">
        <is>
          <t>KQCY0197</t>
        </is>
      </c>
      <c r="C199" s="221" t="inlineStr">
        <is>
          <t>餐饮三分部</t>
        </is>
      </c>
      <c r="D199" s="221" t="inlineStr">
        <is>
          <t>CF780</t>
        </is>
      </c>
      <c r="E199" s="221" t="inlineStr">
        <is>
          <t>吉建大二食堂</t>
        </is>
      </c>
      <c r="F199" s="219" t="inlineStr">
        <is>
          <t>分组作业</t>
        </is>
      </c>
      <c r="G199" s="222" t="inlineStr">
        <is>
          <t>吉沐牛</t>
        </is>
      </c>
      <c r="H199" s="503" t="inlineStr">
        <is>
          <t>/</t>
        </is>
      </c>
      <c r="I199" s="237" t="inlineStr">
        <is>
          <t>昆吉双拼饭</t>
        </is>
      </c>
      <c r="J199" s="222" t="inlineStr">
        <is>
          <t>郑金娟</t>
        </is>
      </c>
      <c r="K199" s="222" t="n"/>
      <c r="L199" s="224" t="n"/>
      <c r="M199" s="224" t="inlineStr">
        <is>
          <t>/</t>
        </is>
      </c>
      <c r="N199" s="651" t="n">
        <v>960000</v>
      </c>
      <c r="O199" s="552" t="n">
        <v>0.1</v>
      </c>
      <c r="P199" s="235" t="n">
        <v>0.01</v>
      </c>
      <c r="Q199" s="235" t="inlineStr">
        <is>
          <t>/</t>
        </is>
      </c>
      <c r="R199" s="235" t="n">
        <v>0.04</v>
      </c>
      <c r="S199" s="235" t="n">
        <v>0.03</v>
      </c>
      <c r="T199" s="235" t="n">
        <v>0.01</v>
      </c>
      <c r="U199" s="235" t="n">
        <v>0.01</v>
      </c>
      <c r="V199" s="461" t="inlineStr">
        <is>
          <t>按实</t>
        </is>
      </c>
      <c r="W199" s="461" t="inlineStr">
        <is>
          <t>按实</t>
        </is>
      </c>
      <c r="X199" s="461" t="inlineStr">
        <is>
          <t>按实</t>
        </is>
      </c>
      <c r="Y199" s="461" t="inlineStr">
        <is>
          <t>/</t>
        </is>
      </c>
      <c r="Z199" s="461" t="inlineStr">
        <is>
          <t>/</t>
        </is>
      </c>
      <c r="AA199" s="235" t="inlineStr">
        <is>
          <t>按实</t>
        </is>
      </c>
      <c r="AB199" s="46" t="inlineStr">
        <is>
          <t>/</t>
        </is>
      </c>
      <c r="AC199" s="46" t="inlineStr">
        <is>
          <t>/</t>
        </is>
      </c>
      <c r="AD199" s="232" t="inlineStr">
        <is>
          <t>1、甲方捐赠：项目反馈不收取，包含在服务费中；</t>
        </is>
      </c>
      <c r="AE199" s="232" t="inlineStr">
        <is>
          <t>1、签订期间：2026.3-7月；
2、指标按照全年换算；</t>
        </is>
      </c>
    </row>
    <row r="200" hidden="1" ht="24" customFormat="1" customHeight="1" s="209">
      <c r="A200" s="219" t="n">
        <v>198</v>
      </c>
      <c r="B200" s="220" t="inlineStr">
        <is>
          <t>KQCY0198</t>
        </is>
      </c>
      <c r="C200" s="221" t="inlineStr">
        <is>
          <t>餐饮三分部</t>
        </is>
      </c>
      <c r="D200" s="221" t="inlineStr">
        <is>
          <t>CF780</t>
        </is>
      </c>
      <c r="E200" s="221" t="inlineStr">
        <is>
          <t>吉建大二食堂</t>
        </is>
      </c>
      <c r="F200" s="219" t="inlineStr">
        <is>
          <t>分组作业</t>
        </is>
      </c>
      <c r="G200" s="222" t="inlineStr">
        <is>
          <t>吉沐牛</t>
        </is>
      </c>
      <c r="H200" s="503" t="inlineStr">
        <is>
          <t>/</t>
        </is>
      </c>
      <c r="I200" s="237" t="inlineStr">
        <is>
          <t>杭州小笼包</t>
        </is>
      </c>
      <c r="J200" s="222" t="inlineStr">
        <is>
          <t>李红岷</t>
        </is>
      </c>
      <c r="K200" s="222" t="n"/>
      <c r="L200" s="224" t="n"/>
      <c r="M200" s="224" t="inlineStr">
        <is>
          <t>/</t>
        </is>
      </c>
      <c r="N200" s="651" t="n">
        <v>1032000</v>
      </c>
      <c r="O200" s="247" t="n">
        <v>0.1</v>
      </c>
      <c r="P200" s="235" t="n">
        <v>0.01</v>
      </c>
      <c r="Q200" s="461" t="inlineStr">
        <is>
          <t>/</t>
        </is>
      </c>
      <c r="R200" s="235" t="n">
        <v>0.04</v>
      </c>
      <c r="S200" s="235" t="n">
        <v>0.03</v>
      </c>
      <c r="T200" s="235" t="n">
        <v>0.01</v>
      </c>
      <c r="U200" s="235" t="n">
        <v>0.01</v>
      </c>
      <c r="V200" s="461" t="inlineStr">
        <is>
          <t>按实</t>
        </is>
      </c>
      <c r="W200" s="461" t="inlineStr">
        <is>
          <t>按实</t>
        </is>
      </c>
      <c r="X200" s="461" t="inlineStr">
        <is>
          <t>按实</t>
        </is>
      </c>
      <c r="Y200" s="461" t="inlineStr">
        <is>
          <t>/</t>
        </is>
      </c>
      <c r="Z200" s="461" t="inlineStr">
        <is>
          <t>/</t>
        </is>
      </c>
      <c r="AA200" s="461" t="inlineStr">
        <is>
          <t>按实</t>
        </is>
      </c>
      <c r="AB200" s="46" t="inlineStr">
        <is>
          <t>/</t>
        </is>
      </c>
      <c r="AC200" s="46" t="inlineStr">
        <is>
          <t>/</t>
        </is>
      </c>
      <c r="AD200" s="232" t="inlineStr">
        <is>
          <t>1、甲方捐赠：项目反馈不收取，包含在服务费中；</t>
        </is>
      </c>
      <c r="AE200" s="232" t="inlineStr">
        <is>
          <t>1、签订期间：2026.3-7月；
2、指标按照全年换算；</t>
        </is>
      </c>
    </row>
    <row r="201" hidden="1" ht="24" customFormat="1" customHeight="1" s="209">
      <c r="A201" s="219" t="n">
        <v>199</v>
      </c>
      <c r="B201" s="220" t="inlineStr">
        <is>
          <t>KQCY0199</t>
        </is>
      </c>
      <c r="C201" s="221" t="inlineStr">
        <is>
          <t>餐饮三分部</t>
        </is>
      </c>
      <c r="D201" s="221" t="inlineStr">
        <is>
          <t>CF780</t>
        </is>
      </c>
      <c r="E201" s="221" t="inlineStr">
        <is>
          <t>吉建大二食堂</t>
        </is>
      </c>
      <c r="F201" s="219" t="inlineStr">
        <is>
          <t>分组作业</t>
        </is>
      </c>
      <c r="G201" s="222" t="inlineStr">
        <is>
          <t>吉沐牛</t>
        </is>
      </c>
      <c r="H201" s="503" t="inlineStr">
        <is>
          <t>/</t>
        </is>
      </c>
      <c r="I201" s="237" t="inlineStr">
        <is>
          <t>辣椒炒肉</t>
        </is>
      </c>
      <c r="J201" s="222" t="inlineStr">
        <is>
          <t>马永波</t>
        </is>
      </c>
      <c r="K201" s="222" t="n"/>
      <c r="L201" s="224" t="n"/>
      <c r="M201" s="224" t="inlineStr">
        <is>
          <t>/</t>
        </is>
      </c>
      <c r="N201" s="651" t="n">
        <v>912000</v>
      </c>
      <c r="O201" s="247" t="n">
        <v>0.1</v>
      </c>
      <c r="P201" s="235" t="n">
        <v>0.01</v>
      </c>
      <c r="Q201" s="461" t="inlineStr">
        <is>
          <t>/</t>
        </is>
      </c>
      <c r="R201" s="235" t="n">
        <v>0.04</v>
      </c>
      <c r="S201" s="235" t="n">
        <v>0.03</v>
      </c>
      <c r="T201" s="235" t="n">
        <v>0.01</v>
      </c>
      <c r="U201" s="235" t="n">
        <v>0.01</v>
      </c>
      <c r="V201" s="461" t="inlineStr">
        <is>
          <t>按实</t>
        </is>
      </c>
      <c r="W201" s="461" t="inlineStr">
        <is>
          <t>按实</t>
        </is>
      </c>
      <c r="X201" s="461" t="inlineStr">
        <is>
          <t>按实</t>
        </is>
      </c>
      <c r="Y201" s="461" t="inlineStr">
        <is>
          <t>/</t>
        </is>
      </c>
      <c r="Z201" s="461" t="inlineStr">
        <is>
          <t>/</t>
        </is>
      </c>
      <c r="AA201" s="461" t="inlineStr">
        <is>
          <t>按实</t>
        </is>
      </c>
      <c r="AB201" s="46" t="inlineStr">
        <is>
          <t>/</t>
        </is>
      </c>
      <c r="AC201" s="46" t="inlineStr">
        <is>
          <t>/</t>
        </is>
      </c>
      <c r="AD201" s="232" t="inlineStr">
        <is>
          <t>1、甲方捐赠：项目反馈不收取，包含在服务费中；</t>
        </is>
      </c>
      <c r="AE201" s="232" t="inlineStr">
        <is>
          <t>1、签订期间：2026.3-7月；
2、指标按照全年换算；</t>
        </is>
      </c>
    </row>
    <row r="202" hidden="1" ht="24" customFormat="1" customHeight="1" s="209">
      <c r="A202" s="219" t="n">
        <v>200</v>
      </c>
      <c r="B202" s="220" t="inlineStr">
        <is>
          <t>KQCY0200</t>
        </is>
      </c>
      <c r="C202" s="221" t="inlineStr">
        <is>
          <t>餐饮三分部</t>
        </is>
      </c>
      <c r="D202" s="221" t="inlineStr">
        <is>
          <t>CF780</t>
        </is>
      </c>
      <c r="E202" s="221" t="inlineStr">
        <is>
          <t>吉建大二食堂</t>
        </is>
      </c>
      <c r="F202" s="219" t="inlineStr">
        <is>
          <t>分组作业</t>
        </is>
      </c>
      <c r="G202" s="222" t="inlineStr">
        <is>
          <t>吉沐牛</t>
        </is>
      </c>
      <c r="H202" s="503" t="inlineStr">
        <is>
          <t>/</t>
        </is>
      </c>
      <c r="I202" s="237" t="inlineStr">
        <is>
          <t>土豆粉</t>
        </is>
      </c>
      <c r="J202" s="222" t="inlineStr">
        <is>
          <t>郑丹丹</t>
        </is>
      </c>
      <c r="K202" s="222" t="n"/>
      <c r="L202" s="224" t="n"/>
      <c r="M202" s="224" t="inlineStr">
        <is>
          <t>/</t>
        </is>
      </c>
      <c r="N202" s="651" t="n">
        <v>792000</v>
      </c>
      <c r="O202" s="247" t="n">
        <v>0.1</v>
      </c>
      <c r="P202" s="235" t="n">
        <v>0.01</v>
      </c>
      <c r="Q202" s="461" t="inlineStr">
        <is>
          <t>/</t>
        </is>
      </c>
      <c r="R202" s="235" t="n">
        <v>0.04</v>
      </c>
      <c r="S202" s="235" t="n">
        <v>0.03</v>
      </c>
      <c r="T202" s="235" t="n">
        <v>0.01</v>
      </c>
      <c r="U202" s="235" t="n">
        <v>0.01</v>
      </c>
      <c r="V202" s="461" t="inlineStr">
        <is>
          <t>按实</t>
        </is>
      </c>
      <c r="W202" s="461" t="inlineStr">
        <is>
          <t>按实</t>
        </is>
      </c>
      <c r="X202" s="461" t="inlineStr">
        <is>
          <t>按实</t>
        </is>
      </c>
      <c r="Y202" s="461" t="inlineStr">
        <is>
          <t>/</t>
        </is>
      </c>
      <c r="Z202" s="461" t="inlineStr">
        <is>
          <t>/</t>
        </is>
      </c>
      <c r="AA202" s="461" t="inlineStr">
        <is>
          <t>按实</t>
        </is>
      </c>
      <c r="AB202" s="46" t="inlineStr">
        <is>
          <t>/</t>
        </is>
      </c>
      <c r="AC202" s="46" t="inlineStr">
        <is>
          <t>/</t>
        </is>
      </c>
      <c r="AD202" s="232" t="inlineStr">
        <is>
          <t>1、甲方捐赠：项目反馈不收取，包含在服务费中；</t>
        </is>
      </c>
      <c r="AE202" s="232" t="inlineStr">
        <is>
          <t>1、签订期间：2026.3-7月；
2、指标按照全年换算；</t>
        </is>
      </c>
    </row>
    <row r="203" hidden="1" ht="24" customFormat="1" customHeight="1" s="209">
      <c r="A203" s="219" t="n">
        <v>201</v>
      </c>
      <c r="B203" s="220" t="inlineStr">
        <is>
          <t>KQCY0201</t>
        </is>
      </c>
      <c r="C203" s="221" t="inlineStr">
        <is>
          <t>餐饮三分部</t>
        </is>
      </c>
      <c r="D203" s="221" t="inlineStr">
        <is>
          <t>CF780</t>
        </is>
      </c>
      <c r="E203" s="221" t="inlineStr">
        <is>
          <t>吉建大二食堂</t>
        </is>
      </c>
      <c r="F203" s="219" t="inlineStr">
        <is>
          <t>分组作业</t>
        </is>
      </c>
      <c r="G203" s="222" t="inlineStr">
        <is>
          <t>吉沐牛</t>
        </is>
      </c>
      <c r="H203" s="503" t="inlineStr">
        <is>
          <t>/</t>
        </is>
      </c>
      <c r="I203" s="237" t="inlineStr">
        <is>
          <t>一纸鸡</t>
        </is>
      </c>
      <c r="J203" s="222" t="inlineStr">
        <is>
          <t>徐玉珍</t>
        </is>
      </c>
      <c r="K203" s="222" t="n"/>
      <c r="L203" s="224" t="n"/>
      <c r="M203" s="224" t="inlineStr">
        <is>
          <t>/</t>
        </is>
      </c>
      <c r="N203" s="651" t="n">
        <v>840000</v>
      </c>
      <c r="O203" s="247" t="n">
        <v>0.1</v>
      </c>
      <c r="P203" s="235" t="n">
        <v>0.01</v>
      </c>
      <c r="Q203" s="461" t="inlineStr">
        <is>
          <t>/</t>
        </is>
      </c>
      <c r="R203" s="235" t="n">
        <v>0.04</v>
      </c>
      <c r="S203" s="235" t="n">
        <v>0.03</v>
      </c>
      <c r="T203" s="235" t="n">
        <v>0.01</v>
      </c>
      <c r="U203" s="235" t="n">
        <v>0.01</v>
      </c>
      <c r="V203" s="461" t="inlineStr">
        <is>
          <t>按实</t>
        </is>
      </c>
      <c r="W203" s="461" t="inlineStr">
        <is>
          <t>按实</t>
        </is>
      </c>
      <c r="X203" s="461" t="inlineStr">
        <is>
          <t>按实</t>
        </is>
      </c>
      <c r="Y203" s="461" t="inlineStr">
        <is>
          <t>/</t>
        </is>
      </c>
      <c r="Z203" s="461" t="inlineStr">
        <is>
          <t>/</t>
        </is>
      </c>
      <c r="AA203" s="461" t="inlineStr">
        <is>
          <t>按实</t>
        </is>
      </c>
      <c r="AB203" s="46" t="inlineStr">
        <is>
          <t>/</t>
        </is>
      </c>
      <c r="AC203" s="46" t="inlineStr">
        <is>
          <t>/</t>
        </is>
      </c>
      <c r="AD203" s="232" t="inlineStr">
        <is>
          <t>1、甲方捐赠：项目反馈不收取，包含在服务费中；</t>
        </is>
      </c>
      <c r="AE203" s="232" t="inlineStr">
        <is>
          <t>1、签订期间：2026.3-7月；
2、指标按照全年换算；</t>
        </is>
      </c>
    </row>
    <row r="204" hidden="1" ht="24" customFormat="1" customHeight="1" s="209">
      <c r="A204" s="219" t="n">
        <v>202</v>
      </c>
      <c r="B204" s="220" t="inlineStr">
        <is>
          <t>KQCY0202</t>
        </is>
      </c>
      <c r="C204" s="221" t="inlineStr">
        <is>
          <t>餐饮三分部</t>
        </is>
      </c>
      <c r="D204" s="221" t="inlineStr">
        <is>
          <t>CF780</t>
        </is>
      </c>
      <c r="E204" s="221" t="inlineStr">
        <is>
          <t>吉建大二食堂</t>
        </is>
      </c>
      <c r="F204" s="219" t="inlineStr">
        <is>
          <t>分组作业</t>
        </is>
      </c>
      <c r="G204" s="222" t="inlineStr">
        <is>
          <t>吉沐牛</t>
        </is>
      </c>
      <c r="H204" s="503" t="inlineStr">
        <is>
          <t>/</t>
        </is>
      </c>
      <c r="I204" s="237" t="inlineStr">
        <is>
          <t>现炒浇头面</t>
        </is>
      </c>
      <c r="J204" s="222" t="inlineStr">
        <is>
          <t>尹士元</t>
        </is>
      </c>
      <c r="K204" s="222" t="n"/>
      <c r="L204" s="224" t="n"/>
      <c r="M204" s="224" t="inlineStr">
        <is>
          <t>/</t>
        </is>
      </c>
      <c r="N204" s="651" t="n">
        <v>912000</v>
      </c>
      <c r="O204" s="247" t="n">
        <v>0.1</v>
      </c>
      <c r="P204" s="235" t="n">
        <v>0.01</v>
      </c>
      <c r="Q204" s="461" t="inlineStr">
        <is>
          <t>/</t>
        </is>
      </c>
      <c r="R204" s="235" t="n">
        <v>0.04</v>
      </c>
      <c r="S204" s="235" t="n">
        <v>0.03</v>
      </c>
      <c r="T204" s="235" t="n">
        <v>0.01</v>
      </c>
      <c r="U204" s="235" t="n">
        <v>0.01</v>
      </c>
      <c r="V204" s="461" t="inlineStr">
        <is>
          <t>按实</t>
        </is>
      </c>
      <c r="W204" s="461" t="inlineStr">
        <is>
          <t>按实</t>
        </is>
      </c>
      <c r="X204" s="461" t="inlineStr">
        <is>
          <t>按实</t>
        </is>
      </c>
      <c r="Y204" s="461" t="inlineStr">
        <is>
          <t>/</t>
        </is>
      </c>
      <c r="Z204" s="461" t="inlineStr">
        <is>
          <t>/</t>
        </is>
      </c>
      <c r="AA204" s="461" t="inlineStr">
        <is>
          <t>按实</t>
        </is>
      </c>
      <c r="AB204" s="46" t="inlineStr">
        <is>
          <t>/</t>
        </is>
      </c>
      <c r="AC204" s="46" t="inlineStr">
        <is>
          <t>/</t>
        </is>
      </c>
      <c r="AD204" s="232" t="inlineStr">
        <is>
          <t>1、甲方捐赠：项目反馈不收取，包含在服务费中；</t>
        </is>
      </c>
      <c r="AE204" s="232" t="inlineStr">
        <is>
          <t>1、签订期间：2026.3-7月；
2、指标按照全年换算；</t>
        </is>
      </c>
    </row>
    <row r="205" hidden="1" ht="24" customFormat="1" customHeight="1" s="209">
      <c r="A205" s="219" t="n">
        <v>203</v>
      </c>
      <c r="B205" s="220" t="inlineStr">
        <is>
          <t>KQCY0203</t>
        </is>
      </c>
      <c r="C205" s="221" t="inlineStr">
        <is>
          <t>餐饮三分部</t>
        </is>
      </c>
      <c r="D205" s="221" t="inlineStr">
        <is>
          <t>CF780</t>
        </is>
      </c>
      <c r="E205" s="221" t="inlineStr">
        <is>
          <t>吉建大二食堂</t>
        </is>
      </c>
      <c r="F205" s="219" t="inlineStr">
        <is>
          <t>分组作业</t>
        </is>
      </c>
      <c r="G205" s="222" t="inlineStr">
        <is>
          <t>吉沐牛</t>
        </is>
      </c>
      <c r="H205" s="503" t="inlineStr">
        <is>
          <t>/</t>
        </is>
      </c>
      <c r="I205" s="237" t="inlineStr">
        <is>
          <t>炒饭专家</t>
        </is>
      </c>
      <c r="J205" s="222" t="inlineStr">
        <is>
          <t>贡海涛</t>
        </is>
      </c>
      <c r="K205" s="222" t="n"/>
      <c r="L205" s="224" t="n"/>
      <c r="M205" s="224" t="inlineStr">
        <is>
          <t>/</t>
        </is>
      </c>
      <c r="N205" s="651" t="n">
        <v>1020000</v>
      </c>
      <c r="O205" s="247" t="n">
        <v>0.1</v>
      </c>
      <c r="P205" s="235" t="n">
        <v>0.01</v>
      </c>
      <c r="Q205" s="461" t="inlineStr">
        <is>
          <t>/</t>
        </is>
      </c>
      <c r="R205" s="235" t="n">
        <v>0.04</v>
      </c>
      <c r="S205" s="235" t="n">
        <v>0.03</v>
      </c>
      <c r="T205" s="235" t="n">
        <v>0.01</v>
      </c>
      <c r="U205" s="235" t="n">
        <v>0.01</v>
      </c>
      <c r="V205" s="461" t="inlineStr">
        <is>
          <t>按实</t>
        </is>
      </c>
      <c r="W205" s="461" t="inlineStr">
        <is>
          <t>按实</t>
        </is>
      </c>
      <c r="X205" s="461" t="inlineStr">
        <is>
          <t>按实</t>
        </is>
      </c>
      <c r="Y205" s="461" t="inlineStr">
        <is>
          <t>/</t>
        </is>
      </c>
      <c r="Z205" s="461" t="inlineStr">
        <is>
          <t>/</t>
        </is>
      </c>
      <c r="AA205" s="461" t="inlineStr">
        <is>
          <t>按实</t>
        </is>
      </c>
      <c r="AB205" s="46" t="inlineStr">
        <is>
          <t>/</t>
        </is>
      </c>
      <c r="AC205" s="46" t="inlineStr">
        <is>
          <t>/</t>
        </is>
      </c>
      <c r="AD205" s="232" t="inlineStr">
        <is>
          <t>1、甲方捐赠：项目反馈不收取，包含在服务费中；</t>
        </is>
      </c>
      <c r="AE205" s="232" t="inlineStr">
        <is>
          <t>1、签订期间：2026.3-7月；
2、指标按照全年换算；</t>
        </is>
      </c>
    </row>
    <row r="206" hidden="1" ht="24" customFormat="1" customHeight="1" s="209">
      <c r="A206" s="219" t="n">
        <v>204</v>
      </c>
      <c r="B206" s="220" t="inlineStr">
        <is>
          <t>KQCY0204</t>
        </is>
      </c>
      <c r="C206" s="221" t="inlineStr">
        <is>
          <t>餐饮三分部</t>
        </is>
      </c>
      <c r="D206" s="221" t="inlineStr">
        <is>
          <t>CF780</t>
        </is>
      </c>
      <c r="E206" s="221" t="inlineStr">
        <is>
          <t>吉建大二食堂</t>
        </is>
      </c>
      <c r="F206" s="219" t="inlineStr">
        <is>
          <t>分组作业</t>
        </is>
      </c>
      <c r="G206" s="222" t="inlineStr">
        <is>
          <t>吉沐牛</t>
        </is>
      </c>
      <c r="H206" s="503" t="inlineStr">
        <is>
          <t>/</t>
        </is>
      </c>
      <c r="I206" s="237" t="inlineStr">
        <is>
          <t>瓦香鸡</t>
        </is>
      </c>
      <c r="J206" s="222" t="inlineStr">
        <is>
          <t>马永波</t>
        </is>
      </c>
      <c r="K206" s="222" t="n"/>
      <c r="L206" s="224" t="n"/>
      <c r="M206" s="224" t="inlineStr">
        <is>
          <t>/</t>
        </is>
      </c>
      <c r="N206" s="651" t="n">
        <v>736800</v>
      </c>
      <c r="O206" s="247" t="n">
        <v>0.1</v>
      </c>
      <c r="P206" s="235" t="n">
        <v>0.01</v>
      </c>
      <c r="Q206" s="461" t="inlineStr">
        <is>
          <t>/</t>
        </is>
      </c>
      <c r="R206" s="235" t="n">
        <v>0.04</v>
      </c>
      <c r="S206" s="235" t="n">
        <v>0.03</v>
      </c>
      <c r="T206" s="235" t="n">
        <v>0.01</v>
      </c>
      <c r="U206" s="235" t="n">
        <v>0.01</v>
      </c>
      <c r="V206" s="461" t="inlineStr">
        <is>
          <t>按实</t>
        </is>
      </c>
      <c r="W206" s="461" t="inlineStr">
        <is>
          <t>按实</t>
        </is>
      </c>
      <c r="X206" s="461" t="inlineStr">
        <is>
          <t>按实</t>
        </is>
      </c>
      <c r="Y206" s="461" t="inlineStr">
        <is>
          <t>/</t>
        </is>
      </c>
      <c r="Z206" s="461" t="inlineStr">
        <is>
          <t>/</t>
        </is>
      </c>
      <c r="AA206" s="461" t="inlineStr">
        <is>
          <t>按实</t>
        </is>
      </c>
      <c r="AB206" s="46" t="inlineStr">
        <is>
          <t>/</t>
        </is>
      </c>
      <c r="AC206" s="46" t="inlineStr">
        <is>
          <t>/</t>
        </is>
      </c>
      <c r="AD206" s="232" t="inlineStr">
        <is>
          <t>1、甲方捐赠：项目反馈不收取，包含在服务费中；</t>
        </is>
      </c>
      <c r="AE206" s="232" t="inlineStr">
        <is>
          <t>1、签订期间：2026.3-7月；
2、指标按照全年换算；</t>
        </is>
      </c>
    </row>
    <row r="207" hidden="1" ht="24" customFormat="1" customHeight="1" s="209">
      <c r="A207" s="219" t="n">
        <v>205</v>
      </c>
      <c r="B207" s="220" t="inlineStr">
        <is>
          <t>KQCY0205</t>
        </is>
      </c>
      <c r="C207" s="221" t="inlineStr">
        <is>
          <t>餐饮三分部</t>
        </is>
      </c>
      <c r="D207" s="221" t="inlineStr">
        <is>
          <t>CF780</t>
        </is>
      </c>
      <c r="E207" s="221" t="inlineStr">
        <is>
          <t>吉建大二食堂</t>
        </is>
      </c>
      <c r="F207" s="219" t="inlineStr">
        <is>
          <t>分组作业</t>
        </is>
      </c>
      <c r="G207" s="222" t="inlineStr">
        <is>
          <t>吉沐牛</t>
        </is>
      </c>
      <c r="H207" s="503" t="inlineStr">
        <is>
          <t>/</t>
        </is>
      </c>
      <c r="I207" s="237" t="inlineStr">
        <is>
          <t>热干面</t>
        </is>
      </c>
      <c r="J207" s="222" t="inlineStr">
        <is>
          <t>徐成龙</t>
        </is>
      </c>
      <c r="K207" s="222" t="n"/>
      <c r="L207" s="224" t="n"/>
      <c r="M207" s="224" t="inlineStr">
        <is>
          <t>/</t>
        </is>
      </c>
      <c r="N207" s="651" t="n">
        <v>948000</v>
      </c>
      <c r="O207" s="247" t="n">
        <v>0.1</v>
      </c>
      <c r="P207" s="235" t="n">
        <v>0.01</v>
      </c>
      <c r="Q207" s="461" t="inlineStr">
        <is>
          <t>/</t>
        </is>
      </c>
      <c r="R207" s="235" t="n">
        <v>0.04</v>
      </c>
      <c r="S207" s="235" t="n">
        <v>0.03</v>
      </c>
      <c r="T207" s="235" t="n">
        <v>0.01</v>
      </c>
      <c r="U207" s="235" t="n">
        <v>0.01</v>
      </c>
      <c r="V207" s="461" t="inlineStr">
        <is>
          <t>按实</t>
        </is>
      </c>
      <c r="W207" s="461" t="inlineStr">
        <is>
          <t>按实</t>
        </is>
      </c>
      <c r="X207" s="461" t="inlineStr">
        <is>
          <t>按实</t>
        </is>
      </c>
      <c r="Y207" s="461" t="inlineStr">
        <is>
          <t>/</t>
        </is>
      </c>
      <c r="Z207" s="461" t="inlineStr">
        <is>
          <t>/</t>
        </is>
      </c>
      <c r="AA207" s="461" t="inlineStr">
        <is>
          <t>按实</t>
        </is>
      </c>
      <c r="AB207" s="46" t="inlineStr">
        <is>
          <t>/</t>
        </is>
      </c>
      <c r="AC207" s="46" t="inlineStr">
        <is>
          <t>/</t>
        </is>
      </c>
      <c r="AD207" s="232" t="inlineStr">
        <is>
          <t>1、甲方捐赠：项目反馈不收取，包含在服务费中；</t>
        </is>
      </c>
      <c r="AE207" s="232" t="inlineStr">
        <is>
          <t>1、签订期间：2026.3-7月；
2、指标按照全年换算；</t>
        </is>
      </c>
    </row>
    <row r="208" hidden="1" ht="24" customFormat="1" customHeight="1" s="209">
      <c r="A208" s="219" t="n">
        <v>206</v>
      </c>
      <c r="B208" s="220" t="inlineStr">
        <is>
          <t>KQCY0206</t>
        </is>
      </c>
      <c r="C208" s="221" t="inlineStr">
        <is>
          <t>餐饮三分部</t>
        </is>
      </c>
      <c r="D208" s="221" t="inlineStr">
        <is>
          <t>CF780</t>
        </is>
      </c>
      <c r="E208" s="221" t="inlineStr">
        <is>
          <t>吉建大二食堂</t>
        </is>
      </c>
      <c r="F208" s="219" t="inlineStr">
        <is>
          <t>分组作业</t>
        </is>
      </c>
      <c r="G208" s="222" t="inlineStr">
        <is>
          <t>吉沐牛</t>
        </is>
      </c>
      <c r="H208" s="503" t="inlineStr">
        <is>
          <t>/</t>
        </is>
      </c>
      <c r="I208" s="237" t="inlineStr">
        <is>
          <t>喜翻拌麻辣拌</t>
        </is>
      </c>
      <c r="J208" s="222" t="inlineStr">
        <is>
          <t>兰国强</t>
        </is>
      </c>
      <c r="K208" s="222" t="n"/>
      <c r="L208" s="224" t="n"/>
      <c r="M208" s="224" t="inlineStr">
        <is>
          <t>/</t>
        </is>
      </c>
      <c r="N208" s="651" t="n">
        <v>1464000</v>
      </c>
      <c r="O208" s="247" t="n">
        <v>0.1</v>
      </c>
      <c r="P208" s="235" t="n">
        <v>0.01</v>
      </c>
      <c r="Q208" s="461" t="inlineStr">
        <is>
          <t>/</t>
        </is>
      </c>
      <c r="R208" s="235" t="n">
        <v>0.04</v>
      </c>
      <c r="S208" s="235" t="n">
        <v>0.03</v>
      </c>
      <c r="T208" s="235" t="n">
        <v>0.01</v>
      </c>
      <c r="U208" s="235" t="n">
        <v>0.01</v>
      </c>
      <c r="V208" s="461" t="inlineStr">
        <is>
          <t>按实</t>
        </is>
      </c>
      <c r="W208" s="461" t="inlineStr">
        <is>
          <t>按实</t>
        </is>
      </c>
      <c r="X208" s="461" t="inlineStr">
        <is>
          <t>按实</t>
        </is>
      </c>
      <c r="Y208" s="461" t="inlineStr">
        <is>
          <t>/</t>
        </is>
      </c>
      <c r="Z208" s="461" t="inlineStr">
        <is>
          <t>/</t>
        </is>
      </c>
      <c r="AA208" s="461" t="inlineStr">
        <is>
          <t>按实</t>
        </is>
      </c>
      <c r="AB208" s="46" t="inlineStr">
        <is>
          <t>/</t>
        </is>
      </c>
      <c r="AC208" s="46" t="inlineStr">
        <is>
          <t>/</t>
        </is>
      </c>
      <c r="AD208" s="232" t="inlineStr">
        <is>
          <t>1、甲方捐赠：项目反馈不收取，包含在服务费中；</t>
        </is>
      </c>
      <c r="AE208" s="232" t="inlineStr">
        <is>
          <t>1、签订期间：2026.3-7月；
2、指标按照全年换算；</t>
        </is>
      </c>
    </row>
    <row r="209" hidden="1" ht="24" customFormat="1" customHeight="1" s="209">
      <c r="A209" s="219" t="n">
        <v>207</v>
      </c>
      <c r="B209" s="220" t="inlineStr">
        <is>
          <t>KQCY0207</t>
        </is>
      </c>
      <c r="C209" s="221" t="inlineStr">
        <is>
          <t>餐饮三分部</t>
        </is>
      </c>
      <c r="D209" s="221" t="inlineStr">
        <is>
          <t>CF780</t>
        </is>
      </c>
      <c r="E209" s="221" t="inlineStr">
        <is>
          <t>吉建大二食堂</t>
        </is>
      </c>
      <c r="F209" s="219" t="inlineStr">
        <is>
          <t>分组作业</t>
        </is>
      </c>
      <c r="G209" s="222" t="inlineStr">
        <is>
          <t>吉沐牛</t>
        </is>
      </c>
      <c r="H209" s="503" t="inlineStr">
        <is>
          <t>/</t>
        </is>
      </c>
      <c r="I209" s="237" t="inlineStr">
        <is>
          <t>檬大咖</t>
        </is>
      </c>
      <c r="J209" s="222" t="inlineStr">
        <is>
          <t>于广东</t>
        </is>
      </c>
      <c r="K209" s="222" t="n"/>
      <c r="L209" s="224" t="n"/>
      <c r="M209" s="224" t="inlineStr">
        <is>
          <t>/</t>
        </is>
      </c>
      <c r="N209" s="651" t="n">
        <v>465600</v>
      </c>
      <c r="O209" s="247" t="n">
        <v>0.1</v>
      </c>
      <c r="P209" s="235" t="n">
        <v>0.01</v>
      </c>
      <c r="Q209" s="461" t="inlineStr">
        <is>
          <t>/</t>
        </is>
      </c>
      <c r="R209" s="235" t="n">
        <v>0.04</v>
      </c>
      <c r="S209" s="235" t="n">
        <v>0.03</v>
      </c>
      <c r="T209" s="235" t="n">
        <v>0.01</v>
      </c>
      <c r="U209" s="235" t="n">
        <v>0.01</v>
      </c>
      <c r="V209" s="461" t="inlineStr">
        <is>
          <t>按实</t>
        </is>
      </c>
      <c r="W209" s="461" t="inlineStr">
        <is>
          <t>按实</t>
        </is>
      </c>
      <c r="X209" s="461" t="inlineStr">
        <is>
          <t>按实</t>
        </is>
      </c>
      <c r="Y209" s="461" t="inlineStr">
        <is>
          <t>/</t>
        </is>
      </c>
      <c r="Z209" s="461" t="inlineStr">
        <is>
          <t>/</t>
        </is>
      </c>
      <c r="AA209" s="461" t="inlineStr">
        <is>
          <t>按实</t>
        </is>
      </c>
      <c r="AB209" s="46" t="inlineStr">
        <is>
          <t>/</t>
        </is>
      </c>
      <c r="AC209" s="46" t="inlineStr">
        <is>
          <t>/</t>
        </is>
      </c>
      <c r="AD209" s="232" t="inlineStr">
        <is>
          <t>1、甲方捐赠：项目反馈不收取，包含在服务费中；</t>
        </is>
      </c>
      <c r="AE209" s="232" t="inlineStr">
        <is>
          <t>1、签订期间：2026.3-7月；
2、指标按照全年换算；</t>
        </is>
      </c>
    </row>
    <row r="210" hidden="1" customFormat="1" s="209">
      <c r="A210" s="219" t="n">
        <v>208</v>
      </c>
      <c r="B210" s="220" t="inlineStr">
        <is>
          <t>KQCY0208</t>
        </is>
      </c>
      <c r="C210" s="221" t="n"/>
      <c r="D210" s="221" t="n"/>
      <c r="E210" s="221" t="inlineStr">
        <is>
          <t>吉建大二食堂</t>
        </is>
      </c>
      <c r="F210" s="239" t="inlineStr">
        <is>
          <t>分组作业</t>
        </is>
      </c>
      <c r="G210" s="222" t="inlineStr">
        <is>
          <t>吉沐牛</t>
        </is>
      </c>
      <c r="H210" s="503" t="n"/>
      <c r="I210" s="328" t="inlineStr">
        <is>
          <t>烤盘饭</t>
        </is>
      </c>
      <c r="J210" s="222" t="inlineStr">
        <is>
          <t>曹晓东</t>
        </is>
      </c>
      <c r="K210" s="222" t="n"/>
      <c r="L210" s="224" t="n"/>
      <c r="M210" s="224" t="n"/>
      <c r="N210" s="651" t="n"/>
      <c r="O210" s="247" t="n">
        <v>0.1</v>
      </c>
      <c r="P210" s="235" t="n">
        <v>0.01</v>
      </c>
      <c r="Q210" s="461" t="inlineStr">
        <is>
          <t>/</t>
        </is>
      </c>
      <c r="R210" s="235" t="n">
        <v>0.04</v>
      </c>
      <c r="S210" s="235" t="n">
        <v>0.03</v>
      </c>
      <c r="T210" s="235" t="n">
        <v>0.01</v>
      </c>
      <c r="U210" s="235" t="n">
        <v>0.01</v>
      </c>
      <c r="V210" s="461" t="inlineStr">
        <is>
          <t>按实</t>
        </is>
      </c>
      <c r="W210" s="461" t="inlineStr">
        <is>
          <t>按实</t>
        </is>
      </c>
      <c r="X210" s="461" t="inlineStr">
        <is>
          <t>按实</t>
        </is>
      </c>
      <c r="Y210" s="461" t="inlineStr">
        <is>
          <t>/</t>
        </is>
      </c>
      <c r="Z210" s="461" t="inlineStr">
        <is>
          <t>/</t>
        </is>
      </c>
      <c r="AA210" s="461" t="inlineStr">
        <is>
          <t>按实</t>
        </is>
      </c>
      <c r="AB210" s="46" t="n"/>
      <c r="AC210" s="46" t="n"/>
      <c r="AD210" s="232" t="n"/>
      <c r="AE210" s="232" t="n"/>
    </row>
    <row r="211" hidden="1" ht="24" customFormat="1" customHeight="1" s="209">
      <c r="A211" s="219" t="n">
        <v>209</v>
      </c>
      <c r="B211" s="220" t="inlineStr">
        <is>
          <t>KQCY0209</t>
        </is>
      </c>
      <c r="C211" s="221" t="inlineStr">
        <is>
          <t>餐饮三分部</t>
        </is>
      </c>
      <c r="D211" s="221" t="inlineStr">
        <is>
          <t>CF780</t>
        </is>
      </c>
      <c r="E211" s="221" t="inlineStr">
        <is>
          <t>吉建大二食堂</t>
        </is>
      </c>
      <c r="F211" s="219" t="inlineStr">
        <is>
          <t>分组作业</t>
        </is>
      </c>
      <c r="G211" s="222" t="inlineStr">
        <is>
          <t>吉沐牛</t>
        </is>
      </c>
      <c r="H211" s="503" t="inlineStr">
        <is>
          <t>/</t>
        </is>
      </c>
      <c r="I211" s="237" t="inlineStr">
        <is>
          <t>蜀道吉水煮肉</t>
        </is>
      </c>
      <c r="J211" s="222" t="inlineStr">
        <is>
          <t>刘旭东</t>
        </is>
      </c>
      <c r="K211" s="222" t="n"/>
      <c r="L211" s="224" t="n"/>
      <c r="M211" s="224" t="inlineStr">
        <is>
          <t>/</t>
        </is>
      </c>
      <c r="N211" s="651" t="n">
        <v>686400</v>
      </c>
      <c r="O211" s="247" t="n">
        <v>0.1</v>
      </c>
      <c r="P211" s="235" t="n">
        <v>0.01</v>
      </c>
      <c r="Q211" s="461" t="inlineStr">
        <is>
          <t>/</t>
        </is>
      </c>
      <c r="R211" s="235" t="n">
        <v>0.04</v>
      </c>
      <c r="S211" s="235" t="n">
        <v>0.03</v>
      </c>
      <c r="T211" s="235" t="n">
        <v>0.01</v>
      </c>
      <c r="U211" s="235" t="n">
        <v>0.01</v>
      </c>
      <c r="V211" s="461" t="inlineStr">
        <is>
          <t>按实</t>
        </is>
      </c>
      <c r="W211" s="461" t="inlineStr">
        <is>
          <t>按实</t>
        </is>
      </c>
      <c r="X211" s="461" t="inlineStr">
        <is>
          <t>按实</t>
        </is>
      </c>
      <c r="Y211" s="461" t="inlineStr">
        <is>
          <t>/</t>
        </is>
      </c>
      <c r="Z211" s="461" t="inlineStr">
        <is>
          <t>/</t>
        </is>
      </c>
      <c r="AA211" s="461" t="inlineStr">
        <is>
          <t>按实</t>
        </is>
      </c>
      <c r="AB211" s="46" t="inlineStr">
        <is>
          <t>/</t>
        </is>
      </c>
      <c r="AC211" s="46" t="inlineStr">
        <is>
          <t>/</t>
        </is>
      </c>
      <c r="AD211" s="232" t="inlineStr">
        <is>
          <t>1、甲方捐赠：项目反馈不收取，包含在服务费中；</t>
        </is>
      </c>
      <c r="AE211" s="232" t="inlineStr">
        <is>
          <t>1、签订期间：2026.3-7月；
2、指标按照全年换算；</t>
        </is>
      </c>
    </row>
    <row r="212" hidden="1" ht="24" customFormat="1" customHeight="1" s="209">
      <c r="A212" s="219" t="n">
        <v>210</v>
      </c>
      <c r="B212" s="220" t="inlineStr">
        <is>
          <t>KQCY0210</t>
        </is>
      </c>
      <c r="C212" s="221" t="inlineStr">
        <is>
          <t>餐饮三分部</t>
        </is>
      </c>
      <c r="D212" s="221" t="inlineStr">
        <is>
          <t>CF780</t>
        </is>
      </c>
      <c r="E212" s="221" t="inlineStr">
        <is>
          <t>吉建大二食堂</t>
        </is>
      </c>
      <c r="F212" s="219" t="inlineStr">
        <is>
          <t>分组作业</t>
        </is>
      </c>
      <c r="G212" s="222" t="inlineStr">
        <is>
          <t>吉沐牛</t>
        </is>
      </c>
      <c r="H212" s="503" t="inlineStr">
        <is>
          <t>/</t>
        </is>
      </c>
      <c r="I212" s="237" t="inlineStr">
        <is>
          <t>拼好饭</t>
        </is>
      </c>
      <c r="J212" s="222" t="inlineStr">
        <is>
          <t>陈国利</t>
        </is>
      </c>
      <c r="K212" s="222" t="n"/>
      <c r="L212" s="224" t="n"/>
      <c r="M212" s="224" t="inlineStr">
        <is>
          <t>/</t>
        </is>
      </c>
      <c r="N212" s="651" t="n">
        <v>720000</v>
      </c>
      <c r="O212" s="247" t="n">
        <v>0.1</v>
      </c>
      <c r="P212" s="235" t="n">
        <v>0.01</v>
      </c>
      <c r="Q212" s="461" t="inlineStr">
        <is>
          <t>/</t>
        </is>
      </c>
      <c r="R212" s="235" t="n">
        <v>0.04</v>
      </c>
      <c r="S212" s="235" t="n">
        <v>0.03</v>
      </c>
      <c r="T212" s="235" t="n">
        <v>0.01</v>
      </c>
      <c r="U212" s="235" t="n">
        <v>0.01</v>
      </c>
      <c r="V212" s="461" t="inlineStr">
        <is>
          <t>按实</t>
        </is>
      </c>
      <c r="W212" s="461" t="inlineStr">
        <is>
          <t>按实</t>
        </is>
      </c>
      <c r="X212" s="461" t="inlineStr">
        <is>
          <t>按实</t>
        </is>
      </c>
      <c r="Y212" s="461" t="inlineStr">
        <is>
          <t>/</t>
        </is>
      </c>
      <c r="Z212" s="461" t="inlineStr">
        <is>
          <t>/</t>
        </is>
      </c>
      <c r="AA212" s="461" t="inlineStr">
        <is>
          <t>按实</t>
        </is>
      </c>
      <c r="AB212" s="46" t="inlineStr">
        <is>
          <t>/</t>
        </is>
      </c>
      <c r="AC212" s="46" t="inlineStr">
        <is>
          <t>/</t>
        </is>
      </c>
      <c r="AD212" s="232" t="inlineStr">
        <is>
          <t>1、甲方捐赠：项目反馈不收取，包含在服务费中；</t>
        </is>
      </c>
      <c r="AE212" s="232" t="inlineStr">
        <is>
          <t>1、签订期间：2026.3-7月；
2、指标按照全年换算；</t>
        </is>
      </c>
    </row>
    <row r="213" hidden="1" ht="24" customFormat="1" customHeight="1" s="209">
      <c r="A213" s="219" t="n">
        <v>211</v>
      </c>
      <c r="B213" s="220" t="inlineStr">
        <is>
          <t>KQCY0211</t>
        </is>
      </c>
      <c r="C213" s="221" t="inlineStr">
        <is>
          <t>餐饮三分部</t>
        </is>
      </c>
      <c r="D213" s="221" t="inlineStr">
        <is>
          <t>CF780</t>
        </is>
      </c>
      <c r="E213" s="221" t="inlineStr">
        <is>
          <t>吉建大二食堂</t>
        </is>
      </c>
      <c r="F213" s="219" t="inlineStr">
        <is>
          <t>分组作业</t>
        </is>
      </c>
      <c r="G213" s="222" t="inlineStr">
        <is>
          <t>吉沐牛</t>
        </is>
      </c>
      <c r="H213" s="503" t="inlineStr">
        <is>
          <t>/</t>
        </is>
      </c>
      <c r="I213" s="237" t="inlineStr">
        <is>
          <t>烤鸭饭</t>
        </is>
      </c>
      <c r="J213" s="222" t="inlineStr">
        <is>
          <t>付冬玲</t>
        </is>
      </c>
      <c r="K213" s="222" t="n"/>
      <c r="L213" s="224" t="n"/>
      <c r="M213" s="224" t="inlineStr">
        <is>
          <t>/</t>
        </is>
      </c>
      <c r="N213" s="651" t="n">
        <v>1128000</v>
      </c>
      <c r="O213" s="247" t="n">
        <v>0.1</v>
      </c>
      <c r="P213" s="235" t="n">
        <v>0.01</v>
      </c>
      <c r="Q213" s="461" t="inlineStr">
        <is>
          <t>/</t>
        </is>
      </c>
      <c r="R213" s="235" t="n">
        <v>0.04</v>
      </c>
      <c r="S213" s="235" t="n">
        <v>0.03</v>
      </c>
      <c r="T213" s="235" t="n">
        <v>0.01</v>
      </c>
      <c r="U213" s="235" t="n">
        <v>0.01</v>
      </c>
      <c r="V213" s="461" t="inlineStr">
        <is>
          <t>按实</t>
        </is>
      </c>
      <c r="W213" s="461" t="inlineStr">
        <is>
          <t>按实</t>
        </is>
      </c>
      <c r="X213" s="461" t="inlineStr">
        <is>
          <t>按实</t>
        </is>
      </c>
      <c r="Y213" s="461" t="inlineStr">
        <is>
          <t>/</t>
        </is>
      </c>
      <c r="Z213" s="461" t="inlineStr">
        <is>
          <t>/</t>
        </is>
      </c>
      <c r="AA213" s="461" t="inlineStr">
        <is>
          <t>按实</t>
        </is>
      </c>
      <c r="AB213" s="46" t="inlineStr">
        <is>
          <t>/</t>
        </is>
      </c>
      <c r="AC213" s="46" t="inlineStr">
        <is>
          <t>/</t>
        </is>
      </c>
      <c r="AD213" s="232" t="inlineStr">
        <is>
          <t>1、甲方捐赠：项目反馈不收取，包含在服务费中；</t>
        </is>
      </c>
      <c r="AE213" s="232" t="inlineStr">
        <is>
          <t>1、签订期间：2026.3-7月；
2、指标按照全年换算；</t>
        </is>
      </c>
    </row>
    <row r="214" hidden="1" ht="24" customFormat="1" customHeight="1" s="209">
      <c r="A214" s="219" t="n">
        <v>212</v>
      </c>
      <c r="B214" s="220" t="inlineStr">
        <is>
          <t>KQCY0212</t>
        </is>
      </c>
      <c r="C214" s="221" t="inlineStr">
        <is>
          <t>餐饮三分部</t>
        </is>
      </c>
      <c r="D214" s="221" t="inlineStr">
        <is>
          <t>CF780</t>
        </is>
      </c>
      <c r="E214" s="221" t="inlineStr">
        <is>
          <t>吉建大二食堂</t>
        </is>
      </c>
      <c r="F214" s="219" t="inlineStr">
        <is>
          <t>分组作业</t>
        </is>
      </c>
      <c r="G214" s="222" t="inlineStr">
        <is>
          <t>吉沐牛</t>
        </is>
      </c>
      <c r="H214" s="503" t="inlineStr">
        <is>
          <t>/</t>
        </is>
      </c>
      <c r="I214" s="237" t="inlineStr">
        <is>
          <t>海南鸡饭</t>
        </is>
      </c>
      <c r="J214" s="222" t="inlineStr">
        <is>
          <t>曲丽平</t>
        </is>
      </c>
      <c r="K214" s="222" t="n"/>
      <c r="L214" s="224" t="n"/>
      <c r="M214" s="224" t="inlineStr">
        <is>
          <t>/</t>
        </is>
      </c>
      <c r="N214" s="651" t="n">
        <v>2244000</v>
      </c>
      <c r="O214" s="247" t="n">
        <v>0.1</v>
      </c>
      <c r="P214" s="235" t="n">
        <v>0.01</v>
      </c>
      <c r="Q214" s="461" t="inlineStr">
        <is>
          <t>/</t>
        </is>
      </c>
      <c r="R214" s="235" t="n">
        <v>0.04</v>
      </c>
      <c r="S214" s="235" t="n">
        <v>0.03</v>
      </c>
      <c r="T214" s="235" t="n">
        <v>0.01</v>
      </c>
      <c r="U214" s="235" t="n">
        <v>0.01</v>
      </c>
      <c r="V214" s="461" t="inlineStr">
        <is>
          <t>按实</t>
        </is>
      </c>
      <c r="W214" s="461" t="inlineStr">
        <is>
          <t>按实</t>
        </is>
      </c>
      <c r="X214" s="461" t="inlineStr">
        <is>
          <t>按实</t>
        </is>
      </c>
      <c r="Y214" s="461" t="inlineStr">
        <is>
          <t>/</t>
        </is>
      </c>
      <c r="Z214" s="461" t="inlineStr">
        <is>
          <t>/</t>
        </is>
      </c>
      <c r="AA214" s="461" t="inlineStr">
        <is>
          <t>按实</t>
        </is>
      </c>
      <c r="AB214" s="46" t="inlineStr">
        <is>
          <t>/</t>
        </is>
      </c>
      <c r="AC214" s="46" t="inlineStr">
        <is>
          <t>/</t>
        </is>
      </c>
      <c r="AD214" s="232" t="inlineStr">
        <is>
          <t>1、甲方捐赠：项目反馈不收取，包含在服务费中；</t>
        </is>
      </c>
      <c r="AE214" s="232" t="inlineStr">
        <is>
          <t>1、签订期间：2026.3-7月；
2、指标按照全年换算；</t>
        </is>
      </c>
    </row>
    <row r="215" hidden="1" ht="24" customFormat="1" customHeight="1" s="209">
      <c r="A215" s="219" t="n">
        <v>213</v>
      </c>
      <c r="B215" s="220" t="inlineStr">
        <is>
          <t>KQCY0213</t>
        </is>
      </c>
      <c r="C215" s="221" t="inlineStr">
        <is>
          <t>餐饮三分部</t>
        </is>
      </c>
      <c r="D215" s="221" t="inlineStr">
        <is>
          <t>CF780</t>
        </is>
      </c>
      <c r="E215" s="221" t="inlineStr">
        <is>
          <t>吉建大二食堂</t>
        </is>
      </c>
      <c r="F215" s="219" t="inlineStr">
        <is>
          <t>分组作业</t>
        </is>
      </c>
      <c r="G215" s="222" t="inlineStr">
        <is>
          <t>吉沐牛</t>
        </is>
      </c>
      <c r="H215" s="503" t="inlineStr">
        <is>
          <t>/</t>
        </is>
      </c>
      <c r="I215" s="237" t="inlineStr">
        <is>
          <t>小街牛杂面</t>
        </is>
      </c>
      <c r="J215" s="222" t="inlineStr">
        <is>
          <t>郭铁军</t>
        </is>
      </c>
      <c r="K215" s="222" t="n"/>
      <c r="L215" s="224" t="n"/>
      <c r="M215" s="224" t="inlineStr">
        <is>
          <t>/</t>
        </is>
      </c>
      <c r="N215" s="651" t="n">
        <v>684000</v>
      </c>
      <c r="O215" s="247" t="n">
        <v>0.1</v>
      </c>
      <c r="P215" s="235" t="n">
        <v>0.01</v>
      </c>
      <c r="Q215" s="461" t="inlineStr">
        <is>
          <t>/</t>
        </is>
      </c>
      <c r="R215" s="235" t="n">
        <v>0.04</v>
      </c>
      <c r="S215" s="235" t="n">
        <v>0.03</v>
      </c>
      <c r="T215" s="235" t="n">
        <v>0.01</v>
      </c>
      <c r="U215" s="235" t="n">
        <v>0.01</v>
      </c>
      <c r="V215" s="461" t="inlineStr">
        <is>
          <t>按实</t>
        </is>
      </c>
      <c r="W215" s="461" t="inlineStr">
        <is>
          <t>按实</t>
        </is>
      </c>
      <c r="X215" s="461" t="inlineStr">
        <is>
          <t>按实</t>
        </is>
      </c>
      <c r="Y215" s="461" t="inlineStr">
        <is>
          <t>/</t>
        </is>
      </c>
      <c r="Z215" s="461" t="inlineStr">
        <is>
          <t>/</t>
        </is>
      </c>
      <c r="AA215" s="461" t="inlineStr">
        <is>
          <t>按实</t>
        </is>
      </c>
      <c r="AB215" s="46" t="inlineStr">
        <is>
          <t>/</t>
        </is>
      </c>
      <c r="AC215" s="46" t="inlineStr">
        <is>
          <t>/</t>
        </is>
      </c>
      <c r="AD215" s="232" t="inlineStr">
        <is>
          <t>1、甲方捐赠：项目反馈不收取，包含在服务费中；</t>
        </is>
      </c>
      <c r="AE215" s="232" t="inlineStr">
        <is>
          <t>1、签订期间：2026.3-7月；
2、指标按照全年换算；</t>
        </is>
      </c>
    </row>
    <row r="216" hidden="1" ht="24" customFormat="1" customHeight="1" s="209">
      <c r="A216" s="219" t="n">
        <v>214</v>
      </c>
      <c r="B216" s="220" t="inlineStr">
        <is>
          <t>KQCY0214</t>
        </is>
      </c>
      <c r="C216" s="221" t="inlineStr">
        <is>
          <t>餐饮三分部</t>
        </is>
      </c>
      <c r="D216" s="221" t="inlineStr">
        <is>
          <t>CF780</t>
        </is>
      </c>
      <c r="E216" s="221" t="inlineStr">
        <is>
          <t>吉建大二食堂</t>
        </is>
      </c>
      <c r="F216" s="219" t="inlineStr">
        <is>
          <t>分组作业</t>
        </is>
      </c>
      <c r="G216" s="222" t="inlineStr">
        <is>
          <t>吉沐牛</t>
        </is>
      </c>
      <c r="H216" s="503" t="inlineStr">
        <is>
          <t>/</t>
        </is>
      </c>
      <c r="I216" s="237" t="inlineStr">
        <is>
          <t>炙烤五花肉</t>
        </is>
      </c>
      <c r="J216" s="222" t="inlineStr">
        <is>
          <t>付炜</t>
        </is>
      </c>
      <c r="K216" s="222" t="n"/>
      <c r="L216" s="224" t="n"/>
      <c r="M216" s="224" t="inlineStr">
        <is>
          <t>/</t>
        </is>
      </c>
      <c r="N216" s="651" t="n">
        <v>816000</v>
      </c>
      <c r="O216" s="247" t="n">
        <v>0.1</v>
      </c>
      <c r="P216" s="235" t="n">
        <v>0.01</v>
      </c>
      <c r="Q216" s="461" t="inlineStr">
        <is>
          <t>/</t>
        </is>
      </c>
      <c r="R216" s="235" t="n">
        <v>0.04</v>
      </c>
      <c r="S216" s="235" t="n">
        <v>0.03</v>
      </c>
      <c r="T216" s="235" t="n">
        <v>0.01</v>
      </c>
      <c r="U216" s="235" t="n">
        <v>0.01</v>
      </c>
      <c r="V216" s="461" t="inlineStr">
        <is>
          <t>按实</t>
        </is>
      </c>
      <c r="W216" s="461" t="inlineStr">
        <is>
          <t>按实</t>
        </is>
      </c>
      <c r="X216" s="461" t="inlineStr">
        <is>
          <t>按实</t>
        </is>
      </c>
      <c r="Y216" s="461" t="inlineStr">
        <is>
          <t>/</t>
        </is>
      </c>
      <c r="Z216" s="461" t="inlineStr">
        <is>
          <t>/</t>
        </is>
      </c>
      <c r="AA216" s="461" t="inlineStr">
        <is>
          <t>按实</t>
        </is>
      </c>
      <c r="AB216" s="46" t="inlineStr">
        <is>
          <t>/</t>
        </is>
      </c>
      <c r="AC216" s="46" t="inlineStr">
        <is>
          <t>/</t>
        </is>
      </c>
      <c r="AD216" s="232" t="inlineStr">
        <is>
          <t>1、甲方捐赠：项目反馈不收取，包含在服务费中；</t>
        </is>
      </c>
      <c r="AE216" s="232" t="inlineStr">
        <is>
          <t>1、签订期间：2026.3-7月；
2、指标按照全年换算；</t>
        </is>
      </c>
    </row>
    <row r="217" hidden="1" ht="12" customFormat="1" customHeight="1" s="209">
      <c r="A217" s="219" t="n">
        <v>215</v>
      </c>
      <c r="B217" s="220" t="inlineStr">
        <is>
          <t>KQCY0215</t>
        </is>
      </c>
      <c r="C217" s="221" t="n"/>
      <c r="D217" s="221" t="n"/>
      <c r="E217" s="221" t="inlineStr">
        <is>
          <t>吉建大二食堂</t>
        </is>
      </c>
      <c r="F217" s="239" t="inlineStr">
        <is>
          <t>分组作业</t>
        </is>
      </c>
      <c r="G217" s="222" t="inlineStr">
        <is>
          <t>吉沐牛</t>
        </is>
      </c>
      <c r="H217" s="461" t="inlineStr">
        <is>
          <t>/</t>
        </is>
      </c>
      <c r="I217" s="237" t="inlineStr">
        <is>
          <t>朴大叔拌饭</t>
        </is>
      </c>
      <c r="J217" s="222" t="inlineStr">
        <is>
          <t>沈延斌</t>
        </is>
      </c>
      <c r="K217" s="222" t="n"/>
      <c r="L217" s="224" t="n"/>
      <c r="M217" s="224" t="n"/>
      <c r="N217" s="651" t="n"/>
      <c r="O217" s="247" t="n">
        <v>0.1</v>
      </c>
      <c r="P217" s="235" t="n">
        <v>0.01</v>
      </c>
      <c r="Q217" s="461" t="inlineStr">
        <is>
          <t>/</t>
        </is>
      </c>
      <c r="R217" s="235" t="n">
        <v>0.04</v>
      </c>
      <c r="S217" s="235" t="n">
        <v>0.03</v>
      </c>
      <c r="T217" s="235" t="n">
        <v>0.01</v>
      </c>
      <c r="U217" s="235" t="n">
        <v>0.01</v>
      </c>
      <c r="V217" s="461" t="inlineStr">
        <is>
          <t>按实</t>
        </is>
      </c>
      <c r="W217" s="461" t="inlineStr">
        <is>
          <t>按实</t>
        </is>
      </c>
      <c r="X217" s="461" t="inlineStr">
        <is>
          <t>按实</t>
        </is>
      </c>
      <c r="Y217" s="461" t="inlineStr">
        <is>
          <t>/</t>
        </is>
      </c>
      <c r="Z217" s="461" t="inlineStr">
        <is>
          <t>/</t>
        </is>
      </c>
      <c r="AA217" s="461" t="inlineStr">
        <is>
          <t>按实</t>
        </is>
      </c>
      <c r="AB217" s="46" t="n"/>
      <c r="AC217" s="46" t="n"/>
      <c r="AD217" s="232" t="n"/>
      <c r="AE217" s="232" t="n"/>
    </row>
    <row r="218" hidden="1" ht="24" customFormat="1" customHeight="1" s="209">
      <c r="A218" s="219" t="n">
        <v>216</v>
      </c>
      <c r="B218" s="220" t="inlineStr">
        <is>
          <t>KQCY0216</t>
        </is>
      </c>
      <c r="C218" s="221" t="inlineStr">
        <is>
          <t>餐饮三分部</t>
        </is>
      </c>
      <c r="D218" s="221" t="inlineStr">
        <is>
          <t>CF780</t>
        </is>
      </c>
      <c r="E218" s="221" t="inlineStr">
        <is>
          <t>吉建大二食堂</t>
        </is>
      </c>
      <c r="F218" s="219" t="inlineStr">
        <is>
          <t>分组作业</t>
        </is>
      </c>
      <c r="G218" s="222" t="inlineStr">
        <is>
          <t>吉沐牛</t>
        </is>
      </c>
      <c r="H218" s="503" t="inlineStr">
        <is>
          <t>/</t>
        </is>
      </c>
      <c r="I218" s="237" t="inlineStr">
        <is>
          <t>猪脚饭</t>
        </is>
      </c>
      <c r="J218" s="222" t="inlineStr">
        <is>
          <t>陈超</t>
        </is>
      </c>
      <c r="K218" s="222" t="n"/>
      <c r="L218" s="224" t="n"/>
      <c r="M218" s="224" t="inlineStr">
        <is>
          <t>/</t>
        </is>
      </c>
      <c r="N218" s="651" t="n">
        <v>1015200</v>
      </c>
      <c r="O218" s="247" t="n">
        <v>0.1</v>
      </c>
      <c r="P218" s="235" t="n">
        <v>0.01</v>
      </c>
      <c r="Q218" s="461" t="inlineStr">
        <is>
          <t>/</t>
        </is>
      </c>
      <c r="R218" s="235" t="n">
        <v>0.04</v>
      </c>
      <c r="S218" s="235" t="n">
        <v>0.03</v>
      </c>
      <c r="T218" s="235" t="n">
        <v>0.01</v>
      </c>
      <c r="U218" s="235" t="n">
        <v>0.01</v>
      </c>
      <c r="V218" s="461" t="inlineStr">
        <is>
          <t>按实</t>
        </is>
      </c>
      <c r="W218" s="461" t="inlineStr">
        <is>
          <t>按实</t>
        </is>
      </c>
      <c r="X218" s="461" t="inlineStr">
        <is>
          <t>按实</t>
        </is>
      </c>
      <c r="Y218" s="461" t="inlineStr">
        <is>
          <t>/</t>
        </is>
      </c>
      <c r="Z218" s="461" t="inlineStr">
        <is>
          <t>/</t>
        </is>
      </c>
      <c r="AA218" s="461" t="inlineStr">
        <is>
          <t>按实</t>
        </is>
      </c>
      <c r="AB218" s="46" t="inlineStr">
        <is>
          <t>/</t>
        </is>
      </c>
      <c r="AC218" s="46" t="inlineStr">
        <is>
          <t>/</t>
        </is>
      </c>
      <c r="AD218" s="232" t="inlineStr">
        <is>
          <t>1、甲方捐赠：项目反馈不收取，包含在服务费中；</t>
        </is>
      </c>
      <c r="AE218" s="232" t="inlineStr">
        <is>
          <t>1、签订期间：2026.3-7月；
2、指标按照全年换算；</t>
        </is>
      </c>
    </row>
    <row r="219" hidden="1" ht="24" customFormat="1" customHeight="1" s="209">
      <c r="A219" s="219" t="n">
        <v>217</v>
      </c>
      <c r="B219" s="220" t="inlineStr">
        <is>
          <t>KQCY0217</t>
        </is>
      </c>
      <c r="C219" s="221" t="inlineStr">
        <is>
          <t>餐饮三分部</t>
        </is>
      </c>
      <c r="D219" s="221" t="inlineStr">
        <is>
          <t>CF780</t>
        </is>
      </c>
      <c r="E219" s="221" t="inlineStr">
        <is>
          <t>吉建大二食堂</t>
        </is>
      </c>
      <c r="F219" s="219" t="inlineStr">
        <is>
          <t>分组作业</t>
        </is>
      </c>
      <c r="G219" s="222" t="inlineStr">
        <is>
          <t>吉沐牛</t>
        </is>
      </c>
      <c r="H219" s="503" t="inlineStr">
        <is>
          <t>/</t>
        </is>
      </c>
      <c r="I219" s="237" t="inlineStr">
        <is>
          <t>羊杂面</t>
        </is>
      </c>
      <c r="J219" s="222" t="inlineStr">
        <is>
          <t>扬中理</t>
        </is>
      </c>
      <c r="K219" s="222" t="n"/>
      <c r="L219" s="224" t="n"/>
      <c r="M219" s="224" t="inlineStr">
        <is>
          <t>/</t>
        </is>
      </c>
      <c r="N219" s="651" t="n">
        <v>1363200</v>
      </c>
      <c r="O219" s="247" t="n">
        <v>0.1</v>
      </c>
      <c r="P219" s="235" t="n">
        <v>0.01</v>
      </c>
      <c r="Q219" s="461" t="inlineStr">
        <is>
          <t>/</t>
        </is>
      </c>
      <c r="R219" s="235" t="n">
        <v>0.04</v>
      </c>
      <c r="S219" s="235" t="n">
        <v>0.03</v>
      </c>
      <c r="T219" s="235" t="n">
        <v>0.01</v>
      </c>
      <c r="U219" s="235" t="n">
        <v>0.01</v>
      </c>
      <c r="V219" s="461" t="inlineStr">
        <is>
          <t>按实</t>
        </is>
      </c>
      <c r="W219" s="461" t="inlineStr">
        <is>
          <t>按实</t>
        </is>
      </c>
      <c r="X219" s="461" t="inlineStr">
        <is>
          <t>按实</t>
        </is>
      </c>
      <c r="Y219" s="461" t="inlineStr">
        <is>
          <t>/</t>
        </is>
      </c>
      <c r="Z219" s="461" t="inlineStr">
        <is>
          <t>/</t>
        </is>
      </c>
      <c r="AA219" s="461" t="inlineStr">
        <is>
          <t>按实</t>
        </is>
      </c>
      <c r="AB219" s="46" t="inlineStr">
        <is>
          <t>/</t>
        </is>
      </c>
      <c r="AC219" s="46" t="inlineStr">
        <is>
          <t>/</t>
        </is>
      </c>
      <c r="AD219" s="232" t="inlineStr">
        <is>
          <t>1、甲方捐赠：项目反馈不收取，包含在服务费中；</t>
        </is>
      </c>
      <c r="AE219" s="232" t="inlineStr">
        <is>
          <t>1、签订期间：2026.3-7月；
2、指标按照全年换算；</t>
        </is>
      </c>
    </row>
    <row r="220" hidden="1" ht="24" customFormat="1" customHeight="1" s="209">
      <c r="A220" s="219" t="n">
        <v>218</v>
      </c>
      <c r="B220" s="220" t="inlineStr">
        <is>
          <t>KQCY0218</t>
        </is>
      </c>
      <c r="C220" s="221" t="inlineStr">
        <is>
          <t>餐饮三分部</t>
        </is>
      </c>
      <c r="D220" s="221" t="inlineStr">
        <is>
          <t>CF780</t>
        </is>
      </c>
      <c r="E220" s="221" t="inlineStr">
        <is>
          <t>吉建大二食堂</t>
        </is>
      </c>
      <c r="F220" s="219" t="inlineStr">
        <is>
          <t>分组作业</t>
        </is>
      </c>
      <c r="G220" s="222" t="inlineStr">
        <is>
          <t>吉沐牛</t>
        </is>
      </c>
      <c r="H220" s="503" t="inlineStr">
        <is>
          <t>/</t>
        </is>
      </c>
      <c r="I220" s="237" t="inlineStr">
        <is>
          <t>原粉公煮</t>
        </is>
      </c>
      <c r="J220" s="222" t="inlineStr">
        <is>
          <t>田卓</t>
        </is>
      </c>
      <c r="K220" s="222" t="n"/>
      <c r="L220" s="224" t="n"/>
      <c r="M220" s="224" t="inlineStr">
        <is>
          <t>/</t>
        </is>
      </c>
      <c r="N220" s="651" t="n">
        <v>847200</v>
      </c>
      <c r="O220" s="247" t="n">
        <v>0.1</v>
      </c>
      <c r="P220" s="235" t="n">
        <v>0.01</v>
      </c>
      <c r="Q220" s="461" t="inlineStr">
        <is>
          <t>/</t>
        </is>
      </c>
      <c r="R220" s="235" t="n">
        <v>0.04</v>
      </c>
      <c r="S220" s="235" t="n">
        <v>0.03</v>
      </c>
      <c r="T220" s="235" t="n">
        <v>0.01</v>
      </c>
      <c r="U220" s="235" t="n">
        <v>0.01</v>
      </c>
      <c r="V220" s="461" t="inlineStr">
        <is>
          <t>按实</t>
        </is>
      </c>
      <c r="W220" s="461" t="inlineStr">
        <is>
          <t>按实</t>
        </is>
      </c>
      <c r="X220" s="461" t="inlineStr">
        <is>
          <t>按实</t>
        </is>
      </c>
      <c r="Y220" s="461" t="inlineStr">
        <is>
          <t>/</t>
        </is>
      </c>
      <c r="Z220" s="461" t="inlineStr">
        <is>
          <t>/</t>
        </is>
      </c>
      <c r="AA220" s="461" t="inlineStr">
        <is>
          <t>按实</t>
        </is>
      </c>
      <c r="AB220" s="46" t="inlineStr">
        <is>
          <t>/</t>
        </is>
      </c>
      <c r="AC220" s="46" t="inlineStr">
        <is>
          <t>/</t>
        </is>
      </c>
      <c r="AD220" s="232" t="inlineStr">
        <is>
          <t>1、甲方捐赠：项目反馈不收取，包含在服务费中；</t>
        </is>
      </c>
      <c r="AE220" s="232" t="inlineStr">
        <is>
          <t>1、签订期间：2026.3-7月；
2、指标按照全年换算；</t>
        </is>
      </c>
    </row>
    <row r="221" hidden="1" ht="24" customFormat="1" customHeight="1" s="209">
      <c r="A221" s="219" t="n">
        <v>219</v>
      </c>
      <c r="B221" s="220" t="inlineStr">
        <is>
          <t>KQCY0219</t>
        </is>
      </c>
      <c r="C221" s="221" t="inlineStr">
        <is>
          <t>餐饮三分部</t>
        </is>
      </c>
      <c r="D221" s="221" t="inlineStr">
        <is>
          <t>CF780</t>
        </is>
      </c>
      <c r="E221" s="221" t="inlineStr">
        <is>
          <t>吉建大二食堂</t>
        </is>
      </c>
      <c r="F221" s="219" t="inlineStr">
        <is>
          <t>分组作业</t>
        </is>
      </c>
      <c r="G221" s="222" t="inlineStr">
        <is>
          <t>吉沐牛</t>
        </is>
      </c>
      <c r="H221" s="503" t="inlineStr">
        <is>
          <t>/</t>
        </is>
      </c>
      <c r="I221" s="237" t="inlineStr">
        <is>
          <t>大块牛肉饭</t>
        </is>
      </c>
      <c r="J221" s="222" t="inlineStr">
        <is>
          <t>王亮</t>
        </is>
      </c>
      <c r="K221" s="222" t="n"/>
      <c r="L221" s="224" t="n"/>
      <c r="M221" s="224" t="inlineStr">
        <is>
          <t>/</t>
        </is>
      </c>
      <c r="N221" s="651" t="n">
        <v>936000</v>
      </c>
      <c r="O221" s="552" t="n">
        <v>0.1</v>
      </c>
      <c r="P221" s="235" t="n">
        <v>0.01</v>
      </c>
      <c r="Q221" s="235" t="inlineStr">
        <is>
          <t>/</t>
        </is>
      </c>
      <c r="R221" s="235" t="n">
        <v>0.04</v>
      </c>
      <c r="S221" s="235" t="n">
        <v>0.03</v>
      </c>
      <c r="T221" s="235" t="n">
        <v>0.01</v>
      </c>
      <c r="U221" s="235" t="n">
        <v>0.01</v>
      </c>
      <c r="V221" s="461" t="inlineStr">
        <is>
          <t>按实</t>
        </is>
      </c>
      <c r="W221" s="461" t="inlineStr">
        <is>
          <t>按实</t>
        </is>
      </c>
      <c r="X221" s="461" t="inlineStr">
        <is>
          <t>按实</t>
        </is>
      </c>
      <c r="Y221" s="461" t="inlineStr">
        <is>
          <t>/</t>
        </is>
      </c>
      <c r="Z221" s="461" t="inlineStr">
        <is>
          <t>/</t>
        </is>
      </c>
      <c r="AA221" s="461" t="inlineStr">
        <is>
          <t>按实</t>
        </is>
      </c>
      <c r="AB221" s="46" t="inlineStr">
        <is>
          <t>/</t>
        </is>
      </c>
      <c r="AC221" s="46" t="inlineStr">
        <is>
          <t>/</t>
        </is>
      </c>
      <c r="AD221" s="232" t="inlineStr">
        <is>
          <t>1、甲方捐赠：项目反馈不收取，包含在服务费中；</t>
        </is>
      </c>
      <c r="AE221" s="232" t="inlineStr">
        <is>
          <t>1、签订期间：2026.3-7月；
2、指标按照全年换算；</t>
        </is>
      </c>
    </row>
    <row r="222" hidden="1" ht="24" customFormat="1" customHeight="1" s="209">
      <c r="A222" s="219" t="n">
        <v>220</v>
      </c>
      <c r="B222" s="220" t="inlineStr">
        <is>
          <t>KQCY0220</t>
        </is>
      </c>
      <c r="C222" s="221" t="inlineStr">
        <is>
          <t>餐饮三分部</t>
        </is>
      </c>
      <c r="D222" s="221" t="inlineStr">
        <is>
          <t>CF780</t>
        </is>
      </c>
      <c r="E222" s="221" t="inlineStr">
        <is>
          <t>吉建大二食堂</t>
        </is>
      </c>
      <c r="F222" s="219" t="inlineStr">
        <is>
          <t>分组作业</t>
        </is>
      </c>
      <c r="G222" s="222" t="inlineStr">
        <is>
          <t>吉沐牛</t>
        </is>
      </c>
      <c r="H222" s="503" t="inlineStr">
        <is>
          <t>/</t>
        </is>
      </c>
      <c r="I222" s="237" t="inlineStr">
        <is>
          <t>嘻哈密语</t>
        </is>
      </c>
      <c r="J222" s="222" t="inlineStr">
        <is>
          <t>陶志鹏</t>
        </is>
      </c>
      <c r="K222" s="222" t="n"/>
      <c r="L222" s="224" t="n"/>
      <c r="M222" s="224" t="inlineStr">
        <is>
          <t>/</t>
        </is>
      </c>
      <c r="N222" s="651" t="n">
        <v>456000</v>
      </c>
      <c r="O222" s="552" t="n">
        <v>0.1</v>
      </c>
      <c r="P222" s="235" t="n">
        <v>0.01</v>
      </c>
      <c r="Q222" s="235" t="inlineStr">
        <is>
          <t>/</t>
        </is>
      </c>
      <c r="R222" s="235" t="n">
        <v>0.04</v>
      </c>
      <c r="S222" s="235" t="n">
        <v>0.03</v>
      </c>
      <c r="T222" s="235" t="n">
        <v>0.01</v>
      </c>
      <c r="U222" s="235" t="n">
        <v>0.01</v>
      </c>
      <c r="V222" s="461" t="inlineStr">
        <is>
          <t>按实</t>
        </is>
      </c>
      <c r="W222" s="461" t="inlineStr">
        <is>
          <t>按实</t>
        </is>
      </c>
      <c r="X222" s="461" t="inlineStr">
        <is>
          <t>按实</t>
        </is>
      </c>
      <c r="Y222" s="461" t="inlineStr">
        <is>
          <t>/</t>
        </is>
      </c>
      <c r="Z222" s="461" t="inlineStr">
        <is>
          <t>/</t>
        </is>
      </c>
      <c r="AA222" s="461" t="inlineStr">
        <is>
          <t>按实</t>
        </is>
      </c>
      <c r="AB222" s="46" t="inlineStr">
        <is>
          <t>/</t>
        </is>
      </c>
      <c r="AC222" s="46" t="inlineStr">
        <is>
          <t>/</t>
        </is>
      </c>
      <c r="AD222" s="232" t="inlineStr">
        <is>
          <t>1、甲方捐赠：项目反馈不收取，包含在服务费中；</t>
        </is>
      </c>
      <c r="AE222" s="232" t="inlineStr">
        <is>
          <t>1、签订期间：2026.3-7月；
2、指标按照全年换算；</t>
        </is>
      </c>
    </row>
    <row r="223" hidden="1" ht="24" customFormat="1" customHeight="1" s="209">
      <c r="A223" s="219" t="n">
        <v>221</v>
      </c>
      <c r="B223" s="220" t="inlineStr">
        <is>
          <t>KQCY0221</t>
        </is>
      </c>
      <c r="C223" s="221" t="inlineStr">
        <is>
          <t>餐饮三分部</t>
        </is>
      </c>
      <c r="D223" s="221" t="inlineStr">
        <is>
          <t>CF780</t>
        </is>
      </c>
      <c r="E223" s="221" t="inlineStr">
        <is>
          <t>吉建大二食堂</t>
        </is>
      </c>
      <c r="F223" s="219" t="inlineStr">
        <is>
          <t>分组作业</t>
        </is>
      </c>
      <c r="G223" s="222" t="inlineStr">
        <is>
          <t>吉沐牛</t>
        </is>
      </c>
      <c r="H223" s="503" t="inlineStr">
        <is>
          <t>/</t>
        </is>
      </c>
      <c r="I223" s="237" t="inlineStr">
        <is>
          <t>炸鸡汉堡</t>
        </is>
      </c>
      <c r="J223" s="222" t="inlineStr">
        <is>
          <t>隗伟</t>
        </is>
      </c>
      <c r="K223" s="222" t="n"/>
      <c r="L223" s="224" t="n"/>
      <c r="M223" s="224" t="inlineStr">
        <is>
          <t>/</t>
        </is>
      </c>
      <c r="N223" s="651" t="n">
        <v>676800</v>
      </c>
      <c r="O223" s="552" t="n">
        <v>0.1</v>
      </c>
      <c r="P223" s="235" t="n">
        <v>0.01</v>
      </c>
      <c r="Q223" s="235" t="inlineStr">
        <is>
          <t>/</t>
        </is>
      </c>
      <c r="R223" s="235" t="n">
        <v>0.04</v>
      </c>
      <c r="S223" s="235" t="n">
        <v>0.03</v>
      </c>
      <c r="T223" s="235" t="n">
        <v>0.01</v>
      </c>
      <c r="U223" s="235" t="n">
        <v>0.01</v>
      </c>
      <c r="V223" s="461" t="inlineStr">
        <is>
          <t>按实</t>
        </is>
      </c>
      <c r="W223" s="461" t="inlineStr">
        <is>
          <t>按实</t>
        </is>
      </c>
      <c r="X223" s="461" t="inlineStr">
        <is>
          <t>按实</t>
        </is>
      </c>
      <c r="Y223" s="461" t="inlineStr">
        <is>
          <t>/</t>
        </is>
      </c>
      <c r="Z223" s="461" t="inlineStr">
        <is>
          <t>/</t>
        </is>
      </c>
      <c r="AA223" s="461" t="inlineStr">
        <is>
          <t>按实</t>
        </is>
      </c>
      <c r="AB223" s="46" t="inlineStr">
        <is>
          <t>/</t>
        </is>
      </c>
      <c r="AC223" s="46" t="inlineStr">
        <is>
          <t>/</t>
        </is>
      </c>
      <c r="AD223" s="232" t="inlineStr">
        <is>
          <t>1、甲方捐赠：项目反馈不收取，包含在服务费中；</t>
        </is>
      </c>
      <c r="AE223" s="232" t="inlineStr">
        <is>
          <t>1、签订期间：2026.3-7月；
2、指标按照全年换算；</t>
        </is>
      </c>
    </row>
    <row r="224" hidden="1" ht="24" customFormat="1" customHeight="1" s="209">
      <c r="A224" s="219" t="n">
        <v>222</v>
      </c>
      <c r="B224" s="220" t="inlineStr">
        <is>
          <t>KQCY0222</t>
        </is>
      </c>
      <c r="C224" s="221" t="inlineStr">
        <is>
          <t>餐饮三分部</t>
        </is>
      </c>
      <c r="D224" s="221" t="inlineStr">
        <is>
          <t>CF780</t>
        </is>
      </c>
      <c r="E224" s="221" t="inlineStr">
        <is>
          <t>吉建大二食堂</t>
        </is>
      </c>
      <c r="F224" s="219" t="inlineStr">
        <is>
          <t>分组作业</t>
        </is>
      </c>
      <c r="G224" s="222" t="inlineStr">
        <is>
          <t>吉沐牛</t>
        </is>
      </c>
      <c r="H224" s="503" t="inlineStr">
        <is>
          <t>/</t>
        </is>
      </c>
      <c r="I224" s="237" t="inlineStr">
        <is>
          <t>九阳豆浆</t>
        </is>
      </c>
      <c r="J224" s="222" t="inlineStr">
        <is>
          <t>李宝友</t>
        </is>
      </c>
      <c r="K224" s="222" t="n"/>
      <c r="L224" s="224" t="n"/>
      <c r="M224" s="224" t="inlineStr">
        <is>
          <t>/</t>
        </is>
      </c>
      <c r="N224" s="651" t="n">
        <v>468000</v>
      </c>
      <c r="O224" s="247" t="n">
        <v>0.1</v>
      </c>
      <c r="P224" s="235" t="n">
        <v>0.01</v>
      </c>
      <c r="Q224" s="461" t="inlineStr">
        <is>
          <t>/</t>
        </is>
      </c>
      <c r="R224" s="235" t="n">
        <v>0.04</v>
      </c>
      <c r="S224" s="235" t="n">
        <v>0.03</v>
      </c>
      <c r="T224" s="235" t="n">
        <v>0.01</v>
      </c>
      <c r="U224" s="235" t="n">
        <v>0.01</v>
      </c>
      <c r="V224" s="461" t="inlineStr">
        <is>
          <t>按实</t>
        </is>
      </c>
      <c r="W224" s="461" t="inlineStr">
        <is>
          <t>按实</t>
        </is>
      </c>
      <c r="X224" s="461" t="inlineStr">
        <is>
          <t>按实</t>
        </is>
      </c>
      <c r="Y224" s="461" t="inlineStr">
        <is>
          <t>/</t>
        </is>
      </c>
      <c r="Z224" s="461" t="inlineStr">
        <is>
          <t>/</t>
        </is>
      </c>
      <c r="AA224" s="461" t="inlineStr">
        <is>
          <t>按实</t>
        </is>
      </c>
      <c r="AB224" s="46" t="inlineStr">
        <is>
          <t>/</t>
        </is>
      </c>
      <c r="AC224" s="46" t="inlineStr">
        <is>
          <t>/</t>
        </is>
      </c>
      <c r="AD224" s="232" t="inlineStr">
        <is>
          <t>1、甲方捐赠：项目反馈不收取，包含在服务费中；</t>
        </is>
      </c>
      <c r="AE224" s="232" t="inlineStr">
        <is>
          <t>1、签订期间：2026.3-7月；
2、指标按照全年换算；</t>
        </is>
      </c>
    </row>
    <row r="225" hidden="1" ht="24" customFormat="1" customHeight="1" s="209">
      <c r="A225" s="219" t="n">
        <v>223</v>
      </c>
      <c r="B225" s="220" t="inlineStr">
        <is>
          <t>KQCY0223</t>
        </is>
      </c>
      <c r="C225" s="221" t="inlineStr">
        <is>
          <t>餐饮三分部</t>
        </is>
      </c>
      <c r="D225" s="221" t="inlineStr">
        <is>
          <t>CF780</t>
        </is>
      </c>
      <c r="E225" s="221" t="inlineStr">
        <is>
          <t>吉建大二食堂</t>
        </is>
      </c>
      <c r="F225" s="219" t="inlineStr">
        <is>
          <t>分组作业</t>
        </is>
      </c>
      <c r="G225" s="222" t="inlineStr">
        <is>
          <t>吉沐牛</t>
        </is>
      </c>
      <c r="H225" s="503" t="inlineStr">
        <is>
          <t>/</t>
        </is>
      </c>
      <c r="I225" s="237" t="inlineStr">
        <is>
          <t>杂粮煎饼</t>
        </is>
      </c>
      <c r="J225" s="222" t="inlineStr">
        <is>
          <t>仲伟兴</t>
        </is>
      </c>
      <c r="K225" s="222" t="n"/>
      <c r="L225" s="224" t="n"/>
      <c r="M225" s="224" t="inlineStr">
        <is>
          <t>/</t>
        </is>
      </c>
      <c r="N225" s="651" t="n">
        <v>460800</v>
      </c>
      <c r="O225" s="247" t="n">
        <v>0.1</v>
      </c>
      <c r="P225" s="235" t="n">
        <v>0.01</v>
      </c>
      <c r="Q225" s="461" t="inlineStr">
        <is>
          <t>/</t>
        </is>
      </c>
      <c r="R225" s="235" t="n">
        <v>0.04</v>
      </c>
      <c r="S225" s="235" t="n">
        <v>0.03</v>
      </c>
      <c r="T225" s="235" t="n">
        <v>0.01</v>
      </c>
      <c r="U225" s="235" t="n">
        <v>0.01</v>
      </c>
      <c r="V225" s="461" t="inlineStr">
        <is>
          <t>按实</t>
        </is>
      </c>
      <c r="W225" s="461" t="inlineStr">
        <is>
          <t>按实</t>
        </is>
      </c>
      <c r="X225" s="461" t="inlineStr">
        <is>
          <t>按实</t>
        </is>
      </c>
      <c r="Y225" s="461" t="inlineStr">
        <is>
          <t>/</t>
        </is>
      </c>
      <c r="Z225" s="461" t="inlineStr">
        <is>
          <t>/</t>
        </is>
      </c>
      <c r="AA225" s="461" t="inlineStr">
        <is>
          <t>按实</t>
        </is>
      </c>
      <c r="AB225" s="46" t="inlineStr">
        <is>
          <t>/</t>
        </is>
      </c>
      <c r="AC225" s="46" t="inlineStr">
        <is>
          <t>/</t>
        </is>
      </c>
      <c r="AD225" s="232" t="inlineStr">
        <is>
          <t>1、甲方捐赠：项目反馈不收取，包含在服务费中；</t>
        </is>
      </c>
      <c r="AE225" s="232" t="inlineStr">
        <is>
          <t>1、签订期间：2026.3-7月；
2、指标按照全年换算；</t>
        </is>
      </c>
    </row>
    <row r="226" hidden="1" ht="24" customFormat="1" customHeight="1" s="209">
      <c r="A226" s="219" t="n">
        <v>224</v>
      </c>
      <c r="B226" s="220" t="inlineStr">
        <is>
          <t>KQCY0224</t>
        </is>
      </c>
      <c r="C226" s="221" t="inlineStr">
        <is>
          <t>餐饮三分部</t>
        </is>
      </c>
      <c r="D226" s="221" t="inlineStr">
        <is>
          <t>CF780</t>
        </is>
      </c>
      <c r="E226" s="221" t="inlineStr">
        <is>
          <t>吉建大二食堂</t>
        </is>
      </c>
      <c r="F226" s="219" t="inlineStr">
        <is>
          <t>分组作业</t>
        </is>
      </c>
      <c r="G226" s="222" t="inlineStr">
        <is>
          <t>吉沐牛</t>
        </is>
      </c>
      <c r="H226" s="503" t="inlineStr">
        <is>
          <t>/</t>
        </is>
      </c>
      <c r="I226" s="237" t="inlineStr">
        <is>
          <t>特色餐厅</t>
        </is>
      </c>
      <c r="J226" s="222" t="inlineStr">
        <is>
          <t>王友峰</t>
        </is>
      </c>
      <c r="K226" s="222" t="n"/>
      <c r="L226" s="224" t="n"/>
      <c r="M226" s="224" t="inlineStr">
        <is>
          <t>/</t>
        </is>
      </c>
      <c r="N226" s="651" t="n">
        <v>1363200</v>
      </c>
      <c r="O226" s="247" t="n">
        <v>0.06</v>
      </c>
      <c r="P226" s="235" t="n">
        <v>0.01</v>
      </c>
      <c r="Q226" s="461" t="inlineStr">
        <is>
          <t>/</t>
        </is>
      </c>
      <c r="R226" s="235" t="n">
        <v>0.04</v>
      </c>
      <c r="S226" s="235" t="n">
        <v>0.03</v>
      </c>
      <c r="T226" s="235" t="n">
        <v>0.01</v>
      </c>
      <c r="U226" s="235" t="n">
        <v>0.01</v>
      </c>
      <c r="V226" s="461" t="inlineStr">
        <is>
          <t>按实</t>
        </is>
      </c>
      <c r="W226" s="461" t="inlineStr">
        <is>
          <t>按实</t>
        </is>
      </c>
      <c r="X226" s="461" t="inlineStr">
        <is>
          <t>按实</t>
        </is>
      </c>
      <c r="Y226" s="461" t="inlineStr">
        <is>
          <t>/</t>
        </is>
      </c>
      <c r="Z226" s="461" t="inlineStr">
        <is>
          <t>/</t>
        </is>
      </c>
      <c r="AA226" s="461" t="inlineStr">
        <is>
          <t>按实</t>
        </is>
      </c>
      <c r="AB226" s="46" t="inlineStr">
        <is>
          <t>/</t>
        </is>
      </c>
      <c r="AC226" s="46" t="inlineStr">
        <is>
          <t>/</t>
        </is>
      </c>
      <c r="AD226" s="232" t="inlineStr">
        <is>
          <t>1、甲方捐赠：项目反馈不收取，包含在服务费中；</t>
        </is>
      </c>
      <c r="AE226" s="232" t="inlineStr">
        <is>
          <t>1、签订期间：2026.3-7月；
2、指标按照全年换算；</t>
        </is>
      </c>
    </row>
    <row r="227" hidden="1" ht="12" customFormat="1" customHeight="1" s="209">
      <c r="A227" s="219" t="n">
        <v>225</v>
      </c>
      <c r="B227" s="220" t="inlineStr">
        <is>
          <t>KQCY0225</t>
        </is>
      </c>
      <c r="C227" s="337" t="inlineStr">
        <is>
          <t>餐饮三分部</t>
        </is>
      </c>
      <c r="D227" s="337" t="inlineStr">
        <is>
          <t>CF641</t>
        </is>
      </c>
      <c r="E227" s="337" t="inlineStr">
        <is>
          <t>中山大学北学二食堂</t>
        </is>
      </c>
      <c r="F227" s="239" t="inlineStr">
        <is>
          <t>自营</t>
        </is>
      </c>
      <c r="G227" s="220" t="inlineStr">
        <is>
          <t>吉沐牛</t>
        </is>
      </c>
      <c r="H227" s="461" t="inlineStr">
        <is>
          <t>/</t>
        </is>
      </c>
      <c r="I227" s="239" t="inlineStr">
        <is>
          <t>/</t>
        </is>
      </c>
      <c r="J227" s="220" t="inlineStr">
        <is>
          <t>/</t>
        </is>
      </c>
      <c r="K227" s="220" t="n"/>
      <c r="L227" s="235" t="n"/>
      <c r="M227" s="235" t="inlineStr">
        <is>
          <t>/</t>
        </is>
      </c>
      <c r="N227" s="651" t="inlineStr">
        <is>
          <t>/</t>
        </is>
      </c>
      <c r="O227" s="235" t="inlineStr">
        <is>
          <t>/</t>
        </is>
      </c>
      <c r="P227" s="235" t="n"/>
      <c r="Q227" s="235" t="n"/>
      <c r="R227" s="235" t="n"/>
      <c r="S227" s="235" t="inlineStr">
        <is>
          <t>/</t>
        </is>
      </c>
      <c r="T227" s="235" t="inlineStr">
        <is>
          <t>/</t>
        </is>
      </c>
      <c r="U227" s="235" t="inlineStr">
        <is>
          <t>/</t>
        </is>
      </c>
      <c r="V227" s="461" t="n"/>
      <c r="W227" s="227" t="n"/>
      <c r="X227" s="235" t="inlineStr">
        <is>
          <t>/</t>
        </is>
      </c>
      <c r="Y227" s="551" t="n"/>
      <c r="Z227" s="551" t="n"/>
      <c r="AA227" s="551" t="inlineStr">
        <is>
          <t>/</t>
        </is>
      </c>
      <c r="AB227" s="46" t="n">
        <v>0.045</v>
      </c>
      <c r="AC227" s="229" t="inlineStr">
        <is>
          <t>/</t>
        </is>
      </c>
      <c r="AD227" s="230" t="inlineStr">
        <is>
          <t>1、自营未实际经营；</t>
        </is>
      </c>
      <c r="AE227" s="232" t="n"/>
    </row>
    <row r="228" hidden="1" ht="24" customFormat="1" customHeight="1" s="209">
      <c r="A228" s="219" t="n">
        <v>226</v>
      </c>
      <c r="B228" s="220" t="inlineStr">
        <is>
          <t>KQCY0226</t>
        </is>
      </c>
      <c r="C228" s="221" t="inlineStr">
        <is>
          <t>餐饮三分部</t>
        </is>
      </c>
      <c r="D228" s="221" t="inlineStr">
        <is>
          <t>CF641</t>
        </is>
      </c>
      <c r="E228" s="221" t="inlineStr">
        <is>
          <t>中山大学北学二食堂</t>
        </is>
      </c>
      <c r="F228" s="219" t="inlineStr">
        <is>
          <t>分组作业</t>
        </is>
      </c>
      <c r="G228" s="222" t="inlineStr">
        <is>
          <t>吉沐牛</t>
        </is>
      </c>
      <c r="H228" s="222" t="inlineStr">
        <is>
          <t>第一班组</t>
        </is>
      </c>
      <c r="I228" s="232" t="inlineStr">
        <is>
          <t>早点（大众餐、粉面）</t>
        </is>
      </c>
      <c r="J228" s="503" t="inlineStr">
        <is>
          <t>蒲久龙</t>
        </is>
      </c>
      <c r="K228" s="503" t="n"/>
      <c r="L228" s="224" t="n"/>
      <c r="M228" s="224" t="inlineStr">
        <is>
          <t>/</t>
        </is>
      </c>
      <c r="N228" s="651" t="n">
        <v>2400000</v>
      </c>
      <c r="O228" s="247" t="n">
        <v>0.03</v>
      </c>
      <c r="P228" s="247" t="n">
        <v>0.01</v>
      </c>
      <c r="Q228" s="247" t="n">
        <v>0.06</v>
      </c>
      <c r="R228" s="247" t="n">
        <v>0.02</v>
      </c>
      <c r="S228" s="247" t="n">
        <v>0.03</v>
      </c>
      <c r="T228" s="247" t="n">
        <v>0.01</v>
      </c>
      <c r="U228" s="247" t="n">
        <v>0.01</v>
      </c>
      <c r="V228" s="461" t="inlineStr">
        <is>
          <t>按实</t>
        </is>
      </c>
      <c r="W228" s="461" t="inlineStr">
        <is>
          <t>按实</t>
        </is>
      </c>
      <c r="X228" s="461" t="inlineStr">
        <is>
          <t>按实</t>
        </is>
      </c>
      <c r="Y228" s="461" t="inlineStr">
        <is>
          <t>卡机管理费0.2％</t>
        </is>
      </c>
      <c r="Z228" s="461" t="inlineStr">
        <is>
          <t>/</t>
        </is>
      </c>
      <c r="AA228" s="461" t="inlineStr">
        <is>
          <t>按实</t>
        </is>
      </c>
      <c r="AB228" s="46" t="inlineStr">
        <is>
          <t>/</t>
        </is>
      </c>
      <c r="AC228" s="46" t="inlineStr">
        <is>
          <t>/</t>
        </is>
      </c>
      <c r="AD228" s="232" t="inlineStr">
        <is>
          <t>1、甲方管理费：项目反馈不收取，包含在服务费中；</t>
        </is>
      </c>
      <c r="AE228" s="232" t="inlineStr">
        <is>
          <t>1、签订期间：2026.2-2027.2；
2、指标按照全年换算；</t>
        </is>
      </c>
    </row>
    <row r="229" hidden="1" ht="24" customFormat="1" customHeight="1" s="209">
      <c r="A229" s="219" t="n">
        <v>227</v>
      </c>
      <c r="B229" s="220" t="inlineStr">
        <is>
          <t>KQCY0227</t>
        </is>
      </c>
      <c r="C229" s="221" t="inlineStr">
        <is>
          <t>餐饮三分部</t>
        </is>
      </c>
      <c r="D229" s="221" t="inlineStr">
        <is>
          <t>CF641</t>
        </is>
      </c>
      <c r="E229" s="221" t="inlineStr">
        <is>
          <t>中山大学北学二食堂</t>
        </is>
      </c>
      <c r="F229" s="219" t="inlineStr">
        <is>
          <t>分组作业</t>
        </is>
      </c>
      <c r="G229" s="222" t="inlineStr">
        <is>
          <t>吉沐牛</t>
        </is>
      </c>
      <c r="H229" s="222" t="inlineStr">
        <is>
          <t>第二班组</t>
        </is>
      </c>
      <c r="I229" s="232" t="inlineStr">
        <is>
          <t>喜多多扒饭</t>
        </is>
      </c>
      <c r="J229" s="503" t="inlineStr">
        <is>
          <t>郝晓敏</t>
        </is>
      </c>
      <c r="K229" s="503" t="n"/>
      <c r="L229" s="224" t="n"/>
      <c r="M229" s="224" t="inlineStr">
        <is>
          <t>/</t>
        </is>
      </c>
      <c r="N229" s="651" t="n">
        <v>640000</v>
      </c>
      <c r="O229" s="247" t="n">
        <v>0.03</v>
      </c>
      <c r="P229" s="247" t="n">
        <v>0.01</v>
      </c>
      <c r="Q229" s="247" t="n">
        <v>0.06</v>
      </c>
      <c r="R229" s="247" t="n">
        <v>0.02</v>
      </c>
      <c r="S229" s="247" t="n">
        <v>0.03</v>
      </c>
      <c r="T229" s="247" t="n">
        <v>0.01</v>
      </c>
      <c r="U229" s="247" t="n">
        <v>0.01</v>
      </c>
      <c r="V229" s="461" t="inlineStr">
        <is>
          <t>按实</t>
        </is>
      </c>
      <c r="W229" s="461" t="inlineStr">
        <is>
          <t>按实</t>
        </is>
      </c>
      <c r="X229" s="461" t="inlineStr">
        <is>
          <t>按实</t>
        </is>
      </c>
      <c r="Y229" s="461" t="inlineStr">
        <is>
          <t>卡机管理费0.2％</t>
        </is>
      </c>
      <c r="Z229" s="461" t="inlineStr">
        <is>
          <t>/</t>
        </is>
      </c>
      <c r="AA229" s="461" t="inlineStr">
        <is>
          <t>按实</t>
        </is>
      </c>
      <c r="AB229" s="46" t="inlineStr">
        <is>
          <t>/</t>
        </is>
      </c>
      <c r="AC229" s="46" t="inlineStr">
        <is>
          <t>/</t>
        </is>
      </c>
      <c r="AD229" s="232" t="inlineStr">
        <is>
          <t>1、甲方管理费：项目反馈不收取，包含在服务费中；</t>
        </is>
      </c>
      <c r="AE229" s="232" t="inlineStr">
        <is>
          <t>1、签订期间：2026.2-2027.2；
2、指标按照全年换算；</t>
        </is>
      </c>
    </row>
    <row r="230" hidden="1" ht="24" customFormat="1" customHeight="1" s="209">
      <c r="A230" s="219" t="n">
        <v>228</v>
      </c>
      <c r="B230" s="220" t="inlineStr">
        <is>
          <t>KQCY0228</t>
        </is>
      </c>
      <c r="C230" s="221" t="inlineStr">
        <is>
          <t>餐饮三分部</t>
        </is>
      </c>
      <c r="D230" s="221" t="inlineStr">
        <is>
          <t>CF641</t>
        </is>
      </c>
      <c r="E230" s="221" t="inlineStr">
        <is>
          <t>中山大学北学二食堂</t>
        </is>
      </c>
      <c r="F230" s="219" t="inlineStr">
        <is>
          <t>分组作业</t>
        </is>
      </c>
      <c r="G230" s="222" t="inlineStr">
        <is>
          <t>吉沐牛</t>
        </is>
      </c>
      <c r="H230" s="222" t="inlineStr">
        <is>
          <t>第三班组</t>
        </is>
      </c>
      <c r="I230" s="232" t="inlineStr">
        <is>
          <t>香锅（麻辣烫）</t>
        </is>
      </c>
      <c r="J230" s="503" t="inlineStr">
        <is>
          <t>魏国义</t>
        </is>
      </c>
      <c r="K230" s="503" t="n"/>
      <c r="L230" s="224" t="n"/>
      <c r="M230" s="224" t="inlineStr">
        <is>
          <t>/</t>
        </is>
      </c>
      <c r="N230" s="651" t="n">
        <v>640000</v>
      </c>
      <c r="O230" s="247" t="n">
        <v>0.03</v>
      </c>
      <c r="P230" s="247" t="n">
        <v>0.01</v>
      </c>
      <c r="Q230" s="247" t="n">
        <v>0.06</v>
      </c>
      <c r="R230" s="247" t="n">
        <v>0.02</v>
      </c>
      <c r="S230" s="247" t="n">
        <v>0.03</v>
      </c>
      <c r="T230" s="247" t="n">
        <v>0.01</v>
      </c>
      <c r="U230" s="247" t="n">
        <v>0.01</v>
      </c>
      <c r="V230" s="461" t="inlineStr">
        <is>
          <t>按实</t>
        </is>
      </c>
      <c r="W230" s="461" t="inlineStr">
        <is>
          <t>按实</t>
        </is>
      </c>
      <c r="X230" s="461" t="inlineStr">
        <is>
          <t>按实</t>
        </is>
      </c>
      <c r="Y230" s="461" t="inlineStr">
        <is>
          <t>卡机管理费0.2％</t>
        </is>
      </c>
      <c r="Z230" s="461" t="inlineStr">
        <is>
          <t>/</t>
        </is>
      </c>
      <c r="AA230" s="461" t="inlineStr">
        <is>
          <t>按实</t>
        </is>
      </c>
      <c r="AB230" s="46" t="inlineStr">
        <is>
          <t>/</t>
        </is>
      </c>
      <c r="AC230" s="46" t="inlineStr">
        <is>
          <t>/</t>
        </is>
      </c>
      <c r="AD230" s="232" t="inlineStr">
        <is>
          <t>1、甲方管理费：项目反馈不收取，包含在服务费中；</t>
        </is>
      </c>
      <c r="AE230" s="232" t="inlineStr">
        <is>
          <t>1、签订期间：2026.2-2027.2；
2、指标按照全年换算；</t>
        </is>
      </c>
    </row>
    <row r="231" hidden="1" ht="24" customFormat="1" customHeight="1" s="209">
      <c r="A231" s="219" t="n">
        <v>229</v>
      </c>
      <c r="B231" s="220" t="inlineStr">
        <is>
          <t>KQCY0229</t>
        </is>
      </c>
      <c r="C231" s="221" t="inlineStr">
        <is>
          <t>餐饮三分部</t>
        </is>
      </c>
      <c r="D231" s="221" t="inlineStr">
        <is>
          <t>CF641</t>
        </is>
      </c>
      <c r="E231" s="221" t="inlineStr">
        <is>
          <t>中山大学北学二食堂</t>
        </is>
      </c>
      <c r="F231" s="219" t="inlineStr">
        <is>
          <t>分组作业</t>
        </is>
      </c>
      <c r="G231" s="222" t="inlineStr">
        <is>
          <t>吉沐牛</t>
        </is>
      </c>
      <c r="H231" s="222" t="inlineStr">
        <is>
          <t>第四班组</t>
        </is>
      </c>
      <c r="I231" s="232" t="inlineStr">
        <is>
          <t>面条（螺蛳粉）</t>
        </is>
      </c>
      <c r="J231" s="503" t="inlineStr">
        <is>
          <t>张玉雷</t>
        </is>
      </c>
      <c r="K231" s="503" t="n"/>
      <c r="L231" s="224" t="n"/>
      <c r="M231" s="224" t="inlineStr">
        <is>
          <t>/</t>
        </is>
      </c>
      <c r="N231" s="651" t="n">
        <v>640000</v>
      </c>
      <c r="O231" s="247" t="n">
        <v>0.03</v>
      </c>
      <c r="P231" s="247" t="n">
        <v>0.01</v>
      </c>
      <c r="Q231" s="247" t="n">
        <v>0.06</v>
      </c>
      <c r="R231" s="247" t="n">
        <v>0.02</v>
      </c>
      <c r="S231" s="247" t="n">
        <v>0.03</v>
      </c>
      <c r="T231" s="247" t="n">
        <v>0.01</v>
      </c>
      <c r="U231" s="247" t="n">
        <v>0.01</v>
      </c>
      <c r="V231" s="461" t="inlineStr">
        <is>
          <t>按实</t>
        </is>
      </c>
      <c r="W231" s="461" t="inlineStr">
        <is>
          <t>按实</t>
        </is>
      </c>
      <c r="X231" s="461" t="inlineStr">
        <is>
          <t>按实</t>
        </is>
      </c>
      <c r="Y231" s="461" t="inlineStr">
        <is>
          <t>卡机管理费0.2％</t>
        </is>
      </c>
      <c r="Z231" s="461" t="inlineStr">
        <is>
          <t>/</t>
        </is>
      </c>
      <c r="AA231" s="461" t="inlineStr">
        <is>
          <t>按实</t>
        </is>
      </c>
      <c r="AB231" s="46" t="inlineStr">
        <is>
          <t>/</t>
        </is>
      </c>
      <c r="AC231" s="46" t="inlineStr">
        <is>
          <t>/</t>
        </is>
      </c>
      <c r="AD231" s="232" t="inlineStr">
        <is>
          <t>1、甲方管理费：项目反馈不收取，包含在服务费中；</t>
        </is>
      </c>
      <c r="AE231" s="232" t="inlineStr">
        <is>
          <t>1、签订期间：2026.2-2027.2；
2、指标按照全年换算；</t>
        </is>
      </c>
    </row>
    <row r="232" hidden="1" ht="24" customFormat="1" customHeight="1" s="209">
      <c r="A232" s="219" t="n">
        <v>230</v>
      </c>
      <c r="B232" s="220" t="inlineStr">
        <is>
          <t>KQCY0230</t>
        </is>
      </c>
      <c r="C232" s="221" t="inlineStr">
        <is>
          <t>餐饮三分部</t>
        </is>
      </c>
      <c r="D232" s="221" t="inlineStr">
        <is>
          <t>CF641</t>
        </is>
      </c>
      <c r="E232" s="221" t="inlineStr">
        <is>
          <t>中山大学北学二食堂</t>
        </is>
      </c>
      <c r="F232" s="219" t="inlineStr">
        <is>
          <t>分组作业</t>
        </is>
      </c>
      <c r="G232" s="222" t="inlineStr">
        <is>
          <t>吉沐牛</t>
        </is>
      </c>
      <c r="H232" s="222" t="inlineStr">
        <is>
          <t>第五班组</t>
        </is>
      </c>
      <c r="I232" s="232" t="inlineStr">
        <is>
          <t>牛肉饭（烤肉拌饭）</t>
        </is>
      </c>
      <c r="J232" s="503" t="inlineStr">
        <is>
          <t>张磊</t>
        </is>
      </c>
      <c r="K232" s="503" t="n"/>
      <c r="L232" s="224" t="n"/>
      <c r="M232" s="224" t="inlineStr">
        <is>
          <t>/</t>
        </is>
      </c>
      <c r="N232" s="651" t="n">
        <v>640000</v>
      </c>
      <c r="O232" s="247" t="n">
        <v>0.03</v>
      </c>
      <c r="P232" s="247" t="n">
        <v>0.01</v>
      </c>
      <c r="Q232" s="247" t="n">
        <v>0.06</v>
      </c>
      <c r="R232" s="247" t="n">
        <v>0.02</v>
      </c>
      <c r="S232" s="247" t="n">
        <v>0.03</v>
      </c>
      <c r="T232" s="247" t="n">
        <v>0.01</v>
      </c>
      <c r="U232" s="247" t="n">
        <v>0.01</v>
      </c>
      <c r="V232" s="461" t="inlineStr">
        <is>
          <t>按实</t>
        </is>
      </c>
      <c r="W232" s="461" t="inlineStr">
        <is>
          <t>按实</t>
        </is>
      </c>
      <c r="X232" s="461" t="inlineStr">
        <is>
          <t>按实</t>
        </is>
      </c>
      <c r="Y232" s="461" t="inlineStr">
        <is>
          <t>卡机管理费0.2％</t>
        </is>
      </c>
      <c r="Z232" s="461" t="inlineStr">
        <is>
          <t>/</t>
        </is>
      </c>
      <c r="AA232" s="461" t="inlineStr">
        <is>
          <t>按实</t>
        </is>
      </c>
      <c r="AB232" s="46" t="inlineStr">
        <is>
          <t>/</t>
        </is>
      </c>
      <c r="AC232" s="46" t="inlineStr">
        <is>
          <t>/</t>
        </is>
      </c>
      <c r="AD232" s="232" t="inlineStr">
        <is>
          <t>1、甲方管理费：项目反馈不收取，包含在服务费中；</t>
        </is>
      </c>
      <c r="AE232" s="230" t="inlineStr">
        <is>
          <t>1、签订期间：2026.2-2026.7；
2、指标按照全年换算；</t>
        </is>
      </c>
    </row>
    <row r="233" hidden="1" ht="12" customFormat="1" customHeight="1" s="209">
      <c r="A233" s="219" t="n">
        <v>231</v>
      </c>
      <c r="B233" s="220" t="inlineStr">
        <is>
          <t>KQCY0231</t>
        </is>
      </c>
      <c r="C233" s="337" t="inlineStr">
        <is>
          <t>餐饮三分部</t>
        </is>
      </c>
      <c r="D233" s="337" t="inlineStr">
        <is>
          <t>CF640</t>
        </is>
      </c>
      <c r="E233" s="337" t="inlineStr">
        <is>
          <t>广东财大雅食园食堂</t>
        </is>
      </c>
      <c r="F233" s="239" t="inlineStr">
        <is>
          <t>自营</t>
        </is>
      </c>
      <c r="G233" s="220" t="inlineStr">
        <is>
          <t>吉沐牛</t>
        </is>
      </c>
      <c r="H233" s="220" t="inlineStr">
        <is>
          <t>/</t>
        </is>
      </c>
      <c r="I233" s="461" t="inlineStr">
        <is>
          <t>/</t>
        </is>
      </c>
      <c r="J233" s="461" t="inlineStr">
        <is>
          <t>/</t>
        </is>
      </c>
      <c r="K233" s="461" t="n"/>
      <c r="L233" s="235" t="n"/>
      <c r="M233" s="235" t="inlineStr">
        <is>
          <t>/</t>
        </is>
      </c>
      <c r="N233" s="651" t="inlineStr">
        <is>
          <t>/</t>
        </is>
      </c>
      <c r="O233" s="227" t="inlineStr">
        <is>
          <t>/</t>
        </is>
      </c>
      <c r="P233" s="227" t="inlineStr">
        <is>
          <t>/</t>
        </is>
      </c>
      <c r="Q233" s="227" t="inlineStr">
        <is>
          <t>/</t>
        </is>
      </c>
      <c r="R233" s="247" t="n"/>
      <c r="S233" s="247" t="inlineStr">
        <is>
          <t>/</t>
        </is>
      </c>
      <c r="T233" s="227" t="inlineStr">
        <is>
          <t>/</t>
        </is>
      </c>
      <c r="U233" s="235" t="inlineStr">
        <is>
          <t>/</t>
        </is>
      </c>
      <c r="V233" s="461" t="n"/>
      <c r="W233" s="227" t="n"/>
      <c r="X233" s="235" t="inlineStr">
        <is>
          <t>/</t>
        </is>
      </c>
      <c r="Y233" s="235" t="n"/>
      <c r="Z233" s="235" t="n"/>
      <c r="AA233" s="235" t="inlineStr">
        <is>
          <t>/</t>
        </is>
      </c>
      <c r="AB233" s="220" t="inlineStr">
        <is>
          <t>/</t>
        </is>
      </c>
      <c r="AC233" s="229" t="inlineStr">
        <is>
          <t>/</t>
        </is>
      </c>
      <c r="AD233" s="230" t="inlineStr">
        <is>
          <t>1、自营未实际经营；</t>
        </is>
      </c>
      <c r="AE233" s="230" t="n"/>
    </row>
    <row r="234" hidden="1" ht="60" customFormat="1" customHeight="1" s="209">
      <c r="A234" s="219" t="n">
        <v>232</v>
      </c>
      <c r="B234" s="220" t="inlineStr">
        <is>
          <t>KQCY0232</t>
        </is>
      </c>
      <c r="C234" s="221" t="inlineStr">
        <is>
          <t>餐饮三分部</t>
        </is>
      </c>
      <c r="D234" s="221" t="inlineStr">
        <is>
          <t>CF640</t>
        </is>
      </c>
      <c r="E234" s="221" t="inlineStr">
        <is>
          <t>广东财大雅食园食堂</t>
        </is>
      </c>
      <c r="F234" s="219" t="inlineStr">
        <is>
          <t>分组作业</t>
        </is>
      </c>
      <c r="G234" s="222" t="inlineStr">
        <is>
          <t>吉沐牛</t>
        </is>
      </c>
      <c r="H234" s="222" t="inlineStr">
        <is>
          <t>第一班组</t>
        </is>
      </c>
      <c r="I234" s="232" t="inlineStr">
        <is>
          <t>早点(大众餐)</t>
        </is>
      </c>
      <c r="J234" s="503" t="inlineStr">
        <is>
          <t>黄国青</t>
        </is>
      </c>
      <c r="K234" s="503" t="n"/>
      <c r="L234" s="224" t="n"/>
      <c r="M234" s="224" t="inlineStr">
        <is>
          <t>/</t>
        </is>
      </c>
      <c r="N234" s="651" t="n">
        <v>1200000</v>
      </c>
      <c r="O234" s="235" t="n">
        <v>0</v>
      </c>
      <c r="P234" s="235" t="n">
        <v>0</v>
      </c>
      <c r="Q234" s="235" t="n">
        <v>0</v>
      </c>
      <c r="R234" s="235" t="n">
        <v>0</v>
      </c>
      <c r="S234" s="235" t="n">
        <v>0</v>
      </c>
      <c r="T234" s="235" t="n">
        <v>0</v>
      </c>
      <c r="U234" s="235" t="n">
        <v>0</v>
      </c>
      <c r="V234" s="461" t="inlineStr">
        <is>
          <t>按实结算</t>
        </is>
      </c>
      <c r="W234" s="461" t="inlineStr">
        <is>
          <t>按实结算</t>
        </is>
      </c>
      <c r="X234" s="461" t="inlineStr">
        <is>
          <t>按实</t>
        </is>
      </c>
      <c r="Y234" s="461" t="inlineStr">
        <is>
          <t>10万/年，2月不收取，其他月份收取1万</t>
        </is>
      </c>
      <c r="Z234" s="461" t="inlineStr">
        <is>
          <t>/</t>
        </is>
      </c>
      <c r="AA234" s="461" t="inlineStr">
        <is>
          <t>按实</t>
        </is>
      </c>
      <c r="AB234" s="222" t="inlineStr">
        <is>
          <t>/</t>
        </is>
      </c>
      <c r="AC234" s="46" t="inlineStr">
        <is>
          <t>/</t>
        </is>
      </c>
      <c r="AD234" s="232" t="inlineStr">
        <is>
          <t>1、服务费：1、3-7；9-12月收取服务费，每月10000；
2、装修折旧费：项目反馈不收取，包含在服务费中；
3、管理人员费：项目反馈不收取，包含在服务费中；
4、资产费：项目反馈不收取，包含在服务费中；
5、甲方服务费：项目反馈不收取，包含在服务费中；</t>
        </is>
      </c>
      <c r="AE234" s="230" t="inlineStr">
        <is>
          <t>1、签订期间：2026.2-2026.7；
2、指标按照全年换算；
3、管理费10000元/月</t>
        </is>
      </c>
    </row>
    <row r="235" hidden="1" ht="12" customFormat="1" customHeight="1" s="209">
      <c r="A235" s="219" t="n">
        <v>233</v>
      </c>
      <c r="B235" s="220" t="inlineStr">
        <is>
          <t>KQCY0233</t>
        </is>
      </c>
      <c r="C235" s="337" t="inlineStr">
        <is>
          <t>餐饮三分部</t>
        </is>
      </c>
      <c r="D235" s="337" t="inlineStr">
        <is>
          <t>CF781</t>
        </is>
      </c>
      <c r="E235" s="337" t="inlineStr">
        <is>
          <t>苏食院第一学生食堂</t>
        </is>
      </c>
      <c r="F235" s="239" t="inlineStr">
        <is>
          <t>自营</t>
        </is>
      </c>
      <c r="G235" s="220" t="inlineStr">
        <is>
          <t>吉沐牛</t>
        </is>
      </c>
      <c r="H235" s="461" t="inlineStr">
        <is>
          <t>/</t>
        </is>
      </c>
      <c r="I235" s="461" t="inlineStr">
        <is>
          <t>/</t>
        </is>
      </c>
      <c r="J235" s="461" t="inlineStr">
        <is>
          <t>/</t>
        </is>
      </c>
      <c r="K235" s="461" t="n"/>
      <c r="L235" s="235" t="n"/>
      <c r="M235" s="235" t="inlineStr">
        <is>
          <t>/</t>
        </is>
      </c>
      <c r="N235" s="651" t="inlineStr">
        <is>
          <t>/</t>
        </is>
      </c>
      <c r="O235" s="276" t="inlineStr">
        <is>
          <t>/</t>
        </is>
      </c>
      <c r="P235" s="247" t="n"/>
      <c r="Q235" s="247" t="n"/>
      <c r="R235" s="247" t="n"/>
      <c r="S235" s="247" t="n"/>
      <c r="T235" s="247" t="n"/>
      <c r="U235" s="235" t="inlineStr">
        <is>
          <t>/</t>
        </is>
      </c>
      <c r="V235" s="227" t="n"/>
      <c r="W235" s="227" t="n"/>
      <c r="X235" s="227" t="n"/>
      <c r="Y235" s="461" t="n"/>
      <c r="Z235" s="461" t="n"/>
      <c r="AA235" s="461" t="n"/>
      <c r="AB235" s="46" t="n">
        <v>0.05</v>
      </c>
      <c r="AC235" s="229" t="inlineStr">
        <is>
          <t>/</t>
        </is>
      </c>
      <c r="AD235" s="230" t="inlineStr">
        <is>
          <t>1、自营未实际经营；</t>
        </is>
      </c>
      <c r="AE235" s="232" t="n"/>
    </row>
    <row r="236" hidden="1" ht="84" customFormat="1" customHeight="1" s="209">
      <c r="A236" s="219" t="n">
        <v>234</v>
      </c>
      <c r="B236" s="220" t="inlineStr">
        <is>
          <t>KQCY0234</t>
        </is>
      </c>
      <c r="C236" s="221" t="inlineStr">
        <is>
          <t>餐饮三分部</t>
        </is>
      </c>
      <c r="D236" s="221" t="inlineStr">
        <is>
          <t>CF781</t>
        </is>
      </c>
      <c r="E236" s="221" t="inlineStr">
        <is>
          <t>苏食院第一学生食堂</t>
        </is>
      </c>
      <c r="F236" s="219" t="inlineStr">
        <is>
          <t>分组作业</t>
        </is>
      </c>
      <c r="G236" s="222" t="inlineStr">
        <is>
          <t>吉沐牛</t>
        </is>
      </c>
      <c r="H236" s="503" t="inlineStr">
        <is>
          <t>/</t>
        </is>
      </c>
      <c r="I236" s="232" t="inlineStr">
        <is>
          <t>兰州拉面</t>
        </is>
      </c>
      <c r="J236" s="503" t="inlineStr">
        <is>
          <t>马金明</t>
        </is>
      </c>
      <c r="K236" s="503" t="n"/>
      <c r="L236" s="224" t="n"/>
      <c r="M236" s="224" t="inlineStr">
        <is>
          <t>/</t>
        </is>
      </c>
      <c r="N236" s="651" t="inlineStr">
        <is>
          <t>/</t>
        </is>
      </c>
      <c r="O236" s="552" t="n">
        <v>0.23</v>
      </c>
      <c r="P236" s="235" t="n">
        <v>0</v>
      </c>
      <c r="Q236" s="235" t="n">
        <v>0</v>
      </c>
      <c r="R236" s="235" t="n">
        <v>0</v>
      </c>
      <c r="S236" s="235" t="n">
        <v>0</v>
      </c>
      <c r="T236" s="235" t="n">
        <v>0</v>
      </c>
      <c r="U236" s="235" t="n">
        <v>0</v>
      </c>
      <c r="V236" s="235" t="n">
        <v>0</v>
      </c>
      <c r="W236" s="235" t="n">
        <v>0</v>
      </c>
      <c r="X236" s="461" t="inlineStr">
        <is>
          <t>按实</t>
        </is>
      </c>
      <c r="Y236" s="461" t="inlineStr">
        <is>
          <t>/</t>
        </is>
      </c>
      <c r="Z236" s="461" t="inlineStr">
        <is>
          <t>/</t>
        </is>
      </c>
      <c r="AA236" s="461" t="inlineStr">
        <is>
          <t>按实</t>
        </is>
      </c>
      <c r="AB236" s="222" t="inlineStr">
        <is>
          <t>/</t>
        </is>
      </c>
      <c r="AC236" s="46" t="inlineStr">
        <is>
          <t>/</t>
        </is>
      </c>
      <c r="AD236" s="23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
7、能源费：项目反馈不收取，包含在服务费中；</t>
        </is>
      </c>
      <c r="AE236" s="232" t="inlineStr">
        <is>
          <t>已撤场（2026年3月）；</t>
        </is>
      </c>
    </row>
    <row r="237" hidden="1" ht="24" customFormat="1" customHeight="1" s="209">
      <c r="A237" s="219" t="n">
        <v>235</v>
      </c>
      <c r="B237" s="220" t="inlineStr">
        <is>
          <t>KQCY0235</t>
        </is>
      </c>
      <c r="C237" s="221" t="inlineStr">
        <is>
          <t>餐饮三分部</t>
        </is>
      </c>
      <c r="D237" s="221" t="inlineStr">
        <is>
          <t>CF781</t>
        </is>
      </c>
      <c r="E237" s="221" t="inlineStr">
        <is>
          <t>苏食院第一学生食堂</t>
        </is>
      </c>
      <c r="F237" s="219" t="inlineStr">
        <is>
          <t>分组作业</t>
        </is>
      </c>
      <c r="G237" s="222" t="inlineStr">
        <is>
          <t>吉沐牛</t>
        </is>
      </c>
      <c r="H237" s="503" t="inlineStr">
        <is>
          <t>/</t>
        </is>
      </c>
      <c r="I237" s="237" t="inlineStr">
        <is>
          <t>米线</t>
        </is>
      </c>
      <c r="J237" s="222" t="inlineStr">
        <is>
          <t>许慧强</t>
        </is>
      </c>
      <c r="K237" s="222" t="n"/>
      <c r="L237" s="224" t="n"/>
      <c r="M237" s="224" t="inlineStr">
        <is>
          <t>/</t>
        </is>
      </c>
      <c r="N237" s="651" t="n">
        <v>250000</v>
      </c>
      <c r="O237" s="552" t="n">
        <v>0.28</v>
      </c>
      <c r="P237" s="235" t="n">
        <v>0</v>
      </c>
      <c r="Q237" s="235" t="n">
        <v>0</v>
      </c>
      <c r="R237" s="235" t="n">
        <v>0</v>
      </c>
      <c r="S237" s="235" t="n">
        <v>0</v>
      </c>
      <c r="T237" s="235" t="n">
        <v>0</v>
      </c>
      <c r="U237" s="235" t="n">
        <v>0</v>
      </c>
      <c r="V237" s="235" t="n">
        <v>0</v>
      </c>
      <c r="W237" s="235" t="n">
        <v>0</v>
      </c>
      <c r="X237" s="461" t="inlineStr">
        <is>
          <t>按实</t>
        </is>
      </c>
      <c r="Y237" s="461" t="inlineStr">
        <is>
          <t>/</t>
        </is>
      </c>
      <c r="Z237" s="461" t="inlineStr">
        <is>
          <t>/</t>
        </is>
      </c>
      <c r="AA237" s="461" t="inlineStr">
        <is>
          <t>按实</t>
        </is>
      </c>
      <c r="AB237" s="222" t="inlineStr">
        <is>
          <t>/</t>
        </is>
      </c>
      <c r="AC237" s="46" t="inlineStr">
        <is>
          <t>/</t>
        </is>
      </c>
      <c r="AD237" s="206" t="n"/>
      <c r="AE237" s="232" t="inlineStr">
        <is>
          <t>1、签订期间：2026.2-8月；
2、指标按照全年换算；</t>
        </is>
      </c>
    </row>
    <row r="238" hidden="1" ht="24" customFormat="1" customHeight="1" s="209">
      <c r="A238" s="219" t="n">
        <v>236</v>
      </c>
      <c r="B238" s="220" t="inlineStr">
        <is>
          <t>KQCY0236</t>
        </is>
      </c>
      <c r="C238" s="221" t="inlineStr">
        <is>
          <t>餐饮三分部</t>
        </is>
      </c>
      <c r="D238" s="221" t="inlineStr">
        <is>
          <t>CF781</t>
        </is>
      </c>
      <c r="E238" s="221" t="inlineStr">
        <is>
          <t>苏食院第一学生食堂</t>
        </is>
      </c>
      <c r="F238" s="219" t="inlineStr">
        <is>
          <t>分组作业</t>
        </is>
      </c>
      <c r="G238" s="222" t="inlineStr">
        <is>
          <t>吉沐牛</t>
        </is>
      </c>
      <c r="H238" s="503" t="inlineStr">
        <is>
          <t>/</t>
        </is>
      </c>
      <c r="I238" s="237" t="inlineStr">
        <is>
          <t>早点</t>
        </is>
      </c>
      <c r="J238" s="222" t="inlineStr">
        <is>
          <t>李帮</t>
        </is>
      </c>
      <c r="K238" s="222" t="n"/>
      <c r="L238" s="224" t="n"/>
      <c r="M238" s="224" t="inlineStr">
        <is>
          <t>/</t>
        </is>
      </c>
      <c r="N238" s="651" t="n">
        <v>530000</v>
      </c>
      <c r="O238" s="552" t="n">
        <v>0.27</v>
      </c>
      <c r="P238" s="235" t="n">
        <v>0</v>
      </c>
      <c r="Q238" s="235" t="n">
        <v>0</v>
      </c>
      <c r="R238" s="235" t="n">
        <v>0</v>
      </c>
      <c r="S238" s="235" t="n">
        <v>0</v>
      </c>
      <c r="T238" s="235" t="n">
        <v>0</v>
      </c>
      <c r="U238" s="235" t="n">
        <v>0</v>
      </c>
      <c r="V238" s="235" t="n">
        <v>0</v>
      </c>
      <c r="W238" s="235" t="n">
        <v>0</v>
      </c>
      <c r="X238" s="461" t="inlineStr">
        <is>
          <t>按实</t>
        </is>
      </c>
      <c r="Y238" s="461" t="inlineStr">
        <is>
          <t>/</t>
        </is>
      </c>
      <c r="Z238" s="461" t="inlineStr">
        <is>
          <t>/</t>
        </is>
      </c>
      <c r="AA238" s="461" t="inlineStr">
        <is>
          <t>按实</t>
        </is>
      </c>
      <c r="AB238" s="222" t="inlineStr">
        <is>
          <t>/</t>
        </is>
      </c>
      <c r="AC238" s="46" t="inlineStr">
        <is>
          <t>/</t>
        </is>
      </c>
      <c r="AD238" s="206" t="n"/>
      <c r="AE238" s="232" t="inlineStr">
        <is>
          <t>1、签订期间：2026.2-8月；
2、指标按照全年换算；</t>
        </is>
      </c>
    </row>
    <row r="239" hidden="1" ht="108" customFormat="1" customHeight="1" s="209">
      <c r="A239" s="219" t="n">
        <v>237</v>
      </c>
      <c r="B239" s="220" t="inlineStr">
        <is>
          <t>KQCY0237</t>
        </is>
      </c>
      <c r="C239" s="221" t="inlineStr">
        <is>
          <t>餐饮三分部</t>
        </is>
      </c>
      <c r="D239" s="221" t="inlineStr">
        <is>
          <t>CF781</t>
        </is>
      </c>
      <c r="E239" s="221" t="inlineStr">
        <is>
          <t>苏食院第一学生食堂</t>
        </is>
      </c>
      <c r="F239" s="219" t="inlineStr">
        <is>
          <t>分组作业</t>
        </is>
      </c>
      <c r="G239" s="222" t="inlineStr">
        <is>
          <t>吉沐牛</t>
        </is>
      </c>
      <c r="H239" s="503" t="inlineStr">
        <is>
          <t>/</t>
        </is>
      </c>
      <c r="I239" s="237" t="inlineStr">
        <is>
          <t>快餐</t>
        </is>
      </c>
      <c r="J239" s="222" t="inlineStr">
        <is>
          <t>吴荣花</t>
        </is>
      </c>
      <c r="K239" s="222" t="n"/>
      <c r="L239" s="224" t="n"/>
      <c r="M239" s="224" t="inlineStr">
        <is>
          <t>/</t>
        </is>
      </c>
      <c r="N239" s="651" t="n">
        <v>1240000</v>
      </c>
      <c r="O239" s="552" t="inlineStr">
        <is>
          <t>20%-23％
20万元以下收23%
20-23万元收22%
23-25万元收21%
25万元以上收20%</t>
        </is>
      </c>
      <c r="P239" s="235" t="n">
        <v>0</v>
      </c>
      <c r="Q239" s="235" t="n">
        <v>0</v>
      </c>
      <c r="R239" s="235" t="n">
        <v>0</v>
      </c>
      <c r="S239" s="235" t="n">
        <v>0</v>
      </c>
      <c r="T239" s="235" t="n">
        <v>0</v>
      </c>
      <c r="U239" s="235" t="n">
        <v>0</v>
      </c>
      <c r="V239" s="235" t="n">
        <v>0</v>
      </c>
      <c r="W239" s="235" t="n">
        <v>0</v>
      </c>
      <c r="X239" s="461" t="inlineStr">
        <is>
          <t>按实</t>
        </is>
      </c>
      <c r="Y239" s="461" t="inlineStr">
        <is>
          <t>/</t>
        </is>
      </c>
      <c r="Z239" s="461" t="inlineStr">
        <is>
          <t>/</t>
        </is>
      </c>
      <c r="AA239" s="461" t="inlineStr">
        <is>
          <t>按实</t>
        </is>
      </c>
      <c r="AB239" s="222" t="inlineStr">
        <is>
          <t>/</t>
        </is>
      </c>
      <c r="AC239" s="46" t="inlineStr">
        <is>
          <t>/</t>
        </is>
      </c>
      <c r="AD239" s="206" t="n"/>
      <c r="AE239" s="232" t="inlineStr">
        <is>
          <t>1、签订期间：2026.2-8月；
2、指标按照全年换算；</t>
        </is>
      </c>
    </row>
    <row r="240" hidden="1" ht="24" customFormat="1" customHeight="1" s="209">
      <c r="A240" s="219" t="n">
        <v>238</v>
      </c>
      <c r="B240" s="220" t="inlineStr">
        <is>
          <t>KQCY0238</t>
        </is>
      </c>
      <c r="C240" s="221" t="inlineStr">
        <is>
          <t>餐饮三分部</t>
        </is>
      </c>
      <c r="D240" s="221" t="inlineStr">
        <is>
          <t>CF781</t>
        </is>
      </c>
      <c r="E240" s="221" t="inlineStr">
        <is>
          <t>苏食院第一学生食堂</t>
        </is>
      </c>
      <c r="F240" s="219" t="inlineStr">
        <is>
          <t>分组作业</t>
        </is>
      </c>
      <c r="G240" s="222" t="inlineStr">
        <is>
          <t>吉沐牛</t>
        </is>
      </c>
      <c r="H240" s="503" t="inlineStr">
        <is>
          <t>/</t>
        </is>
      </c>
      <c r="I240" s="237" t="inlineStr">
        <is>
          <t>羊杂面</t>
        </is>
      </c>
      <c r="J240" s="222" t="inlineStr">
        <is>
          <t>许慧强</t>
        </is>
      </c>
      <c r="K240" s="222" t="n"/>
      <c r="L240" s="224" t="n"/>
      <c r="M240" s="224" t="inlineStr">
        <is>
          <t>/</t>
        </is>
      </c>
      <c r="N240" s="651" t="n">
        <v>700000</v>
      </c>
      <c r="O240" s="552" t="n">
        <v>0.28</v>
      </c>
      <c r="P240" s="235" t="n">
        <v>0</v>
      </c>
      <c r="Q240" s="235" t="n">
        <v>0</v>
      </c>
      <c r="R240" s="235" t="n">
        <v>0</v>
      </c>
      <c r="S240" s="235" t="n">
        <v>0</v>
      </c>
      <c r="T240" s="235" t="n">
        <v>0</v>
      </c>
      <c r="U240" s="235" t="n">
        <v>0</v>
      </c>
      <c r="V240" s="235" t="n">
        <v>0</v>
      </c>
      <c r="W240" s="235" t="n">
        <v>0</v>
      </c>
      <c r="X240" s="461" t="inlineStr">
        <is>
          <t>按实</t>
        </is>
      </c>
      <c r="Y240" s="461" t="inlineStr">
        <is>
          <t>/</t>
        </is>
      </c>
      <c r="Z240" s="461" t="inlineStr">
        <is>
          <t>/</t>
        </is>
      </c>
      <c r="AA240" s="461" t="inlineStr">
        <is>
          <t>按实</t>
        </is>
      </c>
      <c r="AB240" s="222" t="inlineStr">
        <is>
          <t>/</t>
        </is>
      </c>
      <c r="AC240" s="46" t="inlineStr">
        <is>
          <t>/</t>
        </is>
      </c>
      <c r="AD240" s="206" t="n"/>
      <c r="AE240" s="232" t="inlineStr">
        <is>
          <t>1、签订期间：2026.2-8月；
2、指标按照全年换算；</t>
        </is>
      </c>
    </row>
    <row r="241" hidden="1" ht="24" customFormat="1" customHeight="1" s="209">
      <c r="A241" s="219" t="n">
        <v>239</v>
      </c>
      <c r="B241" s="220" t="inlineStr">
        <is>
          <t>KQCY0239</t>
        </is>
      </c>
      <c r="C241" s="221" t="inlineStr">
        <is>
          <t>餐饮三分部</t>
        </is>
      </c>
      <c r="D241" s="221" t="inlineStr">
        <is>
          <t>CF781</t>
        </is>
      </c>
      <c r="E241" s="221" t="inlineStr">
        <is>
          <t>苏食院第一学生食堂</t>
        </is>
      </c>
      <c r="F241" s="219" t="inlineStr">
        <is>
          <t>分组作业</t>
        </is>
      </c>
      <c r="G241" s="222" t="inlineStr">
        <is>
          <t>吉沐牛</t>
        </is>
      </c>
      <c r="H241" s="503" t="inlineStr">
        <is>
          <t>/</t>
        </is>
      </c>
      <c r="I241" s="237" t="inlineStr">
        <is>
          <t>牛肉粉丝汤</t>
        </is>
      </c>
      <c r="J241" s="222" t="inlineStr">
        <is>
          <t>张宗芳</t>
        </is>
      </c>
      <c r="K241" s="222" t="n"/>
      <c r="L241" s="224" t="n"/>
      <c r="M241" s="224" t="inlineStr">
        <is>
          <t>/</t>
        </is>
      </c>
      <c r="N241" s="651" t="n">
        <v>500000</v>
      </c>
      <c r="O241" s="552" t="n">
        <v>0.28</v>
      </c>
      <c r="P241" s="235" t="n">
        <v>0</v>
      </c>
      <c r="Q241" s="235" t="n">
        <v>0</v>
      </c>
      <c r="R241" s="235" t="n">
        <v>0</v>
      </c>
      <c r="S241" s="235" t="n">
        <v>0</v>
      </c>
      <c r="T241" s="235" t="n">
        <v>0</v>
      </c>
      <c r="U241" s="235" t="n">
        <v>0</v>
      </c>
      <c r="V241" s="235" t="n">
        <v>0</v>
      </c>
      <c r="W241" s="235" t="n">
        <v>0</v>
      </c>
      <c r="X241" s="461" t="inlineStr">
        <is>
          <t>按实</t>
        </is>
      </c>
      <c r="Y241" s="461" t="inlineStr">
        <is>
          <t>/</t>
        </is>
      </c>
      <c r="Z241" s="461" t="inlineStr">
        <is>
          <t>/</t>
        </is>
      </c>
      <c r="AA241" s="461" t="inlineStr">
        <is>
          <t>按实</t>
        </is>
      </c>
      <c r="AB241" s="222" t="inlineStr">
        <is>
          <t>/</t>
        </is>
      </c>
      <c r="AC241" s="46" t="inlineStr">
        <is>
          <t>/</t>
        </is>
      </c>
      <c r="AD241" s="206" t="n"/>
      <c r="AE241" s="232" t="inlineStr">
        <is>
          <t>1、签订期间：2026.2-8月；
2、指标按照全年换算；</t>
        </is>
      </c>
    </row>
    <row r="242" hidden="1" ht="24" customFormat="1" customHeight="1" s="209">
      <c r="A242" s="219" t="n">
        <v>240</v>
      </c>
      <c r="B242" s="220" t="inlineStr">
        <is>
          <t>KQCY0240</t>
        </is>
      </c>
      <c r="C242" s="221" t="inlineStr">
        <is>
          <t>餐饮三分部</t>
        </is>
      </c>
      <c r="D242" s="221" t="inlineStr">
        <is>
          <t>CF781</t>
        </is>
      </c>
      <c r="E242" s="221" t="inlineStr">
        <is>
          <t>苏食院第一学生食堂</t>
        </is>
      </c>
      <c r="F242" s="219" t="inlineStr">
        <is>
          <t>分组作业</t>
        </is>
      </c>
      <c r="G242" s="222" t="inlineStr">
        <is>
          <t>吉沐牛</t>
        </is>
      </c>
      <c r="H242" s="503" t="inlineStr">
        <is>
          <t>/</t>
        </is>
      </c>
      <c r="I242" s="237" t="inlineStr">
        <is>
          <t>汤包蒸饺</t>
        </is>
      </c>
      <c r="J242" s="222" t="inlineStr">
        <is>
          <t>嵇炜</t>
        </is>
      </c>
      <c r="K242" s="222" t="n"/>
      <c r="L242" s="224" t="n"/>
      <c r="M242" s="224" t="inlineStr">
        <is>
          <t>/</t>
        </is>
      </c>
      <c r="N242" s="651" t="n">
        <v>540000</v>
      </c>
      <c r="O242" s="552" t="n">
        <v>0.28</v>
      </c>
      <c r="P242" s="235" t="n">
        <v>0</v>
      </c>
      <c r="Q242" s="235" t="n">
        <v>0</v>
      </c>
      <c r="R242" s="235" t="n">
        <v>0</v>
      </c>
      <c r="S242" s="235" t="n">
        <v>0</v>
      </c>
      <c r="T242" s="235" t="n">
        <v>0</v>
      </c>
      <c r="U242" s="235" t="n">
        <v>0</v>
      </c>
      <c r="V242" s="235" t="n">
        <v>0</v>
      </c>
      <c r="W242" s="235" t="n">
        <v>0</v>
      </c>
      <c r="X242" s="461" t="inlineStr">
        <is>
          <t>按实</t>
        </is>
      </c>
      <c r="Y242" s="461" t="inlineStr">
        <is>
          <t>/</t>
        </is>
      </c>
      <c r="Z242" s="461" t="inlineStr">
        <is>
          <t>/</t>
        </is>
      </c>
      <c r="AA242" s="461" t="inlineStr">
        <is>
          <t>按实</t>
        </is>
      </c>
      <c r="AB242" s="222" t="inlineStr">
        <is>
          <t>/</t>
        </is>
      </c>
      <c r="AC242" s="46" t="inlineStr">
        <is>
          <t>/</t>
        </is>
      </c>
      <c r="AD242" s="206" t="n"/>
      <c r="AE242" s="232" t="inlineStr">
        <is>
          <t>1、签订期间：2026.2-8月；
2、指标按照全年换算；</t>
        </is>
      </c>
    </row>
    <row r="243" hidden="1" ht="24" customFormat="1" customHeight="1" s="209">
      <c r="A243" s="219" t="n">
        <v>241</v>
      </c>
      <c r="B243" s="220" t="inlineStr">
        <is>
          <t>KQCY0241</t>
        </is>
      </c>
      <c r="C243" s="221" t="inlineStr">
        <is>
          <t>餐饮三分部</t>
        </is>
      </c>
      <c r="D243" s="221" t="inlineStr">
        <is>
          <t>CF781</t>
        </is>
      </c>
      <c r="E243" s="221" t="inlineStr">
        <is>
          <t>苏食院第一学生食堂</t>
        </is>
      </c>
      <c r="F243" s="219" t="inlineStr">
        <is>
          <t>分组作业</t>
        </is>
      </c>
      <c r="G243" s="222" t="inlineStr">
        <is>
          <t>吉沐牛</t>
        </is>
      </c>
      <c r="H243" s="503" t="inlineStr">
        <is>
          <t>/</t>
        </is>
      </c>
      <c r="I243" s="237" t="inlineStr">
        <is>
          <t>套餐饭</t>
        </is>
      </c>
      <c r="J243" s="222" t="inlineStr">
        <is>
          <t>白亚雪</t>
        </is>
      </c>
      <c r="K243" s="222" t="n"/>
      <c r="L243" s="224" t="n"/>
      <c r="M243" s="224" t="inlineStr">
        <is>
          <t>/</t>
        </is>
      </c>
      <c r="N243" s="651" t="n">
        <v>600000</v>
      </c>
      <c r="O243" s="552" t="n">
        <v>0.28</v>
      </c>
      <c r="P243" s="235" t="n">
        <v>0</v>
      </c>
      <c r="Q243" s="235" t="n">
        <v>0</v>
      </c>
      <c r="R243" s="235" t="n">
        <v>0</v>
      </c>
      <c r="S243" s="235" t="n">
        <v>0</v>
      </c>
      <c r="T243" s="235" t="n">
        <v>0</v>
      </c>
      <c r="U243" s="235" t="n">
        <v>0</v>
      </c>
      <c r="V243" s="235" t="n">
        <v>0</v>
      </c>
      <c r="W243" s="235" t="n">
        <v>0</v>
      </c>
      <c r="X243" s="461" t="inlineStr">
        <is>
          <t>按实</t>
        </is>
      </c>
      <c r="Y243" s="461" t="inlineStr">
        <is>
          <t>/</t>
        </is>
      </c>
      <c r="Z243" s="461" t="inlineStr">
        <is>
          <t>/</t>
        </is>
      </c>
      <c r="AA243" s="461" t="inlineStr">
        <is>
          <t>按实</t>
        </is>
      </c>
      <c r="AB243" s="222" t="inlineStr">
        <is>
          <t>/</t>
        </is>
      </c>
      <c r="AC243" s="46" t="inlineStr">
        <is>
          <t>/</t>
        </is>
      </c>
      <c r="AD243" s="206" t="n"/>
      <c r="AE243" s="232" t="inlineStr">
        <is>
          <t>1、签订期间：2026.2-8月；
2、指标按照全年换算；</t>
        </is>
      </c>
    </row>
    <row r="244" hidden="1" ht="24" customFormat="1" customHeight="1" s="209">
      <c r="A244" s="219" t="n">
        <v>242</v>
      </c>
      <c r="B244" s="220" t="inlineStr">
        <is>
          <t>KQCY0242</t>
        </is>
      </c>
      <c r="C244" s="221" t="inlineStr">
        <is>
          <t>餐饮三分部</t>
        </is>
      </c>
      <c r="D244" s="221" t="inlineStr">
        <is>
          <t>CF781</t>
        </is>
      </c>
      <c r="E244" s="221" t="inlineStr">
        <is>
          <t>苏食院第一学生食堂</t>
        </is>
      </c>
      <c r="F244" s="219" t="inlineStr">
        <is>
          <t>分组作业</t>
        </is>
      </c>
      <c r="G244" s="222" t="inlineStr">
        <is>
          <t>吉沐牛</t>
        </is>
      </c>
      <c r="H244" s="503" t="inlineStr">
        <is>
          <t>/</t>
        </is>
      </c>
      <c r="I244" s="237" t="inlineStr">
        <is>
          <t>拉面</t>
        </is>
      </c>
      <c r="J244" s="222" t="inlineStr">
        <is>
          <t>李小东</t>
        </is>
      </c>
      <c r="K244" s="222" t="n"/>
      <c r="L244" s="224" t="n"/>
      <c r="M244" s="224" t="inlineStr">
        <is>
          <t>/</t>
        </is>
      </c>
      <c r="N244" s="651" t="n">
        <v>370000</v>
      </c>
      <c r="O244" s="552" t="n">
        <v>0.22</v>
      </c>
      <c r="P244" s="235" t="n">
        <v>0</v>
      </c>
      <c r="Q244" s="235" t="n">
        <v>0</v>
      </c>
      <c r="R244" s="235" t="n">
        <v>0</v>
      </c>
      <c r="S244" s="235" t="n">
        <v>0</v>
      </c>
      <c r="T244" s="235" t="n">
        <v>0</v>
      </c>
      <c r="U244" s="235" t="n">
        <v>0</v>
      </c>
      <c r="V244" s="235" t="n">
        <v>0</v>
      </c>
      <c r="W244" s="235" t="n">
        <v>0</v>
      </c>
      <c r="X244" s="461" t="inlineStr">
        <is>
          <t>按实</t>
        </is>
      </c>
      <c r="Y244" s="461" t="inlineStr">
        <is>
          <t>/</t>
        </is>
      </c>
      <c r="Z244" s="461" t="inlineStr">
        <is>
          <t>/</t>
        </is>
      </c>
      <c r="AA244" s="461" t="inlineStr">
        <is>
          <t>按实</t>
        </is>
      </c>
      <c r="AB244" s="222" t="inlineStr">
        <is>
          <t>/</t>
        </is>
      </c>
      <c r="AC244" s="46" t="inlineStr">
        <is>
          <t>/</t>
        </is>
      </c>
      <c r="AD244" s="206" t="n"/>
      <c r="AE244" s="232" t="inlineStr">
        <is>
          <t>1、签订期间：2026.2-8月；
2、指标按照全年换算；</t>
        </is>
      </c>
    </row>
    <row r="245" hidden="1" ht="24" customFormat="1" customHeight="1" s="209">
      <c r="A245" s="219" t="n">
        <v>243</v>
      </c>
      <c r="B245" s="220" t="inlineStr">
        <is>
          <t>KQCY0243</t>
        </is>
      </c>
      <c r="C245" s="221" t="inlineStr">
        <is>
          <t>餐饮三分部</t>
        </is>
      </c>
      <c r="D245" s="221" t="inlineStr">
        <is>
          <t>CF781</t>
        </is>
      </c>
      <c r="E245" s="221" t="inlineStr">
        <is>
          <t>苏食院第一学生食堂</t>
        </is>
      </c>
      <c r="F245" s="219" t="inlineStr">
        <is>
          <t>分组作业</t>
        </is>
      </c>
      <c r="G245" s="222" t="inlineStr">
        <is>
          <t>吉沐牛</t>
        </is>
      </c>
      <c r="H245" s="503" t="inlineStr">
        <is>
          <t>/</t>
        </is>
      </c>
      <c r="I245" s="232" t="inlineStr">
        <is>
          <t>水吧</t>
        </is>
      </c>
      <c r="J245" s="222" t="inlineStr">
        <is>
          <t>王树松</t>
        </is>
      </c>
      <c r="K245" s="222" t="n"/>
      <c r="L245" s="224" t="n"/>
      <c r="M245" s="224" t="inlineStr">
        <is>
          <t>/</t>
        </is>
      </c>
      <c r="N245" s="651" t="n">
        <v>250000</v>
      </c>
      <c r="O245" s="552" t="n">
        <v>0.23</v>
      </c>
      <c r="P245" s="235" t="n">
        <v>0</v>
      </c>
      <c r="Q245" s="235" t="n">
        <v>0</v>
      </c>
      <c r="R245" s="235" t="n">
        <v>0</v>
      </c>
      <c r="S245" s="235" t="n">
        <v>0</v>
      </c>
      <c r="T245" s="235" t="n">
        <v>0</v>
      </c>
      <c r="U245" s="235" t="n">
        <v>0</v>
      </c>
      <c r="V245" s="235" t="n">
        <v>0</v>
      </c>
      <c r="W245" s="235" t="n">
        <v>0</v>
      </c>
      <c r="X245" s="461" t="inlineStr">
        <is>
          <t>按实</t>
        </is>
      </c>
      <c r="Y245" s="461" t="inlineStr">
        <is>
          <t>/</t>
        </is>
      </c>
      <c r="Z245" s="461" t="inlineStr">
        <is>
          <t>/</t>
        </is>
      </c>
      <c r="AA245" s="461" t="inlineStr">
        <is>
          <t>按实</t>
        </is>
      </c>
      <c r="AB245" s="222" t="inlineStr">
        <is>
          <t>/</t>
        </is>
      </c>
      <c r="AC245" s="46" t="inlineStr">
        <is>
          <t>/</t>
        </is>
      </c>
      <c r="AD245" s="206" t="n"/>
      <c r="AE245" s="232" t="inlineStr">
        <is>
          <t>1、签订期间：2026.2-8月；
2、指标按照全年换算；</t>
        </is>
      </c>
    </row>
    <row r="246" hidden="1" ht="24" customFormat="1" customHeight="1" s="209">
      <c r="A246" s="219" t="n">
        <v>244</v>
      </c>
      <c r="B246" s="220" t="inlineStr">
        <is>
          <t>KQCY0244</t>
        </is>
      </c>
      <c r="C246" s="221" t="inlineStr">
        <is>
          <t>餐饮三分部</t>
        </is>
      </c>
      <c r="D246" s="221" t="inlineStr">
        <is>
          <t>CF781</t>
        </is>
      </c>
      <c r="E246" s="221" t="inlineStr">
        <is>
          <t>苏食院第一学生食堂</t>
        </is>
      </c>
      <c r="F246" s="219" t="inlineStr">
        <is>
          <t>分组作业</t>
        </is>
      </c>
      <c r="G246" s="222" t="inlineStr">
        <is>
          <t>吉沐牛</t>
        </is>
      </c>
      <c r="H246" s="503" t="inlineStr">
        <is>
          <t>/</t>
        </is>
      </c>
      <c r="I246" s="237" t="inlineStr">
        <is>
          <t>面包</t>
        </is>
      </c>
      <c r="J246" s="222" t="inlineStr">
        <is>
          <t>汪雨凤</t>
        </is>
      </c>
      <c r="K246" s="222" t="n"/>
      <c r="L246" s="224" t="n"/>
      <c r="M246" s="224" t="inlineStr">
        <is>
          <t>/</t>
        </is>
      </c>
      <c r="N246" s="651" t="n">
        <v>300000</v>
      </c>
      <c r="O246" s="247" t="n">
        <v>0.24</v>
      </c>
      <c r="P246" s="235" t="n">
        <v>0</v>
      </c>
      <c r="Q246" s="235" t="n">
        <v>0</v>
      </c>
      <c r="R246" s="235" t="n">
        <v>0</v>
      </c>
      <c r="S246" s="235" t="n">
        <v>0</v>
      </c>
      <c r="T246" s="235" t="n">
        <v>0</v>
      </c>
      <c r="U246" s="235" t="n">
        <v>0</v>
      </c>
      <c r="V246" s="235" t="n">
        <v>0</v>
      </c>
      <c r="W246" s="235" t="n">
        <v>0</v>
      </c>
      <c r="X246" s="461" t="inlineStr">
        <is>
          <t>按实</t>
        </is>
      </c>
      <c r="Y246" s="461" t="inlineStr">
        <is>
          <t>/</t>
        </is>
      </c>
      <c r="Z246" s="461" t="inlineStr">
        <is>
          <t>/</t>
        </is>
      </c>
      <c r="AA246" s="461" t="inlineStr">
        <is>
          <t>按实</t>
        </is>
      </c>
      <c r="AB246" s="222" t="inlineStr">
        <is>
          <t>/</t>
        </is>
      </c>
      <c r="AC246" s="46" t="inlineStr">
        <is>
          <t>/</t>
        </is>
      </c>
      <c r="AD246" s="206" t="n"/>
      <c r="AE246" s="232" t="inlineStr">
        <is>
          <t>1、签订期间：2026.2-8月；
2、指标按照全年换算；</t>
        </is>
      </c>
    </row>
    <row r="247" hidden="1" ht="24" customFormat="1" customHeight="1" s="209">
      <c r="A247" s="219" t="n">
        <v>245</v>
      </c>
      <c r="B247" s="220" t="inlineStr">
        <is>
          <t>KQCY0245</t>
        </is>
      </c>
      <c r="C247" s="221" t="inlineStr">
        <is>
          <t>餐饮三分部</t>
        </is>
      </c>
      <c r="D247" s="221" t="inlineStr">
        <is>
          <t>CF781</t>
        </is>
      </c>
      <c r="E247" s="221" t="inlineStr">
        <is>
          <t>苏食院第一学生食堂</t>
        </is>
      </c>
      <c r="F247" s="219" t="inlineStr">
        <is>
          <t>分组作业</t>
        </is>
      </c>
      <c r="G247" s="222" t="inlineStr">
        <is>
          <t>吉沐牛</t>
        </is>
      </c>
      <c r="H247" s="503" t="inlineStr">
        <is>
          <t>/</t>
        </is>
      </c>
      <c r="I247" s="237" t="inlineStr">
        <is>
          <t>蹦蹦鸡</t>
        </is>
      </c>
      <c r="J247" s="222" t="inlineStr">
        <is>
          <t>朱海涛</t>
        </is>
      </c>
      <c r="K247" s="222" t="n"/>
      <c r="L247" s="224" t="n"/>
      <c r="M247" s="224" t="inlineStr">
        <is>
          <t>/</t>
        </is>
      </c>
      <c r="N247" s="651" t="n">
        <v>360000</v>
      </c>
      <c r="O247" s="247" t="n">
        <v>0.28</v>
      </c>
      <c r="P247" s="235" t="n">
        <v>0</v>
      </c>
      <c r="Q247" s="235" t="n">
        <v>0</v>
      </c>
      <c r="R247" s="235" t="n">
        <v>0</v>
      </c>
      <c r="S247" s="235" t="n">
        <v>0</v>
      </c>
      <c r="T247" s="235" t="n">
        <v>0</v>
      </c>
      <c r="U247" s="235" t="n">
        <v>0</v>
      </c>
      <c r="V247" s="235" t="n">
        <v>0</v>
      </c>
      <c r="W247" s="235" t="n">
        <v>0</v>
      </c>
      <c r="X247" s="461" t="inlineStr">
        <is>
          <t>按实</t>
        </is>
      </c>
      <c r="Y247" s="461" t="inlineStr">
        <is>
          <t>/</t>
        </is>
      </c>
      <c r="Z247" s="461" t="inlineStr">
        <is>
          <t>/</t>
        </is>
      </c>
      <c r="AA247" s="461" t="inlineStr">
        <is>
          <t>按实</t>
        </is>
      </c>
      <c r="AB247" s="222" t="inlineStr">
        <is>
          <t>/</t>
        </is>
      </c>
      <c r="AC247" s="46" t="inlineStr">
        <is>
          <t>/</t>
        </is>
      </c>
      <c r="AD247" s="206" t="n"/>
      <c r="AE247" s="232" t="inlineStr">
        <is>
          <t>1、签订期间：2026.2-8月；
2、指标按照全年换算；</t>
        </is>
      </c>
    </row>
    <row r="248" hidden="1" ht="24" customFormat="1" customHeight="1" s="209">
      <c r="A248" s="219" t="n">
        <v>246</v>
      </c>
      <c r="B248" s="220" t="inlineStr">
        <is>
          <t>KQCY0246</t>
        </is>
      </c>
      <c r="C248" s="221" t="inlineStr">
        <is>
          <t>餐饮三分部</t>
        </is>
      </c>
      <c r="D248" s="221" t="inlineStr">
        <is>
          <t>CF781</t>
        </is>
      </c>
      <c r="E248" s="221" t="inlineStr">
        <is>
          <t>苏食院第一学生食堂</t>
        </is>
      </c>
      <c r="F248" s="219" t="inlineStr">
        <is>
          <t>分组作业</t>
        </is>
      </c>
      <c r="G248" s="222" t="inlineStr">
        <is>
          <t>吉沐牛</t>
        </is>
      </c>
      <c r="H248" s="503" t="inlineStr">
        <is>
          <t>/</t>
        </is>
      </c>
      <c r="I248" s="237" t="inlineStr">
        <is>
          <t>水饺</t>
        </is>
      </c>
      <c r="J248" s="222" t="inlineStr">
        <is>
          <t>刘淑平</t>
        </is>
      </c>
      <c r="K248" s="222" t="n"/>
      <c r="L248" s="224" t="n"/>
      <c r="M248" s="224" t="inlineStr">
        <is>
          <t>/</t>
        </is>
      </c>
      <c r="N248" s="651" t="n">
        <v>250000</v>
      </c>
      <c r="O248" s="247" t="n">
        <v>0.28</v>
      </c>
      <c r="P248" s="235" t="n">
        <v>0</v>
      </c>
      <c r="Q248" s="235" t="n">
        <v>0</v>
      </c>
      <c r="R248" s="235" t="n">
        <v>0</v>
      </c>
      <c r="S248" s="235" t="n">
        <v>0</v>
      </c>
      <c r="T248" s="235" t="n">
        <v>0</v>
      </c>
      <c r="U248" s="235" t="n">
        <v>0</v>
      </c>
      <c r="V248" s="235" t="n">
        <v>0</v>
      </c>
      <c r="W248" s="235" t="n">
        <v>0</v>
      </c>
      <c r="X248" s="461" t="inlineStr">
        <is>
          <t>按实</t>
        </is>
      </c>
      <c r="Y248" s="461" t="inlineStr">
        <is>
          <t>/</t>
        </is>
      </c>
      <c r="Z248" s="461" t="inlineStr">
        <is>
          <t>/</t>
        </is>
      </c>
      <c r="AA248" s="461" t="inlineStr">
        <is>
          <t>按实</t>
        </is>
      </c>
      <c r="AB248" s="222" t="inlineStr">
        <is>
          <t>/</t>
        </is>
      </c>
      <c r="AC248" s="46" t="inlineStr">
        <is>
          <t>/</t>
        </is>
      </c>
      <c r="AD248" s="206" t="n"/>
      <c r="AE248" s="232" t="inlineStr">
        <is>
          <t>1、签订期间：2026.2-8月；
2、指标按照全年换算；</t>
        </is>
      </c>
    </row>
    <row r="249" hidden="1" ht="72" customFormat="1" customHeight="1" s="209">
      <c r="A249" s="219" t="n">
        <v>247</v>
      </c>
      <c r="B249" s="220" t="inlineStr">
        <is>
          <t>KQCY0247</t>
        </is>
      </c>
      <c r="C249" s="221" t="inlineStr">
        <is>
          <t>餐饮三分部</t>
        </is>
      </c>
      <c r="D249" s="221" t="inlineStr">
        <is>
          <t>CF781</t>
        </is>
      </c>
      <c r="E249" s="221" t="inlineStr">
        <is>
          <t>苏食院第一学生食堂</t>
        </is>
      </c>
      <c r="F249" s="219" t="inlineStr">
        <is>
          <t>分组作业</t>
        </is>
      </c>
      <c r="G249" s="222" t="inlineStr">
        <is>
          <t>吉沐牛</t>
        </is>
      </c>
      <c r="H249" s="503" t="inlineStr">
        <is>
          <t>/</t>
        </is>
      </c>
      <c r="I249" s="232" t="inlineStr">
        <is>
          <t>0900汉堡</t>
        </is>
      </c>
      <c r="J249" s="222" t="inlineStr">
        <is>
          <t>张文浩</t>
        </is>
      </c>
      <c r="K249" s="222" t="n"/>
      <c r="L249" s="224" t="n"/>
      <c r="M249" s="224" t="inlineStr">
        <is>
          <t>/</t>
        </is>
      </c>
      <c r="N249" s="651" t="n">
        <v>340000</v>
      </c>
      <c r="O249" s="461" t="inlineStr">
        <is>
          <t>房租8000元/月，半年4.0万元，2月、8月不收取</t>
        </is>
      </c>
      <c r="P249" s="235" t="n">
        <v>0</v>
      </c>
      <c r="Q249" s="235" t="n">
        <v>0</v>
      </c>
      <c r="R249" s="235" t="n">
        <v>0</v>
      </c>
      <c r="S249" s="235" t="n">
        <v>0</v>
      </c>
      <c r="T249" s="235" t="n">
        <v>0</v>
      </c>
      <c r="U249" s="235" t="n">
        <v>0</v>
      </c>
      <c r="V249" s="235" t="n">
        <v>0</v>
      </c>
      <c r="W249" s="461" t="inlineStr">
        <is>
          <t>按实</t>
        </is>
      </c>
      <c r="X249" s="461" t="inlineStr">
        <is>
          <t>按实</t>
        </is>
      </c>
      <c r="Y249" s="461" t="inlineStr">
        <is>
          <t>/</t>
        </is>
      </c>
      <c r="Z249" s="461" t="inlineStr">
        <is>
          <t>/</t>
        </is>
      </c>
      <c r="AA249" s="461" t="inlineStr">
        <is>
          <t>按实</t>
        </is>
      </c>
      <c r="AB249" s="222" t="inlineStr">
        <is>
          <t>/</t>
        </is>
      </c>
      <c r="AC249" s="46" t="inlineStr">
        <is>
          <t>/</t>
        </is>
      </c>
      <c r="AD249" s="23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AE249" s="232" t="inlineStr">
        <is>
          <t>1、签订期间：2026.2-8月；
2、指标按照全年换算；
3、管理费3.2万/半年</t>
        </is>
      </c>
    </row>
    <row r="250" hidden="1" ht="72" customFormat="1" customHeight="1" s="209">
      <c r="A250" s="219" t="n">
        <v>248</v>
      </c>
      <c r="B250" s="220" t="inlineStr">
        <is>
          <t>KQCY0248</t>
        </is>
      </c>
      <c r="C250" s="221" t="inlineStr">
        <is>
          <t>餐饮三分部</t>
        </is>
      </c>
      <c r="D250" s="221" t="inlineStr">
        <is>
          <t>CF781</t>
        </is>
      </c>
      <c r="E250" s="221" t="inlineStr">
        <is>
          <t>苏食院第一学生食堂</t>
        </is>
      </c>
      <c r="F250" s="219" t="inlineStr">
        <is>
          <t>分组作业</t>
        </is>
      </c>
      <c r="G250" s="222" t="inlineStr">
        <is>
          <t>吉沐牛</t>
        </is>
      </c>
      <c r="H250" s="503" t="inlineStr">
        <is>
          <t>/</t>
        </is>
      </c>
      <c r="I250" s="232" t="inlineStr">
        <is>
          <t>煎饼果子</t>
        </is>
      </c>
      <c r="J250" s="222" t="inlineStr">
        <is>
          <t>朱小林</t>
        </is>
      </c>
      <c r="K250" s="222" t="n"/>
      <c r="L250" s="224" t="n"/>
      <c r="M250" s="224" t="inlineStr">
        <is>
          <t>/</t>
        </is>
      </c>
      <c r="N250" s="651" t="n">
        <v>320000</v>
      </c>
      <c r="O250" s="461" t="inlineStr">
        <is>
          <t>房租9000元/月，半年4.5万元，2月、8月不收取</t>
        </is>
      </c>
      <c r="P250" s="235" t="n">
        <v>0</v>
      </c>
      <c r="Q250" s="235" t="n">
        <v>0</v>
      </c>
      <c r="R250" s="235" t="n">
        <v>0</v>
      </c>
      <c r="S250" s="235" t="n">
        <v>0</v>
      </c>
      <c r="T250" s="235" t="n">
        <v>0</v>
      </c>
      <c r="U250" s="235" t="n">
        <v>0</v>
      </c>
      <c r="V250" s="235" t="n">
        <v>0</v>
      </c>
      <c r="W250" s="461" t="inlineStr">
        <is>
          <t>按实</t>
        </is>
      </c>
      <c r="X250" s="461" t="inlineStr">
        <is>
          <t>按实</t>
        </is>
      </c>
      <c r="Y250" s="461" t="inlineStr">
        <is>
          <t>/</t>
        </is>
      </c>
      <c r="Z250" s="461" t="inlineStr">
        <is>
          <t>/</t>
        </is>
      </c>
      <c r="AA250" s="461" t="inlineStr">
        <is>
          <t>按实</t>
        </is>
      </c>
      <c r="AB250" s="222" t="inlineStr">
        <is>
          <t>/</t>
        </is>
      </c>
      <c r="AC250" s="46" t="inlineStr">
        <is>
          <t>/</t>
        </is>
      </c>
      <c r="AD250" s="23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AE250" s="232" t="inlineStr">
        <is>
          <t>1、签订期间：2026.2-8月；
2、指标按照全年换算；
3、管理费4.5万/半年</t>
        </is>
      </c>
    </row>
    <row r="251" hidden="1" ht="12" customFormat="1" customHeight="1" s="209">
      <c r="A251" s="219" t="n">
        <v>249</v>
      </c>
      <c r="B251" s="220" t="inlineStr">
        <is>
          <t>KQCY0249</t>
        </is>
      </c>
      <c r="C251" s="337" t="inlineStr">
        <is>
          <t>餐饮三分部</t>
        </is>
      </c>
      <c r="D251" s="337" t="inlineStr">
        <is>
          <t>CF320</t>
        </is>
      </c>
      <c r="E251" s="337" t="inlineStr">
        <is>
          <t>江苏财经梅园食堂</t>
        </is>
      </c>
      <c r="F251" s="239" t="inlineStr">
        <is>
          <t>自营</t>
        </is>
      </c>
      <c r="G251" s="220" t="inlineStr">
        <is>
          <t>吉沐牛</t>
        </is>
      </c>
      <c r="H251" s="461" t="inlineStr">
        <is>
          <t>/</t>
        </is>
      </c>
      <c r="I251" s="239" t="inlineStr">
        <is>
          <t>/</t>
        </is>
      </c>
      <c r="J251" s="239" t="inlineStr">
        <is>
          <t>/</t>
        </is>
      </c>
      <c r="K251" s="239" t="n"/>
      <c r="L251" s="235" t="n"/>
      <c r="M251" s="235" t="inlineStr">
        <is>
          <t>/</t>
        </is>
      </c>
      <c r="N251" s="651" t="inlineStr">
        <is>
          <t>/</t>
        </is>
      </c>
      <c r="O251" s="235" t="inlineStr">
        <is>
          <t>/</t>
        </is>
      </c>
      <c r="P251" s="235" t="n"/>
      <c r="Q251" s="235" t="n"/>
      <c r="R251" s="235" t="n"/>
      <c r="S251" s="235" t="inlineStr">
        <is>
          <t>/</t>
        </is>
      </c>
      <c r="T251" s="235" t="n"/>
      <c r="U251" s="235" t="inlineStr">
        <is>
          <t>/</t>
        </is>
      </c>
      <c r="V251" s="235" t="n"/>
      <c r="W251" s="235" t="n"/>
      <c r="X251" s="551" t="n"/>
      <c r="Y251" s="461" t="n"/>
      <c r="Z251" s="461" t="n"/>
      <c r="AA251" s="461" t="n"/>
      <c r="AB251" s="46" t="n">
        <v>0.05</v>
      </c>
      <c r="AC251" s="229" t="inlineStr">
        <is>
          <t>/</t>
        </is>
      </c>
      <c r="AD251" s="230" t="inlineStr">
        <is>
          <t>1、自营未实际经营；</t>
        </is>
      </c>
      <c r="AE251" s="232" t="n"/>
    </row>
    <row r="252" hidden="1" ht="36" customFormat="1" customHeight="1" s="209">
      <c r="A252" s="219" t="n">
        <v>250</v>
      </c>
      <c r="B252" s="220" t="inlineStr">
        <is>
          <t>KQCY0250</t>
        </is>
      </c>
      <c r="C252" s="221" t="inlineStr">
        <is>
          <t>餐饮三分部</t>
        </is>
      </c>
      <c r="D252" s="221" t="inlineStr">
        <is>
          <t>CF320</t>
        </is>
      </c>
      <c r="E252" s="221" t="inlineStr">
        <is>
          <t>江苏财经梅园食堂</t>
        </is>
      </c>
      <c r="F252" s="219" t="inlineStr">
        <is>
          <t>分组作业</t>
        </is>
      </c>
      <c r="G252" s="222" t="inlineStr">
        <is>
          <t>吉沐牛</t>
        </is>
      </c>
      <c r="H252" s="503" t="inlineStr">
        <is>
          <t>/</t>
        </is>
      </c>
      <c r="I252" s="237" t="inlineStr">
        <is>
          <t>喜翻拌</t>
        </is>
      </c>
      <c r="J252" s="219" t="inlineStr">
        <is>
          <t>赵建芳</t>
        </is>
      </c>
      <c r="K252" s="219" t="n"/>
      <c r="L252" s="224" t="n"/>
      <c r="M252" s="224" t="inlineStr">
        <is>
          <t>/</t>
        </is>
      </c>
      <c r="N252" s="651" t="n">
        <v>732000</v>
      </c>
      <c r="O252" s="247" t="n">
        <v>0.29</v>
      </c>
      <c r="P252" s="235" t="n">
        <v>0</v>
      </c>
      <c r="Q252" s="235" t="n">
        <v>0</v>
      </c>
      <c r="R252" s="235" t="n">
        <v>0</v>
      </c>
      <c r="S252" s="235" t="n">
        <v>0</v>
      </c>
      <c r="T252" s="235" t="n">
        <v>0</v>
      </c>
      <c r="U252" s="235" t="n">
        <v>0</v>
      </c>
      <c r="V252" s="235" t="n">
        <v>0</v>
      </c>
      <c r="W252" s="235" t="n">
        <v>0</v>
      </c>
      <c r="X252" s="461" t="inlineStr">
        <is>
          <t>按实</t>
        </is>
      </c>
      <c r="Y252" s="461" t="inlineStr">
        <is>
          <t>餐损50元/月，7月按实际经营天数结算</t>
        </is>
      </c>
      <c r="Z252" s="461" t="inlineStr">
        <is>
          <t>/</t>
        </is>
      </c>
      <c r="AA252" s="461" t="inlineStr">
        <is>
          <t>按实</t>
        </is>
      </c>
      <c r="AB252" s="51" t="inlineStr">
        <is>
          <t>/</t>
        </is>
      </c>
      <c r="AC252" s="46" t="inlineStr">
        <is>
          <t>/</t>
        </is>
      </c>
      <c r="AD252" s="232" t="n"/>
      <c r="AE252" s="232" t="inlineStr">
        <is>
          <t>1、签订期间：2026.2-7月；
2、指标按照全年换算；</t>
        </is>
      </c>
    </row>
    <row r="253" hidden="1" ht="36" customFormat="1" customHeight="1" s="209">
      <c r="A253" s="219" t="n">
        <v>251</v>
      </c>
      <c r="B253" s="220" t="inlineStr">
        <is>
          <t>KQCY0251</t>
        </is>
      </c>
      <c r="C253" s="221" t="inlineStr">
        <is>
          <t>餐饮三分部</t>
        </is>
      </c>
      <c r="D253" s="221" t="inlineStr">
        <is>
          <t>CF320</t>
        </is>
      </c>
      <c r="E253" s="221" t="inlineStr">
        <is>
          <t>江苏财经梅园食堂</t>
        </is>
      </c>
      <c r="F253" s="219" t="inlineStr">
        <is>
          <t>分组作业</t>
        </is>
      </c>
      <c r="G253" s="222" t="inlineStr">
        <is>
          <t>吉沐牛</t>
        </is>
      </c>
      <c r="H253" s="503" t="inlineStr">
        <is>
          <t>/</t>
        </is>
      </c>
      <c r="I253" s="237" t="inlineStr">
        <is>
          <t>石锅菜</t>
        </is>
      </c>
      <c r="J253" s="219" t="inlineStr">
        <is>
          <t>马成霞</t>
        </is>
      </c>
      <c r="K253" s="219" t="n"/>
      <c r="L253" s="224" t="n"/>
      <c r="M253" s="224" t="inlineStr">
        <is>
          <t>/</t>
        </is>
      </c>
      <c r="N253" s="651" t="n">
        <v>316800</v>
      </c>
      <c r="O253" s="247" t="n">
        <v>0.29</v>
      </c>
      <c r="P253" s="235" t="n">
        <v>0</v>
      </c>
      <c r="Q253" s="235" t="n">
        <v>0</v>
      </c>
      <c r="R253" s="235" t="n">
        <v>0</v>
      </c>
      <c r="S253" s="235" t="n">
        <v>0</v>
      </c>
      <c r="T253" s="235" t="n">
        <v>0</v>
      </c>
      <c r="U253" s="235" t="n">
        <v>0</v>
      </c>
      <c r="V253" s="235" t="n">
        <v>0</v>
      </c>
      <c r="W253" s="235" t="n">
        <v>0</v>
      </c>
      <c r="X253" s="461" t="inlineStr">
        <is>
          <t>按实</t>
        </is>
      </c>
      <c r="Y253" s="461" t="inlineStr">
        <is>
          <t>餐损50元/月，7月按实际经营天数结算</t>
        </is>
      </c>
      <c r="Z253" s="461" t="inlineStr">
        <is>
          <t>/</t>
        </is>
      </c>
      <c r="AA253" s="461" t="inlineStr">
        <is>
          <t>按实</t>
        </is>
      </c>
      <c r="AB253" s="51" t="inlineStr">
        <is>
          <t>/</t>
        </is>
      </c>
      <c r="AC253" s="46" t="inlineStr">
        <is>
          <t>/</t>
        </is>
      </c>
      <c r="AD253" s="232" t="n"/>
      <c r="AE253" s="232" t="inlineStr">
        <is>
          <t>1、签订期间：2026.2-7月；
2、指标按照全年换算；</t>
        </is>
      </c>
    </row>
    <row r="254" hidden="1" ht="108" customFormat="1" customHeight="1" s="209">
      <c r="A254" s="219" t="n">
        <v>252</v>
      </c>
      <c r="B254" s="220" t="inlineStr">
        <is>
          <t>KQCY0252</t>
        </is>
      </c>
      <c r="C254" s="221" t="inlineStr">
        <is>
          <t>餐饮三分部</t>
        </is>
      </c>
      <c r="D254" s="221" t="inlineStr">
        <is>
          <t>CF320</t>
        </is>
      </c>
      <c r="E254" s="221" t="inlineStr">
        <is>
          <t>江苏财经梅园食堂</t>
        </is>
      </c>
      <c r="F254" s="219" t="inlineStr">
        <is>
          <t>分组作业</t>
        </is>
      </c>
      <c r="G254" s="222" t="inlineStr">
        <is>
          <t>吉沐牛</t>
        </is>
      </c>
      <c r="H254" s="503" t="inlineStr">
        <is>
          <t>/</t>
        </is>
      </c>
      <c r="I254" s="237" t="inlineStr">
        <is>
          <t>盖码面/饭</t>
        </is>
      </c>
      <c r="J254" s="219" t="inlineStr">
        <is>
          <t>辛保帆</t>
        </is>
      </c>
      <c r="K254" s="219" t="n"/>
      <c r="L254" s="224" t="n"/>
      <c r="M254" s="224" t="inlineStr">
        <is>
          <t>/</t>
        </is>
      </c>
      <c r="N254" s="651" t="n">
        <v>667200</v>
      </c>
      <c r="O254" s="235" t="n">
        <v>0</v>
      </c>
      <c r="P254" s="235" t="n">
        <v>0</v>
      </c>
      <c r="Q254" s="235" t="n">
        <v>0</v>
      </c>
      <c r="R254" s="235" t="n">
        <v>0</v>
      </c>
      <c r="S254" s="235" t="n">
        <v>0</v>
      </c>
      <c r="T254" s="235" t="n">
        <v>0</v>
      </c>
      <c r="U254" s="235" t="n">
        <v>0</v>
      </c>
      <c r="V254" s="235" t="n">
        <v>0</v>
      </c>
      <c r="W254" s="235" t="n">
        <v>0</v>
      </c>
      <c r="X254" s="461" t="inlineStr">
        <is>
          <t>按实</t>
        </is>
      </c>
      <c r="Y254" s="461" t="inlineStr">
        <is>
          <t>餐损50元/月，7月按实际经营天数结算</t>
        </is>
      </c>
      <c r="Z254" s="461" t="inlineStr">
        <is>
          <t>6万（含）以下29%，6万以上28%</t>
        </is>
      </c>
      <c r="AA254" s="461" t="inlineStr">
        <is>
          <t>按实</t>
        </is>
      </c>
      <c r="AB254" s="51" t="inlineStr">
        <is>
          <t>/</t>
        </is>
      </c>
      <c r="AC254" s="46" t="inlineStr">
        <is>
          <t>/</t>
        </is>
      </c>
      <c r="AD254" s="232" t="inlineStr">
        <is>
          <t>1、服务费：超过6万按28%，未超过按29%收取管理费；
2、虫害消杀：项目反馈不收取，包含在服务费中；
3、采购费：项目反馈不收取，包含在服务费中；
4、装修折旧费：项目反馈不收取，包含在服务费中；
5、管理人员费：项目反馈不收取，包含在服务费中；
6、共建活动费：项目反馈不收取，包含在服务费中；
7、资产费：项目反馈不收取，包含在服务费中；
8、卫生费：项目反馈不收取，包含在服务费中；
9、能源费：项目反馈不收取，包含在服务费中；</t>
        </is>
      </c>
      <c r="AE254" s="232" t="inlineStr">
        <is>
          <t>1、签订期间：2026.3-7月；
2、指标按照全年换算；
3、管理费6万以上28%，以下29%；</t>
        </is>
      </c>
    </row>
    <row r="255" hidden="1" ht="36" customFormat="1" customHeight="1" s="209">
      <c r="A255" s="219" t="n">
        <v>253</v>
      </c>
      <c r="B255" s="220" t="inlineStr">
        <is>
          <t>KQCY0253</t>
        </is>
      </c>
      <c r="C255" s="221" t="n"/>
      <c r="D255" s="221" t="n"/>
      <c r="E255" s="221" t="inlineStr">
        <is>
          <t>江苏财经梅园食堂</t>
        </is>
      </c>
      <c r="F255" s="219" t="inlineStr">
        <is>
          <t>分组作业</t>
        </is>
      </c>
      <c r="G255" s="222" t="inlineStr">
        <is>
          <t>吉沐牛</t>
        </is>
      </c>
      <c r="H255" s="461" t="inlineStr">
        <is>
          <t>/</t>
        </is>
      </c>
      <c r="I255" s="237" t="inlineStr">
        <is>
          <t>铁板烧</t>
        </is>
      </c>
      <c r="J255" s="219" t="inlineStr">
        <is>
          <t>姜红霞</t>
        </is>
      </c>
      <c r="K255" s="219" t="n"/>
      <c r="L255" s="224" t="n"/>
      <c r="M255" s="224" t="n"/>
      <c r="N255" s="651" t="n"/>
      <c r="O255" s="552" t="n">
        <v>0.29</v>
      </c>
      <c r="P255" s="235" t="n">
        <v>0</v>
      </c>
      <c r="Q255" s="235" t="n">
        <v>0</v>
      </c>
      <c r="R255" s="235" t="n">
        <v>0</v>
      </c>
      <c r="S255" s="235" t="n">
        <v>0</v>
      </c>
      <c r="T255" s="235" t="n">
        <v>0</v>
      </c>
      <c r="U255" s="235" t="n">
        <v>0</v>
      </c>
      <c r="V255" s="235" t="n">
        <v>0</v>
      </c>
      <c r="W255" s="235" t="n">
        <v>0</v>
      </c>
      <c r="X255" s="461" t="inlineStr">
        <is>
          <t>按实</t>
        </is>
      </c>
      <c r="Y255" s="235" t="inlineStr">
        <is>
          <t>餐损50元/月，7月按实际经营天数结算</t>
        </is>
      </c>
      <c r="Z255" s="461" t="inlineStr">
        <is>
          <t>/</t>
        </is>
      </c>
      <c r="AA255" s="461" t="inlineStr">
        <is>
          <t>按实</t>
        </is>
      </c>
      <c r="AB255" s="51" t="n"/>
      <c r="AC255" s="46" t="n"/>
      <c r="AD255" s="232" t="n"/>
      <c r="AE255" s="232" t="n"/>
    </row>
    <row r="256" hidden="1" ht="36" customFormat="1" customHeight="1" s="209">
      <c r="A256" s="219" t="n">
        <v>254</v>
      </c>
      <c r="B256" s="220" t="inlineStr">
        <is>
          <t>KQCY0254</t>
        </is>
      </c>
      <c r="C256" s="221" t="inlineStr">
        <is>
          <t>餐饮三分部</t>
        </is>
      </c>
      <c r="D256" s="221" t="inlineStr">
        <is>
          <t>CF320</t>
        </is>
      </c>
      <c r="E256" s="221" t="inlineStr">
        <is>
          <t>江苏财经梅园食堂</t>
        </is>
      </c>
      <c r="F256" s="219" t="inlineStr">
        <is>
          <t>分组作业</t>
        </is>
      </c>
      <c r="G256" s="222" t="inlineStr">
        <is>
          <t>吉沐牛</t>
        </is>
      </c>
      <c r="H256" s="503" t="inlineStr">
        <is>
          <t>/</t>
        </is>
      </c>
      <c r="I256" s="237" t="inlineStr">
        <is>
          <t>快餐</t>
        </is>
      </c>
      <c r="J256" s="219" t="inlineStr">
        <is>
          <t>黄信生</t>
        </is>
      </c>
      <c r="K256" s="219" t="n"/>
      <c r="L256" s="224" t="n"/>
      <c r="M256" s="224" t="inlineStr">
        <is>
          <t>/</t>
        </is>
      </c>
      <c r="N256" s="651" t="n">
        <v>1519200</v>
      </c>
      <c r="O256" s="552" t="n">
        <v>0.22</v>
      </c>
      <c r="P256" s="235" t="n">
        <v>0</v>
      </c>
      <c r="Q256" s="235" t="n">
        <v>0</v>
      </c>
      <c r="R256" s="235" t="n">
        <v>0</v>
      </c>
      <c r="S256" s="235" t="n">
        <v>0</v>
      </c>
      <c r="T256" s="235" t="n">
        <v>0</v>
      </c>
      <c r="U256" s="235" t="n">
        <v>0</v>
      </c>
      <c r="V256" s="235" t="n">
        <v>0</v>
      </c>
      <c r="W256" s="235" t="n">
        <v>0</v>
      </c>
      <c r="X256" s="461" t="inlineStr">
        <is>
          <t>按实</t>
        </is>
      </c>
      <c r="Y256" s="235" t="inlineStr">
        <is>
          <t>餐损50元/月，7月按实际经营天数结算</t>
        </is>
      </c>
      <c r="Z256" s="461" t="inlineStr">
        <is>
          <t>/</t>
        </is>
      </c>
      <c r="AA256" s="461" t="inlineStr">
        <is>
          <t>按实</t>
        </is>
      </c>
      <c r="AB256" s="51" t="inlineStr">
        <is>
          <t>/</t>
        </is>
      </c>
      <c r="AC256" s="46" t="inlineStr">
        <is>
          <t>/</t>
        </is>
      </c>
      <c r="AD256" s="232" t="n"/>
      <c r="AE256" s="232" t="inlineStr">
        <is>
          <t>1、签订期间：2026.3-7月；
2、指标按照全年换算；</t>
        </is>
      </c>
    </row>
    <row r="257" hidden="1" ht="36" customFormat="1" customHeight="1" s="209">
      <c r="A257" s="219" t="n">
        <v>255</v>
      </c>
      <c r="B257" s="220" t="inlineStr">
        <is>
          <t>KQCY0255</t>
        </is>
      </c>
      <c r="C257" s="221" t="inlineStr">
        <is>
          <t>餐饮三分部</t>
        </is>
      </c>
      <c r="D257" s="221" t="inlineStr">
        <is>
          <t>CF320</t>
        </is>
      </c>
      <c r="E257" s="221" t="inlineStr">
        <is>
          <t>江苏财经梅园食堂</t>
        </is>
      </c>
      <c r="F257" s="219" t="inlineStr">
        <is>
          <t>分组作业</t>
        </is>
      </c>
      <c r="G257" s="222" t="inlineStr">
        <is>
          <t>吉沐牛</t>
        </is>
      </c>
      <c r="H257" s="503" t="inlineStr">
        <is>
          <t>/</t>
        </is>
      </c>
      <c r="I257" s="237" t="inlineStr">
        <is>
          <t>早点</t>
        </is>
      </c>
      <c r="J257" s="239" t="inlineStr">
        <is>
          <t>狄国军</t>
        </is>
      </c>
      <c r="K257" s="219" t="n"/>
      <c r="L257" s="224" t="n"/>
      <c r="M257" s="224" t="inlineStr">
        <is>
          <t>/</t>
        </is>
      </c>
      <c r="N257" s="651" t="n">
        <v>868800</v>
      </c>
      <c r="O257" s="552" t="n">
        <v>0.28</v>
      </c>
      <c r="P257" s="235" t="n">
        <v>0</v>
      </c>
      <c r="Q257" s="235" t="n">
        <v>0</v>
      </c>
      <c r="R257" s="235" t="n">
        <v>0</v>
      </c>
      <c r="S257" s="235" t="n">
        <v>0</v>
      </c>
      <c r="T257" s="235" t="n">
        <v>0</v>
      </c>
      <c r="U257" s="235" t="n">
        <v>0</v>
      </c>
      <c r="V257" s="235" t="n">
        <v>0</v>
      </c>
      <c r="W257" s="235" t="n">
        <v>0</v>
      </c>
      <c r="X257" s="461" t="inlineStr">
        <is>
          <t>按实</t>
        </is>
      </c>
      <c r="Y257" s="235" t="inlineStr">
        <is>
          <t>餐损50元/月，7月按实际经营天数结算</t>
        </is>
      </c>
      <c r="Z257" s="461" t="inlineStr">
        <is>
          <t>/</t>
        </is>
      </c>
      <c r="AA257" s="461" t="inlineStr">
        <is>
          <t>按实</t>
        </is>
      </c>
      <c r="AB257" s="51" t="inlineStr">
        <is>
          <t>/</t>
        </is>
      </c>
      <c r="AC257" s="46" t="inlineStr">
        <is>
          <t>/</t>
        </is>
      </c>
      <c r="AD257" s="232" t="n"/>
      <c r="AE257" s="232" t="inlineStr">
        <is>
          <t>1、签订期间：2026.3-7月；
2、指标按照全年换算；</t>
        </is>
      </c>
    </row>
    <row r="258" hidden="1" ht="36" customFormat="1" customHeight="1" s="209">
      <c r="A258" s="219" t="n">
        <v>256</v>
      </c>
      <c r="B258" s="220" t="inlineStr">
        <is>
          <t>KQCY0256</t>
        </is>
      </c>
      <c r="C258" s="221" t="inlineStr">
        <is>
          <t>餐饮三分部</t>
        </is>
      </c>
      <c r="D258" s="221" t="inlineStr">
        <is>
          <t>CF320</t>
        </is>
      </c>
      <c r="E258" s="221" t="inlineStr">
        <is>
          <t>江苏财经梅园食堂</t>
        </is>
      </c>
      <c r="F258" s="219" t="inlineStr">
        <is>
          <t>分组作业</t>
        </is>
      </c>
      <c r="G258" s="222" t="inlineStr">
        <is>
          <t>吉沐牛</t>
        </is>
      </c>
      <c r="H258" s="503" t="inlineStr">
        <is>
          <t>/</t>
        </is>
      </c>
      <c r="I258" s="237" t="inlineStr">
        <is>
          <t>双拼饭</t>
        </is>
      </c>
      <c r="J258" s="219" t="inlineStr">
        <is>
          <t>相加生</t>
        </is>
      </c>
      <c r="K258" s="219" t="n"/>
      <c r="L258" s="224" t="n"/>
      <c r="M258" s="224" t="inlineStr">
        <is>
          <t>/</t>
        </is>
      </c>
      <c r="N258" s="651" t="n">
        <v>780000</v>
      </c>
      <c r="O258" s="552" t="n">
        <v>0.29</v>
      </c>
      <c r="P258" s="235" t="n">
        <v>0</v>
      </c>
      <c r="Q258" s="235" t="n">
        <v>0</v>
      </c>
      <c r="R258" s="235" t="n">
        <v>0</v>
      </c>
      <c r="S258" s="235" t="n">
        <v>0</v>
      </c>
      <c r="T258" s="235" t="n">
        <v>0</v>
      </c>
      <c r="U258" s="235" t="n">
        <v>0</v>
      </c>
      <c r="V258" s="235" t="n">
        <v>0</v>
      </c>
      <c r="W258" s="235" t="n">
        <v>0</v>
      </c>
      <c r="X258" s="461" t="inlineStr">
        <is>
          <t>按实</t>
        </is>
      </c>
      <c r="Y258" s="235" t="inlineStr">
        <is>
          <t>餐损50元/月，7月按实际经营天数结算</t>
        </is>
      </c>
      <c r="Z258" s="461" t="inlineStr">
        <is>
          <t>/</t>
        </is>
      </c>
      <c r="AA258" s="461" t="inlineStr">
        <is>
          <t>按实</t>
        </is>
      </c>
      <c r="AB258" s="51" t="inlineStr">
        <is>
          <t>/</t>
        </is>
      </c>
      <c r="AC258" s="46" t="inlineStr">
        <is>
          <t>/</t>
        </is>
      </c>
      <c r="AD258" s="232" t="n"/>
      <c r="AE258" s="232" t="inlineStr">
        <is>
          <t>1、签订期间：2026.2-7月；
2、指标按照全年换算；</t>
        </is>
      </c>
    </row>
    <row r="259" hidden="1" ht="36" customFormat="1" customHeight="1" s="209">
      <c r="A259" s="219" t="n">
        <v>257</v>
      </c>
      <c r="B259" s="220" t="inlineStr">
        <is>
          <t>KQCY0257</t>
        </is>
      </c>
      <c r="C259" s="221" t="inlineStr">
        <is>
          <t>餐饮三分部</t>
        </is>
      </c>
      <c r="D259" s="221" t="inlineStr">
        <is>
          <t>CF320</t>
        </is>
      </c>
      <c r="E259" s="221" t="inlineStr">
        <is>
          <t>江苏财经梅园食堂</t>
        </is>
      </c>
      <c r="F259" s="219" t="inlineStr">
        <is>
          <t>分组作业</t>
        </is>
      </c>
      <c r="G259" s="222" t="inlineStr">
        <is>
          <t>吉沐牛</t>
        </is>
      </c>
      <c r="H259" s="503" t="inlineStr">
        <is>
          <t>/</t>
        </is>
      </c>
      <c r="I259" s="237" t="inlineStr">
        <is>
          <t>一纸鸡</t>
        </is>
      </c>
      <c r="J259" s="219" t="inlineStr">
        <is>
          <t>王森</t>
        </is>
      </c>
      <c r="K259" s="219" t="n"/>
      <c r="L259" s="224" t="n"/>
      <c r="M259" s="224" t="inlineStr">
        <is>
          <t>/</t>
        </is>
      </c>
      <c r="N259" s="651" t="n">
        <v>333600</v>
      </c>
      <c r="O259" s="552" t="n">
        <v>0.29</v>
      </c>
      <c r="P259" s="235" t="n">
        <v>0</v>
      </c>
      <c r="Q259" s="235" t="n">
        <v>0</v>
      </c>
      <c r="R259" s="235" t="n">
        <v>0</v>
      </c>
      <c r="S259" s="235" t="n">
        <v>0</v>
      </c>
      <c r="T259" s="235" t="n">
        <v>0</v>
      </c>
      <c r="U259" s="235" t="n">
        <v>0</v>
      </c>
      <c r="V259" s="235" t="n">
        <v>0</v>
      </c>
      <c r="W259" s="235" t="n">
        <v>0</v>
      </c>
      <c r="X259" s="461" t="inlineStr">
        <is>
          <t>按实</t>
        </is>
      </c>
      <c r="Y259" s="235" t="inlineStr">
        <is>
          <t>餐损50元/月，7月按实际经营天数结算</t>
        </is>
      </c>
      <c r="Z259" s="461" t="inlineStr">
        <is>
          <t>/</t>
        </is>
      </c>
      <c r="AA259" s="461" t="inlineStr">
        <is>
          <t>按实</t>
        </is>
      </c>
      <c r="AB259" s="51" t="inlineStr">
        <is>
          <t>/</t>
        </is>
      </c>
      <c r="AC259" s="46" t="inlineStr">
        <is>
          <t>/</t>
        </is>
      </c>
      <c r="AD259" s="232" t="n"/>
      <c r="AE259" s="232" t="inlineStr">
        <is>
          <t>1、签订期间：2026.3-7月；
2、指标按照全年换算；</t>
        </is>
      </c>
    </row>
    <row r="260" hidden="1" ht="36" customFormat="1" customHeight="1" s="209">
      <c r="A260" s="219" t="n">
        <v>258</v>
      </c>
      <c r="B260" s="220" t="inlineStr">
        <is>
          <t>KQCY0258</t>
        </is>
      </c>
      <c r="C260" s="221" t="inlineStr">
        <is>
          <t>餐饮三分部</t>
        </is>
      </c>
      <c r="D260" s="221" t="inlineStr">
        <is>
          <t>CF320</t>
        </is>
      </c>
      <c r="E260" s="221" t="inlineStr">
        <is>
          <t>江苏财经梅园食堂</t>
        </is>
      </c>
      <c r="F260" s="219" t="inlineStr">
        <is>
          <t>分组作业</t>
        </is>
      </c>
      <c r="G260" s="222" t="inlineStr">
        <is>
          <t>吉沐牛</t>
        </is>
      </c>
      <c r="H260" s="503" t="inlineStr">
        <is>
          <t>/</t>
        </is>
      </c>
      <c r="I260" s="237" t="inlineStr">
        <is>
          <t>糖水粥铺</t>
        </is>
      </c>
      <c r="J260" s="219" t="inlineStr">
        <is>
          <t>胡跃跃</t>
        </is>
      </c>
      <c r="K260" s="219" t="n"/>
      <c r="L260" s="224" t="n"/>
      <c r="M260" s="224" t="inlineStr">
        <is>
          <t>/</t>
        </is>
      </c>
      <c r="N260" s="651" t="n">
        <v>254400</v>
      </c>
      <c r="O260" s="552" t="n">
        <v>0.29</v>
      </c>
      <c r="P260" s="235" t="n">
        <v>0</v>
      </c>
      <c r="Q260" s="235" t="n">
        <v>0</v>
      </c>
      <c r="R260" s="235" t="n">
        <v>0</v>
      </c>
      <c r="S260" s="235" t="n">
        <v>0</v>
      </c>
      <c r="T260" s="235" t="n">
        <v>0</v>
      </c>
      <c r="U260" s="235" t="n">
        <v>0</v>
      </c>
      <c r="V260" s="235" t="n">
        <v>0</v>
      </c>
      <c r="W260" s="235" t="n">
        <v>0</v>
      </c>
      <c r="X260" s="461" t="inlineStr">
        <is>
          <t>按实</t>
        </is>
      </c>
      <c r="Y260" s="235" t="inlineStr">
        <is>
          <t>餐损50元/月，7月按实际经营天数结算</t>
        </is>
      </c>
      <c r="Z260" s="461" t="inlineStr">
        <is>
          <t>/</t>
        </is>
      </c>
      <c r="AA260" s="461" t="inlineStr">
        <is>
          <t>按实</t>
        </is>
      </c>
      <c r="AB260" s="51" t="inlineStr">
        <is>
          <t>/</t>
        </is>
      </c>
      <c r="AC260" s="46" t="inlineStr">
        <is>
          <t>/</t>
        </is>
      </c>
      <c r="AD260" s="232" t="n"/>
      <c r="AE260" s="232" t="inlineStr">
        <is>
          <t>1、签订期间：2026.3-7月；
2、指标按照全年换算；</t>
        </is>
      </c>
    </row>
    <row r="261" hidden="1" ht="36" customFormat="1" customHeight="1" s="209">
      <c r="A261" s="219" t="n">
        <v>259</v>
      </c>
      <c r="B261" s="220" t="inlineStr">
        <is>
          <t>KQCY0259</t>
        </is>
      </c>
      <c r="C261" s="221" t="inlineStr">
        <is>
          <t>餐饮三分部</t>
        </is>
      </c>
      <c r="D261" s="221" t="inlineStr">
        <is>
          <t>CF320</t>
        </is>
      </c>
      <c r="E261" s="221" t="inlineStr">
        <is>
          <t>江苏财经梅园食堂</t>
        </is>
      </c>
      <c r="F261" s="219" t="inlineStr">
        <is>
          <t>分组作业</t>
        </is>
      </c>
      <c r="G261" s="222" t="inlineStr">
        <is>
          <t>吉沐牛</t>
        </is>
      </c>
      <c r="H261" s="503" t="inlineStr">
        <is>
          <t>/</t>
        </is>
      </c>
      <c r="I261" s="237" t="inlineStr">
        <is>
          <t>五谷渔粉</t>
        </is>
      </c>
      <c r="J261" s="219" t="inlineStr">
        <is>
          <t>赵青青</t>
        </is>
      </c>
      <c r="K261" s="219" t="n"/>
      <c r="L261" s="224" t="n"/>
      <c r="M261" s="224" t="inlineStr">
        <is>
          <t>/</t>
        </is>
      </c>
      <c r="N261" s="651" t="n">
        <v>892800</v>
      </c>
      <c r="O261" s="552" t="n">
        <v>0.29</v>
      </c>
      <c r="P261" s="235" t="n">
        <v>0</v>
      </c>
      <c r="Q261" s="235" t="n">
        <v>0</v>
      </c>
      <c r="R261" s="235" t="n">
        <v>0</v>
      </c>
      <c r="S261" s="235" t="n">
        <v>0</v>
      </c>
      <c r="T261" s="235" t="n">
        <v>0</v>
      </c>
      <c r="U261" s="235" t="n">
        <v>0</v>
      </c>
      <c r="V261" s="235" t="n">
        <v>0</v>
      </c>
      <c r="W261" s="235" t="n">
        <v>0</v>
      </c>
      <c r="X261" s="461" t="inlineStr">
        <is>
          <t>按实</t>
        </is>
      </c>
      <c r="Y261" s="235" t="inlineStr">
        <is>
          <t>餐损50元/月，7月按实际经营天数结算</t>
        </is>
      </c>
      <c r="Z261" s="461" t="inlineStr">
        <is>
          <t>/</t>
        </is>
      </c>
      <c r="AA261" s="461" t="inlineStr">
        <is>
          <t>按实</t>
        </is>
      </c>
      <c r="AB261" s="51" t="inlineStr">
        <is>
          <t>/</t>
        </is>
      </c>
      <c r="AC261" s="46" t="inlineStr">
        <is>
          <t>/</t>
        </is>
      </c>
      <c r="AD261" s="232" t="n"/>
      <c r="AE261" s="232" t="inlineStr">
        <is>
          <t>1、签订期间：2026.3-7月；
2、指标按照全年换算；</t>
        </is>
      </c>
    </row>
    <row r="262" hidden="1" ht="36" customFormat="1" customHeight="1" s="209">
      <c r="A262" s="219" t="n">
        <v>260</v>
      </c>
      <c r="B262" s="220" t="inlineStr">
        <is>
          <t>KQCY0260</t>
        </is>
      </c>
      <c r="C262" s="221" t="inlineStr">
        <is>
          <t>餐饮三分部</t>
        </is>
      </c>
      <c r="D262" s="221" t="inlineStr">
        <is>
          <t>CF320</t>
        </is>
      </c>
      <c r="E262" s="221" t="inlineStr">
        <is>
          <t>江苏财经梅园食堂</t>
        </is>
      </c>
      <c r="F262" s="219" t="inlineStr">
        <is>
          <t>分组作业</t>
        </is>
      </c>
      <c r="G262" s="222" t="inlineStr">
        <is>
          <t>吉沐牛</t>
        </is>
      </c>
      <c r="H262" s="503" t="inlineStr">
        <is>
          <t>/</t>
        </is>
      </c>
      <c r="I262" s="237" t="inlineStr">
        <is>
          <t>吉祥馄饨</t>
        </is>
      </c>
      <c r="J262" s="219" t="inlineStr">
        <is>
          <t>刘淑平</t>
        </is>
      </c>
      <c r="K262" s="219" t="n"/>
      <c r="L262" s="224" t="n"/>
      <c r="M262" s="224" t="inlineStr">
        <is>
          <t>/</t>
        </is>
      </c>
      <c r="N262" s="651" t="n">
        <v>340800</v>
      </c>
      <c r="O262" s="552" t="n">
        <v>0.29</v>
      </c>
      <c r="P262" s="235" t="n">
        <v>0</v>
      </c>
      <c r="Q262" s="235" t="n">
        <v>0</v>
      </c>
      <c r="R262" s="235" t="n">
        <v>0</v>
      </c>
      <c r="S262" s="235" t="n">
        <v>0</v>
      </c>
      <c r="T262" s="235" t="n">
        <v>0</v>
      </c>
      <c r="U262" s="235" t="n">
        <v>0</v>
      </c>
      <c r="V262" s="235" t="n">
        <v>0</v>
      </c>
      <c r="W262" s="235" t="n">
        <v>0</v>
      </c>
      <c r="X262" s="461" t="inlineStr">
        <is>
          <t>按实</t>
        </is>
      </c>
      <c r="Y262" s="235" t="inlineStr">
        <is>
          <t>餐损50元/月，7月按实际经营天数结算</t>
        </is>
      </c>
      <c r="Z262" s="461" t="inlineStr">
        <is>
          <t>/</t>
        </is>
      </c>
      <c r="AA262" s="461" t="inlineStr">
        <is>
          <t>按实</t>
        </is>
      </c>
      <c r="AB262" s="51" t="inlineStr">
        <is>
          <t>/</t>
        </is>
      </c>
      <c r="AC262" s="46" t="inlineStr">
        <is>
          <t>/</t>
        </is>
      </c>
      <c r="AD262" s="232" t="n"/>
      <c r="AE262" s="232" t="inlineStr">
        <is>
          <t>1、签订期间：2026.3-7月；
2、指标按照全年换算；</t>
        </is>
      </c>
    </row>
    <row r="263" hidden="1" ht="36" customFormat="1" customHeight="1" s="209">
      <c r="A263" s="219" t="n">
        <v>261</v>
      </c>
      <c r="B263" s="220" t="inlineStr">
        <is>
          <t>KQCY0261</t>
        </is>
      </c>
      <c r="C263" s="221" t="inlineStr">
        <is>
          <t>餐饮三分部</t>
        </is>
      </c>
      <c r="D263" s="221" t="inlineStr">
        <is>
          <t>CF320</t>
        </is>
      </c>
      <c r="E263" s="221" t="inlineStr">
        <is>
          <t>江苏财经梅园食堂</t>
        </is>
      </c>
      <c r="F263" s="219" t="inlineStr">
        <is>
          <t>分组作业</t>
        </is>
      </c>
      <c r="G263" s="222" t="inlineStr">
        <is>
          <t>吉沐牛</t>
        </is>
      </c>
      <c r="H263" s="503" t="inlineStr">
        <is>
          <t>/</t>
        </is>
      </c>
      <c r="I263" s="237" t="inlineStr">
        <is>
          <t>煎饼</t>
        </is>
      </c>
      <c r="J263" s="219" t="inlineStr">
        <is>
          <t>相丽</t>
        </is>
      </c>
      <c r="K263" s="219" t="n"/>
      <c r="L263" s="224" t="n"/>
      <c r="M263" s="224" t="inlineStr">
        <is>
          <t>/</t>
        </is>
      </c>
      <c r="N263" s="651" t="n">
        <v>360000</v>
      </c>
      <c r="O263" s="552" t="n">
        <v>0.29</v>
      </c>
      <c r="P263" s="235" t="n">
        <v>0</v>
      </c>
      <c r="Q263" s="235" t="n">
        <v>0</v>
      </c>
      <c r="R263" s="235" t="n">
        <v>0</v>
      </c>
      <c r="S263" s="235" t="n">
        <v>0</v>
      </c>
      <c r="T263" s="235" t="n">
        <v>0</v>
      </c>
      <c r="U263" s="235" t="n">
        <v>0</v>
      </c>
      <c r="V263" s="235" t="n">
        <v>0</v>
      </c>
      <c r="W263" s="235" t="n">
        <v>0</v>
      </c>
      <c r="X263" s="461" t="inlineStr">
        <is>
          <t>按实</t>
        </is>
      </c>
      <c r="Y263" s="235" t="inlineStr">
        <is>
          <t>餐损50元/月，7月按实际经营天数结算</t>
        </is>
      </c>
      <c r="Z263" s="461" t="inlineStr">
        <is>
          <t>/</t>
        </is>
      </c>
      <c r="AA263" s="461" t="inlineStr">
        <is>
          <t>按实</t>
        </is>
      </c>
      <c r="AB263" s="51" t="inlineStr">
        <is>
          <t>/</t>
        </is>
      </c>
      <c r="AC263" s="46" t="inlineStr">
        <is>
          <t>/</t>
        </is>
      </c>
      <c r="AD263" s="232" t="n"/>
      <c r="AE263" s="232" t="inlineStr">
        <is>
          <t>1、签订期间：2026.3-7月；
2、指标按照全年换算；</t>
        </is>
      </c>
    </row>
    <row r="264" hidden="1" ht="36" customFormat="1" customHeight="1" s="209">
      <c r="A264" s="219" t="n">
        <v>262</v>
      </c>
      <c r="B264" s="220" t="inlineStr">
        <is>
          <t>KQCY0262</t>
        </is>
      </c>
      <c r="C264" s="221" t="inlineStr">
        <is>
          <t>餐饮三分部</t>
        </is>
      </c>
      <c r="D264" s="221" t="inlineStr">
        <is>
          <t>CF320</t>
        </is>
      </c>
      <c r="E264" s="221" t="inlineStr">
        <is>
          <t>江苏财经梅园食堂</t>
        </is>
      </c>
      <c r="F264" s="219" t="inlineStr">
        <is>
          <t>分组作业</t>
        </is>
      </c>
      <c r="G264" s="222" t="inlineStr">
        <is>
          <t>吉沐牛</t>
        </is>
      </c>
      <c r="H264" s="503" t="inlineStr">
        <is>
          <t>/</t>
        </is>
      </c>
      <c r="I264" s="237" t="inlineStr">
        <is>
          <t>香锅</t>
        </is>
      </c>
      <c r="J264" s="219" t="inlineStr">
        <is>
          <t>王凯</t>
        </is>
      </c>
      <c r="K264" s="219" t="n"/>
      <c r="L264" s="224" t="n"/>
      <c r="M264" s="224" t="inlineStr">
        <is>
          <t>/</t>
        </is>
      </c>
      <c r="N264" s="651" t="n">
        <v>592800</v>
      </c>
      <c r="O264" s="552" t="n">
        <v>0.29</v>
      </c>
      <c r="P264" s="235" t="n">
        <v>0</v>
      </c>
      <c r="Q264" s="235" t="n">
        <v>0</v>
      </c>
      <c r="R264" s="235" t="n">
        <v>0</v>
      </c>
      <c r="S264" s="235" t="n">
        <v>0</v>
      </c>
      <c r="T264" s="235" t="n">
        <v>0</v>
      </c>
      <c r="U264" s="235" t="n">
        <v>0</v>
      </c>
      <c r="V264" s="235" t="n">
        <v>0</v>
      </c>
      <c r="W264" s="235" t="n">
        <v>0</v>
      </c>
      <c r="X264" s="461" t="inlineStr">
        <is>
          <t>按实</t>
        </is>
      </c>
      <c r="Y264" s="235" t="inlineStr">
        <is>
          <t>餐损50元/月，7月按实际经营天数结算</t>
        </is>
      </c>
      <c r="Z264" s="461" t="inlineStr">
        <is>
          <t>/</t>
        </is>
      </c>
      <c r="AA264" s="461" t="inlineStr">
        <is>
          <t>按实</t>
        </is>
      </c>
      <c r="AB264" s="51" t="inlineStr">
        <is>
          <t>/</t>
        </is>
      </c>
      <c r="AC264" s="46" t="inlineStr">
        <is>
          <t>/</t>
        </is>
      </c>
      <c r="AD264" s="232" t="n"/>
      <c r="AE264" s="232" t="inlineStr">
        <is>
          <t>1、签订期间：2026.3-7月；
2、指标按照全年换算；</t>
        </is>
      </c>
    </row>
    <row r="265" hidden="1" ht="84" customFormat="1" customHeight="1" s="209">
      <c r="A265" s="219" t="n">
        <v>263</v>
      </c>
      <c r="B265" s="220" t="inlineStr">
        <is>
          <t>KQCY0263</t>
        </is>
      </c>
      <c r="C265" s="221" t="inlineStr">
        <is>
          <t>餐饮三分部</t>
        </is>
      </c>
      <c r="D265" s="221" t="inlineStr">
        <is>
          <t>CF320</t>
        </is>
      </c>
      <c r="E265" s="221" t="inlineStr">
        <is>
          <t>江苏财经梅园食堂</t>
        </is>
      </c>
      <c r="F265" s="219" t="inlineStr">
        <is>
          <t>分组作业</t>
        </is>
      </c>
      <c r="G265" s="222" t="inlineStr">
        <is>
          <t>吉沐牛</t>
        </is>
      </c>
      <c r="H265" s="219" t="inlineStr">
        <is>
          <t>第十五班组</t>
        </is>
      </c>
      <c r="I265" s="232" t="inlineStr">
        <is>
          <t>柚见鲜茶</t>
        </is>
      </c>
      <c r="J265" s="219" t="inlineStr">
        <is>
          <t>王春梅</t>
        </is>
      </c>
      <c r="K265" s="219" t="n"/>
      <c r="L265" s="224" t="n"/>
      <c r="M265" s="224" t="inlineStr">
        <is>
          <t>/</t>
        </is>
      </c>
      <c r="N265" s="651" t="n">
        <v>540000</v>
      </c>
      <c r="O265" s="235" t="n">
        <v>0</v>
      </c>
      <c r="P265" s="235" t="inlineStr">
        <is>
          <t>/</t>
        </is>
      </c>
      <c r="Q265" s="235" t="inlineStr">
        <is>
          <t>/</t>
        </is>
      </c>
      <c r="R265" s="235" t="inlineStr">
        <is>
          <t>/</t>
        </is>
      </c>
      <c r="S265" s="235" t="inlineStr">
        <is>
          <t>/</t>
        </is>
      </c>
      <c r="T265" s="235" t="inlineStr">
        <is>
          <t>/</t>
        </is>
      </c>
      <c r="U265" s="235" t="inlineStr">
        <is>
          <t>/</t>
        </is>
      </c>
      <c r="V265" s="235" t="n">
        <v>0</v>
      </c>
      <c r="W265" s="552" t="inlineStr">
        <is>
          <t>计表</t>
        </is>
      </c>
      <c r="X265" s="461" t="inlineStr">
        <is>
          <t>按实</t>
        </is>
      </c>
      <c r="Y265" s="461" t="inlineStr">
        <is>
          <t>9万/年，8个月扣除，每个月扣除11250元，1、2、7月不收</t>
        </is>
      </c>
      <c r="Z265" s="461" t="inlineStr">
        <is>
          <t>/</t>
        </is>
      </c>
      <c r="AA265" s="461" t="inlineStr">
        <is>
          <t>按实</t>
        </is>
      </c>
      <c r="AB265" s="51" t="inlineStr">
        <is>
          <t>/</t>
        </is>
      </c>
      <c r="AC265" s="46" t="inlineStr">
        <is>
          <t>/</t>
        </is>
      </c>
      <c r="AD265" s="23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t>
        </is>
      </c>
      <c r="AE265" s="232" t="inlineStr">
        <is>
          <t>1、签订期间：2025.9-2026.7月；
2、指标按照全年换算；
3、管理费9万/年，8个月扣除，每月11250；</t>
        </is>
      </c>
    </row>
    <row r="266" hidden="1" ht="24" customFormat="1" customHeight="1" s="209">
      <c r="A266" s="219" t="n">
        <v>264</v>
      </c>
      <c r="B266" s="220" t="inlineStr">
        <is>
          <t>KQCY0264</t>
        </is>
      </c>
      <c r="C266" s="221" t="inlineStr">
        <is>
          <t>餐饮三分部</t>
        </is>
      </c>
      <c r="D266" s="221" t="inlineStr">
        <is>
          <t>CF320</t>
        </is>
      </c>
      <c r="E266" s="221" t="inlineStr">
        <is>
          <t>江苏财经梅园食堂</t>
        </is>
      </c>
      <c r="F266" s="219" t="inlineStr">
        <is>
          <t>分组作业</t>
        </is>
      </c>
      <c r="G266" s="222" t="inlineStr">
        <is>
          <t>吉沐牛</t>
        </is>
      </c>
      <c r="H266" s="219" t="inlineStr">
        <is>
          <t>第十六班组</t>
        </is>
      </c>
      <c r="I266" s="232" t="inlineStr">
        <is>
          <t>酷堡王</t>
        </is>
      </c>
      <c r="J266" s="219" t="inlineStr">
        <is>
          <t>籍明明</t>
        </is>
      </c>
      <c r="K266" s="219" t="n"/>
      <c r="L266" s="224" t="n"/>
      <c r="M266" s="224" t="inlineStr">
        <is>
          <t>/</t>
        </is>
      </c>
      <c r="N266" s="651" t="n">
        <v>780000</v>
      </c>
      <c r="O266" s="552" t="n">
        <v>0.2</v>
      </c>
      <c r="P266" s="235" t="n">
        <v>0</v>
      </c>
      <c r="Q266" s="235" t="n">
        <v>0</v>
      </c>
      <c r="R266" s="235" t="n">
        <v>0</v>
      </c>
      <c r="S266" s="235" t="n">
        <v>0</v>
      </c>
      <c r="T266" s="235" t="n">
        <v>0</v>
      </c>
      <c r="U266" s="235" t="n">
        <v>0</v>
      </c>
      <c r="V266" s="235" t="n">
        <v>0</v>
      </c>
      <c r="W266" s="235" t="inlineStr">
        <is>
          <t>计表</t>
        </is>
      </c>
      <c r="X266" s="461" t="inlineStr">
        <is>
          <t>按实</t>
        </is>
      </c>
      <c r="Y266" s="461" t="inlineStr">
        <is>
          <t>/</t>
        </is>
      </c>
      <c r="Z266" s="461" t="inlineStr">
        <is>
          <t>/</t>
        </is>
      </c>
      <c r="AA266" s="461" t="inlineStr">
        <is>
          <t>按实</t>
        </is>
      </c>
      <c r="AB266" s="51" t="inlineStr">
        <is>
          <t>/</t>
        </is>
      </c>
      <c r="AC266" s="46" t="inlineStr">
        <is>
          <t>/</t>
        </is>
      </c>
      <c r="AD266" s="207" t="inlineStr">
        <is>
          <t>1、卫生费：项目反馈不收取，包含在服务费中；
2、其他:项目反馈不收取，包含在服务费中；</t>
        </is>
      </c>
      <c r="AE266" s="232" t="inlineStr">
        <is>
          <t>1、签订期间：2025.9-2026.7月；
2、指标按照全年换算；</t>
        </is>
      </c>
    </row>
    <row r="267" hidden="1" ht="108" customFormat="1" customHeight="1" s="209">
      <c r="A267" s="219" t="n">
        <v>265</v>
      </c>
      <c r="B267" s="220" t="inlineStr">
        <is>
          <t>KQCY0265</t>
        </is>
      </c>
      <c r="C267" s="221" t="inlineStr">
        <is>
          <t>餐饮三分部</t>
        </is>
      </c>
      <c r="D267" s="221" t="inlineStr">
        <is>
          <t>CF320</t>
        </is>
      </c>
      <c r="E267" s="221" t="inlineStr">
        <is>
          <t>江苏财经梅园食堂</t>
        </is>
      </c>
      <c r="F267" s="219" t="inlineStr">
        <is>
          <t>分组作业</t>
        </is>
      </c>
      <c r="G267" s="222" t="inlineStr">
        <is>
          <t>吉沐牛</t>
        </is>
      </c>
      <c r="H267" s="503" t="inlineStr">
        <is>
          <t>/</t>
        </is>
      </c>
      <c r="I267" s="237" t="inlineStr">
        <is>
          <t>水果</t>
        </is>
      </c>
      <c r="J267" s="219" t="inlineStr">
        <is>
          <t>陈龙</t>
        </is>
      </c>
      <c r="K267" s="219" t="n"/>
      <c r="L267" s="224" t="n"/>
      <c r="M267" s="224" t="inlineStr">
        <is>
          <t>/</t>
        </is>
      </c>
      <c r="N267" s="651" t="n">
        <v>1020000</v>
      </c>
      <c r="O267" s="235" t="n">
        <v>0</v>
      </c>
      <c r="P267" s="235" t="n">
        <v>0</v>
      </c>
      <c r="Q267" s="235" t="n">
        <v>0</v>
      </c>
      <c r="R267" s="235" t="n">
        <v>0</v>
      </c>
      <c r="S267" s="235" t="n">
        <v>0</v>
      </c>
      <c r="T267" s="235" t="n">
        <v>0</v>
      </c>
      <c r="U267" s="235" t="n">
        <v>0</v>
      </c>
      <c r="V267" s="235" t="n">
        <v>0</v>
      </c>
      <c r="W267" s="235" t="n">
        <v>0</v>
      </c>
      <c r="X267" s="461" t="inlineStr">
        <is>
          <t>按实</t>
        </is>
      </c>
      <c r="Y267" s="461" t="inlineStr">
        <is>
          <t>4万/半年，4个月收取，每月10000元（7月除外）</t>
        </is>
      </c>
      <c r="Z267" s="461" t="inlineStr">
        <is>
          <t>/</t>
        </is>
      </c>
      <c r="AA267" s="461" t="inlineStr">
        <is>
          <t>按实</t>
        </is>
      </c>
      <c r="AB267" s="51" t="inlineStr">
        <is>
          <t>/</t>
        </is>
      </c>
      <c r="AC267" s="46" t="inlineStr">
        <is>
          <t>/</t>
        </is>
      </c>
      <c r="AD267" s="23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8、能源费：项目反馈不收取，包含在服务费中；
9、其他：项目反馈不收取，包含在服务费中；</t>
        </is>
      </c>
      <c r="AE267" s="232" t="inlineStr">
        <is>
          <t>1、签订期间：2026.3-7月；
2、指标按照全年换算；
3、管理费4万/半年，分四个月收取，每月10000；</t>
        </is>
      </c>
    </row>
    <row r="268" hidden="1" ht="96" customFormat="1" customHeight="1" s="209">
      <c r="A268" s="219" t="n">
        <v>266</v>
      </c>
      <c r="B268" s="220" t="inlineStr">
        <is>
          <t>KQCY0266</t>
        </is>
      </c>
      <c r="C268" s="221" t="inlineStr">
        <is>
          <t>餐饮三分部</t>
        </is>
      </c>
      <c r="D268" s="221" t="inlineStr">
        <is>
          <t>CF320</t>
        </is>
      </c>
      <c r="E268" s="221" t="inlineStr">
        <is>
          <t>江苏财经梅园食堂</t>
        </is>
      </c>
      <c r="F268" s="219" t="inlineStr">
        <is>
          <t>分组作业</t>
        </is>
      </c>
      <c r="G268" s="222" t="inlineStr">
        <is>
          <t>吉沐牛</t>
        </is>
      </c>
      <c r="H268" s="503" t="inlineStr">
        <is>
          <t>/</t>
        </is>
      </c>
      <c r="I268" s="237" t="inlineStr">
        <is>
          <t>一鸣鲜奶</t>
        </is>
      </c>
      <c r="J268" s="219" t="inlineStr">
        <is>
          <t>吴斯忠</t>
        </is>
      </c>
      <c r="K268" s="219" t="n"/>
      <c r="L268" s="224" t="n"/>
      <c r="M268" s="224" t="inlineStr">
        <is>
          <t>/</t>
        </is>
      </c>
      <c r="N268" s="651" t="n">
        <v>328800</v>
      </c>
      <c r="O268" s="235" t="n">
        <v>0</v>
      </c>
      <c r="P268" s="235" t="n">
        <v>0</v>
      </c>
      <c r="Q268" s="235" t="n">
        <v>0</v>
      </c>
      <c r="R268" s="235" t="n">
        <v>0</v>
      </c>
      <c r="S268" s="235" t="n">
        <v>0</v>
      </c>
      <c r="T268" s="235" t="n">
        <v>0</v>
      </c>
      <c r="U268" s="235" t="n">
        <v>0</v>
      </c>
      <c r="V268" s="235" t="n">
        <v>0</v>
      </c>
      <c r="W268" s="235" t="inlineStr">
        <is>
          <t>计表</t>
        </is>
      </c>
      <c r="X268" s="461" t="inlineStr">
        <is>
          <t>按实</t>
        </is>
      </c>
      <c r="Y268" s="461" t="inlineStr">
        <is>
          <t>6万/年，8个月扣除，每月7500元，1、7、8月不收</t>
        </is>
      </c>
      <c r="Z268" s="461" t="inlineStr">
        <is>
          <t>/</t>
        </is>
      </c>
      <c r="AA268" s="461" t="inlineStr">
        <is>
          <t>按实</t>
        </is>
      </c>
      <c r="AB268" s="51" t="inlineStr">
        <is>
          <t>/</t>
        </is>
      </c>
      <c r="AC268" s="46" t="inlineStr">
        <is>
          <t>/</t>
        </is>
      </c>
      <c r="AD268" s="23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AE268" s="232" t="inlineStr">
        <is>
          <t>1、签订期间：2026.3-7月；
2、指标按照全年换算；
3、管理费6万一年，按8个月收取，每月7500；</t>
        </is>
      </c>
    </row>
    <row r="269" hidden="1" ht="96" customFormat="1" customHeight="1" s="209">
      <c r="A269" s="219" t="n">
        <v>267</v>
      </c>
      <c r="B269" s="220" t="inlineStr">
        <is>
          <t>KQCY0267</t>
        </is>
      </c>
      <c r="C269" s="221" t="inlineStr">
        <is>
          <t>餐饮三分部</t>
        </is>
      </c>
      <c r="D269" s="221" t="inlineStr">
        <is>
          <t>CF320</t>
        </is>
      </c>
      <c r="E269" s="221" t="inlineStr">
        <is>
          <t>江苏财经梅园食堂</t>
        </is>
      </c>
      <c r="F269" s="219" t="inlineStr">
        <is>
          <t>分组作业</t>
        </is>
      </c>
      <c r="G269" s="222" t="inlineStr">
        <is>
          <t>吉沐牛</t>
        </is>
      </c>
      <c r="H269" s="503" t="inlineStr">
        <is>
          <t>/</t>
        </is>
      </c>
      <c r="I269" s="237" t="inlineStr">
        <is>
          <t>库迪咖啡</t>
        </is>
      </c>
      <c r="J269" s="219" t="inlineStr">
        <is>
          <t>张凌子</t>
        </is>
      </c>
      <c r="K269" s="219" t="n"/>
      <c r="L269" s="224" t="n"/>
      <c r="M269" s="224" t="inlineStr">
        <is>
          <t>/</t>
        </is>
      </c>
      <c r="N269" s="651" t="n">
        <v>285600</v>
      </c>
      <c r="O269" s="235" t="n">
        <v>0</v>
      </c>
      <c r="P269" s="235" t="n">
        <v>0</v>
      </c>
      <c r="Q269" s="235" t="n">
        <v>0</v>
      </c>
      <c r="R269" s="235" t="n">
        <v>0</v>
      </c>
      <c r="S269" s="235" t="n">
        <v>0</v>
      </c>
      <c r="T269" s="235" t="n">
        <v>0</v>
      </c>
      <c r="U269" s="235" t="n">
        <v>0</v>
      </c>
      <c r="V269" s="235" t="n">
        <v>0</v>
      </c>
      <c r="W269" s="235" t="inlineStr">
        <is>
          <t>计表</t>
        </is>
      </c>
      <c r="X269" s="461" t="inlineStr">
        <is>
          <t>按实</t>
        </is>
      </c>
      <c r="Y269" s="461" t="inlineStr">
        <is>
          <t>7万/年，8个月收取，每月8750元，1、7、8月不收</t>
        </is>
      </c>
      <c r="Z269" s="461" t="inlineStr">
        <is>
          <t>/</t>
        </is>
      </c>
      <c r="AA269" s="461" t="inlineStr">
        <is>
          <t>按实</t>
        </is>
      </c>
      <c r="AB269" s="51" t="inlineStr">
        <is>
          <t>/</t>
        </is>
      </c>
      <c r="AC269" s="46" t="inlineStr">
        <is>
          <t>/</t>
        </is>
      </c>
      <c r="AD269" s="23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AE269" s="232" t="inlineStr">
        <is>
          <t>1、签订期间：2026.3-7月；
2、指标按照全年换算；
3、管理费7万一年，按8个月收取，每月8750；</t>
        </is>
      </c>
    </row>
    <row r="270" hidden="1" ht="36" customFormat="1" customHeight="1" s="209">
      <c r="A270" s="219" t="n">
        <v>268</v>
      </c>
      <c r="B270" s="220" t="inlineStr">
        <is>
          <t>KQCY0268</t>
        </is>
      </c>
      <c r="C270" s="221" t="n"/>
      <c r="D270" s="221" t="n"/>
      <c r="E270" s="221" t="inlineStr">
        <is>
          <t>江苏财经梅园食堂</t>
        </is>
      </c>
      <c r="F270" s="219" t="inlineStr">
        <is>
          <t>分组作业</t>
        </is>
      </c>
      <c r="G270" s="222" t="inlineStr">
        <is>
          <t>吉沐牛</t>
        </is>
      </c>
      <c r="H270" s="503" t="inlineStr">
        <is>
          <t>/</t>
        </is>
      </c>
      <c r="I270" s="237" t="inlineStr">
        <is>
          <t>猪脚饭</t>
        </is>
      </c>
      <c r="J270" s="219" t="inlineStr">
        <is>
          <t>李袁园</t>
        </is>
      </c>
      <c r="K270" s="219" t="n"/>
      <c r="L270" s="224" t="n"/>
      <c r="M270" s="224" t="n"/>
      <c r="N270" s="651" t="n"/>
      <c r="O270" s="235" t="n">
        <v>0.28</v>
      </c>
      <c r="P270" s="235" t="n">
        <v>0</v>
      </c>
      <c r="Q270" s="235" t="n">
        <v>0</v>
      </c>
      <c r="R270" s="235" t="n">
        <v>0</v>
      </c>
      <c r="S270" s="235" t="n">
        <v>0</v>
      </c>
      <c r="T270" s="235" t="n">
        <v>0</v>
      </c>
      <c r="U270" s="235" t="n">
        <v>0</v>
      </c>
      <c r="V270" s="235" t="n">
        <v>0</v>
      </c>
      <c r="W270" s="235" t="n">
        <v>0</v>
      </c>
      <c r="X270" s="461" t="inlineStr">
        <is>
          <t>按实</t>
        </is>
      </c>
      <c r="Y270" s="235" t="inlineStr">
        <is>
          <t>餐损50元/月，7月按实际经营天数结算</t>
        </is>
      </c>
      <c r="Z270" s="461" t="inlineStr">
        <is>
          <t>/</t>
        </is>
      </c>
      <c r="AA270" s="461" t="inlineStr">
        <is>
          <t>按实</t>
        </is>
      </c>
      <c r="AB270" s="51" t="n"/>
      <c r="AC270" s="46" t="n"/>
      <c r="AD270" s="232" t="n"/>
      <c r="AE270" s="232" t="n"/>
    </row>
    <row r="271" hidden="1" ht="12" customFormat="1" customHeight="1" s="209">
      <c r="A271" s="219" t="n">
        <v>269</v>
      </c>
      <c r="B271" s="220" t="inlineStr">
        <is>
          <t>KQCY0269</t>
        </is>
      </c>
      <c r="C271" s="221" t="inlineStr">
        <is>
          <t>餐饮五分部</t>
        </is>
      </c>
      <c r="D271" s="221" t="inlineStr">
        <is>
          <t>CF694</t>
        </is>
      </c>
      <c r="E271" s="221" t="inlineStr">
        <is>
          <t>兰理工彭家坪北村食堂</t>
        </is>
      </c>
      <c r="F271" s="219" t="inlineStr">
        <is>
          <t>自营</t>
        </is>
      </c>
      <c r="G271" s="222" t="inlineStr">
        <is>
          <t>陆琪</t>
        </is>
      </c>
      <c r="H271" s="222" t="inlineStr">
        <is>
          <t>/</t>
        </is>
      </c>
      <c r="I271" s="237" t="inlineStr">
        <is>
          <t>/</t>
        </is>
      </c>
      <c r="J271" s="222" t="inlineStr">
        <is>
          <t>/</t>
        </is>
      </c>
      <c r="K271" s="222" t="n"/>
      <c r="L271" s="224" t="n"/>
      <c r="M271" s="224" t="inlineStr">
        <is>
          <t>/</t>
        </is>
      </c>
      <c r="N271" s="651" t="inlineStr">
        <is>
          <t>/</t>
        </is>
      </c>
      <c r="O271" s="235" t="inlineStr">
        <is>
          <t>/</t>
        </is>
      </c>
      <c r="P271" s="235" t="inlineStr">
        <is>
          <t>/</t>
        </is>
      </c>
      <c r="Q271" s="235" t="inlineStr">
        <is>
          <t>/</t>
        </is>
      </c>
      <c r="R271" s="235" t="inlineStr">
        <is>
          <t>/</t>
        </is>
      </c>
      <c r="S271" s="235" t="inlineStr">
        <is>
          <t>/</t>
        </is>
      </c>
      <c r="T271" s="235" t="inlineStr">
        <is>
          <t>/</t>
        </is>
      </c>
      <c r="U271" s="235" t="inlineStr">
        <is>
          <t>/</t>
        </is>
      </c>
      <c r="V271" s="235" t="inlineStr">
        <is>
          <t>/</t>
        </is>
      </c>
      <c r="W271" s="235" t="inlineStr">
        <is>
          <t>/</t>
        </is>
      </c>
      <c r="X271" s="235" t="inlineStr">
        <is>
          <t>/</t>
        </is>
      </c>
      <c r="Y271" s="461" t="n"/>
      <c r="Z271" s="461" t="n"/>
      <c r="AA271" s="461" t="n"/>
      <c r="AB271" s="46" t="n">
        <v>0.045</v>
      </c>
      <c r="AC271" s="46" t="inlineStr">
        <is>
          <t>/</t>
        </is>
      </c>
      <c r="AD271" s="232" t="n"/>
      <c r="AE271" s="232" t="n"/>
    </row>
    <row r="272" hidden="1" ht="72" customFormat="1" customHeight="1" s="209">
      <c r="A272" s="219" t="n">
        <v>270</v>
      </c>
      <c r="B272" s="220" t="inlineStr">
        <is>
          <t>KQCY0270</t>
        </is>
      </c>
      <c r="C272" s="221" t="inlineStr">
        <is>
          <t>餐饮五分部</t>
        </is>
      </c>
      <c r="D272" s="221" t="inlineStr">
        <is>
          <t>CF694</t>
        </is>
      </c>
      <c r="E272" s="221" t="inlineStr">
        <is>
          <t>兰理工彭家坪北村食堂</t>
        </is>
      </c>
      <c r="F272" s="219" t="inlineStr">
        <is>
          <t>分组作业</t>
        </is>
      </c>
      <c r="G272" s="222" t="inlineStr">
        <is>
          <t>陆琪</t>
        </is>
      </c>
      <c r="H272" s="503" t="inlineStr">
        <is>
          <t>/</t>
        </is>
      </c>
      <c r="I272" s="237" t="inlineStr">
        <is>
          <t>水饺</t>
        </is>
      </c>
      <c r="J272" s="503" t="inlineStr">
        <is>
          <t>穆小芳</t>
        </is>
      </c>
      <c r="K272" s="503" t="n"/>
      <c r="L272" s="224" t="n"/>
      <c r="M272" s="224" t="inlineStr">
        <is>
          <t>/</t>
        </is>
      </c>
      <c r="N272" s="651" t="n">
        <v>592800</v>
      </c>
      <c r="O272" s="276" t="n">
        <v>0.18</v>
      </c>
      <c r="P272" s="227" t="inlineStr">
        <is>
          <t>/</t>
        </is>
      </c>
      <c r="Q272" s="227" t="inlineStr">
        <is>
          <t>/</t>
        </is>
      </c>
      <c r="R272" s="227" t="inlineStr">
        <is>
          <t>/</t>
        </is>
      </c>
      <c r="S272" s="227" t="inlineStr">
        <is>
          <t>/</t>
        </is>
      </c>
      <c r="T272" s="227" t="inlineStr">
        <is>
          <t>/</t>
        </is>
      </c>
      <c r="U272" s="227" t="inlineStr">
        <is>
          <t>/</t>
        </is>
      </c>
      <c r="V272" s="235" t="n">
        <v>0.03</v>
      </c>
      <c r="W272" s="276" t="n">
        <v>0.03</v>
      </c>
      <c r="X272" s="227" t="inlineStr">
        <is>
          <t>/</t>
        </is>
      </c>
      <c r="Y272" s="461" t="n"/>
      <c r="Z272" s="461" t="n"/>
      <c r="AA272" s="461" t="n"/>
      <c r="AB272" s="51" t="inlineStr">
        <is>
          <t>/</t>
        </is>
      </c>
      <c r="AC272" s="46" t="inlineStr">
        <is>
          <t>/</t>
        </is>
      </c>
      <c r="AD272"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2" s="232" t="inlineStr">
        <is>
          <t>1、签订期间：2026.3.1-2026.7.20；
2、指标按照全年换算；</t>
        </is>
      </c>
    </row>
    <row r="273" hidden="1" ht="72" customFormat="1" customHeight="1" s="209">
      <c r="A273" s="219" t="n">
        <v>271</v>
      </c>
      <c r="B273" s="220" t="inlineStr">
        <is>
          <t>KQCY0271</t>
        </is>
      </c>
      <c r="C273" s="221" t="inlineStr">
        <is>
          <t>餐饮五分部</t>
        </is>
      </c>
      <c r="D273" s="221" t="inlineStr">
        <is>
          <t>CF694</t>
        </is>
      </c>
      <c r="E273" s="221" t="inlineStr">
        <is>
          <t>兰理工彭家坪北村食堂</t>
        </is>
      </c>
      <c r="F273" s="219" t="inlineStr">
        <is>
          <t>分组作业</t>
        </is>
      </c>
      <c r="G273" s="222" t="inlineStr">
        <is>
          <t>陆琪</t>
        </is>
      </c>
      <c r="H273" s="503" t="inlineStr">
        <is>
          <t>/</t>
        </is>
      </c>
      <c r="I273" s="237" t="inlineStr">
        <is>
          <t>牛肉面</t>
        </is>
      </c>
      <c r="J273" s="461" t="inlineStr">
        <is>
          <t>李俊兵</t>
        </is>
      </c>
      <c r="K273" s="503" t="n"/>
      <c r="L273" s="224" t="n"/>
      <c r="M273" s="224" t="inlineStr">
        <is>
          <t>/</t>
        </is>
      </c>
      <c r="N273" s="651" t="n">
        <v>626400</v>
      </c>
      <c r="O273" s="276" t="n">
        <v>0.15</v>
      </c>
      <c r="P273" s="227" t="inlineStr">
        <is>
          <t>/</t>
        </is>
      </c>
      <c r="Q273" s="227" t="inlineStr">
        <is>
          <t>/</t>
        </is>
      </c>
      <c r="R273" s="227" t="inlineStr">
        <is>
          <t>/</t>
        </is>
      </c>
      <c r="S273" s="227" t="inlineStr">
        <is>
          <t>/</t>
        </is>
      </c>
      <c r="T273" s="227" t="inlineStr">
        <is>
          <t>/</t>
        </is>
      </c>
      <c r="U273" s="227" t="inlineStr">
        <is>
          <t>/</t>
        </is>
      </c>
      <c r="V273" s="247" t="n">
        <v>0.015</v>
      </c>
      <c r="W273" s="284" t="n">
        <v>0.015</v>
      </c>
      <c r="X273" s="227" t="inlineStr">
        <is>
          <t>/</t>
        </is>
      </c>
      <c r="Y273" s="461" t="n"/>
      <c r="Z273" s="461" t="n"/>
      <c r="AA273" s="461" t="n"/>
      <c r="AB273" s="51" t="inlineStr">
        <is>
          <t>/</t>
        </is>
      </c>
      <c r="AC273" s="46" t="inlineStr">
        <is>
          <t>/</t>
        </is>
      </c>
      <c r="AD273"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3" s="232" t="inlineStr">
        <is>
          <t>1、签订期间：2026.3.1-2026.7.20；
2、指标按照全年换算；</t>
        </is>
      </c>
    </row>
    <row r="274" hidden="1" ht="72" customFormat="1" customHeight="1" s="209">
      <c r="A274" s="219" t="n">
        <v>272</v>
      </c>
      <c r="B274" s="220" t="inlineStr">
        <is>
          <t>KQCY0272</t>
        </is>
      </c>
      <c r="C274" s="221" t="inlineStr">
        <is>
          <t>餐饮五分部</t>
        </is>
      </c>
      <c r="D274" s="221" t="inlineStr">
        <is>
          <t>CF694</t>
        </is>
      </c>
      <c r="E274" s="221" t="inlineStr">
        <is>
          <t>兰理工彭家坪北村食堂</t>
        </is>
      </c>
      <c r="F274" s="219" t="inlineStr">
        <is>
          <t>分组作业</t>
        </is>
      </c>
      <c r="G274" s="222" t="inlineStr">
        <is>
          <t>陆琪</t>
        </is>
      </c>
      <c r="H274" s="503" t="inlineStr">
        <is>
          <t>/</t>
        </is>
      </c>
      <c r="I274" s="237" t="inlineStr">
        <is>
          <t>韩式煎饼</t>
        </is>
      </c>
      <c r="J274" s="503" t="inlineStr">
        <is>
          <t>赵平花</t>
        </is>
      </c>
      <c r="K274" s="503" t="n"/>
      <c r="L274" s="224" t="n"/>
      <c r="M274" s="224" t="inlineStr">
        <is>
          <t>/</t>
        </is>
      </c>
      <c r="N274" s="651" t="n">
        <v>343200</v>
      </c>
      <c r="O274" s="276" t="n">
        <v>0.2</v>
      </c>
      <c r="P274" s="227" t="inlineStr">
        <is>
          <t>/</t>
        </is>
      </c>
      <c r="Q274" s="227" t="inlineStr">
        <is>
          <t>/</t>
        </is>
      </c>
      <c r="R274" s="227" t="inlineStr">
        <is>
          <t>/</t>
        </is>
      </c>
      <c r="S274" s="227" t="inlineStr">
        <is>
          <t>/</t>
        </is>
      </c>
      <c r="T274" s="227" t="inlineStr">
        <is>
          <t>/</t>
        </is>
      </c>
      <c r="U274" s="227" t="inlineStr">
        <is>
          <t>/</t>
        </is>
      </c>
      <c r="V274" s="235" t="n">
        <v>0.03</v>
      </c>
      <c r="W274" s="276" t="n">
        <v>0.03</v>
      </c>
      <c r="X274" s="227" t="inlineStr">
        <is>
          <t>/</t>
        </is>
      </c>
      <c r="Y274" s="461" t="n"/>
      <c r="Z274" s="461" t="n"/>
      <c r="AA274" s="461" t="n"/>
      <c r="AB274" s="51" t="inlineStr">
        <is>
          <t>/</t>
        </is>
      </c>
      <c r="AC274" s="46" t="inlineStr">
        <is>
          <t>/</t>
        </is>
      </c>
      <c r="AD274"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4" s="232" t="inlineStr">
        <is>
          <t>1、签订期间：2026.3.1-2026.7.20；
2、指标按照全年换算；</t>
        </is>
      </c>
    </row>
    <row r="275" hidden="1" ht="72" customFormat="1" customHeight="1" s="209">
      <c r="A275" s="219" t="n">
        <v>273</v>
      </c>
      <c r="B275" s="220" t="inlineStr">
        <is>
          <t>KQCY0273</t>
        </is>
      </c>
      <c r="C275" s="221" t="inlineStr">
        <is>
          <t>餐饮五分部</t>
        </is>
      </c>
      <c r="D275" s="221" t="inlineStr">
        <is>
          <t>CF694</t>
        </is>
      </c>
      <c r="E275" s="221" t="inlineStr">
        <is>
          <t>兰理工彭家坪北村食堂</t>
        </is>
      </c>
      <c r="F275" s="219" t="inlineStr">
        <is>
          <t>分组作业</t>
        </is>
      </c>
      <c r="G275" s="222" t="inlineStr">
        <is>
          <t>陆琪</t>
        </is>
      </c>
      <c r="H275" s="503" t="inlineStr">
        <is>
          <t>/</t>
        </is>
      </c>
      <c r="I275" s="237" t="inlineStr">
        <is>
          <t>米粉</t>
        </is>
      </c>
      <c r="J275" s="503" t="inlineStr">
        <is>
          <t>尚伟云</t>
        </is>
      </c>
      <c r="K275" s="503" t="n"/>
      <c r="L275" s="224" t="n"/>
      <c r="M275" s="224" t="inlineStr">
        <is>
          <t>/</t>
        </is>
      </c>
      <c r="N275" s="651" t="n">
        <v>676800</v>
      </c>
      <c r="O275" s="276" t="n">
        <v>0.19</v>
      </c>
      <c r="P275" s="227" t="inlineStr">
        <is>
          <t>/</t>
        </is>
      </c>
      <c r="Q275" s="227" t="inlineStr">
        <is>
          <t>/</t>
        </is>
      </c>
      <c r="R275" s="227" t="inlineStr">
        <is>
          <t>/</t>
        </is>
      </c>
      <c r="S275" s="227" t="inlineStr">
        <is>
          <t>/</t>
        </is>
      </c>
      <c r="T275" s="227" t="inlineStr">
        <is>
          <t>/</t>
        </is>
      </c>
      <c r="U275" s="227" t="inlineStr">
        <is>
          <t>/</t>
        </is>
      </c>
      <c r="V275" s="235" t="n">
        <v>0.03</v>
      </c>
      <c r="W275" s="276" t="n">
        <v>0.03</v>
      </c>
      <c r="X275" s="227" t="inlineStr">
        <is>
          <t>/</t>
        </is>
      </c>
      <c r="Y275" s="461" t="n"/>
      <c r="Z275" s="461" t="n"/>
      <c r="AA275" s="461" t="n"/>
      <c r="AB275" s="51" t="inlineStr">
        <is>
          <t>/</t>
        </is>
      </c>
      <c r="AC275" s="46" t="inlineStr">
        <is>
          <t>/</t>
        </is>
      </c>
      <c r="AD275"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5" s="232" t="inlineStr">
        <is>
          <t>1、签订期间：2026.3.1-2026.7.20；
2、指标按照全年换算；</t>
        </is>
      </c>
    </row>
    <row r="276" hidden="1" ht="72" customFormat="1" customHeight="1" s="209">
      <c r="A276" s="219" t="n">
        <v>274</v>
      </c>
      <c r="B276" s="220" t="inlineStr">
        <is>
          <t>KQCY0274</t>
        </is>
      </c>
      <c r="C276" s="221" t="inlineStr">
        <is>
          <t>餐饮五分部</t>
        </is>
      </c>
      <c r="D276" s="221" t="inlineStr">
        <is>
          <t>CF694</t>
        </is>
      </c>
      <c r="E276" s="221" t="inlineStr">
        <is>
          <t>兰理工彭家坪北村食堂</t>
        </is>
      </c>
      <c r="F276" s="219" t="inlineStr">
        <is>
          <t>分组作业</t>
        </is>
      </c>
      <c r="G276" s="222" t="inlineStr">
        <is>
          <t>陆琪</t>
        </is>
      </c>
      <c r="H276" s="503" t="inlineStr">
        <is>
          <t>/</t>
        </is>
      </c>
      <c r="I276" s="237" t="inlineStr">
        <is>
          <t>肉肉堡</t>
        </is>
      </c>
      <c r="J276" s="503" t="inlineStr">
        <is>
          <t>任洪彦</t>
        </is>
      </c>
      <c r="K276" s="503" t="n"/>
      <c r="L276" s="224" t="n"/>
      <c r="M276" s="224" t="inlineStr">
        <is>
          <t>/</t>
        </is>
      </c>
      <c r="N276" s="651" t="n">
        <v>408000</v>
      </c>
      <c r="O276" s="276" t="n">
        <v>0.2</v>
      </c>
      <c r="P276" s="227" t="inlineStr">
        <is>
          <t>/</t>
        </is>
      </c>
      <c r="Q276" s="227" t="inlineStr">
        <is>
          <t>/</t>
        </is>
      </c>
      <c r="R276" s="227" t="inlineStr">
        <is>
          <t>/</t>
        </is>
      </c>
      <c r="S276" s="227" t="inlineStr">
        <is>
          <t>/</t>
        </is>
      </c>
      <c r="T276" s="227" t="inlineStr">
        <is>
          <t>/</t>
        </is>
      </c>
      <c r="U276" s="227" t="inlineStr">
        <is>
          <t>/</t>
        </is>
      </c>
      <c r="V276" s="235" t="n">
        <v>0.03</v>
      </c>
      <c r="W276" s="276" t="n">
        <v>0.03</v>
      </c>
      <c r="X276" s="227" t="inlineStr">
        <is>
          <t>/</t>
        </is>
      </c>
      <c r="Y276" s="461" t="n"/>
      <c r="Z276" s="461" t="n"/>
      <c r="AA276" s="461" t="n"/>
      <c r="AB276" s="51" t="inlineStr">
        <is>
          <t>/</t>
        </is>
      </c>
      <c r="AC276" s="46" t="inlineStr">
        <is>
          <t>/</t>
        </is>
      </c>
      <c r="AD276"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6" s="232" t="inlineStr">
        <is>
          <t>1、签订期间：2026.3.1-2026.7.20；
2、指标按照全年换算；</t>
        </is>
      </c>
    </row>
    <row r="277" hidden="1" ht="72" customFormat="1" customHeight="1" s="209">
      <c r="A277" s="219" t="n">
        <v>275</v>
      </c>
      <c r="B277" s="220" t="inlineStr">
        <is>
          <t>KQCY0275</t>
        </is>
      </c>
      <c r="C277" s="221" t="inlineStr">
        <is>
          <t>餐饮五分部</t>
        </is>
      </c>
      <c r="D277" s="221" t="inlineStr">
        <is>
          <t>CF694</t>
        </is>
      </c>
      <c r="E277" s="221" t="inlineStr">
        <is>
          <t>兰理工彭家坪北村食堂</t>
        </is>
      </c>
      <c r="F277" s="219" t="inlineStr">
        <is>
          <t>分组作业</t>
        </is>
      </c>
      <c r="G277" s="222" t="inlineStr">
        <is>
          <t>陆琪</t>
        </is>
      </c>
      <c r="H277" s="503" t="inlineStr">
        <is>
          <t>/</t>
        </is>
      </c>
      <c r="I277" s="237" t="inlineStr">
        <is>
          <t>肉酱面</t>
        </is>
      </c>
      <c r="J277" s="503" t="inlineStr">
        <is>
          <t>杨小含</t>
        </is>
      </c>
      <c r="K277" s="503" t="n"/>
      <c r="L277" s="224" t="n"/>
      <c r="M277" s="224" t="inlineStr">
        <is>
          <t>/</t>
        </is>
      </c>
      <c r="N277" s="651" t="n">
        <v>595200</v>
      </c>
      <c r="O277" s="276" t="n">
        <v>0.21</v>
      </c>
      <c r="P277" s="227" t="inlineStr">
        <is>
          <t>/</t>
        </is>
      </c>
      <c r="Q277" s="227" t="inlineStr">
        <is>
          <t>/</t>
        </is>
      </c>
      <c r="R277" s="227" t="inlineStr">
        <is>
          <t>/</t>
        </is>
      </c>
      <c r="S277" s="227" t="inlineStr">
        <is>
          <t>/</t>
        </is>
      </c>
      <c r="T277" s="227" t="inlineStr">
        <is>
          <t>/</t>
        </is>
      </c>
      <c r="U277" s="227" t="inlineStr">
        <is>
          <t>/</t>
        </is>
      </c>
      <c r="V277" s="235" t="n">
        <v>0.02</v>
      </c>
      <c r="W277" s="276" t="n">
        <v>0.02</v>
      </c>
      <c r="X277" s="227" t="inlineStr">
        <is>
          <t>/</t>
        </is>
      </c>
      <c r="Y277" s="461" t="n"/>
      <c r="Z277" s="461" t="n"/>
      <c r="AA277" s="461" t="n"/>
      <c r="AB277" s="51" t="inlineStr">
        <is>
          <t>/</t>
        </is>
      </c>
      <c r="AC277" s="46" t="inlineStr">
        <is>
          <t>/</t>
        </is>
      </c>
      <c r="AD277"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7" s="232" t="inlineStr">
        <is>
          <t>1、签订期间：2026.3.1-2026.7.20；
2、指标按照全年换算；</t>
        </is>
      </c>
    </row>
    <row r="278" hidden="1" ht="72" customFormat="1" customHeight="1" s="209">
      <c r="A278" s="219" t="n">
        <v>276</v>
      </c>
      <c r="B278" s="220" t="inlineStr">
        <is>
          <t>KQCY0276</t>
        </is>
      </c>
      <c r="C278" s="221" t="inlineStr">
        <is>
          <t>餐饮五分部</t>
        </is>
      </c>
      <c r="D278" s="221" t="inlineStr">
        <is>
          <t>CF694</t>
        </is>
      </c>
      <c r="E278" s="221" t="inlineStr">
        <is>
          <t>兰理工彭家坪北村食堂</t>
        </is>
      </c>
      <c r="F278" s="219" t="inlineStr">
        <is>
          <t>分组作业</t>
        </is>
      </c>
      <c r="G278" s="222" t="inlineStr">
        <is>
          <t>陆琪</t>
        </is>
      </c>
      <c r="H278" s="503" t="inlineStr">
        <is>
          <t>/</t>
        </is>
      </c>
      <c r="I278" s="237" t="inlineStr">
        <is>
          <t>脆皮鸡</t>
        </is>
      </c>
      <c r="J278" s="503" t="inlineStr">
        <is>
          <t>汤瑞珍</t>
        </is>
      </c>
      <c r="K278" s="503" t="n"/>
      <c r="L278" s="224" t="n"/>
      <c r="M278" s="224" t="inlineStr">
        <is>
          <t>/</t>
        </is>
      </c>
      <c r="N278" s="651" t="n">
        <v>595200</v>
      </c>
      <c r="O278" s="276" t="n">
        <v>0.2</v>
      </c>
      <c r="P278" s="227" t="inlineStr">
        <is>
          <t>/</t>
        </is>
      </c>
      <c r="Q278" s="227" t="inlineStr">
        <is>
          <t>/</t>
        </is>
      </c>
      <c r="R278" s="227" t="inlineStr">
        <is>
          <t>/</t>
        </is>
      </c>
      <c r="S278" s="227" t="inlineStr">
        <is>
          <t>/</t>
        </is>
      </c>
      <c r="T278" s="227" t="inlineStr">
        <is>
          <t>/</t>
        </is>
      </c>
      <c r="U278" s="227" t="inlineStr">
        <is>
          <t>/</t>
        </is>
      </c>
      <c r="V278" s="235" t="n">
        <v>0.03</v>
      </c>
      <c r="W278" s="276" t="n">
        <v>0.03</v>
      </c>
      <c r="X278" s="227" t="inlineStr">
        <is>
          <t>/</t>
        </is>
      </c>
      <c r="Y278" s="461" t="n"/>
      <c r="Z278" s="461" t="n"/>
      <c r="AA278" s="461" t="n"/>
      <c r="AB278" s="51" t="inlineStr">
        <is>
          <t>/</t>
        </is>
      </c>
      <c r="AC278" s="46" t="inlineStr">
        <is>
          <t>/</t>
        </is>
      </c>
      <c r="AD278"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8" s="232" t="inlineStr">
        <is>
          <t>1、签订期间：2026.3.1-2026.7.20；
2、指标按照全年换算；</t>
        </is>
      </c>
    </row>
    <row r="279" hidden="1" ht="72" customFormat="1" customHeight="1" s="209">
      <c r="A279" s="219" t="n">
        <v>277</v>
      </c>
      <c r="B279" s="220" t="inlineStr">
        <is>
          <t>KQCY0277</t>
        </is>
      </c>
      <c r="C279" s="221" t="inlineStr">
        <is>
          <t>餐饮五分部</t>
        </is>
      </c>
      <c r="D279" s="221" t="inlineStr">
        <is>
          <t>CF694</t>
        </is>
      </c>
      <c r="E279" s="221" t="inlineStr">
        <is>
          <t>兰理工彭家坪北村食堂</t>
        </is>
      </c>
      <c r="F279" s="219" t="inlineStr">
        <is>
          <t>分组作业</t>
        </is>
      </c>
      <c r="G279" s="222" t="inlineStr">
        <is>
          <t>陆琪</t>
        </is>
      </c>
      <c r="H279" s="503" t="inlineStr">
        <is>
          <t>/</t>
        </is>
      </c>
      <c r="I279" s="237" t="inlineStr">
        <is>
          <t>小笼包（渔粉）</t>
        </is>
      </c>
      <c r="J279" s="503" t="inlineStr">
        <is>
          <t>庞大江</t>
        </is>
      </c>
      <c r="K279" s="503" t="n"/>
      <c r="L279" s="224" t="n"/>
      <c r="M279" s="224" t="inlineStr">
        <is>
          <t>/</t>
        </is>
      </c>
      <c r="N279" s="651" t="n">
        <v>626400</v>
      </c>
      <c r="O279" s="276" t="n">
        <v>0.19</v>
      </c>
      <c r="P279" s="227" t="inlineStr">
        <is>
          <t>/</t>
        </is>
      </c>
      <c r="Q279" s="227" t="inlineStr">
        <is>
          <t>/</t>
        </is>
      </c>
      <c r="R279" s="227" t="inlineStr">
        <is>
          <t>/</t>
        </is>
      </c>
      <c r="S279" s="227" t="inlineStr">
        <is>
          <t>/</t>
        </is>
      </c>
      <c r="T279" s="227" t="inlineStr">
        <is>
          <t>/</t>
        </is>
      </c>
      <c r="U279" s="227" t="inlineStr">
        <is>
          <t>/</t>
        </is>
      </c>
      <c r="V279" s="235" t="n">
        <v>0.03</v>
      </c>
      <c r="W279" s="276" t="n">
        <v>0.03</v>
      </c>
      <c r="X279" s="227" t="inlineStr">
        <is>
          <t>/</t>
        </is>
      </c>
      <c r="Y279" s="461" t="n"/>
      <c r="Z279" s="461" t="n"/>
      <c r="AA279" s="461" t="n"/>
      <c r="AB279" s="51" t="inlineStr">
        <is>
          <t>/</t>
        </is>
      </c>
      <c r="AC279" s="46" t="inlineStr">
        <is>
          <t>/</t>
        </is>
      </c>
      <c r="AD279"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9" s="232" t="inlineStr">
        <is>
          <t>1、签订期间：2026.3.1-2026.7.20；
2、指标按照全年换算；</t>
        </is>
      </c>
    </row>
    <row r="280" hidden="1" ht="72" customFormat="1" customHeight="1" s="209">
      <c r="A280" s="219" t="n">
        <v>278</v>
      </c>
      <c r="B280" s="220" t="inlineStr">
        <is>
          <t>KQCY0278</t>
        </is>
      </c>
      <c r="C280" s="221" t="inlineStr">
        <is>
          <t>餐饮五分部</t>
        </is>
      </c>
      <c r="D280" s="221" t="inlineStr">
        <is>
          <t>CF694</t>
        </is>
      </c>
      <c r="E280" s="221" t="inlineStr">
        <is>
          <t>兰理工彭家坪北村食堂</t>
        </is>
      </c>
      <c r="F280" s="219" t="inlineStr">
        <is>
          <t>分组作业</t>
        </is>
      </c>
      <c r="G280" s="222" t="inlineStr">
        <is>
          <t>陆琪</t>
        </is>
      </c>
      <c r="H280" s="503" t="inlineStr">
        <is>
          <t>/</t>
        </is>
      </c>
      <c r="I280" s="237" t="inlineStr">
        <is>
          <t>早点</t>
        </is>
      </c>
      <c r="J280" s="503" t="inlineStr">
        <is>
          <t>陶红喜</t>
        </is>
      </c>
      <c r="K280" s="503" t="n"/>
      <c r="L280" s="224" t="n"/>
      <c r="M280" s="224" t="inlineStr">
        <is>
          <t>/</t>
        </is>
      </c>
      <c r="N280" s="651" t="n">
        <v>984000</v>
      </c>
      <c r="O280" s="276" t="n">
        <v>0.2</v>
      </c>
      <c r="P280" s="227" t="inlineStr">
        <is>
          <t>/</t>
        </is>
      </c>
      <c r="Q280" s="227" t="inlineStr">
        <is>
          <t>/</t>
        </is>
      </c>
      <c r="R280" s="227" t="inlineStr">
        <is>
          <t>/</t>
        </is>
      </c>
      <c r="S280" s="227" t="inlineStr">
        <is>
          <t>/</t>
        </is>
      </c>
      <c r="T280" s="227" t="inlineStr">
        <is>
          <t>/</t>
        </is>
      </c>
      <c r="U280" s="227" t="inlineStr">
        <is>
          <t>/</t>
        </is>
      </c>
      <c r="V280" s="235" t="n">
        <v>0.03</v>
      </c>
      <c r="W280" s="276" t="n">
        <v>0.03</v>
      </c>
      <c r="X280" s="227" t="inlineStr">
        <is>
          <t>/</t>
        </is>
      </c>
      <c r="Y280" s="461" t="n"/>
      <c r="Z280" s="461" t="n"/>
      <c r="AA280" s="461" t="n"/>
      <c r="AB280" s="51" t="inlineStr">
        <is>
          <t>/</t>
        </is>
      </c>
      <c r="AC280" s="46" t="inlineStr">
        <is>
          <t>/</t>
        </is>
      </c>
      <c r="AD280"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80" s="232" t="inlineStr">
        <is>
          <t>1、签订期间：2026.3.1-2026.7.20；
2、指标按照全年换算；</t>
        </is>
      </c>
    </row>
    <row r="281" hidden="1" ht="72" customFormat="1" customHeight="1" s="209">
      <c r="A281" s="219" t="n">
        <v>279</v>
      </c>
      <c r="B281" s="220" t="inlineStr">
        <is>
          <t>KQCY0279</t>
        </is>
      </c>
      <c r="C281" s="221" t="inlineStr">
        <is>
          <t>餐饮五分部</t>
        </is>
      </c>
      <c r="D281" s="221" t="inlineStr">
        <is>
          <t>CF694</t>
        </is>
      </c>
      <c r="E281" s="221" t="inlineStr">
        <is>
          <t>兰理工彭家坪北村食堂</t>
        </is>
      </c>
      <c r="F281" s="219" t="inlineStr">
        <is>
          <t>分组作业</t>
        </is>
      </c>
      <c r="G281" s="222" t="inlineStr">
        <is>
          <t>陆琪</t>
        </is>
      </c>
      <c r="H281" s="503" t="inlineStr">
        <is>
          <t>/</t>
        </is>
      </c>
      <c r="I281" s="237" t="inlineStr">
        <is>
          <t>湘式小炒</t>
        </is>
      </c>
      <c r="J281" s="503" t="inlineStr">
        <is>
          <t>李雪婷</t>
        </is>
      </c>
      <c r="K281" s="503" t="n"/>
      <c r="L281" s="224" t="n"/>
      <c r="M281" s="224" t="inlineStr">
        <is>
          <t>/</t>
        </is>
      </c>
      <c r="N281" s="651" t="n">
        <v>626400</v>
      </c>
      <c r="O281" s="276" t="n">
        <v>0.19</v>
      </c>
      <c r="P281" s="227" t="inlineStr">
        <is>
          <t>/</t>
        </is>
      </c>
      <c r="Q281" s="227" t="inlineStr">
        <is>
          <t>/</t>
        </is>
      </c>
      <c r="R281" s="227" t="inlineStr">
        <is>
          <t>/</t>
        </is>
      </c>
      <c r="S281" s="227" t="inlineStr">
        <is>
          <t>/</t>
        </is>
      </c>
      <c r="T281" s="227" t="inlineStr">
        <is>
          <t>/</t>
        </is>
      </c>
      <c r="U281" s="227" t="inlineStr">
        <is>
          <t>/</t>
        </is>
      </c>
      <c r="V281" s="235" t="n">
        <v>0.03</v>
      </c>
      <c r="W281" s="276" t="n">
        <v>0.03</v>
      </c>
      <c r="X281" s="227" t="inlineStr">
        <is>
          <t>/</t>
        </is>
      </c>
      <c r="Y281" s="461" t="n"/>
      <c r="Z281" s="461" t="n"/>
      <c r="AA281" s="461" t="n"/>
      <c r="AB281" s="51" t="inlineStr">
        <is>
          <t>/</t>
        </is>
      </c>
      <c r="AC281" s="46" t="inlineStr">
        <is>
          <t>/</t>
        </is>
      </c>
      <c r="AD281"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81" s="232" t="inlineStr">
        <is>
          <t>1、签订期间：2026.3.1-2026.7.20；
2、指标按照全年换算；</t>
        </is>
      </c>
    </row>
    <row r="282" hidden="1" ht="72" customFormat="1" customHeight="1" s="209">
      <c r="A282" s="219" t="n">
        <v>280</v>
      </c>
      <c r="B282" s="220" t="inlineStr">
        <is>
          <t>KQCY0280</t>
        </is>
      </c>
      <c r="C282" s="221" t="inlineStr">
        <is>
          <t>餐饮五分部</t>
        </is>
      </c>
      <c r="D282" s="221" t="inlineStr">
        <is>
          <t>CF694</t>
        </is>
      </c>
      <c r="E282" s="221" t="inlineStr">
        <is>
          <t>兰理工彭家坪北村食堂</t>
        </is>
      </c>
      <c r="F282" s="219" t="inlineStr">
        <is>
          <t>分组作业</t>
        </is>
      </c>
      <c r="G282" s="222" t="inlineStr">
        <is>
          <t>陆琪</t>
        </is>
      </c>
      <c r="H282" s="503" t="inlineStr">
        <is>
          <t>/</t>
        </is>
      </c>
      <c r="I282" s="237" t="inlineStr">
        <is>
          <t>饸饹面</t>
        </is>
      </c>
      <c r="J282" s="503" t="inlineStr">
        <is>
          <t>高维秦</t>
        </is>
      </c>
      <c r="K282" s="503" t="n"/>
      <c r="L282" s="224" t="n"/>
      <c r="M282" s="224" t="inlineStr">
        <is>
          <t>/</t>
        </is>
      </c>
      <c r="N282" s="651" t="n">
        <v>626400</v>
      </c>
      <c r="O282" s="276" t="n">
        <v>0.2</v>
      </c>
      <c r="P282" s="227" t="inlineStr">
        <is>
          <t>/</t>
        </is>
      </c>
      <c r="Q282" s="227" t="inlineStr">
        <is>
          <t>/</t>
        </is>
      </c>
      <c r="R282" s="227" t="inlineStr">
        <is>
          <t>/</t>
        </is>
      </c>
      <c r="S282" s="227" t="inlineStr">
        <is>
          <t>/</t>
        </is>
      </c>
      <c r="T282" s="227" t="inlineStr">
        <is>
          <t>/</t>
        </is>
      </c>
      <c r="U282" s="227" t="inlineStr">
        <is>
          <t>/</t>
        </is>
      </c>
      <c r="V282" s="235" t="n">
        <v>0.03</v>
      </c>
      <c r="W282" s="276" t="n">
        <v>0.03</v>
      </c>
      <c r="X282" s="227" t="inlineStr">
        <is>
          <t>/</t>
        </is>
      </c>
      <c r="Y282" s="461" t="n"/>
      <c r="Z282" s="461" t="n"/>
      <c r="AA282" s="461" t="n"/>
      <c r="AB282" s="51" t="inlineStr">
        <is>
          <t>/</t>
        </is>
      </c>
      <c r="AC282" s="46" t="inlineStr">
        <is>
          <t>/</t>
        </is>
      </c>
      <c r="AD282"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82" s="232" t="inlineStr">
        <is>
          <t>1、签订期间：2026.3.1-2026.7.20；
2、指标按照全年换算；</t>
        </is>
      </c>
    </row>
    <row r="283" hidden="1" ht="72" customFormat="1" customHeight="1" s="209">
      <c r="A283" s="219" t="n">
        <v>281</v>
      </c>
      <c r="B283" s="220" t="inlineStr">
        <is>
          <t>KQCY0281</t>
        </is>
      </c>
      <c r="C283" s="221" t="inlineStr">
        <is>
          <t>餐饮五分部</t>
        </is>
      </c>
      <c r="D283" s="221" t="inlineStr">
        <is>
          <t>CF694</t>
        </is>
      </c>
      <c r="E283" s="221" t="inlineStr">
        <is>
          <t>兰理工彭家坪北村食堂</t>
        </is>
      </c>
      <c r="F283" s="219" t="inlineStr">
        <is>
          <t>分组作业</t>
        </is>
      </c>
      <c r="G283" s="222" t="inlineStr">
        <is>
          <t>陆琪</t>
        </is>
      </c>
      <c r="H283" s="503" t="inlineStr">
        <is>
          <t>/</t>
        </is>
      </c>
      <c r="I283" s="237" t="inlineStr">
        <is>
          <t>石锅饭</t>
        </is>
      </c>
      <c r="J283" s="503" t="inlineStr">
        <is>
          <t>杨方红</t>
        </is>
      </c>
      <c r="K283" s="503" t="n"/>
      <c r="L283" s="224" t="n"/>
      <c r="M283" s="224" t="inlineStr">
        <is>
          <t>/</t>
        </is>
      </c>
      <c r="N283" s="651" t="n">
        <v>408000</v>
      </c>
      <c r="O283" s="276" t="n">
        <v>0.18</v>
      </c>
      <c r="P283" s="227" t="inlineStr">
        <is>
          <t>/</t>
        </is>
      </c>
      <c r="Q283" s="227" t="inlineStr">
        <is>
          <t>/</t>
        </is>
      </c>
      <c r="R283" s="227" t="inlineStr">
        <is>
          <t>/</t>
        </is>
      </c>
      <c r="S283" s="227" t="inlineStr">
        <is>
          <t>/</t>
        </is>
      </c>
      <c r="T283" s="227" t="inlineStr">
        <is>
          <t>/</t>
        </is>
      </c>
      <c r="U283" s="227" t="inlineStr">
        <is>
          <t>/</t>
        </is>
      </c>
      <c r="V283" s="235" t="n">
        <v>0.03</v>
      </c>
      <c r="W283" s="276" t="n">
        <v>0.03</v>
      </c>
      <c r="X283" s="227" t="inlineStr">
        <is>
          <t>/</t>
        </is>
      </c>
      <c r="Y283" s="461" t="n"/>
      <c r="Z283" s="461" t="n"/>
      <c r="AA283" s="461" t="n"/>
      <c r="AB283" s="51" t="inlineStr">
        <is>
          <t>/</t>
        </is>
      </c>
      <c r="AC283" s="46" t="inlineStr">
        <is>
          <t>/</t>
        </is>
      </c>
      <c r="AD283"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83" s="232" t="inlineStr">
        <is>
          <t>1、签订期间：2026.3.1-2026.7.20；
2、指标按照全年换算；</t>
        </is>
      </c>
    </row>
    <row r="284" hidden="1" ht="72" customFormat="1" customHeight="1" s="209">
      <c r="A284" s="219" t="n">
        <v>282</v>
      </c>
      <c r="B284" s="220" t="inlineStr">
        <is>
          <t>KQCY0282</t>
        </is>
      </c>
      <c r="C284" s="221" t="inlineStr">
        <is>
          <t>餐饮五分部</t>
        </is>
      </c>
      <c r="D284" s="221" t="inlineStr">
        <is>
          <t>CF694</t>
        </is>
      </c>
      <c r="E284" s="221" t="inlineStr">
        <is>
          <t>兰理工彭家坪北村食堂</t>
        </is>
      </c>
      <c r="F284" s="219" t="inlineStr">
        <is>
          <t>分组作业</t>
        </is>
      </c>
      <c r="G284" s="222" t="inlineStr">
        <is>
          <t>陆琪</t>
        </is>
      </c>
      <c r="H284" s="503" t="inlineStr">
        <is>
          <t>/</t>
        </is>
      </c>
      <c r="I284" s="237" t="inlineStr">
        <is>
          <t>猪脚饭</t>
        </is>
      </c>
      <c r="J284" s="503" t="inlineStr">
        <is>
          <t>陈发全</t>
        </is>
      </c>
      <c r="K284" s="503" t="n"/>
      <c r="L284" s="224" t="n"/>
      <c r="M284" s="224" t="inlineStr">
        <is>
          <t>/</t>
        </is>
      </c>
      <c r="N284" s="651" t="n">
        <v>626400</v>
      </c>
      <c r="O284" s="276" t="n">
        <v>0.2</v>
      </c>
      <c r="P284" s="227" t="inlineStr">
        <is>
          <t>/</t>
        </is>
      </c>
      <c r="Q284" s="227" t="inlineStr">
        <is>
          <t>/</t>
        </is>
      </c>
      <c r="R284" s="227" t="inlineStr">
        <is>
          <t>/</t>
        </is>
      </c>
      <c r="S284" s="227" t="inlineStr">
        <is>
          <t>/</t>
        </is>
      </c>
      <c r="T284" s="227" t="inlineStr">
        <is>
          <t>/</t>
        </is>
      </c>
      <c r="U284" s="227" t="inlineStr">
        <is>
          <t>/</t>
        </is>
      </c>
      <c r="V284" s="235" t="n">
        <v>0.03</v>
      </c>
      <c r="W284" s="276" t="n">
        <v>0.03</v>
      </c>
      <c r="X284" s="227" t="inlineStr">
        <is>
          <t>/</t>
        </is>
      </c>
      <c r="Y284" s="461" t="n"/>
      <c r="Z284" s="461" t="n"/>
      <c r="AA284" s="461" t="n"/>
      <c r="AB284" s="51" t="inlineStr">
        <is>
          <t>/</t>
        </is>
      </c>
      <c r="AC284" s="46" t="inlineStr">
        <is>
          <t>/</t>
        </is>
      </c>
      <c r="AD284"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84" s="232" t="inlineStr">
        <is>
          <t>1、签订期间：2026.3.1-2026.7.20；
2、指标按照全年换算；</t>
        </is>
      </c>
    </row>
    <row r="285" hidden="1" ht="72" customFormat="1" customHeight="1" s="209">
      <c r="A285" s="219" t="n">
        <v>283</v>
      </c>
      <c r="B285" s="220" t="inlineStr">
        <is>
          <t>KQCY0283</t>
        </is>
      </c>
      <c r="C285" s="221" t="inlineStr">
        <is>
          <t>餐饮五分部</t>
        </is>
      </c>
      <c r="D285" s="221" t="inlineStr">
        <is>
          <t>CF694</t>
        </is>
      </c>
      <c r="E285" s="221" t="inlineStr">
        <is>
          <t>兰理工彭家坪北村食堂</t>
        </is>
      </c>
      <c r="F285" s="219" t="inlineStr">
        <is>
          <t>分组作业</t>
        </is>
      </c>
      <c r="G285" s="222" t="inlineStr">
        <is>
          <t>陆琪</t>
        </is>
      </c>
      <c r="H285" s="503" t="inlineStr">
        <is>
          <t>/</t>
        </is>
      </c>
      <c r="I285" s="237" t="inlineStr">
        <is>
          <t>水吧</t>
        </is>
      </c>
      <c r="J285" s="503" t="inlineStr">
        <is>
          <t>陈发全</t>
        </is>
      </c>
      <c r="K285" s="503" t="n"/>
      <c r="L285" s="224" t="n"/>
      <c r="M285" s="224" t="inlineStr">
        <is>
          <t>/</t>
        </is>
      </c>
      <c r="N285" s="651" t="n">
        <v>319200</v>
      </c>
      <c r="O285" s="276" t="n">
        <v>0.12</v>
      </c>
      <c r="P285" s="227" t="inlineStr">
        <is>
          <t>/</t>
        </is>
      </c>
      <c r="Q285" s="227" t="inlineStr">
        <is>
          <t>/</t>
        </is>
      </c>
      <c r="R285" s="227" t="inlineStr">
        <is>
          <t>/</t>
        </is>
      </c>
      <c r="S285" s="227" t="inlineStr">
        <is>
          <t>/</t>
        </is>
      </c>
      <c r="T285" s="227" t="inlineStr">
        <is>
          <t>/</t>
        </is>
      </c>
      <c r="U285" s="227" t="inlineStr">
        <is>
          <t>/</t>
        </is>
      </c>
      <c r="V285" s="227" t="inlineStr">
        <is>
          <t>/</t>
        </is>
      </c>
      <c r="W285" s="284" t="inlineStr">
        <is>
          <t>/</t>
        </is>
      </c>
      <c r="X285" s="227" t="inlineStr">
        <is>
          <t>/</t>
        </is>
      </c>
      <c r="Y285" s="461" t="n"/>
      <c r="Z285" s="461" t="n"/>
      <c r="AA285" s="461" t="n"/>
      <c r="AB285" s="51" t="inlineStr">
        <is>
          <t>/</t>
        </is>
      </c>
      <c r="AC285" s="46" t="inlineStr">
        <is>
          <t>/</t>
        </is>
      </c>
      <c r="AD285"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85" s="232" t="inlineStr">
        <is>
          <t>1、签订期间：2026.3.1-2026.7.20；
2、指标按照全年换算；</t>
        </is>
      </c>
    </row>
    <row r="286" hidden="1" ht="72" customFormat="1" customHeight="1" s="209">
      <c r="A286" s="219" t="n">
        <v>284</v>
      </c>
      <c r="B286" s="220" t="inlineStr">
        <is>
          <t>KQCY0284</t>
        </is>
      </c>
      <c r="C286" s="221" t="inlineStr">
        <is>
          <t>餐饮五分部</t>
        </is>
      </c>
      <c r="D286" s="221" t="inlineStr">
        <is>
          <t>CF694</t>
        </is>
      </c>
      <c r="E286" s="221" t="inlineStr">
        <is>
          <t>兰理工彭家坪北村食堂</t>
        </is>
      </c>
      <c r="F286" s="219" t="inlineStr">
        <is>
          <t>分组作业</t>
        </is>
      </c>
      <c r="G286" s="222" t="inlineStr">
        <is>
          <t>陆琪</t>
        </is>
      </c>
      <c r="H286" s="503" t="inlineStr">
        <is>
          <t>/</t>
        </is>
      </c>
      <c r="I286" s="237" t="inlineStr">
        <is>
          <t>小火锅</t>
        </is>
      </c>
      <c r="J286" s="503" t="inlineStr">
        <is>
          <t>韩玉红</t>
        </is>
      </c>
      <c r="K286" s="503" t="n"/>
      <c r="L286" s="224" t="n"/>
      <c r="M286" s="224" t="inlineStr">
        <is>
          <t>/</t>
        </is>
      </c>
      <c r="N286" s="651" t="n">
        <v>592800</v>
      </c>
      <c r="O286" s="276" t="n">
        <v>0.18</v>
      </c>
      <c r="P286" s="227" t="inlineStr">
        <is>
          <t>/</t>
        </is>
      </c>
      <c r="Q286" s="227" t="inlineStr">
        <is>
          <t>/</t>
        </is>
      </c>
      <c r="R286" s="227" t="inlineStr">
        <is>
          <t>/</t>
        </is>
      </c>
      <c r="S286" s="227" t="inlineStr">
        <is>
          <t>/</t>
        </is>
      </c>
      <c r="T286" s="227" t="inlineStr">
        <is>
          <t>/</t>
        </is>
      </c>
      <c r="U286" s="227" t="inlineStr">
        <is>
          <t>/</t>
        </is>
      </c>
      <c r="V286" s="235" t="n">
        <v>0.03</v>
      </c>
      <c r="W286" s="276" t="n">
        <v>0.03</v>
      </c>
      <c r="X286" s="227" t="inlineStr">
        <is>
          <t>/</t>
        </is>
      </c>
      <c r="Y286" s="461" t="n"/>
      <c r="Z286" s="461" t="n"/>
      <c r="AA286" s="461" t="n"/>
      <c r="AB286" s="51" t="inlineStr">
        <is>
          <t>/</t>
        </is>
      </c>
      <c r="AC286" s="46" t="inlineStr">
        <is>
          <t>/</t>
        </is>
      </c>
      <c r="AD286"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86" s="232" t="inlineStr">
        <is>
          <t>1、签订期间：2026.3.1-2026.7.20；
2、指标按照全年换算；</t>
        </is>
      </c>
    </row>
    <row r="287" hidden="1" ht="12" customFormat="1" customHeight="1" s="209">
      <c r="A287" s="219" t="n">
        <v>285</v>
      </c>
      <c r="B287" s="220" t="inlineStr">
        <is>
          <t>KQCY0285</t>
        </is>
      </c>
      <c r="C287" s="221" t="n"/>
      <c r="D287" s="221" t="n"/>
      <c r="E287" s="221" t="inlineStr">
        <is>
          <t>兰理工彭家坪北村食堂</t>
        </is>
      </c>
      <c r="F287" s="219" t="inlineStr">
        <is>
          <t>分组作业</t>
        </is>
      </c>
      <c r="G287" s="222" t="inlineStr">
        <is>
          <t>陆琪</t>
        </is>
      </c>
      <c r="H287" s="239" t="inlineStr">
        <is>
          <t>/</t>
        </is>
      </c>
      <c r="I287" s="232" t="inlineStr">
        <is>
          <t>牛肉面</t>
        </is>
      </c>
      <c r="J287" s="503" t="inlineStr">
        <is>
          <t>石磊</t>
        </is>
      </c>
      <c r="K287" s="503" t="n"/>
      <c r="L287" s="224" t="n"/>
      <c r="M287" s="224" t="n"/>
      <c r="N287" s="651" t="n"/>
      <c r="O287" s="227" t="n"/>
      <c r="P287" s="227" t="n"/>
      <c r="Q287" s="227" t="n"/>
      <c r="R287" s="227" t="n"/>
      <c r="S287" s="227" t="n"/>
      <c r="T287" s="227" t="n"/>
      <c r="U287" s="227" t="n"/>
      <c r="V287" s="461" t="n"/>
      <c r="W287" s="227" t="n"/>
      <c r="X287" s="227" t="n"/>
      <c r="Y287" s="461" t="n"/>
      <c r="Z287" s="461" t="n"/>
      <c r="AA287" s="461" t="n"/>
      <c r="AB287" s="46" t="n"/>
      <c r="AC287" s="46" t="n"/>
      <c r="AD287" s="232" t="n"/>
      <c r="AE287" s="232" t="n"/>
    </row>
    <row r="288" hidden="1" ht="12" customFormat="1" customHeight="1" s="209">
      <c r="A288" s="219" t="n">
        <v>286</v>
      </c>
      <c r="B288" s="220" t="inlineStr">
        <is>
          <t>KQCY0286</t>
        </is>
      </c>
      <c r="C288" s="221" t="inlineStr">
        <is>
          <t>餐饮五分部</t>
        </is>
      </c>
      <c r="D288" s="221" t="inlineStr">
        <is>
          <t>CF696</t>
        </is>
      </c>
      <c r="E288" s="221" t="inlineStr">
        <is>
          <t>甘肃省气象局</t>
        </is>
      </c>
      <c r="F288" s="219" t="inlineStr">
        <is>
          <t>人员服务外包</t>
        </is>
      </c>
      <c r="G288" s="222" t="inlineStr">
        <is>
          <t>陆琪</t>
        </is>
      </c>
      <c r="H288" s="219" t="inlineStr">
        <is>
          <t>/</t>
        </is>
      </c>
      <c r="I288" s="232" t="inlineStr">
        <is>
          <t>/</t>
        </is>
      </c>
      <c r="J288" s="503" t="inlineStr">
        <is>
          <t>/</t>
        </is>
      </c>
      <c r="K288" s="503" t="n"/>
      <c r="L288" s="224" t="n"/>
      <c r="M288" s="224" t="inlineStr">
        <is>
          <t>/</t>
        </is>
      </c>
      <c r="N288" s="651" t="n">
        <v>908000</v>
      </c>
      <c r="O288" s="227" t="inlineStr">
        <is>
          <t>/</t>
        </is>
      </c>
      <c r="P288" s="227" t="inlineStr">
        <is>
          <t>/</t>
        </is>
      </c>
      <c r="Q288" s="227" t="inlineStr">
        <is>
          <t>/</t>
        </is>
      </c>
      <c r="R288" s="227" t="inlineStr">
        <is>
          <t>/</t>
        </is>
      </c>
      <c r="S288" s="227" t="inlineStr">
        <is>
          <t>/</t>
        </is>
      </c>
      <c r="T288" s="227" t="inlineStr">
        <is>
          <t>/</t>
        </is>
      </c>
      <c r="U288" s="227" t="inlineStr">
        <is>
          <t>/</t>
        </is>
      </c>
      <c r="V288" s="461" t="inlineStr">
        <is>
          <t>/</t>
        </is>
      </c>
      <c r="W288" s="227" t="inlineStr">
        <is>
          <t>/</t>
        </is>
      </c>
      <c r="X288" s="227" t="inlineStr">
        <is>
          <t>/</t>
        </is>
      </c>
      <c r="Y288" s="461" t="n"/>
      <c r="Z288" s="461" t="n"/>
      <c r="AA288" s="461" t="inlineStr">
        <is>
          <t>/</t>
        </is>
      </c>
      <c r="AB288" s="46" t="n">
        <v>0.11</v>
      </c>
      <c r="AC288" s="46" t="inlineStr">
        <is>
          <t>/</t>
        </is>
      </c>
      <c r="AD288" s="232" t="n"/>
      <c r="AE288" s="232" t="n"/>
    </row>
    <row r="289" hidden="1" ht="12" customFormat="1" customHeight="1" s="209">
      <c r="A289" s="219" t="n">
        <v>287</v>
      </c>
      <c r="B289" s="220" t="inlineStr">
        <is>
          <t>KQCY0287</t>
        </is>
      </c>
      <c r="C289" s="221" t="inlineStr">
        <is>
          <t>餐饮五分部</t>
        </is>
      </c>
      <c r="D289" s="221" t="inlineStr">
        <is>
          <t>CF620</t>
        </is>
      </c>
      <c r="E289" s="221" t="inlineStr">
        <is>
          <t>山西大学B6食堂三层</t>
        </is>
      </c>
      <c r="F289" s="219" t="inlineStr">
        <is>
          <t>强责</t>
        </is>
      </c>
      <c r="G289" s="222" t="inlineStr">
        <is>
          <t>陆琪</t>
        </is>
      </c>
      <c r="H289" s="222" t="inlineStr">
        <is>
          <t>/</t>
        </is>
      </c>
      <c r="I289" s="232" t="inlineStr">
        <is>
          <t>冒菜</t>
        </is>
      </c>
      <c r="J289" s="503" t="inlineStr">
        <is>
          <t>陈祥</t>
        </is>
      </c>
      <c r="K289" s="503" t="n"/>
      <c r="L289" s="224" t="n"/>
      <c r="M289" s="224" t="inlineStr">
        <is>
          <t>/</t>
        </is>
      </c>
      <c r="N289" s="651" t="inlineStr">
        <is>
          <t>/</t>
        </is>
      </c>
      <c r="O289" s="227" t="inlineStr">
        <is>
          <t>/</t>
        </is>
      </c>
      <c r="P289" s="227" t="inlineStr">
        <is>
          <t>/</t>
        </is>
      </c>
      <c r="Q289" s="227" t="inlineStr">
        <is>
          <t>/</t>
        </is>
      </c>
      <c r="R289" s="227" t="inlineStr">
        <is>
          <t>/</t>
        </is>
      </c>
      <c r="S289" s="227" t="inlineStr">
        <is>
          <t>/</t>
        </is>
      </c>
      <c r="T289" s="227" t="inlineStr">
        <is>
          <t>/</t>
        </is>
      </c>
      <c r="U289" s="227" t="inlineStr">
        <is>
          <t>/</t>
        </is>
      </c>
      <c r="V289" s="461" t="inlineStr">
        <is>
          <t>/</t>
        </is>
      </c>
      <c r="W289" s="227" t="inlineStr">
        <is>
          <t>/</t>
        </is>
      </c>
      <c r="X289" s="227" t="inlineStr">
        <is>
          <t>/</t>
        </is>
      </c>
      <c r="Y289" s="461" t="n"/>
      <c r="Z289" s="461" t="n"/>
      <c r="AA289" s="461" t="n"/>
      <c r="AB289" s="46" t="n">
        <v>0.035</v>
      </c>
      <c r="AC289" s="46" t="inlineStr">
        <is>
          <t>/</t>
        </is>
      </c>
      <c r="AD289" s="232" t="n"/>
      <c r="AE289" s="232" t="n"/>
    </row>
    <row r="290" hidden="1" ht="12" customFormat="1" customHeight="1" s="209">
      <c r="A290" s="219" t="n">
        <v>288</v>
      </c>
      <c r="B290" s="220" t="inlineStr">
        <is>
          <t>KQCY0288</t>
        </is>
      </c>
      <c r="C290" s="221" t="inlineStr">
        <is>
          <t>餐饮五分部</t>
        </is>
      </c>
      <c r="D290" s="221" t="inlineStr">
        <is>
          <t>CF620</t>
        </is>
      </c>
      <c r="E290" s="221" t="inlineStr">
        <is>
          <t>山西大学B6食堂三层</t>
        </is>
      </c>
      <c r="F290" s="219" t="inlineStr">
        <is>
          <t>强责</t>
        </is>
      </c>
      <c r="G290" s="222" t="inlineStr">
        <is>
          <t>陆琪</t>
        </is>
      </c>
      <c r="H290" s="222" t="inlineStr">
        <is>
          <t>/</t>
        </is>
      </c>
      <c r="I290" s="232" t="inlineStr">
        <is>
          <t>烤盘菜</t>
        </is>
      </c>
      <c r="J290" s="503" t="inlineStr">
        <is>
          <t>陈祥</t>
        </is>
      </c>
      <c r="K290" s="503" t="n"/>
      <c r="L290" s="224" t="n"/>
      <c r="M290" s="224" t="inlineStr">
        <is>
          <t>/</t>
        </is>
      </c>
      <c r="N290" s="651" t="inlineStr">
        <is>
          <t>/</t>
        </is>
      </c>
      <c r="O290" s="227" t="inlineStr">
        <is>
          <t>/</t>
        </is>
      </c>
      <c r="P290" s="227" t="inlineStr">
        <is>
          <t>/</t>
        </is>
      </c>
      <c r="Q290" s="227" t="inlineStr">
        <is>
          <t>/</t>
        </is>
      </c>
      <c r="R290" s="227" t="inlineStr">
        <is>
          <t>/</t>
        </is>
      </c>
      <c r="S290" s="227" t="inlineStr">
        <is>
          <t>/</t>
        </is>
      </c>
      <c r="T290" s="227" t="inlineStr">
        <is>
          <t>/</t>
        </is>
      </c>
      <c r="U290" s="227" t="inlineStr">
        <is>
          <t>/</t>
        </is>
      </c>
      <c r="V290" s="461" t="inlineStr">
        <is>
          <t>/</t>
        </is>
      </c>
      <c r="W290" s="227" t="inlineStr">
        <is>
          <t>/</t>
        </is>
      </c>
      <c r="X290" s="227" t="inlineStr">
        <is>
          <t>/</t>
        </is>
      </c>
      <c r="Y290" s="461" t="n"/>
      <c r="Z290" s="461" t="n"/>
      <c r="AA290" s="461" t="n"/>
      <c r="AB290" s="46" t="n">
        <v>0.035</v>
      </c>
      <c r="AC290" s="46" t="inlineStr">
        <is>
          <t>/</t>
        </is>
      </c>
      <c r="AD290" s="232" t="n"/>
      <c r="AE290" s="232" t="n"/>
    </row>
    <row r="291" hidden="1" ht="12" customFormat="1" customHeight="1" s="209">
      <c r="A291" s="219" t="n">
        <v>289</v>
      </c>
      <c r="B291" s="220" t="inlineStr">
        <is>
          <t>KQCY0289</t>
        </is>
      </c>
      <c r="C291" s="221" t="inlineStr">
        <is>
          <t>餐饮五分部</t>
        </is>
      </c>
      <c r="D291" s="221" t="inlineStr">
        <is>
          <t>CF620</t>
        </is>
      </c>
      <c r="E291" s="221" t="inlineStr">
        <is>
          <t>山西大学B6食堂三层</t>
        </is>
      </c>
      <c r="F291" s="219" t="inlineStr">
        <is>
          <t>强责</t>
        </is>
      </c>
      <c r="G291" s="222" t="inlineStr">
        <is>
          <t>陆琪</t>
        </is>
      </c>
      <c r="H291" s="222" t="inlineStr">
        <is>
          <t>/</t>
        </is>
      </c>
      <c r="I291" s="232" t="inlineStr">
        <is>
          <t>大盘鸡</t>
        </is>
      </c>
      <c r="J291" s="503" t="inlineStr">
        <is>
          <t>陈祥</t>
        </is>
      </c>
      <c r="K291" s="503" t="n"/>
      <c r="L291" s="224" t="n"/>
      <c r="M291" s="224" t="inlineStr">
        <is>
          <t>/</t>
        </is>
      </c>
      <c r="N291" s="651" t="inlineStr">
        <is>
          <t>/</t>
        </is>
      </c>
      <c r="O291" s="227" t="inlineStr">
        <is>
          <t>/</t>
        </is>
      </c>
      <c r="P291" s="227" t="inlineStr">
        <is>
          <t>/</t>
        </is>
      </c>
      <c r="Q291" s="227" t="inlineStr">
        <is>
          <t>/</t>
        </is>
      </c>
      <c r="R291" s="227" t="inlineStr">
        <is>
          <t>/</t>
        </is>
      </c>
      <c r="S291" s="227" t="inlineStr">
        <is>
          <t>/</t>
        </is>
      </c>
      <c r="T291" s="227" t="inlineStr">
        <is>
          <t>/</t>
        </is>
      </c>
      <c r="U291" s="227" t="inlineStr">
        <is>
          <t>/</t>
        </is>
      </c>
      <c r="V291" s="461" t="inlineStr">
        <is>
          <t>/</t>
        </is>
      </c>
      <c r="W291" s="227" t="inlineStr">
        <is>
          <t>/</t>
        </is>
      </c>
      <c r="X291" s="227" t="inlineStr">
        <is>
          <t>/</t>
        </is>
      </c>
      <c r="Y291" s="461" t="n"/>
      <c r="Z291" s="461" t="n"/>
      <c r="AA291" s="461" t="n"/>
      <c r="AB291" s="46" t="n">
        <v>0.035</v>
      </c>
      <c r="AC291" s="46" t="inlineStr">
        <is>
          <t>/</t>
        </is>
      </c>
      <c r="AD291" s="232" t="n"/>
      <c r="AE291" s="232" t="n"/>
    </row>
    <row r="292" hidden="1" ht="12" customFormat="1" customHeight="1" s="209">
      <c r="A292" s="219" t="n">
        <v>290</v>
      </c>
      <c r="B292" s="220" t="inlineStr">
        <is>
          <t>KQCY0290</t>
        </is>
      </c>
      <c r="C292" s="221" t="inlineStr">
        <is>
          <t>餐饮五分部</t>
        </is>
      </c>
      <c r="D292" s="221" t="inlineStr">
        <is>
          <t>CF620</t>
        </is>
      </c>
      <c r="E292" s="221" t="inlineStr">
        <is>
          <t>山西大学B6食堂三层</t>
        </is>
      </c>
      <c r="F292" s="219" t="inlineStr">
        <is>
          <t>强责</t>
        </is>
      </c>
      <c r="G292" s="222" t="inlineStr">
        <is>
          <t>陆琪</t>
        </is>
      </c>
      <c r="H292" s="222" t="inlineStr">
        <is>
          <t>/</t>
        </is>
      </c>
      <c r="I292" s="232" t="inlineStr">
        <is>
          <t>小碗菜</t>
        </is>
      </c>
      <c r="J292" s="503" t="inlineStr">
        <is>
          <t>陈祥</t>
        </is>
      </c>
      <c r="K292" s="503" t="n"/>
      <c r="L292" s="224" t="n"/>
      <c r="M292" s="224" t="inlineStr">
        <is>
          <t>/</t>
        </is>
      </c>
      <c r="N292" s="651" t="inlineStr">
        <is>
          <t>/</t>
        </is>
      </c>
      <c r="O292" s="227" t="inlineStr">
        <is>
          <t>/</t>
        </is>
      </c>
      <c r="P292" s="227" t="inlineStr">
        <is>
          <t>/</t>
        </is>
      </c>
      <c r="Q292" s="227" t="inlineStr">
        <is>
          <t>/</t>
        </is>
      </c>
      <c r="R292" s="227" t="inlineStr">
        <is>
          <t>/</t>
        </is>
      </c>
      <c r="S292" s="227" t="inlineStr">
        <is>
          <t>/</t>
        </is>
      </c>
      <c r="T292" s="227" t="inlineStr">
        <is>
          <t>/</t>
        </is>
      </c>
      <c r="U292" s="227" t="inlineStr">
        <is>
          <t>/</t>
        </is>
      </c>
      <c r="V292" s="461" t="inlineStr">
        <is>
          <t>/</t>
        </is>
      </c>
      <c r="W292" s="227" t="inlineStr">
        <is>
          <t>/</t>
        </is>
      </c>
      <c r="X292" s="227" t="inlineStr">
        <is>
          <t>/</t>
        </is>
      </c>
      <c r="Y292" s="461" t="n"/>
      <c r="Z292" s="461" t="n"/>
      <c r="AA292" s="461" t="n"/>
      <c r="AB292" s="46" t="n">
        <v>0.035</v>
      </c>
      <c r="AC292" s="46" t="inlineStr">
        <is>
          <t>/</t>
        </is>
      </c>
      <c r="AD292" s="232" t="n"/>
      <c r="AE292" s="232" t="n"/>
    </row>
    <row r="293" hidden="1" ht="36" customFormat="1" customHeight="1" s="209">
      <c r="A293" s="219" t="n">
        <v>291</v>
      </c>
      <c r="B293" s="220" t="inlineStr">
        <is>
          <t>KQCY0291</t>
        </is>
      </c>
      <c r="C293" s="221" t="inlineStr">
        <is>
          <t>餐饮五分部</t>
        </is>
      </c>
      <c r="D293" s="221" t="inlineStr">
        <is>
          <t>CF620</t>
        </is>
      </c>
      <c r="E293" s="221" t="inlineStr">
        <is>
          <t>山西大学B6食堂三层</t>
        </is>
      </c>
      <c r="F293" s="219" t="inlineStr">
        <is>
          <t>强责</t>
        </is>
      </c>
      <c r="G293" s="222" t="inlineStr">
        <is>
          <t>陆琪</t>
        </is>
      </c>
      <c r="H293" s="503" t="inlineStr">
        <is>
          <t>第一班组</t>
        </is>
      </c>
      <c r="I293" s="237" t="inlineStr">
        <is>
          <t>辣椒炒肉汉堡</t>
        </is>
      </c>
      <c r="J293" s="503" t="inlineStr">
        <is>
          <t>胡星丽</t>
        </is>
      </c>
      <c r="K293" s="503" t="n"/>
      <c r="L293" s="224" t="n"/>
      <c r="M293" s="224" t="inlineStr">
        <is>
          <t>/</t>
        </is>
      </c>
      <c r="N293" s="651" t="n">
        <v>1200000</v>
      </c>
      <c r="O293" s="276" t="n">
        <v>0.13</v>
      </c>
      <c r="P293" s="227" t="inlineStr">
        <is>
          <t>/</t>
        </is>
      </c>
      <c r="Q293" s="227" t="inlineStr">
        <is>
          <t>/</t>
        </is>
      </c>
      <c r="R293" s="227" t="inlineStr">
        <is>
          <t>/</t>
        </is>
      </c>
      <c r="S293" s="227" t="inlineStr">
        <is>
          <t>/</t>
        </is>
      </c>
      <c r="T293" s="227" t="inlineStr">
        <is>
          <t>/</t>
        </is>
      </c>
      <c r="U293" s="227" t="inlineStr">
        <is>
          <t>/</t>
        </is>
      </c>
      <c r="V293" s="461" t="n">
        <v>3000</v>
      </c>
      <c r="W293" s="227" t="n">
        <v>4000</v>
      </c>
      <c r="X293" s="227" t="inlineStr">
        <is>
          <t>/</t>
        </is>
      </c>
      <c r="Y293" s="461" t="n"/>
      <c r="Z293" s="461" t="n"/>
      <c r="AA293" s="461" t="inlineStr">
        <is>
          <t xml:space="preserve">
40%</t>
        </is>
      </c>
      <c r="AB293" s="51" t="inlineStr">
        <is>
          <t>/</t>
        </is>
      </c>
      <c r="AC293" s="46" t="inlineStr">
        <is>
          <t>/</t>
        </is>
      </c>
      <c r="AD293" s="232" t="n"/>
      <c r="AE293" s="232" t="inlineStr">
        <is>
          <t xml:space="preserve">
1、签订期间：2026.2.1-2026.7.15；
2、指标按照全年换算；</t>
        </is>
      </c>
    </row>
    <row r="294" hidden="1" ht="36" customFormat="1" customHeight="1" s="209">
      <c r="A294" s="219" t="n">
        <v>292</v>
      </c>
      <c r="B294" s="220" t="inlineStr">
        <is>
          <t>KQCY0292</t>
        </is>
      </c>
      <c r="C294" s="221" t="inlineStr">
        <is>
          <t>餐饮五分部</t>
        </is>
      </c>
      <c r="D294" s="221" t="inlineStr">
        <is>
          <t>CF620</t>
        </is>
      </c>
      <c r="E294" s="221" t="inlineStr">
        <is>
          <t>山西大学B6食堂三层</t>
        </is>
      </c>
      <c r="F294" s="219" t="inlineStr">
        <is>
          <t>强责</t>
        </is>
      </c>
      <c r="G294" s="222" t="inlineStr">
        <is>
          <t>陆琪</t>
        </is>
      </c>
      <c r="H294" s="503" t="inlineStr">
        <is>
          <t>第二班组</t>
        </is>
      </c>
      <c r="I294" s="237" t="inlineStr">
        <is>
          <t>石锅菜</t>
        </is>
      </c>
      <c r="J294" s="503" t="inlineStr">
        <is>
          <t>穆瑞霞</t>
        </is>
      </c>
      <c r="K294" s="503" t="n"/>
      <c r="L294" s="224" t="n"/>
      <c r="M294" s="224" t="inlineStr">
        <is>
          <t>/</t>
        </is>
      </c>
      <c r="N294" s="651" t="n">
        <v>540000</v>
      </c>
      <c r="O294" s="276" t="n">
        <v>0.23</v>
      </c>
      <c r="P294" s="227" t="inlineStr">
        <is>
          <t>/</t>
        </is>
      </c>
      <c r="Q294" s="227" t="inlineStr">
        <is>
          <t>/</t>
        </is>
      </c>
      <c r="R294" s="227" t="inlineStr">
        <is>
          <t>/</t>
        </is>
      </c>
      <c r="S294" s="227" t="inlineStr">
        <is>
          <t>/</t>
        </is>
      </c>
      <c r="T294" s="227" t="inlineStr">
        <is>
          <t>/</t>
        </is>
      </c>
      <c r="U294" s="227" t="inlineStr">
        <is>
          <t>/</t>
        </is>
      </c>
      <c r="V294" s="227" t="inlineStr">
        <is>
          <t>/</t>
        </is>
      </c>
      <c r="W294" s="227" t="inlineStr">
        <is>
          <t>/</t>
        </is>
      </c>
      <c r="X294" s="227" t="inlineStr">
        <is>
          <t>/</t>
        </is>
      </c>
      <c r="Y294" s="461" t="n"/>
      <c r="Z294" s="461" t="n"/>
      <c r="AA294" s="461" t="inlineStr">
        <is>
          <t xml:space="preserve">
40%</t>
        </is>
      </c>
      <c r="AB294" s="51" t="inlineStr">
        <is>
          <t>/</t>
        </is>
      </c>
      <c r="AC294" s="46" t="inlineStr">
        <is>
          <t>/</t>
        </is>
      </c>
      <c r="AD294" s="232" t="n"/>
      <c r="AE294" s="232" t="inlineStr">
        <is>
          <t xml:space="preserve">
1、签订期间：2026.2.1-2026.7.15；
2、指标按照全年换算；</t>
        </is>
      </c>
    </row>
    <row r="295" hidden="1" ht="36" customFormat="1" customHeight="1" s="209">
      <c r="A295" s="219" t="n">
        <v>293</v>
      </c>
      <c r="B295" s="220" t="inlineStr">
        <is>
          <t>KQCY0293</t>
        </is>
      </c>
      <c r="C295" s="221" t="inlineStr">
        <is>
          <t>餐饮五分部</t>
        </is>
      </c>
      <c r="D295" s="221" t="inlineStr">
        <is>
          <t>CF620</t>
        </is>
      </c>
      <c r="E295" s="221" t="inlineStr">
        <is>
          <t>山西大学B6食堂三层</t>
        </is>
      </c>
      <c r="F295" s="219" t="inlineStr">
        <is>
          <t>强责</t>
        </is>
      </c>
      <c r="G295" s="222" t="inlineStr">
        <is>
          <t>陆琪</t>
        </is>
      </c>
      <c r="H295" s="503" t="inlineStr">
        <is>
          <t>第三班组</t>
        </is>
      </c>
      <c r="I295" s="237" t="inlineStr">
        <is>
          <t>方圆便利</t>
        </is>
      </c>
      <c r="J295" s="503" t="inlineStr">
        <is>
          <t>张志洁</t>
        </is>
      </c>
      <c r="K295" s="503" t="n"/>
      <c r="L295" s="224" t="n"/>
      <c r="M295" s="224" t="inlineStr">
        <is>
          <t>/</t>
        </is>
      </c>
      <c r="N295" s="651" t="n">
        <v>720000</v>
      </c>
      <c r="O295" s="276" t="n">
        <v>0.05</v>
      </c>
      <c r="P295" s="227" t="inlineStr">
        <is>
          <t>/</t>
        </is>
      </c>
      <c r="Q295" s="227" t="inlineStr">
        <is>
          <t>/</t>
        </is>
      </c>
      <c r="R295" s="227" t="inlineStr">
        <is>
          <t>/</t>
        </is>
      </c>
      <c r="S295" s="227" t="inlineStr">
        <is>
          <t>/</t>
        </is>
      </c>
      <c r="T295" s="227" t="inlineStr">
        <is>
          <t>/</t>
        </is>
      </c>
      <c r="U295" s="227" t="inlineStr">
        <is>
          <t>/</t>
        </is>
      </c>
      <c r="V295" s="227" t="inlineStr">
        <is>
          <t>/</t>
        </is>
      </c>
      <c r="W295" s="227" t="inlineStr">
        <is>
          <t>/</t>
        </is>
      </c>
      <c r="X295" s="227" t="inlineStr">
        <is>
          <t>/</t>
        </is>
      </c>
      <c r="Y295" s="461" t="n"/>
      <c r="Z295" s="461" t="n"/>
      <c r="AA295" s="461" t="inlineStr">
        <is>
          <t xml:space="preserve">
40%</t>
        </is>
      </c>
      <c r="AB295" s="51" t="inlineStr">
        <is>
          <t>/</t>
        </is>
      </c>
      <c r="AC295" s="46" t="inlineStr">
        <is>
          <t>/</t>
        </is>
      </c>
      <c r="AD295" s="232" t="n"/>
      <c r="AE295" s="232" t="inlineStr">
        <is>
          <t xml:space="preserve">
1、签订期间：2026.2.1-2026.7.15；
2、指标按照全年换算；</t>
        </is>
      </c>
    </row>
    <row r="296" hidden="1" ht="36" customFormat="1" customHeight="1" s="209">
      <c r="A296" s="219" t="n">
        <v>294</v>
      </c>
      <c r="B296" s="220" t="inlineStr">
        <is>
          <t>KQCY0294</t>
        </is>
      </c>
      <c r="C296" s="221" t="inlineStr">
        <is>
          <t>餐饮五分部</t>
        </is>
      </c>
      <c r="D296" s="221" t="inlineStr">
        <is>
          <t>CF620</t>
        </is>
      </c>
      <c r="E296" s="221" t="inlineStr">
        <is>
          <t>山西大学B6食堂三层</t>
        </is>
      </c>
      <c r="F296" s="219" t="inlineStr">
        <is>
          <t>强责</t>
        </is>
      </c>
      <c r="G296" s="222" t="inlineStr">
        <is>
          <t>陆琪</t>
        </is>
      </c>
      <c r="H296" s="503" t="inlineStr">
        <is>
          <t>第四班组</t>
        </is>
      </c>
      <c r="I296" s="237" t="inlineStr">
        <is>
          <t>私抹制茶</t>
        </is>
      </c>
      <c r="J296" s="503" t="inlineStr">
        <is>
          <t>韩美珍</t>
        </is>
      </c>
      <c r="K296" s="503" t="n"/>
      <c r="L296" s="224" t="n"/>
      <c r="M296" s="224" t="inlineStr">
        <is>
          <t>/</t>
        </is>
      </c>
      <c r="N296" s="651" t="n">
        <v>360000</v>
      </c>
      <c r="O296" s="276" t="n">
        <v>0.1</v>
      </c>
      <c r="P296" s="227" t="inlineStr">
        <is>
          <t>/</t>
        </is>
      </c>
      <c r="Q296" s="227" t="inlineStr">
        <is>
          <t>/</t>
        </is>
      </c>
      <c r="R296" s="227" t="inlineStr">
        <is>
          <t>/</t>
        </is>
      </c>
      <c r="S296" s="227" t="inlineStr">
        <is>
          <t>/</t>
        </is>
      </c>
      <c r="T296" s="227" t="inlineStr">
        <is>
          <t>/</t>
        </is>
      </c>
      <c r="U296" s="227" t="inlineStr">
        <is>
          <t>/</t>
        </is>
      </c>
      <c r="V296" s="227" t="inlineStr">
        <is>
          <t>/</t>
        </is>
      </c>
      <c r="W296" s="227" t="inlineStr">
        <is>
          <t>/</t>
        </is>
      </c>
      <c r="X296" s="227" t="inlineStr">
        <is>
          <t>/</t>
        </is>
      </c>
      <c r="Y296" s="461" t="n"/>
      <c r="Z296" s="461" t="n"/>
      <c r="AA296" s="461" t="inlineStr">
        <is>
          <t xml:space="preserve">
40%</t>
        </is>
      </c>
      <c r="AB296" s="51" t="inlineStr">
        <is>
          <t>/</t>
        </is>
      </c>
      <c r="AC296" s="46" t="inlineStr">
        <is>
          <t>/</t>
        </is>
      </c>
      <c r="AD296" s="232" t="n"/>
      <c r="AE296" s="232" t="inlineStr">
        <is>
          <t xml:space="preserve">
1、签订期间：2026.2.1-2026.7.15；
2、指标按照全年换算；</t>
        </is>
      </c>
    </row>
    <row r="297" hidden="1" ht="12" customFormat="1" customHeight="1" s="209">
      <c r="A297" s="219" t="n">
        <v>295</v>
      </c>
      <c r="B297" s="220" t="inlineStr">
        <is>
          <t>KQCY0295</t>
        </is>
      </c>
      <c r="C297" s="221" t="inlineStr">
        <is>
          <t>餐饮五分部</t>
        </is>
      </c>
      <c r="D297" s="221" t="inlineStr">
        <is>
          <t>CF697</t>
        </is>
      </c>
      <c r="E297" s="221" t="inlineStr">
        <is>
          <t>兰交大百苑二楼食堂</t>
        </is>
      </c>
      <c r="F297" s="219" t="inlineStr">
        <is>
          <t>自营</t>
        </is>
      </c>
      <c r="G297" s="222" t="inlineStr">
        <is>
          <t>陆琪</t>
        </is>
      </c>
      <c r="H297" s="222" t="inlineStr">
        <is>
          <t>/</t>
        </is>
      </c>
      <c r="I297" s="237" t="inlineStr">
        <is>
          <t>/</t>
        </is>
      </c>
      <c r="J297" s="222" t="inlineStr">
        <is>
          <t>/</t>
        </is>
      </c>
      <c r="K297" s="222" t="n"/>
      <c r="L297" s="224" t="n"/>
      <c r="M297" s="224" t="inlineStr">
        <is>
          <t>/</t>
        </is>
      </c>
      <c r="N297" s="651" t="inlineStr">
        <is>
          <t>/</t>
        </is>
      </c>
      <c r="O297" s="235" t="inlineStr">
        <is>
          <t>/</t>
        </is>
      </c>
      <c r="P297" s="235" t="inlineStr">
        <is>
          <t>/</t>
        </is>
      </c>
      <c r="Q297" s="235" t="inlineStr">
        <is>
          <t>/</t>
        </is>
      </c>
      <c r="R297" s="235" t="inlineStr">
        <is>
          <t>/</t>
        </is>
      </c>
      <c r="S297" s="235" t="inlineStr">
        <is>
          <t>/</t>
        </is>
      </c>
      <c r="T297" s="235" t="inlineStr">
        <is>
          <t>/</t>
        </is>
      </c>
      <c r="U297" s="235" t="inlineStr">
        <is>
          <t>/</t>
        </is>
      </c>
      <c r="V297" s="235" t="inlineStr">
        <is>
          <t>/</t>
        </is>
      </c>
      <c r="W297" s="227" t="inlineStr">
        <is>
          <t>/</t>
        </is>
      </c>
      <c r="X297" s="235" t="inlineStr">
        <is>
          <t>/</t>
        </is>
      </c>
      <c r="Y297" s="254" t="n"/>
      <c r="Z297" s="254" t="n"/>
      <c r="AA297" s="254" t="inlineStr">
        <is>
          <t>/</t>
        </is>
      </c>
      <c r="AB297" s="46" t="n">
        <v>0.045</v>
      </c>
      <c r="AC297" s="46" t="inlineStr">
        <is>
          <t>/</t>
        </is>
      </c>
      <c r="AD297" s="232" t="n"/>
      <c r="AE297" s="232" t="n"/>
    </row>
    <row r="298" hidden="1" ht="24" customFormat="1" customHeight="1" s="209">
      <c r="A298" s="219" t="n">
        <v>296</v>
      </c>
      <c r="B298" s="220" t="inlineStr">
        <is>
          <t>KQCY0296</t>
        </is>
      </c>
      <c r="C298" s="221" t="inlineStr">
        <is>
          <t>餐饮五分部</t>
        </is>
      </c>
      <c r="D298" s="221" t="inlineStr">
        <is>
          <t>CF697</t>
        </is>
      </c>
      <c r="E298" s="221" t="inlineStr">
        <is>
          <t>兰交大百苑二楼食堂</t>
        </is>
      </c>
      <c r="F298" s="219" t="inlineStr">
        <is>
          <t>分组作业</t>
        </is>
      </c>
      <c r="G298" s="222" t="inlineStr">
        <is>
          <t>陆琪</t>
        </is>
      </c>
      <c r="H298" s="503" t="inlineStr">
        <is>
          <t>/</t>
        </is>
      </c>
      <c r="I298" s="237" t="inlineStr">
        <is>
          <t>快餐</t>
        </is>
      </c>
      <c r="J298" s="503" t="inlineStr">
        <is>
          <t>胡小娟</t>
        </is>
      </c>
      <c r="K298" s="503" t="n"/>
      <c r="L298" s="224" t="n"/>
      <c r="M298" s="224" t="inlineStr">
        <is>
          <t>/</t>
        </is>
      </c>
      <c r="N298" s="651" t="n">
        <v>1488000</v>
      </c>
      <c r="O298" s="276" t="n">
        <v>0.11</v>
      </c>
      <c r="P298" s="276" t="n">
        <v>0.01</v>
      </c>
      <c r="Q298" s="227" t="inlineStr">
        <is>
          <t>/</t>
        </is>
      </c>
      <c r="R298" s="276" t="n">
        <v>0.02</v>
      </c>
      <c r="S298" s="276" t="n">
        <v>0.01</v>
      </c>
      <c r="T298" s="276" t="n">
        <v>0.01</v>
      </c>
      <c r="U298" s="227" t="inlineStr">
        <is>
          <t>/</t>
        </is>
      </c>
      <c r="V298" s="551" t="n"/>
      <c r="W298" s="551" t="n"/>
      <c r="X298" s="227" t="inlineStr">
        <is>
          <t>/</t>
        </is>
      </c>
      <c r="Y298" s="235" t="n"/>
      <c r="Z298" s="235" t="n"/>
      <c r="AA298" s="235" t="n">
        <v>0.5</v>
      </c>
      <c r="AB298" s="51" t="inlineStr">
        <is>
          <t>/</t>
        </is>
      </c>
      <c r="AC298" s="46" t="inlineStr">
        <is>
          <t>/</t>
        </is>
      </c>
      <c r="AD298" s="232" t="n"/>
      <c r="AE298" s="232" t="inlineStr">
        <is>
          <t>1、签订期间：2026.2.1-2026.7.31；
2、指标按照全年换算；</t>
        </is>
      </c>
    </row>
    <row r="299" hidden="1" ht="24" customFormat="1" customHeight="1" s="209">
      <c r="A299" s="219" t="n">
        <v>297</v>
      </c>
      <c r="B299" s="220" t="inlineStr">
        <is>
          <t>KQCY0297</t>
        </is>
      </c>
      <c r="C299" s="221" t="inlineStr">
        <is>
          <t>餐饮五分部</t>
        </is>
      </c>
      <c r="D299" s="221" t="inlineStr">
        <is>
          <t>CF697</t>
        </is>
      </c>
      <c r="E299" s="221" t="inlineStr">
        <is>
          <t>兰交大百苑二楼食堂</t>
        </is>
      </c>
      <c r="F299" s="219" t="inlineStr">
        <is>
          <t>分组作业</t>
        </is>
      </c>
      <c r="G299" s="222" t="inlineStr">
        <is>
          <t>陆琪</t>
        </is>
      </c>
      <c r="H299" s="503" t="inlineStr">
        <is>
          <t>/</t>
        </is>
      </c>
      <c r="I299" s="237" t="inlineStr">
        <is>
          <t>热卤饭</t>
        </is>
      </c>
      <c r="J299" s="503" t="inlineStr">
        <is>
          <t>郭建琴</t>
        </is>
      </c>
      <c r="K299" s="503" t="n"/>
      <c r="L299" s="224" t="n"/>
      <c r="M299" s="224" t="inlineStr">
        <is>
          <t>/</t>
        </is>
      </c>
      <c r="N299" s="651" t="n">
        <v>510000</v>
      </c>
      <c r="O299" s="276" t="n">
        <v>0.13</v>
      </c>
      <c r="P299" s="276" t="n">
        <v>0.01</v>
      </c>
      <c r="Q299" s="227" t="inlineStr">
        <is>
          <t>/</t>
        </is>
      </c>
      <c r="R299" s="276" t="n">
        <v>0.02</v>
      </c>
      <c r="S299" s="276" t="n">
        <v>0.01</v>
      </c>
      <c r="T299" s="276" t="n">
        <v>0.01</v>
      </c>
      <c r="U299" s="227" t="inlineStr">
        <is>
          <t>/</t>
        </is>
      </c>
      <c r="V299" s="235" t="n">
        <v>0.04</v>
      </c>
      <c r="W299" s="276" t="n">
        <v>0.01</v>
      </c>
      <c r="X299" s="227" t="inlineStr">
        <is>
          <t>/</t>
        </is>
      </c>
      <c r="Y299" s="235" t="n"/>
      <c r="Z299" s="235" t="n"/>
      <c r="AA299" s="235" t="n">
        <v>0.5</v>
      </c>
      <c r="AB299" s="51" t="inlineStr">
        <is>
          <t>/</t>
        </is>
      </c>
      <c r="AC299" s="46" t="inlineStr">
        <is>
          <t>/</t>
        </is>
      </c>
      <c r="AD299" s="232" t="n"/>
      <c r="AE299" s="232" t="inlineStr">
        <is>
          <t>1、签订期间：2026.2.1-2026.7.31；
2、指标按照全年换算；</t>
        </is>
      </c>
    </row>
    <row r="300" hidden="1" ht="24" customFormat="1" customHeight="1" s="209">
      <c r="A300" s="219" t="n">
        <v>298</v>
      </c>
      <c r="B300" s="220" t="inlineStr">
        <is>
          <t>KQCY0298</t>
        </is>
      </c>
      <c r="C300" s="221" t="inlineStr">
        <is>
          <t>餐饮五分部</t>
        </is>
      </c>
      <c r="D300" s="221" t="inlineStr">
        <is>
          <t>CF697</t>
        </is>
      </c>
      <c r="E300" s="221" t="inlineStr">
        <is>
          <t>兰交大百苑二楼食堂</t>
        </is>
      </c>
      <c r="F300" s="219" t="inlineStr">
        <is>
          <t>分组作业</t>
        </is>
      </c>
      <c r="G300" s="222" t="inlineStr">
        <is>
          <t>陆琪</t>
        </is>
      </c>
      <c r="H300" s="503" t="inlineStr">
        <is>
          <t>/</t>
        </is>
      </c>
      <c r="I300" s="237" t="inlineStr">
        <is>
          <t>铁锅炖</t>
        </is>
      </c>
      <c r="J300" s="503" t="inlineStr">
        <is>
          <t>白小霞</t>
        </is>
      </c>
      <c r="K300" s="503" t="n"/>
      <c r="L300" s="224" t="n"/>
      <c r="M300" s="224" t="inlineStr">
        <is>
          <t>/</t>
        </is>
      </c>
      <c r="N300" s="651" t="n">
        <v>510000</v>
      </c>
      <c r="O300" s="276" t="n">
        <v>0.11</v>
      </c>
      <c r="P300" s="276" t="n">
        <v>0.01</v>
      </c>
      <c r="Q300" s="227" t="inlineStr">
        <is>
          <t>/</t>
        </is>
      </c>
      <c r="R300" s="276" t="n">
        <v>0.02</v>
      </c>
      <c r="S300" s="276" t="n">
        <v>0.01</v>
      </c>
      <c r="T300" s="276" t="n">
        <v>0.01</v>
      </c>
      <c r="U300" s="227" t="inlineStr">
        <is>
          <t>/</t>
        </is>
      </c>
      <c r="V300" s="551" t="n"/>
      <c r="W300" s="551" t="n"/>
      <c r="X300" s="227" t="inlineStr">
        <is>
          <t>/</t>
        </is>
      </c>
      <c r="Y300" s="235" t="n"/>
      <c r="Z300" s="235" t="n"/>
      <c r="AA300" s="235" t="n">
        <v>0.5</v>
      </c>
      <c r="AB300" s="51" t="inlineStr">
        <is>
          <t>/</t>
        </is>
      </c>
      <c r="AC300" s="46" t="inlineStr">
        <is>
          <t>/</t>
        </is>
      </c>
      <c r="AD300" s="232" t="n"/>
      <c r="AE300" s="232" t="inlineStr">
        <is>
          <t>1、签订期间：2026.2.1-2026.7.31；
2、指标按照全年换算；</t>
        </is>
      </c>
    </row>
    <row r="301" hidden="1" ht="24" customFormat="1" customHeight="1" s="209">
      <c r="A301" s="219" t="n">
        <v>299</v>
      </c>
      <c r="B301" s="220" t="inlineStr">
        <is>
          <t>KQCY0299</t>
        </is>
      </c>
      <c r="C301" s="221" t="inlineStr">
        <is>
          <t>餐饮五分部</t>
        </is>
      </c>
      <c r="D301" s="221" t="inlineStr">
        <is>
          <t>CF697</t>
        </is>
      </c>
      <c r="E301" s="221" t="inlineStr">
        <is>
          <t>兰交大百苑二楼食堂</t>
        </is>
      </c>
      <c r="F301" s="219" t="inlineStr">
        <is>
          <t>分组作业</t>
        </is>
      </c>
      <c r="G301" s="222" t="inlineStr">
        <is>
          <t>陆琪</t>
        </is>
      </c>
      <c r="H301" s="503" t="inlineStr">
        <is>
          <t>/</t>
        </is>
      </c>
      <c r="I301" s="237" t="inlineStr">
        <is>
          <t>绝世皇鸭</t>
        </is>
      </c>
      <c r="J301" s="503" t="inlineStr">
        <is>
          <t>魏路虎</t>
        </is>
      </c>
      <c r="K301" s="503" t="n"/>
      <c r="L301" s="224" t="n"/>
      <c r="M301" s="224" t="inlineStr">
        <is>
          <t>/</t>
        </is>
      </c>
      <c r="N301" s="651" t="n">
        <v>759428.571428571</v>
      </c>
      <c r="O301" s="276" t="n">
        <v>0.13</v>
      </c>
      <c r="P301" s="276" t="n">
        <v>0.01</v>
      </c>
      <c r="Q301" s="227" t="inlineStr">
        <is>
          <t>/</t>
        </is>
      </c>
      <c r="R301" s="276" t="n">
        <v>0.02</v>
      </c>
      <c r="S301" s="276" t="n">
        <v>0.01</v>
      </c>
      <c r="T301" s="276" t="n">
        <v>0.01</v>
      </c>
      <c r="U301" s="227" t="inlineStr">
        <is>
          <t>/</t>
        </is>
      </c>
      <c r="V301" s="551" t="n"/>
      <c r="W301" s="551" t="n"/>
      <c r="X301" s="227" t="inlineStr">
        <is>
          <t>/</t>
        </is>
      </c>
      <c r="Y301" s="235" t="n"/>
      <c r="Z301" s="235" t="n"/>
      <c r="AA301" s="235" t="n">
        <v>0.5</v>
      </c>
      <c r="AB301" s="51" t="inlineStr">
        <is>
          <t>/</t>
        </is>
      </c>
      <c r="AC301" s="46" t="inlineStr">
        <is>
          <t>/</t>
        </is>
      </c>
      <c r="AD301" s="232" t="n"/>
      <c r="AE301" s="232" t="inlineStr">
        <is>
          <t>1、签订期间：2026.2.1-2026.7.31；
2、指标按照全年换算；</t>
        </is>
      </c>
    </row>
    <row r="302" hidden="1" ht="24" customFormat="1" customHeight="1" s="209">
      <c r="A302" s="219" t="n">
        <v>300</v>
      </c>
      <c r="B302" s="220" t="inlineStr">
        <is>
          <t>KQCY0300</t>
        </is>
      </c>
      <c r="C302" s="221" t="inlineStr">
        <is>
          <t>餐饮五分部</t>
        </is>
      </c>
      <c r="D302" s="221" t="inlineStr">
        <is>
          <t>CF697</t>
        </is>
      </c>
      <c r="E302" s="221" t="inlineStr">
        <is>
          <t>兰交大百苑二楼食堂</t>
        </is>
      </c>
      <c r="F302" s="219" t="inlineStr">
        <is>
          <t>分组作业</t>
        </is>
      </c>
      <c r="G302" s="222" t="inlineStr">
        <is>
          <t>陆琪</t>
        </is>
      </c>
      <c r="H302" s="503" t="inlineStr">
        <is>
          <t>/</t>
        </is>
      </c>
      <c r="I302" s="237" t="inlineStr">
        <is>
          <t>螺蛳粉</t>
        </is>
      </c>
      <c r="J302" s="503" t="inlineStr">
        <is>
          <t>孟庆玲</t>
        </is>
      </c>
      <c r="K302" s="503" t="n"/>
      <c r="L302" s="224" t="n"/>
      <c r="M302" s="224" t="inlineStr">
        <is>
          <t>/</t>
        </is>
      </c>
      <c r="N302" s="651" t="n">
        <v>807428.571428571</v>
      </c>
      <c r="O302" s="276" t="n">
        <v>0.13</v>
      </c>
      <c r="P302" s="276" t="n">
        <v>0.01</v>
      </c>
      <c r="Q302" s="227" t="inlineStr">
        <is>
          <t>/</t>
        </is>
      </c>
      <c r="R302" s="276" t="n">
        <v>0.02</v>
      </c>
      <c r="S302" s="276" t="n">
        <v>0.01</v>
      </c>
      <c r="T302" s="276" t="n">
        <v>0.01</v>
      </c>
      <c r="U302" s="227" t="inlineStr">
        <is>
          <t>/</t>
        </is>
      </c>
      <c r="V302" s="551" t="n"/>
      <c r="W302" s="551" t="n"/>
      <c r="X302" s="227" t="inlineStr">
        <is>
          <t>/</t>
        </is>
      </c>
      <c r="Y302" s="235" t="n"/>
      <c r="Z302" s="235" t="n"/>
      <c r="AA302" s="235" t="n">
        <v>0.5</v>
      </c>
      <c r="AB302" s="51" t="inlineStr">
        <is>
          <t>/</t>
        </is>
      </c>
      <c r="AC302" s="46" t="inlineStr">
        <is>
          <t>/</t>
        </is>
      </c>
      <c r="AD302" s="232" t="n"/>
      <c r="AE302" s="232" t="inlineStr">
        <is>
          <t>1、签订期间：2026.2.1-2026.7.31；
2、指标按照全年换算；</t>
        </is>
      </c>
    </row>
    <row r="303" hidden="1" ht="24" customFormat="1" customHeight="1" s="209">
      <c r="A303" s="219" t="n">
        <v>301</v>
      </c>
      <c r="B303" s="220" t="inlineStr">
        <is>
          <t>KQCY0301</t>
        </is>
      </c>
      <c r="C303" s="221" t="inlineStr">
        <is>
          <t>餐饮五分部</t>
        </is>
      </c>
      <c r="D303" s="221" t="inlineStr">
        <is>
          <t>CF697</t>
        </is>
      </c>
      <c r="E303" s="221" t="inlineStr">
        <is>
          <t>兰交大百苑二楼食堂</t>
        </is>
      </c>
      <c r="F303" s="219" t="inlineStr">
        <is>
          <t>分组作业</t>
        </is>
      </c>
      <c r="G303" s="222" t="inlineStr">
        <is>
          <t>陆琪</t>
        </is>
      </c>
      <c r="H303" s="503" t="inlineStr">
        <is>
          <t>/</t>
        </is>
      </c>
      <c r="I303" s="237" t="inlineStr">
        <is>
          <t>麻辣烫</t>
        </is>
      </c>
      <c r="J303" s="503" t="inlineStr">
        <is>
          <t>姚春</t>
        </is>
      </c>
      <c r="K303" s="503" t="n"/>
      <c r="L303" s="224" t="n"/>
      <c r="M303" s="224" t="inlineStr">
        <is>
          <t>/</t>
        </is>
      </c>
      <c r="N303" s="651" t="n">
        <v>1014857.14285714</v>
      </c>
      <c r="O303" s="276" t="n">
        <v>0.12</v>
      </c>
      <c r="P303" s="276" t="n">
        <v>0.01</v>
      </c>
      <c r="Q303" s="227" t="inlineStr">
        <is>
          <t>/</t>
        </is>
      </c>
      <c r="R303" s="276" t="n">
        <v>0.02</v>
      </c>
      <c r="S303" s="276" t="n">
        <v>0.01</v>
      </c>
      <c r="T303" s="276" t="n">
        <v>0.01</v>
      </c>
      <c r="U303" s="227" t="inlineStr">
        <is>
          <t>/</t>
        </is>
      </c>
      <c r="V303" s="551" t="n"/>
      <c r="W303" s="551" t="n"/>
      <c r="X303" s="227" t="inlineStr">
        <is>
          <t>/</t>
        </is>
      </c>
      <c r="Y303" s="235" t="n"/>
      <c r="Z303" s="235" t="n"/>
      <c r="AA303" s="235" t="n">
        <v>0.5</v>
      </c>
      <c r="AB303" s="51" t="inlineStr">
        <is>
          <t>/</t>
        </is>
      </c>
      <c r="AC303" s="46" t="inlineStr">
        <is>
          <t>/</t>
        </is>
      </c>
      <c r="AD303" s="232" t="n"/>
      <c r="AE303" s="232" t="inlineStr">
        <is>
          <t>1、签订期间：2026.2.1-2026.7.31；
2、指标按照全年换算；</t>
        </is>
      </c>
    </row>
    <row r="304" hidden="1" ht="24" customFormat="1" customHeight="1" s="209">
      <c r="A304" s="219" t="n">
        <v>302</v>
      </c>
      <c r="B304" s="220" t="inlineStr">
        <is>
          <t>KQCY0302</t>
        </is>
      </c>
      <c r="C304" s="221" t="inlineStr">
        <is>
          <t>餐饮五分部</t>
        </is>
      </c>
      <c r="D304" s="221" t="inlineStr">
        <is>
          <t>CF697</t>
        </is>
      </c>
      <c r="E304" s="221" t="inlineStr">
        <is>
          <t>兰交大百苑二楼食堂</t>
        </is>
      </c>
      <c r="F304" s="219" t="inlineStr">
        <is>
          <t>分组作业</t>
        </is>
      </c>
      <c r="G304" s="222" t="inlineStr">
        <is>
          <t>陆琪</t>
        </is>
      </c>
      <c r="H304" s="503" t="inlineStr">
        <is>
          <t>/</t>
        </is>
      </c>
      <c r="I304" s="237" t="inlineStr">
        <is>
          <t>脆皮鸡米饭</t>
        </is>
      </c>
      <c r="J304" s="503" t="inlineStr">
        <is>
          <t>王燕</t>
        </is>
      </c>
      <c r="K304" s="503" t="n"/>
      <c r="L304" s="224" t="n"/>
      <c r="M304" s="224" t="inlineStr">
        <is>
          <t>/</t>
        </is>
      </c>
      <c r="N304" s="651" t="n">
        <v>750857.142857143</v>
      </c>
      <c r="O304" s="276" t="n">
        <v>0.15</v>
      </c>
      <c r="P304" s="276" t="n">
        <v>0.01</v>
      </c>
      <c r="Q304" s="227" t="inlineStr">
        <is>
          <t>/</t>
        </is>
      </c>
      <c r="R304" s="276" t="n">
        <v>0.02</v>
      </c>
      <c r="S304" s="276" t="n">
        <v>0.01</v>
      </c>
      <c r="T304" s="276" t="n">
        <v>0.01</v>
      </c>
      <c r="U304" s="227" t="inlineStr">
        <is>
          <t>/</t>
        </is>
      </c>
      <c r="V304" s="551" t="n"/>
      <c r="W304" s="551" t="n"/>
      <c r="X304" s="227" t="inlineStr">
        <is>
          <t>/</t>
        </is>
      </c>
      <c r="Y304" s="235" t="n"/>
      <c r="Z304" s="235" t="n"/>
      <c r="AA304" s="235" t="n">
        <v>0.5</v>
      </c>
      <c r="AB304" s="51" t="inlineStr">
        <is>
          <t>/</t>
        </is>
      </c>
      <c r="AC304" s="46" t="inlineStr">
        <is>
          <t>/</t>
        </is>
      </c>
      <c r="AD304" s="232" t="n"/>
      <c r="AE304" s="232" t="inlineStr">
        <is>
          <t>1、签订期间：2026.2.1-2026.7.31；
2、指标按照全年换算；</t>
        </is>
      </c>
    </row>
    <row r="305" hidden="1" ht="24" customFormat="1" customHeight="1" s="209">
      <c r="A305" s="219" t="n">
        <v>303</v>
      </c>
      <c r="B305" s="220" t="inlineStr">
        <is>
          <t>KQCY0303</t>
        </is>
      </c>
      <c r="C305" s="221" t="inlineStr">
        <is>
          <t>餐饮五分部</t>
        </is>
      </c>
      <c r="D305" s="221" t="inlineStr">
        <is>
          <t>CF697</t>
        </is>
      </c>
      <c r="E305" s="221" t="inlineStr">
        <is>
          <t>兰交大百苑二楼食堂</t>
        </is>
      </c>
      <c r="F305" s="219" t="inlineStr">
        <is>
          <t>分组作业</t>
        </is>
      </c>
      <c r="G305" s="222" t="inlineStr">
        <is>
          <t>陆琪</t>
        </is>
      </c>
      <c r="H305" s="503" t="inlineStr">
        <is>
          <t>/</t>
        </is>
      </c>
      <c r="I305" s="237" t="inlineStr">
        <is>
          <t>羊杂面</t>
        </is>
      </c>
      <c r="J305" s="503" t="inlineStr">
        <is>
          <t>裴晓文</t>
        </is>
      </c>
      <c r="K305" s="503" t="n"/>
      <c r="L305" s="224" t="n"/>
      <c r="M305" s="224" t="inlineStr">
        <is>
          <t>/</t>
        </is>
      </c>
      <c r="N305" s="651" t="n">
        <v>992571.4285714281</v>
      </c>
      <c r="O305" s="276" t="n">
        <v>0.11</v>
      </c>
      <c r="P305" s="276" t="n">
        <v>0.01</v>
      </c>
      <c r="Q305" s="227" t="inlineStr">
        <is>
          <t>/</t>
        </is>
      </c>
      <c r="R305" s="276" t="n">
        <v>0.02</v>
      </c>
      <c r="S305" s="276" t="n">
        <v>0.01</v>
      </c>
      <c r="T305" s="276" t="n">
        <v>0.01</v>
      </c>
      <c r="U305" s="227" t="inlineStr">
        <is>
          <t>/</t>
        </is>
      </c>
      <c r="V305" s="551" t="n"/>
      <c r="W305" s="551" t="n"/>
      <c r="X305" s="227" t="inlineStr">
        <is>
          <t>/</t>
        </is>
      </c>
      <c r="Y305" s="235" t="n"/>
      <c r="Z305" s="235" t="n"/>
      <c r="AA305" s="235" t="n">
        <v>0.5</v>
      </c>
      <c r="AB305" s="51" t="inlineStr">
        <is>
          <t>/</t>
        </is>
      </c>
      <c r="AC305" s="46" t="inlineStr">
        <is>
          <t>/</t>
        </is>
      </c>
      <c r="AD305" s="232" t="n"/>
      <c r="AE305" s="232" t="inlineStr">
        <is>
          <t>1、签订期间：2026.2.1-2026.7.31；
2、指标按照全年换算；</t>
        </is>
      </c>
    </row>
    <row r="306" hidden="1" ht="24" customFormat="1" customHeight="1" s="209">
      <c r="A306" s="219" t="n">
        <v>304</v>
      </c>
      <c r="B306" s="220" t="inlineStr">
        <is>
          <t>KQCY0304</t>
        </is>
      </c>
      <c r="C306" s="221" t="inlineStr">
        <is>
          <t>餐饮五分部</t>
        </is>
      </c>
      <c r="D306" s="221" t="inlineStr">
        <is>
          <t>CF697</t>
        </is>
      </c>
      <c r="E306" s="221" t="inlineStr">
        <is>
          <t>兰交大百苑二楼食堂</t>
        </is>
      </c>
      <c r="F306" s="219" t="inlineStr">
        <is>
          <t>分组作业</t>
        </is>
      </c>
      <c r="G306" s="222" t="inlineStr">
        <is>
          <t>陆琪</t>
        </is>
      </c>
      <c r="H306" s="503" t="inlineStr">
        <is>
          <t>/</t>
        </is>
      </c>
      <c r="I306" s="237" t="inlineStr">
        <is>
          <t>快餐</t>
        </is>
      </c>
      <c r="J306" s="503" t="inlineStr">
        <is>
          <t>闫焕平</t>
        </is>
      </c>
      <c r="K306" s="503" t="n"/>
      <c r="L306" s="224" t="n"/>
      <c r="M306" s="224" t="inlineStr">
        <is>
          <t>/</t>
        </is>
      </c>
      <c r="N306" s="651" t="n">
        <v>480000</v>
      </c>
      <c r="O306" s="276" t="n">
        <v>0.06</v>
      </c>
      <c r="P306" s="276" t="n">
        <v>0.01</v>
      </c>
      <c r="Q306" s="227" t="inlineStr">
        <is>
          <t>/</t>
        </is>
      </c>
      <c r="R306" s="276" t="n">
        <v>0.02</v>
      </c>
      <c r="S306" s="276" t="n">
        <v>0.01</v>
      </c>
      <c r="T306" s="276" t="n">
        <v>0.01</v>
      </c>
      <c r="U306" s="227" t="inlineStr">
        <is>
          <t>/</t>
        </is>
      </c>
      <c r="V306" s="235" t="n">
        <v>0.04</v>
      </c>
      <c r="W306" s="276" t="n">
        <v>0.01</v>
      </c>
      <c r="X306" s="227" t="inlineStr">
        <is>
          <t>/</t>
        </is>
      </c>
      <c r="Y306" s="235" t="n"/>
      <c r="Z306" s="235" t="n"/>
      <c r="AA306" s="235" t="n">
        <v>0.5</v>
      </c>
      <c r="AB306" s="51" t="inlineStr">
        <is>
          <t>/</t>
        </is>
      </c>
      <c r="AC306" s="46" t="inlineStr">
        <is>
          <t>/</t>
        </is>
      </c>
      <c r="AD306" s="232" t="n"/>
      <c r="AE306" s="232" t="inlineStr">
        <is>
          <t>1、签订期间：2026.2.1-2026.7.31；
2、指标按照全年换算；</t>
        </is>
      </c>
    </row>
    <row r="307" hidden="1" ht="24" customFormat="1" customHeight="1" s="209">
      <c r="A307" s="219" t="n">
        <v>305</v>
      </c>
      <c r="B307" s="220" t="inlineStr">
        <is>
          <t>KQCY0305</t>
        </is>
      </c>
      <c r="C307" s="221" t="inlineStr">
        <is>
          <t>餐饮五分部</t>
        </is>
      </c>
      <c r="D307" s="221" t="inlineStr">
        <is>
          <t>CF697</t>
        </is>
      </c>
      <c r="E307" s="221" t="inlineStr">
        <is>
          <t>兰交大百苑二楼食堂</t>
        </is>
      </c>
      <c r="F307" s="219" t="inlineStr">
        <is>
          <t>分组作业</t>
        </is>
      </c>
      <c r="G307" s="222" t="inlineStr">
        <is>
          <t>陆琪</t>
        </is>
      </c>
      <c r="H307" s="503" t="inlineStr">
        <is>
          <t>/</t>
        </is>
      </c>
      <c r="I307" s="237" t="inlineStr">
        <is>
          <t>石锅菜</t>
        </is>
      </c>
      <c r="J307" s="503" t="inlineStr">
        <is>
          <t>李雄飞</t>
        </is>
      </c>
      <c r="K307" s="503" t="n"/>
      <c r="L307" s="224" t="n"/>
      <c r="M307" s="224" t="inlineStr">
        <is>
          <t>/</t>
        </is>
      </c>
      <c r="N307" s="651" t="n">
        <v>510000</v>
      </c>
      <c r="O307" s="276" t="n">
        <v>0.14</v>
      </c>
      <c r="P307" s="276" t="n">
        <v>0.01</v>
      </c>
      <c r="Q307" s="227" t="inlineStr">
        <is>
          <t>/</t>
        </is>
      </c>
      <c r="R307" s="276" t="n">
        <v>0.02</v>
      </c>
      <c r="S307" s="276" t="n">
        <v>0.01</v>
      </c>
      <c r="T307" s="276" t="n">
        <v>0.01</v>
      </c>
      <c r="U307" s="227" t="inlineStr">
        <is>
          <t>/</t>
        </is>
      </c>
      <c r="V307" s="551" t="n"/>
      <c r="W307" s="551" t="n"/>
      <c r="X307" s="227" t="inlineStr">
        <is>
          <t>/</t>
        </is>
      </c>
      <c r="Y307" s="235" t="n"/>
      <c r="Z307" s="235" t="n"/>
      <c r="AA307" s="235" t="n">
        <v>0.5</v>
      </c>
      <c r="AB307" s="51" t="inlineStr">
        <is>
          <t>/</t>
        </is>
      </c>
      <c r="AC307" s="46" t="inlineStr">
        <is>
          <t>/</t>
        </is>
      </c>
      <c r="AD307" s="232" t="n"/>
      <c r="AE307" s="232" t="inlineStr">
        <is>
          <t>1、签订期间：2026.2.1-2026.7.31；
2、指标按照全年换算；</t>
        </is>
      </c>
    </row>
    <row r="308" hidden="1" ht="24" customFormat="1" customHeight="1" s="209">
      <c r="A308" s="219" t="n">
        <v>306</v>
      </c>
      <c r="B308" s="220" t="inlineStr">
        <is>
          <t>KQCY0306</t>
        </is>
      </c>
      <c r="C308" s="221" t="inlineStr">
        <is>
          <t>餐饮五分部</t>
        </is>
      </c>
      <c r="D308" s="221" t="inlineStr">
        <is>
          <t>CF697</t>
        </is>
      </c>
      <c r="E308" s="221" t="inlineStr">
        <is>
          <t>兰交大百苑二楼食堂</t>
        </is>
      </c>
      <c r="F308" s="219" t="inlineStr">
        <is>
          <t>分组作业</t>
        </is>
      </c>
      <c r="G308" s="222" t="inlineStr">
        <is>
          <t>陆琪</t>
        </is>
      </c>
      <c r="H308" s="503" t="inlineStr">
        <is>
          <t>/</t>
        </is>
      </c>
      <c r="I308" s="237" t="inlineStr">
        <is>
          <t>米粉</t>
        </is>
      </c>
      <c r="J308" s="503" t="inlineStr">
        <is>
          <t>安平</t>
        </is>
      </c>
      <c r="K308" s="503" t="n"/>
      <c r="L308" s="224" t="n"/>
      <c r="M308" s="224" t="inlineStr">
        <is>
          <t>/</t>
        </is>
      </c>
      <c r="N308" s="651" t="n">
        <v>396000</v>
      </c>
      <c r="O308" s="276" t="n">
        <v>0.15</v>
      </c>
      <c r="P308" s="276" t="n">
        <v>0.01</v>
      </c>
      <c r="Q308" s="227" t="inlineStr">
        <is>
          <t>/</t>
        </is>
      </c>
      <c r="R308" s="276" t="n">
        <v>0.02</v>
      </c>
      <c r="S308" s="276" t="n">
        <v>0.01</v>
      </c>
      <c r="T308" s="276" t="n">
        <v>0.01</v>
      </c>
      <c r="U308" s="227" t="inlineStr">
        <is>
          <t>/</t>
        </is>
      </c>
      <c r="V308" s="551" t="n"/>
      <c r="W308" s="551" t="n"/>
      <c r="X308" s="227" t="inlineStr">
        <is>
          <t>/</t>
        </is>
      </c>
      <c r="Y308" s="235" t="n"/>
      <c r="Z308" s="235" t="n"/>
      <c r="AA308" s="235" t="n">
        <v>0.5</v>
      </c>
      <c r="AB308" s="51" t="inlineStr">
        <is>
          <t>/</t>
        </is>
      </c>
      <c r="AC308" s="46" t="inlineStr">
        <is>
          <t>/</t>
        </is>
      </c>
      <c r="AD308" s="232" t="n"/>
      <c r="AE308" s="232" t="inlineStr">
        <is>
          <t>1、签订期间：2026.2.1-2026.7.31；
2、指标按照全年换算；</t>
        </is>
      </c>
    </row>
    <row r="309" hidden="1" ht="24" customFormat="1" customHeight="1" s="209">
      <c r="A309" s="219" t="n">
        <v>307</v>
      </c>
      <c r="B309" s="220" t="inlineStr">
        <is>
          <t>KQCY0307</t>
        </is>
      </c>
      <c r="C309" s="221" t="inlineStr">
        <is>
          <t>餐饮五分部</t>
        </is>
      </c>
      <c r="D309" s="221" t="inlineStr">
        <is>
          <t>CF697</t>
        </is>
      </c>
      <c r="E309" s="221" t="inlineStr">
        <is>
          <t>兰交大百苑二楼食堂</t>
        </is>
      </c>
      <c r="F309" s="219" t="inlineStr">
        <is>
          <t>分组作业</t>
        </is>
      </c>
      <c r="G309" s="222" t="inlineStr">
        <is>
          <t>陆琪</t>
        </is>
      </c>
      <c r="H309" s="503" t="inlineStr">
        <is>
          <t>/</t>
        </is>
      </c>
      <c r="I309" s="237" t="inlineStr">
        <is>
          <t>猪脚饭</t>
        </is>
      </c>
      <c r="J309" s="503" t="inlineStr">
        <is>
          <t>张文权</t>
        </is>
      </c>
      <c r="K309" s="503" t="n"/>
      <c r="L309" s="224" t="n"/>
      <c r="M309" s="224" t="inlineStr">
        <is>
          <t>/</t>
        </is>
      </c>
      <c r="N309" s="651" t="n">
        <v>466285.714285714</v>
      </c>
      <c r="O309" s="276" t="n">
        <v>0.15</v>
      </c>
      <c r="P309" s="276" t="n">
        <v>0.01</v>
      </c>
      <c r="Q309" s="227" t="inlineStr">
        <is>
          <t>/</t>
        </is>
      </c>
      <c r="R309" s="276" t="n">
        <v>0.02</v>
      </c>
      <c r="S309" s="276" t="n">
        <v>0.01</v>
      </c>
      <c r="T309" s="276" t="n">
        <v>0.01</v>
      </c>
      <c r="U309" s="227" t="inlineStr">
        <is>
          <t>/</t>
        </is>
      </c>
      <c r="V309" s="551" t="n"/>
      <c r="W309" s="551" t="n"/>
      <c r="X309" s="227" t="inlineStr">
        <is>
          <t>/</t>
        </is>
      </c>
      <c r="Y309" s="235" t="n"/>
      <c r="Z309" s="235" t="n"/>
      <c r="AA309" s="235" t="n">
        <v>0.5</v>
      </c>
      <c r="AB309" s="51" t="inlineStr">
        <is>
          <t>/</t>
        </is>
      </c>
      <c r="AC309" s="46" t="inlineStr">
        <is>
          <t>/</t>
        </is>
      </c>
      <c r="AD309" s="232" t="n"/>
      <c r="AE309" s="232" t="inlineStr">
        <is>
          <t>1、签订期间：2026.2.1-2026.7.31；
2、指标按照全年换算；</t>
        </is>
      </c>
    </row>
    <row r="310" hidden="1" ht="24" customFormat="1" customHeight="1" s="209">
      <c r="A310" s="219" t="n">
        <v>308</v>
      </c>
      <c r="B310" s="220" t="inlineStr">
        <is>
          <t>KQCY0308</t>
        </is>
      </c>
      <c r="C310" s="221" t="inlineStr">
        <is>
          <t>餐饮五分部</t>
        </is>
      </c>
      <c r="D310" s="221" t="inlineStr">
        <is>
          <t>CF697</t>
        </is>
      </c>
      <c r="E310" s="221" t="inlineStr">
        <is>
          <t>兰交大百苑二楼食堂</t>
        </is>
      </c>
      <c r="F310" s="219" t="inlineStr">
        <is>
          <t>分组作业</t>
        </is>
      </c>
      <c r="G310" s="222" t="inlineStr">
        <is>
          <t>陆琪</t>
        </is>
      </c>
      <c r="H310" s="503" t="inlineStr">
        <is>
          <t>/</t>
        </is>
      </c>
      <c r="I310" s="237" t="inlineStr">
        <is>
          <t>宋曼烤串</t>
        </is>
      </c>
      <c r="J310" s="503" t="inlineStr">
        <is>
          <t>于金梅</t>
        </is>
      </c>
      <c r="K310" s="503" t="n"/>
      <c r="L310" s="224" t="n"/>
      <c r="M310" s="224" t="inlineStr">
        <is>
          <t>/</t>
        </is>
      </c>
      <c r="N310" s="651" t="n">
        <v>690857.142857143</v>
      </c>
      <c r="O310" s="276" t="n">
        <v>0.13</v>
      </c>
      <c r="P310" s="276" t="n">
        <v>0.01</v>
      </c>
      <c r="Q310" s="227" t="inlineStr">
        <is>
          <t>/</t>
        </is>
      </c>
      <c r="R310" s="276" t="n">
        <v>0.02</v>
      </c>
      <c r="S310" s="276" t="n">
        <v>0.01</v>
      </c>
      <c r="T310" s="276" t="n">
        <v>0.01</v>
      </c>
      <c r="U310" s="227" t="inlineStr">
        <is>
          <t>/</t>
        </is>
      </c>
      <c r="V310" s="551" t="n"/>
      <c r="W310" s="551" t="n"/>
      <c r="X310" s="227" t="inlineStr">
        <is>
          <t>/</t>
        </is>
      </c>
      <c r="Y310" s="235" t="n"/>
      <c r="Z310" s="235" t="n"/>
      <c r="AA310" s="235" t="n">
        <v>0.5</v>
      </c>
      <c r="AB310" s="51" t="inlineStr">
        <is>
          <t>/</t>
        </is>
      </c>
      <c r="AC310" s="46" t="inlineStr">
        <is>
          <t>/</t>
        </is>
      </c>
      <c r="AD310" s="232" t="n"/>
      <c r="AE310" s="232" t="inlineStr">
        <is>
          <t>1、签订期间：2026.2.1-2026.7.31；
2、指标按照全年换算；</t>
        </is>
      </c>
    </row>
    <row r="311" hidden="1" ht="24" customFormat="1" customHeight="1" s="209">
      <c r="A311" s="219" t="n">
        <v>309</v>
      </c>
      <c r="B311" s="220" t="inlineStr">
        <is>
          <t>KQCY0309</t>
        </is>
      </c>
      <c r="C311" s="221" t="inlineStr">
        <is>
          <t>餐饮五分部</t>
        </is>
      </c>
      <c r="D311" s="221" t="inlineStr">
        <is>
          <t>CF697</t>
        </is>
      </c>
      <c r="E311" s="221" t="inlineStr">
        <is>
          <t>兰交大百苑二楼食堂</t>
        </is>
      </c>
      <c r="F311" s="219" t="inlineStr">
        <is>
          <t>分组作业</t>
        </is>
      </c>
      <c r="G311" s="222" t="inlineStr">
        <is>
          <t>陆琪</t>
        </is>
      </c>
      <c r="H311" s="503" t="inlineStr">
        <is>
          <t>/</t>
        </is>
      </c>
      <c r="I311" s="237" t="inlineStr">
        <is>
          <t>汉堡</t>
        </is>
      </c>
      <c r="J311" s="503" t="inlineStr">
        <is>
          <t>陈发权</t>
        </is>
      </c>
      <c r="K311" s="503" t="n"/>
      <c r="L311" s="224" t="n"/>
      <c r="M311" s="224" t="inlineStr">
        <is>
          <t>/</t>
        </is>
      </c>
      <c r="N311" s="651" t="n">
        <v>459428.571428571</v>
      </c>
      <c r="O311" s="276" t="n">
        <v>0.07000000000000001</v>
      </c>
      <c r="P311" s="276" t="n">
        <v>0.01</v>
      </c>
      <c r="Q311" s="227" t="inlineStr">
        <is>
          <t>/</t>
        </is>
      </c>
      <c r="R311" s="227" t="inlineStr">
        <is>
          <t>/</t>
        </is>
      </c>
      <c r="S311" s="276" t="n">
        <v>0.01</v>
      </c>
      <c r="T311" s="276" t="n">
        <v>0.01</v>
      </c>
      <c r="U311" s="227" t="inlineStr">
        <is>
          <t>/</t>
        </is>
      </c>
      <c r="V311" s="551" t="n"/>
      <c r="W311" s="551" t="n"/>
      <c r="X311" s="227" t="inlineStr">
        <is>
          <t>/</t>
        </is>
      </c>
      <c r="Y311" s="235" t="n"/>
      <c r="Z311" s="235" t="n"/>
      <c r="AA311" s="235" t="n">
        <v>0.5</v>
      </c>
      <c r="AB311" s="51" t="inlineStr">
        <is>
          <t>/</t>
        </is>
      </c>
      <c r="AC311" s="46" t="inlineStr">
        <is>
          <t>/</t>
        </is>
      </c>
      <c r="AD311" s="232" t="n"/>
      <c r="AE311" s="232" t="inlineStr">
        <is>
          <t>1、签订期间：2026.2.1-2026.7.31；
2、指标按照全年换算；</t>
        </is>
      </c>
    </row>
    <row r="312" hidden="1" ht="12" customFormat="1" customHeight="1" s="209">
      <c r="A312" s="219" t="n">
        <v>310</v>
      </c>
      <c r="B312" s="220" t="inlineStr">
        <is>
          <t>KQCY0310</t>
        </is>
      </c>
      <c r="C312" s="221" t="inlineStr">
        <is>
          <t>餐饮五分部</t>
        </is>
      </c>
      <c r="D312" s="221" t="inlineStr">
        <is>
          <t>CF698</t>
        </is>
      </c>
      <c r="E312" s="221" t="inlineStr">
        <is>
          <t>兰理工兰工坪校区一食堂</t>
        </is>
      </c>
      <c r="F312" s="219" t="inlineStr">
        <is>
          <t>自营</t>
        </is>
      </c>
      <c r="G312" s="222" t="inlineStr">
        <is>
          <t>陆琪</t>
        </is>
      </c>
      <c r="H312" s="222" t="inlineStr">
        <is>
          <t>/</t>
        </is>
      </c>
      <c r="I312" s="237" t="inlineStr">
        <is>
          <t>/</t>
        </is>
      </c>
      <c r="J312" s="222" t="inlineStr">
        <is>
          <t>/</t>
        </is>
      </c>
      <c r="K312" s="222" t="n"/>
      <c r="L312" s="224" t="n"/>
      <c r="M312" s="224" t="inlineStr">
        <is>
          <t>/</t>
        </is>
      </c>
      <c r="N312" s="651" t="inlineStr">
        <is>
          <t>/</t>
        </is>
      </c>
      <c r="O312" s="235" t="inlineStr">
        <is>
          <t>/</t>
        </is>
      </c>
      <c r="P312" s="235" t="inlineStr">
        <is>
          <t>/</t>
        </is>
      </c>
      <c r="Q312" s="235" t="inlineStr">
        <is>
          <t>/</t>
        </is>
      </c>
      <c r="R312" s="235" t="inlineStr">
        <is>
          <t>/</t>
        </is>
      </c>
      <c r="S312" s="235" t="inlineStr">
        <is>
          <t>/</t>
        </is>
      </c>
      <c r="T312" s="235" t="inlineStr">
        <is>
          <t>/</t>
        </is>
      </c>
      <c r="U312" s="235" t="inlineStr">
        <is>
          <t>/</t>
        </is>
      </c>
      <c r="V312" s="235" t="inlineStr">
        <is>
          <t>/</t>
        </is>
      </c>
      <c r="W312" s="461" t="inlineStr">
        <is>
          <t>/</t>
        </is>
      </c>
      <c r="X312" s="235" t="inlineStr">
        <is>
          <t>/</t>
        </is>
      </c>
      <c r="Y312" s="461" t="n"/>
      <c r="Z312" s="461" t="n"/>
      <c r="AA312" s="461" t="inlineStr">
        <is>
          <t>/</t>
        </is>
      </c>
      <c r="AB312" s="46" t="n">
        <v>0.045</v>
      </c>
      <c r="AC312" s="46" t="inlineStr">
        <is>
          <t>/</t>
        </is>
      </c>
      <c r="AD312" s="232" t="n"/>
      <c r="AE312" s="232" t="n"/>
    </row>
    <row r="313" hidden="1" ht="24" customFormat="1" customHeight="1" s="209">
      <c r="A313" s="219" t="n">
        <v>311</v>
      </c>
      <c r="B313" s="220" t="inlineStr">
        <is>
          <t>KQCY0311</t>
        </is>
      </c>
      <c r="C313" s="221" t="inlineStr">
        <is>
          <t>餐饮五分部</t>
        </is>
      </c>
      <c r="D313" s="221" t="inlineStr">
        <is>
          <t>CF698</t>
        </is>
      </c>
      <c r="E313" s="221" t="inlineStr">
        <is>
          <t>兰理工兰工坪校区一食堂</t>
        </is>
      </c>
      <c r="F313" s="219" t="inlineStr">
        <is>
          <t>分组作业</t>
        </is>
      </c>
      <c r="G313" s="222" t="inlineStr">
        <is>
          <t>陆琪</t>
        </is>
      </c>
      <c r="H313" s="503" t="inlineStr">
        <is>
          <t>/</t>
        </is>
      </c>
      <c r="I313" s="237" t="inlineStr">
        <is>
          <t>早餐（包子、粥、馅饼、饺子）</t>
        </is>
      </c>
      <c r="J313" s="503" t="inlineStr">
        <is>
          <t>杨文宏</t>
        </is>
      </c>
      <c r="K313" s="503" t="n"/>
      <c r="L313" s="224" t="n"/>
      <c r="M313" s="224" t="inlineStr">
        <is>
          <t>/</t>
        </is>
      </c>
      <c r="N313" s="651" t="n">
        <v>1140000</v>
      </c>
      <c r="O313" s="276" t="n">
        <v>0.17</v>
      </c>
      <c r="P313" s="227" t="inlineStr">
        <is>
          <t>/</t>
        </is>
      </c>
      <c r="Q313" s="227" t="inlineStr">
        <is>
          <t>/</t>
        </is>
      </c>
      <c r="R313" s="227" t="inlineStr">
        <is>
          <t>/</t>
        </is>
      </c>
      <c r="S313" s="227" t="inlineStr">
        <is>
          <t>/</t>
        </is>
      </c>
      <c r="T313" s="227" t="inlineStr">
        <is>
          <t>/</t>
        </is>
      </c>
      <c r="U313" s="227" t="inlineStr">
        <is>
          <t>/</t>
        </is>
      </c>
      <c r="V313" s="551" t="n"/>
      <c r="W313" s="551" t="n"/>
      <c r="X313" s="227" t="inlineStr">
        <is>
          <t>/</t>
        </is>
      </c>
      <c r="Y313" s="235" t="n"/>
      <c r="Z313" s="235" t="n"/>
      <c r="AA313" s="235" t="n">
        <v>0.4</v>
      </c>
      <c r="AB313" s="51" t="inlineStr">
        <is>
          <t>/</t>
        </is>
      </c>
      <c r="AC313" s="46" t="inlineStr">
        <is>
          <t>/</t>
        </is>
      </c>
      <c r="AD313" s="232" t="n"/>
      <c r="AE313" s="232" t="inlineStr">
        <is>
          <t>1、签订期间：2026.2.1-2026.7.31；
2、指标按照全年换算；</t>
        </is>
      </c>
    </row>
    <row r="314" hidden="1" ht="24" customFormat="1" customHeight="1" s="209">
      <c r="A314" s="219" t="n">
        <v>312</v>
      </c>
      <c r="B314" s="220" t="inlineStr">
        <is>
          <t>KQCY0312</t>
        </is>
      </c>
      <c r="C314" s="221" t="inlineStr">
        <is>
          <t>餐饮五分部</t>
        </is>
      </c>
      <c r="D314" s="221" t="inlineStr">
        <is>
          <t>CF698</t>
        </is>
      </c>
      <c r="E314" s="221" t="inlineStr">
        <is>
          <t>兰理工兰工坪校区一食堂</t>
        </is>
      </c>
      <c r="F314" s="219" t="inlineStr">
        <is>
          <t>分组作业</t>
        </is>
      </c>
      <c r="G314" s="222" t="inlineStr">
        <is>
          <t>陆琪</t>
        </is>
      </c>
      <c r="H314" s="503" t="inlineStr">
        <is>
          <t>/</t>
        </is>
      </c>
      <c r="I314" s="237" t="inlineStr">
        <is>
          <t>快餐（盖浇饭、锅仔）</t>
        </is>
      </c>
      <c r="J314" s="503" t="inlineStr">
        <is>
          <t>宋玉琴</t>
        </is>
      </c>
      <c r="K314" s="503" t="n"/>
      <c r="L314" s="224" t="n"/>
      <c r="M314" s="224" t="inlineStr">
        <is>
          <t>/</t>
        </is>
      </c>
      <c r="N314" s="651" t="n">
        <v>1106000</v>
      </c>
      <c r="O314" s="276" t="n">
        <v>0.17</v>
      </c>
      <c r="P314" s="227" t="inlineStr">
        <is>
          <t>/</t>
        </is>
      </c>
      <c r="Q314" s="227" t="inlineStr">
        <is>
          <t>/</t>
        </is>
      </c>
      <c r="R314" s="227" t="inlineStr">
        <is>
          <t>/</t>
        </is>
      </c>
      <c r="S314" s="227" t="inlineStr">
        <is>
          <t>/</t>
        </is>
      </c>
      <c r="T314" s="227" t="inlineStr">
        <is>
          <t>/</t>
        </is>
      </c>
      <c r="U314" s="227" t="inlineStr">
        <is>
          <t>/</t>
        </is>
      </c>
      <c r="V314" s="551" t="n"/>
      <c r="W314" s="551" t="n"/>
      <c r="X314" s="227" t="inlineStr">
        <is>
          <t>/</t>
        </is>
      </c>
      <c r="Y314" s="235" t="n"/>
      <c r="Z314" s="235" t="n"/>
      <c r="AA314" s="235" t="n">
        <v>0.4</v>
      </c>
      <c r="AB314" s="51" t="inlineStr">
        <is>
          <t>/</t>
        </is>
      </c>
      <c r="AC314" s="46" t="inlineStr">
        <is>
          <t>/</t>
        </is>
      </c>
      <c r="AD314" s="232" t="n"/>
      <c r="AE314" s="232" t="inlineStr">
        <is>
          <t>1、签订期间：2026.2.1-2026.7.31；
2、指标按照全年换算；</t>
        </is>
      </c>
    </row>
    <row r="315" hidden="1" ht="24" customFormat="1" customHeight="1" s="209">
      <c r="A315" s="219" t="n">
        <v>313</v>
      </c>
      <c r="B315" s="220" t="inlineStr">
        <is>
          <t>KQCY0313</t>
        </is>
      </c>
      <c r="C315" s="221" t="inlineStr">
        <is>
          <t>餐饮五分部</t>
        </is>
      </c>
      <c r="D315" s="221" t="inlineStr">
        <is>
          <t>CF698</t>
        </is>
      </c>
      <c r="E315" s="221" t="inlineStr">
        <is>
          <t>兰理工兰工坪校区一食堂</t>
        </is>
      </c>
      <c r="F315" s="219" t="inlineStr">
        <is>
          <t>分组作业</t>
        </is>
      </c>
      <c r="G315" s="222" t="inlineStr">
        <is>
          <t>陆琪</t>
        </is>
      </c>
      <c r="H315" s="503" t="inlineStr">
        <is>
          <t>/</t>
        </is>
      </c>
      <c r="I315" s="237" t="inlineStr">
        <is>
          <t>米粉</t>
        </is>
      </c>
      <c r="J315" s="503" t="inlineStr">
        <is>
          <t>尚伟伟</t>
        </is>
      </c>
      <c r="K315" s="503" t="n"/>
      <c r="L315" s="224" t="n"/>
      <c r="M315" s="224" t="inlineStr">
        <is>
          <t>/</t>
        </is>
      </c>
      <c r="N315" s="651" t="n">
        <v>680000</v>
      </c>
      <c r="O315" s="276" t="n">
        <v>0.2</v>
      </c>
      <c r="P315" s="227" t="inlineStr">
        <is>
          <t>/</t>
        </is>
      </c>
      <c r="Q315" s="227" t="inlineStr">
        <is>
          <t>/</t>
        </is>
      </c>
      <c r="R315" s="227" t="inlineStr">
        <is>
          <t>/</t>
        </is>
      </c>
      <c r="S315" s="227" t="inlineStr">
        <is>
          <t>/</t>
        </is>
      </c>
      <c r="T315" s="227" t="inlineStr">
        <is>
          <t>/</t>
        </is>
      </c>
      <c r="U315" s="227" t="inlineStr">
        <is>
          <t>/</t>
        </is>
      </c>
      <c r="V315" s="551" t="n"/>
      <c r="W315" s="551" t="n"/>
      <c r="X315" s="227" t="inlineStr">
        <is>
          <t>/</t>
        </is>
      </c>
      <c r="Y315" s="235" t="n"/>
      <c r="Z315" s="235" t="n"/>
      <c r="AA315" s="235" t="n">
        <v>0.4</v>
      </c>
      <c r="AB315" s="51" t="inlineStr">
        <is>
          <t>/</t>
        </is>
      </c>
      <c r="AC315" s="46" t="inlineStr">
        <is>
          <t>/</t>
        </is>
      </c>
      <c r="AD315" s="232" t="n"/>
      <c r="AE315" s="232" t="inlineStr">
        <is>
          <t>1、签订期间：2026.2.1-2026.7.31；
2、指标按照全年换算；</t>
        </is>
      </c>
    </row>
    <row r="316" hidden="1" ht="24" customFormat="1" customHeight="1" s="209">
      <c r="A316" s="219" t="n">
        <v>314</v>
      </c>
      <c r="B316" s="220" t="inlineStr">
        <is>
          <t>KQCY0314</t>
        </is>
      </c>
      <c r="C316" s="221" t="inlineStr">
        <is>
          <t>餐饮五分部</t>
        </is>
      </c>
      <c r="D316" s="221" t="inlineStr">
        <is>
          <t>CF698</t>
        </is>
      </c>
      <c r="E316" s="221" t="inlineStr">
        <is>
          <t>兰理工兰工坪校区一食堂</t>
        </is>
      </c>
      <c r="F316" s="219" t="inlineStr">
        <is>
          <t>分组作业</t>
        </is>
      </c>
      <c r="G316" s="222" t="inlineStr">
        <is>
          <t>陆琪</t>
        </is>
      </c>
      <c r="H316" s="503" t="inlineStr">
        <is>
          <t>/</t>
        </is>
      </c>
      <c r="I316" s="237" t="inlineStr">
        <is>
          <t>烤鸭饭</t>
        </is>
      </c>
      <c r="J316" s="503" t="inlineStr">
        <is>
          <t>何启发</t>
        </is>
      </c>
      <c r="K316" s="503" t="n"/>
      <c r="L316" s="224" t="n"/>
      <c r="M316" s="224" t="inlineStr">
        <is>
          <t>/</t>
        </is>
      </c>
      <c r="N316" s="651" t="n">
        <v>780000</v>
      </c>
      <c r="O316" s="276" t="n">
        <v>0.2</v>
      </c>
      <c r="P316" s="227" t="inlineStr">
        <is>
          <t>/</t>
        </is>
      </c>
      <c r="Q316" s="227" t="inlineStr">
        <is>
          <t>/</t>
        </is>
      </c>
      <c r="R316" s="227" t="inlineStr">
        <is>
          <t>/</t>
        </is>
      </c>
      <c r="S316" s="227" t="inlineStr">
        <is>
          <t>/</t>
        </is>
      </c>
      <c r="T316" s="227" t="inlineStr">
        <is>
          <t>/</t>
        </is>
      </c>
      <c r="U316" s="227" t="inlineStr">
        <is>
          <t>/</t>
        </is>
      </c>
      <c r="V316" s="551" t="n"/>
      <c r="W316" s="551" t="n"/>
      <c r="X316" s="227" t="inlineStr">
        <is>
          <t>/</t>
        </is>
      </c>
      <c r="Y316" s="235" t="n"/>
      <c r="Z316" s="235" t="n"/>
      <c r="AA316" s="235" t="n">
        <v>0.4</v>
      </c>
      <c r="AB316" s="51" t="inlineStr">
        <is>
          <t>/</t>
        </is>
      </c>
      <c r="AC316" s="46" t="inlineStr">
        <is>
          <t>/</t>
        </is>
      </c>
      <c r="AD316" s="232" t="n"/>
      <c r="AE316" s="232" t="inlineStr">
        <is>
          <t>1、签订期间：2026.2.1-2026.7.31；
2、指标按照全年换算；</t>
        </is>
      </c>
    </row>
    <row r="317" hidden="1" ht="24" customFormat="1" customHeight="1" s="209">
      <c r="A317" s="219" t="n">
        <v>315</v>
      </c>
      <c r="B317" s="220" t="inlineStr">
        <is>
          <t>KQCY0315</t>
        </is>
      </c>
      <c r="C317" s="221" t="inlineStr">
        <is>
          <t>餐饮五分部</t>
        </is>
      </c>
      <c r="D317" s="221" t="inlineStr">
        <is>
          <t>CF698</t>
        </is>
      </c>
      <c r="E317" s="221" t="inlineStr">
        <is>
          <t>兰理工兰工坪校区一食堂</t>
        </is>
      </c>
      <c r="F317" s="219" t="inlineStr">
        <is>
          <t>分组作业</t>
        </is>
      </c>
      <c r="G317" s="222" t="inlineStr">
        <is>
          <t>陆琪</t>
        </is>
      </c>
      <c r="H317" s="503" t="inlineStr">
        <is>
          <t>/</t>
        </is>
      </c>
      <c r="I317" s="237" t="inlineStr">
        <is>
          <t>香肉拌饭</t>
        </is>
      </c>
      <c r="J317" s="503" t="inlineStr">
        <is>
          <t>尚晓强</t>
        </is>
      </c>
      <c r="K317" s="503" t="n"/>
      <c r="L317" s="224" t="n"/>
      <c r="M317" s="224" t="inlineStr">
        <is>
          <t>/</t>
        </is>
      </c>
      <c r="N317" s="651" t="n">
        <v>700000</v>
      </c>
      <c r="O317" s="276" t="n">
        <v>0.2</v>
      </c>
      <c r="P317" s="227" t="inlineStr">
        <is>
          <t>/</t>
        </is>
      </c>
      <c r="Q317" s="227" t="inlineStr">
        <is>
          <t>/</t>
        </is>
      </c>
      <c r="R317" s="227" t="inlineStr">
        <is>
          <t>/</t>
        </is>
      </c>
      <c r="S317" s="227" t="inlineStr">
        <is>
          <t>/</t>
        </is>
      </c>
      <c r="T317" s="227" t="inlineStr">
        <is>
          <t>/</t>
        </is>
      </c>
      <c r="U317" s="227" t="inlineStr">
        <is>
          <t>/</t>
        </is>
      </c>
      <c r="V317" s="551" t="n"/>
      <c r="W317" s="551" t="n"/>
      <c r="X317" s="227" t="inlineStr">
        <is>
          <t>/</t>
        </is>
      </c>
      <c r="Y317" s="235" t="n"/>
      <c r="Z317" s="235" t="n"/>
      <c r="AA317" s="235" t="n">
        <v>0.4</v>
      </c>
      <c r="AB317" s="51" t="inlineStr">
        <is>
          <t>/</t>
        </is>
      </c>
      <c r="AC317" s="46" t="inlineStr">
        <is>
          <t>/</t>
        </is>
      </c>
      <c r="AD317" s="232" t="n"/>
      <c r="AE317" s="232" t="inlineStr">
        <is>
          <t>1、签订期间：2026.2.1-2026.7.31；
2、指标按照全年换算；</t>
        </is>
      </c>
    </row>
    <row r="318" hidden="1" ht="24" customFormat="1" customHeight="1" s="209">
      <c r="A318" s="219" t="n">
        <v>316</v>
      </c>
      <c r="B318" s="220" t="inlineStr">
        <is>
          <t>KQCY0316</t>
        </is>
      </c>
      <c r="C318" s="221" t="inlineStr">
        <is>
          <t>餐饮五分部</t>
        </is>
      </c>
      <c r="D318" s="221" t="inlineStr">
        <is>
          <t>CF698</t>
        </is>
      </c>
      <c r="E318" s="221" t="inlineStr">
        <is>
          <t>兰理工兰工坪校区一食堂</t>
        </is>
      </c>
      <c r="F318" s="219" t="inlineStr">
        <is>
          <t>分组作业</t>
        </is>
      </c>
      <c r="G318" s="222" t="inlineStr">
        <is>
          <t>陆琪</t>
        </is>
      </c>
      <c r="H318" s="503" t="inlineStr">
        <is>
          <t>/</t>
        </is>
      </c>
      <c r="I318" s="237" t="inlineStr">
        <is>
          <t>面夫子包子（煎饺）</t>
        </is>
      </c>
      <c r="J318" s="503" t="inlineStr">
        <is>
          <t>景波波</t>
        </is>
      </c>
      <c r="K318" s="503" t="n"/>
      <c r="L318" s="224" t="n"/>
      <c r="M318" s="224" t="inlineStr">
        <is>
          <t>/</t>
        </is>
      </c>
      <c r="N318" s="651" t="n">
        <v>620000</v>
      </c>
      <c r="O318" s="276" t="n">
        <v>0.17</v>
      </c>
      <c r="P318" s="227" t="inlineStr">
        <is>
          <t>/</t>
        </is>
      </c>
      <c r="Q318" s="227" t="inlineStr">
        <is>
          <t>/</t>
        </is>
      </c>
      <c r="R318" s="227" t="inlineStr">
        <is>
          <t>/</t>
        </is>
      </c>
      <c r="S318" s="227" t="inlineStr">
        <is>
          <t>/</t>
        </is>
      </c>
      <c r="T318" s="227" t="inlineStr">
        <is>
          <t>/</t>
        </is>
      </c>
      <c r="U318" s="227" t="inlineStr">
        <is>
          <t>/</t>
        </is>
      </c>
      <c r="V318" s="551" t="n"/>
      <c r="W318" s="551" t="n"/>
      <c r="X318" s="227" t="inlineStr">
        <is>
          <t>/</t>
        </is>
      </c>
      <c r="Y318" s="235" t="n"/>
      <c r="Z318" s="235" t="n"/>
      <c r="AA318" s="235" t="n">
        <v>0.4</v>
      </c>
      <c r="AB318" s="51" t="inlineStr">
        <is>
          <t>/</t>
        </is>
      </c>
      <c r="AC318" s="46" t="inlineStr">
        <is>
          <t>/</t>
        </is>
      </c>
      <c r="AD318" s="232" t="n"/>
      <c r="AE318" s="232" t="inlineStr">
        <is>
          <t>1、签订期间：2026.2.1-2026.7.31；
2、指标按照全年换算；</t>
        </is>
      </c>
    </row>
    <row r="319" hidden="1" ht="24" customFormat="1" customHeight="1" s="209">
      <c r="A319" s="219" t="n">
        <v>317</v>
      </c>
      <c r="B319" s="220" t="inlineStr">
        <is>
          <t>KQCY0317</t>
        </is>
      </c>
      <c r="C319" s="221" t="inlineStr">
        <is>
          <t>餐饮五分部</t>
        </is>
      </c>
      <c r="D319" s="221" t="inlineStr">
        <is>
          <t>CF698</t>
        </is>
      </c>
      <c r="E319" s="221" t="inlineStr">
        <is>
          <t>兰理工兰工坪校区一食堂</t>
        </is>
      </c>
      <c r="F319" s="219" t="inlineStr">
        <is>
          <t>分组作业</t>
        </is>
      </c>
      <c r="G319" s="222" t="inlineStr">
        <is>
          <t>陆琪</t>
        </is>
      </c>
      <c r="H319" s="503" t="inlineStr">
        <is>
          <t>/</t>
        </is>
      </c>
      <c r="I319" s="237" t="inlineStr">
        <is>
          <t>面小福菜拌面</t>
        </is>
      </c>
      <c r="J319" s="503" t="inlineStr">
        <is>
          <t>蔡晓娟</t>
        </is>
      </c>
      <c r="K319" s="503" t="n"/>
      <c r="L319" s="224" t="n"/>
      <c r="M319" s="224" t="inlineStr">
        <is>
          <t>/</t>
        </is>
      </c>
      <c r="N319" s="651" t="n">
        <v>620000</v>
      </c>
      <c r="O319" s="276" t="n">
        <v>0.19</v>
      </c>
      <c r="P319" s="227" t="inlineStr">
        <is>
          <t>/</t>
        </is>
      </c>
      <c r="Q319" s="227" t="inlineStr">
        <is>
          <t>/</t>
        </is>
      </c>
      <c r="R319" s="227" t="inlineStr">
        <is>
          <t>/</t>
        </is>
      </c>
      <c r="S319" s="227" t="inlineStr">
        <is>
          <t>/</t>
        </is>
      </c>
      <c r="T319" s="227" t="inlineStr">
        <is>
          <t>/</t>
        </is>
      </c>
      <c r="U319" s="227" t="inlineStr">
        <is>
          <t>/</t>
        </is>
      </c>
      <c r="V319" s="551" t="n"/>
      <c r="W319" s="551" t="n"/>
      <c r="X319" s="227" t="inlineStr">
        <is>
          <t>/</t>
        </is>
      </c>
      <c r="Y319" s="235" t="n"/>
      <c r="Z319" s="235" t="n"/>
      <c r="AA319" s="235" t="n">
        <v>0.4</v>
      </c>
      <c r="AB319" s="51" t="inlineStr">
        <is>
          <t>/</t>
        </is>
      </c>
      <c r="AC319" s="46" t="inlineStr">
        <is>
          <t>/</t>
        </is>
      </c>
      <c r="AD319" s="232" t="n"/>
      <c r="AE319" s="232" t="inlineStr">
        <is>
          <t>1、签订期间：2026.2.1-2026.7.31；
2、指标按照全年换算；</t>
        </is>
      </c>
    </row>
    <row r="320" hidden="1" ht="24" customFormat="1" customHeight="1" s="209">
      <c r="A320" s="219" t="n">
        <v>318</v>
      </c>
      <c r="B320" s="220" t="inlineStr">
        <is>
          <t>KQCY0318</t>
        </is>
      </c>
      <c r="C320" s="221" t="inlineStr">
        <is>
          <t>餐饮五分部</t>
        </is>
      </c>
      <c r="D320" s="221" t="inlineStr">
        <is>
          <t>CF698</t>
        </is>
      </c>
      <c r="E320" s="221" t="inlineStr">
        <is>
          <t>兰理工兰工坪校区一食堂</t>
        </is>
      </c>
      <c r="F320" s="219" t="inlineStr">
        <is>
          <t>分组作业</t>
        </is>
      </c>
      <c r="G320" s="222" t="inlineStr">
        <is>
          <t>陆琪</t>
        </is>
      </c>
      <c r="H320" s="503" t="inlineStr">
        <is>
          <t>/</t>
        </is>
      </c>
      <c r="I320" s="237" t="inlineStr">
        <is>
          <t>饶城湘辣椒炒肉</t>
        </is>
      </c>
      <c r="J320" s="503" t="inlineStr">
        <is>
          <t>蔡晓娟</t>
        </is>
      </c>
      <c r="K320" s="503" t="n"/>
      <c r="L320" s="224" t="n"/>
      <c r="M320" s="224" t="inlineStr">
        <is>
          <t>/</t>
        </is>
      </c>
      <c r="N320" s="651" t="n">
        <v>640000</v>
      </c>
      <c r="O320" s="276" t="n">
        <v>0.19</v>
      </c>
      <c r="P320" s="227" t="inlineStr">
        <is>
          <t>/</t>
        </is>
      </c>
      <c r="Q320" s="227" t="inlineStr">
        <is>
          <t>/</t>
        </is>
      </c>
      <c r="R320" s="227" t="inlineStr">
        <is>
          <t>/</t>
        </is>
      </c>
      <c r="S320" s="227" t="inlineStr">
        <is>
          <t>/</t>
        </is>
      </c>
      <c r="T320" s="227" t="inlineStr">
        <is>
          <t>/</t>
        </is>
      </c>
      <c r="U320" s="227" t="inlineStr">
        <is>
          <t>/</t>
        </is>
      </c>
      <c r="V320" s="551" t="n"/>
      <c r="W320" s="551" t="n"/>
      <c r="X320" s="227" t="inlineStr">
        <is>
          <t>/</t>
        </is>
      </c>
      <c r="Y320" s="235" t="n"/>
      <c r="Z320" s="235" t="n"/>
      <c r="AA320" s="235" t="n">
        <v>0.4</v>
      </c>
      <c r="AB320" s="51" t="inlineStr">
        <is>
          <t>/</t>
        </is>
      </c>
      <c r="AC320" s="46" t="inlineStr">
        <is>
          <t>/</t>
        </is>
      </c>
      <c r="AD320" s="232" t="n"/>
      <c r="AE320" s="232" t="inlineStr">
        <is>
          <t>1、签订期间：2026.2.1-2026.7.31；
2、指标按照全年换算；</t>
        </is>
      </c>
    </row>
    <row r="321" hidden="1" ht="24" customFormat="1" customHeight="1" s="209">
      <c r="A321" s="219" t="n">
        <v>319</v>
      </c>
      <c r="B321" s="220" t="inlineStr">
        <is>
          <t>KQCY0319</t>
        </is>
      </c>
      <c r="C321" s="221" t="inlineStr">
        <is>
          <t>餐饮五分部</t>
        </is>
      </c>
      <c r="D321" s="221" t="inlineStr">
        <is>
          <t>CF698</t>
        </is>
      </c>
      <c r="E321" s="221" t="inlineStr">
        <is>
          <t>兰理工兰工坪校区一食堂</t>
        </is>
      </c>
      <c r="F321" s="219" t="inlineStr">
        <is>
          <t>分组作业</t>
        </is>
      </c>
      <c r="G321" s="222" t="inlineStr">
        <is>
          <t>陆琪</t>
        </is>
      </c>
      <c r="H321" s="503" t="inlineStr">
        <is>
          <t>/</t>
        </is>
      </c>
      <c r="I321" s="237" t="inlineStr">
        <is>
          <t>一纸鸡牛肉饭</t>
        </is>
      </c>
      <c r="J321" s="503" t="inlineStr">
        <is>
          <t>王燕</t>
        </is>
      </c>
      <c r="K321" s="503" t="n"/>
      <c r="L321" s="224" t="n"/>
      <c r="M321" s="224" t="inlineStr">
        <is>
          <t>/</t>
        </is>
      </c>
      <c r="N321" s="651" t="n">
        <v>560000</v>
      </c>
      <c r="O321" s="276" t="n">
        <v>0.2</v>
      </c>
      <c r="P321" s="227" t="inlineStr">
        <is>
          <t>/</t>
        </is>
      </c>
      <c r="Q321" s="227" t="inlineStr">
        <is>
          <t>/</t>
        </is>
      </c>
      <c r="R321" s="227" t="inlineStr">
        <is>
          <t>/</t>
        </is>
      </c>
      <c r="S321" s="227" t="inlineStr">
        <is>
          <t>/</t>
        </is>
      </c>
      <c r="T321" s="227" t="inlineStr">
        <is>
          <t>/</t>
        </is>
      </c>
      <c r="U321" s="227" t="inlineStr">
        <is>
          <t>/</t>
        </is>
      </c>
      <c r="V321" s="551" t="n"/>
      <c r="W321" s="551" t="n"/>
      <c r="X321" s="227" t="inlineStr">
        <is>
          <t>/</t>
        </is>
      </c>
      <c r="Y321" s="235" t="n"/>
      <c r="Z321" s="235" t="n"/>
      <c r="AA321" s="235" t="n">
        <v>0.4</v>
      </c>
      <c r="AB321" s="51" t="inlineStr">
        <is>
          <t>/</t>
        </is>
      </c>
      <c r="AC321" s="46" t="inlineStr">
        <is>
          <t>/</t>
        </is>
      </c>
      <c r="AD321" s="232" t="n"/>
      <c r="AE321" s="232" t="inlineStr">
        <is>
          <t>1、签订期间：2026.2.1-2026.7.31；
2、指标按照全年换算；</t>
        </is>
      </c>
    </row>
    <row r="322" hidden="1" ht="24" customFormat="1" customHeight="1" s="209">
      <c r="A322" s="219" t="n">
        <v>320</v>
      </c>
      <c r="B322" s="220" t="inlineStr">
        <is>
          <t>KQCY0320</t>
        </is>
      </c>
      <c r="C322" s="221" t="inlineStr">
        <is>
          <t>餐饮五分部</t>
        </is>
      </c>
      <c r="D322" s="221" t="inlineStr">
        <is>
          <t>CF698</t>
        </is>
      </c>
      <c r="E322" s="221" t="inlineStr">
        <is>
          <t>兰理工兰工坪校区一食堂</t>
        </is>
      </c>
      <c r="F322" s="219" t="inlineStr">
        <is>
          <t>分组作业</t>
        </is>
      </c>
      <c r="G322" s="222" t="inlineStr">
        <is>
          <t>陆琪</t>
        </is>
      </c>
      <c r="H322" s="503" t="inlineStr">
        <is>
          <t>/</t>
        </is>
      </c>
      <c r="I322" s="237" t="inlineStr">
        <is>
          <t>波乐宝炸鸡汉堡</t>
        </is>
      </c>
      <c r="J322" s="503" t="inlineStr">
        <is>
          <t>周小鹏</t>
        </is>
      </c>
      <c r="K322" s="503" t="n"/>
      <c r="L322" s="224" t="n"/>
      <c r="M322" s="224" t="inlineStr">
        <is>
          <t>/</t>
        </is>
      </c>
      <c r="N322" s="651" t="n">
        <v>360000</v>
      </c>
      <c r="O322" s="227" t="n">
        <v>120000</v>
      </c>
      <c r="P322" s="227" t="inlineStr">
        <is>
          <t>/</t>
        </is>
      </c>
      <c r="Q322" s="227" t="inlineStr">
        <is>
          <t>/</t>
        </is>
      </c>
      <c r="R322" s="284" t="n">
        <v>0.045</v>
      </c>
      <c r="S322" s="227" t="inlineStr">
        <is>
          <t>/</t>
        </is>
      </c>
      <c r="T322" s="227" t="inlineStr">
        <is>
          <t>/</t>
        </is>
      </c>
      <c r="U322" s="227" t="inlineStr">
        <is>
          <t>/</t>
        </is>
      </c>
      <c r="V322" s="551" t="inlineStr">
        <is>
          <t>/</t>
        </is>
      </c>
      <c r="W322" s="551" t="n"/>
      <c r="X322" s="227" t="inlineStr">
        <is>
          <t>/</t>
        </is>
      </c>
      <c r="Y322" s="235" t="n"/>
      <c r="Z322" s="235" t="n"/>
      <c r="AA322" s="235" t="n">
        <v>0.4</v>
      </c>
      <c r="AB322" s="51" t="inlineStr">
        <is>
          <t>/</t>
        </is>
      </c>
      <c r="AC322" s="46" t="inlineStr">
        <is>
          <t>/</t>
        </is>
      </c>
      <c r="AD322" s="230" t="inlineStr">
        <is>
          <t>1、服务费：12万/年
2、项目确认不收卫生费</t>
        </is>
      </c>
      <c r="AE322" s="232" t="inlineStr">
        <is>
          <t>1、签订期间：2026.2.1-2026.7.31；
2、指标按照全年换算；</t>
        </is>
      </c>
    </row>
    <row r="323" hidden="1" ht="24" customFormat="1" customHeight="1" s="209">
      <c r="A323" s="219" t="n">
        <v>321</v>
      </c>
      <c r="B323" s="220" t="inlineStr">
        <is>
          <t>KQCY0321</t>
        </is>
      </c>
      <c r="C323" s="221" t="inlineStr">
        <is>
          <t>餐饮五分部</t>
        </is>
      </c>
      <c r="D323" s="221" t="inlineStr">
        <is>
          <t>CF698</t>
        </is>
      </c>
      <c r="E323" s="221" t="inlineStr">
        <is>
          <t>兰理工兰工坪校区一食堂</t>
        </is>
      </c>
      <c r="F323" s="219" t="inlineStr">
        <is>
          <t>分组作业</t>
        </is>
      </c>
      <c r="G323" s="222" t="inlineStr">
        <is>
          <t>陆琪</t>
        </is>
      </c>
      <c r="H323" s="503" t="inlineStr">
        <is>
          <t>/</t>
        </is>
      </c>
      <c r="I323" s="237" t="inlineStr">
        <is>
          <t>冒菜（小火锅）</t>
        </is>
      </c>
      <c r="J323" s="503" t="inlineStr">
        <is>
          <t>马娟娟</t>
        </is>
      </c>
      <c r="K323" s="503" t="n"/>
      <c r="L323" s="224" t="n"/>
      <c r="M323" s="224" t="inlineStr">
        <is>
          <t>/</t>
        </is>
      </c>
      <c r="N323" s="651" t="n">
        <v>920000</v>
      </c>
      <c r="O323" s="276" t="n">
        <v>0.2</v>
      </c>
      <c r="P323" s="227" t="inlineStr">
        <is>
          <t>/</t>
        </is>
      </c>
      <c r="Q323" s="227" t="inlineStr">
        <is>
          <t>/</t>
        </is>
      </c>
      <c r="R323" s="227" t="inlineStr">
        <is>
          <t>/</t>
        </is>
      </c>
      <c r="S323" s="227" t="inlineStr">
        <is>
          <t>/</t>
        </is>
      </c>
      <c r="T323" s="227" t="inlineStr">
        <is>
          <t>/</t>
        </is>
      </c>
      <c r="U323" s="227" t="inlineStr">
        <is>
          <t>/</t>
        </is>
      </c>
      <c r="V323" s="551" t="n"/>
      <c r="W323" s="551" t="n"/>
      <c r="X323" s="227" t="inlineStr">
        <is>
          <t>/</t>
        </is>
      </c>
      <c r="Y323" s="235" t="n"/>
      <c r="Z323" s="235" t="n"/>
      <c r="AA323" s="235" t="n">
        <v>0.4</v>
      </c>
      <c r="AB323" s="51" t="inlineStr">
        <is>
          <t>/</t>
        </is>
      </c>
      <c r="AC323" s="46" t="inlineStr">
        <is>
          <t>/</t>
        </is>
      </c>
      <c r="AD323" s="232" t="n"/>
      <c r="AE323" s="232" t="inlineStr">
        <is>
          <t>1、签订期间：2026.2.1-2026.7.31；
2、指标按照全年换算；</t>
        </is>
      </c>
    </row>
    <row r="324" hidden="1" ht="24" customFormat="1" customHeight="1" s="209">
      <c r="A324" s="219" t="n">
        <v>322</v>
      </c>
      <c r="B324" s="220" t="inlineStr">
        <is>
          <t>KQCY0322</t>
        </is>
      </c>
      <c r="C324" s="221" t="inlineStr">
        <is>
          <t>餐饮五分部</t>
        </is>
      </c>
      <c r="D324" s="221" t="inlineStr">
        <is>
          <t>CF698</t>
        </is>
      </c>
      <c r="E324" s="221" t="inlineStr">
        <is>
          <t>兰理工兰工坪校区一食堂</t>
        </is>
      </c>
      <c r="F324" s="219" t="inlineStr">
        <is>
          <t>分组作业</t>
        </is>
      </c>
      <c r="G324" s="222" t="inlineStr">
        <is>
          <t>陆琪</t>
        </is>
      </c>
      <c r="H324" s="503" t="inlineStr">
        <is>
          <t>/</t>
        </is>
      </c>
      <c r="I324" s="237" t="inlineStr">
        <is>
          <t>牛肉面（炒面）</t>
        </is>
      </c>
      <c r="J324" s="503" t="inlineStr">
        <is>
          <t>马娟娟</t>
        </is>
      </c>
      <c r="K324" s="503" t="n"/>
      <c r="L324" s="224" t="n"/>
      <c r="M324" s="224" t="inlineStr">
        <is>
          <t>/</t>
        </is>
      </c>
      <c r="N324" s="651" t="n">
        <v>700000</v>
      </c>
      <c r="O324" s="276" t="n">
        <v>0.1</v>
      </c>
      <c r="P324" s="227" t="inlineStr">
        <is>
          <t>/</t>
        </is>
      </c>
      <c r="Q324" s="227" t="inlineStr">
        <is>
          <t>/</t>
        </is>
      </c>
      <c r="R324" s="227" t="inlineStr">
        <is>
          <t>/</t>
        </is>
      </c>
      <c r="S324" s="227" t="inlineStr">
        <is>
          <t>/</t>
        </is>
      </c>
      <c r="T324" s="227" t="inlineStr">
        <is>
          <t>/</t>
        </is>
      </c>
      <c r="U324" s="227" t="inlineStr">
        <is>
          <t>/</t>
        </is>
      </c>
      <c r="V324" s="551" t="n"/>
      <c r="W324" s="551" t="n"/>
      <c r="X324" s="227" t="inlineStr">
        <is>
          <t>/</t>
        </is>
      </c>
      <c r="Y324" s="235" t="n"/>
      <c r="Z324" s="235" t="n"/>
      <c r="AA324" s="235" t="n">
        <v>0.4</v>
      </c>
      <c r="AB324" s="51" t="inlineStr">
        <is>
          <t>/</t>
        </is>
      </c>
      <c r="AC324" s="46" t="inlineStr">
        <is>
          <t>/</t>
        </is>
      </c>
      <c r="AD324" s="232" t="n"/>
      <c r="AE324" s="232" t="inlineStr">
        <is>
          <t>1、签订期间：2026.2.1-2026.7.31；
2、指标按照全年换算；</t>
        </is>
      </c>
    </row>
    <row r="325" hidden="1" ht="24" customFormat="1" customHeight="1" s="209">
      <c r="A325" s="219" t="n">
        <v>323</v>
      </c>
      <c r="B325" s="220" t="inlineStr">
        <is>
          <t>KQCY0323</t>
        </is>
      </c>
      <c r="C325" s="221" t="inlineStr">
        <is>
          <t>餐饮五分部</t>
        </is>
      </c>
      <c r="D325" s="221" t="inlineStr">
        <is>
          <t>CF698</t>
        </is>
      </c>
      <c r="E325" s="221" t="inlineStr">
        <is>
          <t>兰理工兰工坪校区一食堂</t>
        </is>
      </c>
      <c r="F325" s="219" t="inlineStr">
        <is>
          <t>分组作业</t>
        </is>
      </c>
      <c r="G325" s="222" t="inlineStr">
        <is>
          <t>陆琪</t>
        </is>
      </c>
      <c r="H325" s="503" t="inlineStr">
        <is>
          <t>/</t>
        </is>
      </c>
      <c r="I325" s="237" t="inlineStr">
        <is>
          <t>杂粮煎饼</t>
        </is>
      </c>
      <c r="J325" s="503" t="inlineStr">
        <is>
          <t>李超</t>
        </is>
      </c>
      <c r="K325" s="503" t="n"/>
      <c r="L325" s="224" t="n"/>
      <c r="M325" s="224" t="inlineStr">
        <is>
          <t>/</t>
        </is>
      </c>
      <c r="N325" s="651" t="n">
        <v>230000</v>
      </c>
      <c r="O325" s="276" t="n">
        <v>0.18</v>
      </c>
      <c r="P325" s="227" t="inlineStr">
        <is>
          <t>/</t>
        </is>
      </c>
      <c r="Q325" s="227" t="inlineStr">
        <is>
          <t>/</t>
        </is>
      </c>
      <c r="R325" s="227" t="inlineStr">
        <is>
          <t>/</t>
        </is>
      </c>
      <c r="S325" s="227" t="inlineStr">
        <is>
          <t>/</t>
        </is>
      </c>
      <c r="T325" s="227" t="inlineStr">
        <is>
          <t>/</t>
        </is>
      </c>
      <c r="U325" s="227" t="inlineStr">
        <is>
          <t>/</t>
        </is>
      </c>
      <c r="V325" s="551" t="n"/>
      <c r="W325" s="551" t="n"/>
      <c r="X325" s="227" t="inlineStr">
        <is>
          <t>/</t>
        </is>
      </c>
      <c r="Y325" s="235" t="n"/>
      <c r="Z325" s="235" t="n"/>
      <c r="AA325" s="235" t="n">
        <v>0.4</v>
      </c>
      <c r="AB325" s="51" t="inlineStr">
        <is>
          <t>/</t>
        </is>
      </c>
      <c r="AC325" s="46" t="inlineStr">
        <is>
          <t>/</t>
        </is>
      </c>
      <c r="AD325" s="232" t="n"/>
      <c r="AE325" s="232" t="inlineStr">
        <is>
          <t>1、签订期间：2026.2.1-2026.7.31；
2、指标按照全年换算；</t>
        </is>
      </c>
    </row>
    <row r="326" hidden="1" ht="24" customFormat="1" customHeight="1" s="209">
      <c r="A326" s="219" t="n">
        <v>324</v>
      </c>
      <c r="B326" s="220" t="inlineStr">
        <is>
          <t>KQCY0324</t>
        </is>
      </c>
      <c r="C326" s="221" t="inlineStr">
        <is>
          <t>餐饮五分部</t>
        </is>
      </c>
      <c r="D326" s="221" t="inlineStr">
        <is>
          <t>CF698</t>
        </is>
      </c>
      <c r="E326" s="221" t="inlineStr">
        <is>
          <t>兰理工兰工坪校区一食堂</t>
        </is>
      </c>
      <c r="F326" s="219" t="inlineStr">
        <is>
          <t>分组作业</t>
        </is>
      </c>
      <c r="G326" s="222" t="inlineStr">
        <is>
          <t>陆琪</t>
        </is>
      </c>
      <c r="H326" s="503" t="inlineStr">
        <is>
          <t>/</t>
        </is>
      </c>
      <c r="I326" s="237" t="inlineStr">
        <is>
          <t>蜜雪冰城</t>
        </is>
      </c>
      <c r="J326" s="503" t="inlineStr">
        <is>
          <t>陈发全</t>
        </is>
      </c>
      <c r="K326" s="503" t="n"/>
      <c r="L326" s="224" t="n"/>
      <c r="M326" s="224" t="inlineStr">
        <is>
          <t>/</t>
        </is>
      </c>
      <c r="N326" s="651" t="n">
        <v>520000</v>
      </c>
      <c r="O326" s="227" t="n">
        <v>200000</v>
      </c>
      <c r="P326" s="227" t="inlineStr">
        <is>
          <t>/</t>
        </is>
      </c>
      <c r="Q326" s="227" t="inlineStr">
        <is>
          <t>/</t>
        </is>
      </c>
      <c r="R326" s="227" t="inlineStr">
        <is>
          <t>/</t>
        </is>
      </c>
      <c r="S326" s="227" t="inlineStr">
        <is>
          <t>/</t>
        </is>
      </c>
      <c r="T326" s="227" t="inlineStr">
        <is>
          <t>/</t>
        </is>
      </c>
      <c r="U326" s="227" t="inlineStr">
        <is>
          <t>/</t>
        </is>
      </c>
      <c r="V326" s="461" t="inlineStr">
        <is>
          <t>/</t>
        </is>
      </c>
      <c r="W326" s="461" t="n"/>
      <c r="X326" s="227" t="inlineStr">
        <is>
          <t>/</t>
        </is>
      </c>
      <c r="Y326" s="461" t="n"/>
      <c r="Z326" s="461" t="n"/>
      <c r="AA326" s="461" t="inlineStr">
        <is>
          <t>/</t>
        </is>
      </c>
      <c r="AB326" s="51" t="inlineStr">
        <is>
          <t>/</t>
        </is>
      </c>
      <c r="AC326" s="46" t="inlineStr">
        <is>
          <t>/</t>
        </is>
      </c>
      <c r="AD326" s="230" t="inlineStr">
        <is>
          <t>1、服务费：20万/年
2、项目确认不收卫生费和原材料</t>
        </is>
      </c>
      <c r="AE326" s="232" t="inlineStr">
        <is>
          <t>1、签订期间：2025.8.1-2026.7.30；
2、指标按照会议纪要全年列示金额；</t>
        </is>
      </c>
    </row>
    <row r="327" hidden="1" ht="12" customFormat="1" customHeight="1" s="209">
      <c r="A327" s="219" t="n">
        <v>325</v>
      </c>
      <c r="B327" s="220" t="inlineStr">
        <is>
          <t>KQCY0325</t>
        </is>
      </c>
      <c r="C327" s="221" t="inlineStr">
        <is>
          <t>餐饮五分部</t>
        </is>
      </c>
      <c r="D327" s="221" t="inlineStr">
        <is>
          <t>CF102</t>
        </is>
      </c>
      <c r="E327" s="221" t="inlineStr">
        <is>
          <t>苏大东区四食堂</t>
        </is>
      </c>
      <c r="F327" s="219" t="inlineStr">
        <is>
          <t>自营</t>
        </is>
      </c>
      <c r="G327" s="222" t="inlineStr">
        <is>
          <t>卫屹</t>
        </is>
      </c>
      <c r="H327" s="503" t="inlineStr">
        <is>
          <t>/</t>
        </is>
      </c>
      <c r="I327" s="237" t="inlineStr">
        <is>
          <t>/</t>
        </is>
      </c>
      <c r="J327" s="222" t="inlineStr">
        <is>
          <t>/</t>
        </is>
      </c>
      <c r="K327" s="222" t="n"/>
      <c r="L327" s="224" t="n"/>
      <c r="M327" s="224" t="inlineStr">
        <is>
          <t>/</t>
        </is>
      </c>
      <c r="N327" s="651" t="inlineStr">
        <is>
          <t>/</t>
        </is>
      </c>
      <c r="O327" s="235" t="inlineStr">
        <is>
          <t>/</t>
        </is>
      </c>
      <c r="P327" s="235" t="inlineStr">
        <is>
          <t>/</t>
        </is>
      </c>
      <c r="Q327" s="235" t="inlineStr">
        <is>
          <t>/</t>
        </is>
      </c>
      <c r="R327" s="235" t="inlineStr">
        <is>
          <t>/</t>
        </is>
      </c>
      <c r="S327" s="235" t="inlineStr">
        <is>
          <t>/</t>
        </is>
      </c>
      <c r="T327" s="235" t="inlineStr">
        <is>
          <t>/</t>
        </is>
      </c>
      <c r="U327" s="235" t="inlineStr">
        <is>
          <t>/</t>
        </is>
      </c>
      <c r="V327" s="235" t="inlineStr">
        <is>
          <t>/</t>
        </is>
      </c>
      <c r="W327" s="235" t="inlineStr">
        <is>
          <t>/</t>
        </is>
      </c>
      <c r="X327" s="235" t="inlineStr">
        <is>
          <t>/</t>
        </is>
      </c>
      <c r="Y327" s="235" t="n"/>
      <c r="Z327" s="235" t="n"/>
      <c r="AA327" s="235" t="n">
        <v>0.52</v>
      </c>
      <c r="AB327" s="46" t="n">
        <v>0.06</v>
      </c>
      <c r="AC327" s="46" t="n">
        <v>0.005</v>
      </c>
      <c r="AD327" s="232" t="inlineStr">
        <is>
          <t>1、原材料：根据与甲方合同约定执行；</t>
        </is>
      </c>
      <c r="AE327" s="232" t="n"/>
    </row>
    <row r="328" hidden="1" ht="36" customFormat="1" customHeight="1" s="209">
      <c r="A328" s="219" t="n">
        <v>326</v>
      </c>
      <c r="B328" s="220" t="inlineStr">
        <is>
          <t>KQCY0326</t>
        </is>
      </c>
      <c r="C328" s="221" t="inlineStr">
        <is>
          <t>餐饮五分部</t>
        </is>
      </c>
      <c r="D328" s="221" t="inlineStr">
        <is>
          <t>CF102</t>
        </is>
      </c>
      <c r="E328" s="221" t="inlineStr">
        <is>
          <t>苏大东区四食堂</t>
        </is>
      </c>
      <c r="F328" s="219" t="inlineStr">
        <is>
          <t>分组作业</t>
        </is>
      </c>
      <c r="G328" s="222" t="inlineStr">
        <is>
          <t>卫屹</t>
        </is>
      </c>
      <c r="H328" s="503" t="inlineStr">
        <is>
          <t>/</t>
        </is>
      </c>
      <c r="I328" s="237" t="inlineStr">
        <is>
          <t>苏秦味馆</t>
        </is>
      </c>
      <c r="J328" s="503" t="inlineStr">
        <is>
          <t>胡朝阳</t>
        </is>
      </c>
      <c r="K328" s="503" t="n"/>
      <c r="L328" s="224" t="n"/>
      <c r="M328" s="224" t="inlineStr">
        <is>
          <t>/</t>
        </is>
      </c>
      <c r="N328" s="651" t="n">
        <v>1080000</v>
      </c>
      <c r="O328" s="235" t="n">
        <v>0.14</v>
      </c>
      <c r="P328" s="235" t="inlineStr">
        <is>
          <t>/</t>
        </is>
      </c>
      <c r="Q328" s="235" t="n">
        <v>0.02</v>
      </c>
      <c r="R328" s="235" t="inlineStr">
        <is>
          <t>/</t>
        </is>
      </c>
      <c r="S328" s="235" t="inlineStr">
        <is>
          <t>/</t>
        </is>
      </c>
      <c r="T328" s="235" t="inlineStr">
        <is>
          <t>/</t>
        </is>
      </c>
      <c r="U328" s="235" t="inlineStr">
        <is>
          <t>/</t>
        </is>
      </c>
      <c r="V328" s="235" t="n">
        <v>0.02</v>
      </c>
      <c r="W328" s="235" t="n">
        <v>0.07000000000000001</v>
      </c>
      <c r="X328" s="235" t="inlineStr">
        <is>
          <t>按实</t>
        </is>
      </c>
      <c r="Y328" s="235" t="inlineStr">
        <is>
          <t>/</t>
        </is>
      </c>
      <c r="Z328" s="235" t="inlineStr">
        <is>
          <t>/</t>
        </is>
      </c>
      <c r="AA328" s="235" t="inlineStr">
        <is>
          <t>按实</t>
        </is>
      </c>
      <c r="AB328" s="652" t="inlineStr">
        <is>
          <t>/</t>
        </is>
      </c>
      <c r="AC328" s="652" t="inlineStr">
        <is>
          <t>/</t>
        </is>
      </c>
      <c r="AD328" s="230" t="inlineStr">
        <is>
          <t xml:space="preserve">
1、管理人员费：项目反馈不收取，包含在服务费中；
</t>
        </is>
      </c>
      <c r="AE328" s="232" t="inlineStr">
        <is>
          <t>1、签订期间：2026.2.26-2026.8.25；
2、指标按照全年换算；</t>
        </is>
      </c>
    </row>
    <row r="329" hidden="1" ht="36" customFormat="1" customHeight="1" s="209">
      <c r="A329" s="219" t="n">
        <v>327</v>
      </c>
      <c r="B329" s="220" t="inlineStr">
        <is>
          <t>KQCY0327</t>
        </is>
      </c>
      <c r="C329" s="221" t="inlineStr">
        <is>
          <t>餐饮五分部</t>
        </is>
      </c>
      <c r="D329" s="221" t="inlineStr">
        <is>
          <t>CF102</t>
        </is>
      </c>
      <c r="E329" s="221" t="inlineStr">
        <is>
          <t>苏大东区四食堂</t>
        </is>
      </c>
      <c r="F329" s="219" t="inlineStr">
        <is>
          <t>分组作业</t>
        </is>
      </c>
      <c r="G329" s="222" t="inlineStr">
        <is>
          <t>卫屹</t>
        </is>
      </c>
      <c r="H329" s="503" t="inlineStr">
        <is>
          <t>/</t>
        </is>
      </c>
      <c r="I329" s="237" t="inlineStr">
        <is>
          <t>麻辣香锅</t>
        </is>
      </c>
      <c r="J329" s="222" t="inlineStr">
        <is>
          <t>祁从忙</t>
        </is>
      </c>
      <c r="K329" s="222" t="n"/>
      <c r="L329" s="224" t="n"/>
      <c r="M329" s="224" t="inlineStr">
        <is>
          <t>/</t>
        </is>
      </c>
      <c r="N329" s="651" t="n">
        <v>800000</v>
      </c>
      <c r="O329" s="235" t="n">
        <v>0.15</v>
      </c>
      <c r="P329" s="235" t="inlineStr">
        <is>
          <t>/</t>
        </is>
      </c>
      <c r="Q329" s="235" t="n">
        <v>0.02</v>
      </c>
      <c r="R329" s="235" t="inlineStr">
        <is>
          <t>/</t>
        </is>
      </c>
      <c r="S329" s="235" t="inlineStr">
        <is>
          <t>/</t>
        </is>
      </c>
      <c r="T329" s="235" t="inlineStr">
        <is>
          <t>/</t>
        </is>
      </c>
      <c r="U329" s="235" t="inlineStr">
        <is>
          <t>/</t>
        </is>
      </c>
      <c r="V329" s="235" t="n">
        <v>0.02</v>
      </c>
      <c r="W329" s="235" t="n">
        <v>0.07000000000000001</v>
      </c>
      <c r="X329" s="235" t="inlineStr">
        <is>
          <t>按实</t>
        </is>
      </c>
      <c r="Y329" s="235" t="inlineStr">
        <is>
          <t>/</t>
        </is>
      </c>
      <c r="Z329" s="235" t="inlineStr">
        <is>
          <t>/</t>
        </is>
      </c>
      <c r="AA329" s="235" t="inlineStr">
        <is>
          <t>按实</t>
        </is>
      </c>
      <c r="AB329" s="652" t="inlineStr">
        <is>
          <t>/</t>
        </is>
      </c>
      <c r="AC329" s="652" t="inlineStr">
        <is>
          <t>/</t>
        </is>
      </c>
      <c r="AD329" s="230" t="inlineStr">
        <is>
          <t xml:space="preserve">
1、管理人员费：项目反馈不收取，包含在服务费中；
</t>
        </is>
      </c>
      <c r="AE329" s="232" t="inlineStr">
        <is>
          <t>1、签订期间：2026.2.26-2026.8.25；
2、指标按照全年换算；</t>
        </is>
      </c>
    </row>
    <row r="330" hidden="1" ht="36" customFormat="1" customHeight="1" s="209">
      <c r="A330" s="219" t="n">
        <v>328</v>
      </c>
      <c r="B330" s="220" t="inlineStr">
        <is>
          <t>KQCY0328</t>
        </is>
      </c>
      <c r="C330" s="221" t="inlineStr">
        <is>
          <t>餐饮五分部</t>
        </is>
      </c>
      <c r="D330" s="221" t="inlineStr">
        <is>
          <t>CF102</t>
        </is>
      </c>
      <c r="E330" s="221" t="inlineStr">
        <is>
          <t>苏大东区四食堂</t>
        </is>
      </c>
      <c r="F330" s="219" t="inlineStr">
        <is>
          <t>分组作业</t>
        </is>
      </c>
      <c r="G330" s="222" t="inlineStr">
        <is>
          <t>卫屹</t>
        </is>
      </c>
      <c r="H330" s="503" t="inlineStr">
        <is>
          <t>/</t>
        </is>
      </c>
      <c r="I330" s="237" t="inlineStr">
        <is>
          <t>奉天朱家小馆</t>
        </is>
      </c>
      <c r="J330" s="222" t="inlineStr">
        <is>
          <t>闫闪闪</t>
        </is>
      </c>
      <c r="K330" s="222" t="n"/>
      <c r="L330" s="224" t="n"/>
      <c r="M330" s="224" t="inlineStr">
        <is>
          <t>/</t>
        </is>
      </c>
      <c r="N330" s="651" t="n">
        <v>800000</v>
      </c>
      <c r="O330" s="235" t="n">
        <v>0.15</v>
      </c>
      <c r="P330" s="235" t="inlineStr">
        <is>
          <t>/</t>
        </is>
      </c>
      <c r="Q330" s="235" t="n">
        <v>0.02</v>
      </c>
      <c r="R330" s="235" t="inlineStr">
        <is>
          <t>/</t>
        </is>
      </c>
      <c r="S330" s="235" t="inlineStr">
        <is>
          <t>/</t>
        </is>
      </c>
      <c r="T330" s="235" t="inlineStr">
        <is>
          <t>/</t>
        </is>
      </c>
      <c r="U330" s="235" t="inlineStr">
        <is>
          <t>/</t>
        </is>
      </c>
      <c r="V330" s="235" t="n">
        <v>0.02</v>
      </c>
      <c r="W330" s="235" t="n">
        <v>0.07000000000000001</v>
      </c>
      <c r="X330" s="235" t="inlineStr">
        <is>
          <t>按实</t>
        </is>
      </c>
      <c r="Y330" s="235" t="inlineStr">
        <is>
          <t>/</t>
        </is>
      </c>
      <c r="Z330" s="235" t="inlineStr">
        <is>
          <t>/</t>
        </is>
      </c>
      <c r="AA330" s="235" t="inlineStr">
        <is>
          <t>按实</t>
        </is>
      </c>
      <c r="AB330" s="652" t="inlineStr">
        <is>
          <t>/</t>
        </is>
      </c>
      <c r="AC330" s="652" t="inlineStr">
        <is>
          <t>/</t>
        </is>
      </c>
      <c r="AD330" s="230" t="inlineStr">
        <is>
          <t xml:space="preserve">
1、管理人员费：项目反馈不收取，包含在服务费中；
</t>
        </is>
      </c>
      <c r="AE330" s="232" t="inlineStr">
        <is>
          <t>1、签订期间：2026.2.26-2026.8.25；
2、指标按照全年换算；</t>
        </is>
      </c>
    </row>
    <row r="331" hidden="1" ht="36" customFormat="1" customHeight="1" s="209">
      <c r="A331" s="219" t="n">
        <v>329</v>
      </c>
      <c r="B331" s="220" t="inlineStr">
        <is>
          <t>KQCY0329</t>
        </is>
      </c>
      <c r="C331" s="221" t="inlineStr">
        <is>
          <t>餐饮五分部</t>
        </is>
      </c>
      <c r="D331" s="221" t="inlineStr">
        <is>
          <t>CF102</t>
        </is>
      </c>
      <c r="E331" s="221" t="inlineStr">
        <is>
          <t>苏大东区四食堂</t>
        </is>
      </c>
      <c r="F331" s="219" t="inlineStr">
        <is>
          <t>分组作业</t>
        </is>
      </c>
      <c r="G331" s="222" t="inlineStr">
        <is>
          <t>卫屹</t>
        </is>
      </c>
      <c r="H331" s="503" t="inlineStr">
        <is>
          <t>/</t>
        </is>
      </c>
      <c r="I331" s="237" t="inlineStr">
        <is>
          <t>李左奚香港肥汁米线</t>
        </is>
      </c>
      <c r="J331" s="222" t="inlineStr">
        <is>
          <t>杨伟明</t>
        </is>
      </c>
      <c r="K331" s="222" t="n"/>
      <c r="L331" s="224" t="n"/>
      <c r="M331" s="224" t="inlineStr">
        <is>
          <t>/</t>
        </is>
      </c>
      <c r="N331" s="651" t="n">
        <v>560000</v>
      </c>
      <c r="O331" s="235" t="n">
        <v>0.15</v>
      </c>
      <c r="P331" s="235" t="inlineStr">
        <is>
          <t>/</t>
        </is>
      </c>
      <c r="Q331" s="235" t="n">
        <v>0.02</v>
      </c>
      <c r="R331" s="235" t="inlineStr">
        <is>
          <t>/</t>
        </is>
      </c>
      <c r="S331" s="235" t="inlineStr">
        <is>
          <t>/</t>
        </is>
      </c>
      <c r="T331" s="235" t="inlineStr">
        <is>
          <t>/</t>
        </is>
      </c>
      <c r="U331" s="235" t="inlineStr">
        <is>
          <t>/</t>
        </is>
      </c>
      <c r="V331" s="235" t="n">
        <v>0.02</v>
      </c>
      <c r="W331" s="235" t="n">
        <v>0.07000000000000001</v>
      </c>
      <c r="X331" s="235" t="inlineStr">
        <is>
          <t>按实</t>
        </is>
      </c>
      <c r="Y331" s="235" t="inlineStr">
        <is>
          <t>/</t>
        </is>
      </c>
      <c r="Z331" s="235" t="inlineStr">
        <is>
          <t>/</t>
        </is>
      </c>
      <c r="AA331" s="235" t="inlineStr">
        <is>
          <t>按实</t>
        </is>
      </c>
      <c r="AB331" s="652" t="inlineStr">
        <is>
          <t>/</t>
        </is>
      </c>
      <c r="AC331" s="652" t="inlineStr">
        <is>
          <t>/</t>
        </is>
      </c>
      <c r="AD331" s="230" t="inlineStr">
        <is>
          <t xml:space="preserve">
1、管理人员费：项目反馈不收取，包含在服务费中；
</t>
        </is>
      </c>
      <c r="AE331" s="232" t="inlineStr">
        <is>
          <t>1、签订期间：2026.2.26-2026.8.25；
2、指标按照全年换算；</t>
        </is>
      </c>
    </row>
    <row r="332" hidden="1" ht="36" customFormat="1" customHeight="1" s="209">
      <c r="A332" s="219" t="n">
        <v>330</v>
      </c>
      <c r="B332" s="220" t="inlineStr">
        <is>
          <t>KQCY0330</t>
        </is>
      </c>
      <c r="C332" s="221" t="inlineStr">
        <is>
          <t>餐饮五分部</t>
        </is>
      </c>
      <c r="D332" s="221" t="inlineStr">
        <is>
          <t>CF102</t>
        </is>
      </c>
      <c r="E332" s="221" t="inlineStr">
        <is>
          <t>苏大东区四食堂</t>
        </is>
      </c>
      <c r="F332" s="219" t="inlineStr">
        <is>
          <t>分组作业</t>
        </is>
      </c>
      <c r="G332" s="222" t="inlineStr">
        <is>
          <t>卫屹</t>
        </is>
      </c>
      <c r="H332" s="503" t="inlineStr">
        <is>
          <t>/</t>
        </is>
      </c>
      <c r="I332" s="237" t="inlineStr">
        <is>
          <t>好粥道(卤味套餐饭)</t>
        </is>
      </c>
      <c r="J332" s="222" t="inlineStr">
        <is>
          <t>朱德国</t>
        </is>
      </c>
      <c r="K332" s="222" t="n"/>
      <c r="L332" s="224" t="n"/>
      <c r="M332" s="224" t="inlineStr">
        <is>
          <t>/</t>
        </is>
      </c>
      <c r="N332" s="651" t="n">
        <v>2760000</v>
      </c>
      <c r="O332" s="235" t="n">
        <v>0.15</v>
      </c>
      <c r="P332" s="235" t="inlineStr">
        <is>
          <t>/</t>
        </is>
      </c>
      <c r="Q332" s="235" t="n">
        <v>0.02</v>
      </c>
      <c r="R332" s="235" t="inlineStr">
        <is>
          <t>/</t>
        </is>
      </c>
      <c r="S332" s="235" t="inlineStr">
        <is>
          <t>/</t>
        </is>
      </c>
      <c r="T332" s="235" t="inlineStr">
        <is>
          <t>/</t>
        </is>
      </c>
      <c r="U332" s="235" t="inlineStr">
        <is>
          <t>/</t>
        </is>
      </c>
      <c r="V332" s="235" t="n">
        <v>0.02</v>
      </c>
      <c r="W332" s="235" t="n">
        <v>0.07000000000000001</v>
      </c>
      <c r="X332" s="235" t="inlineStr">
        <is>
          <t>按实</t>
        </is>
      </c>
      <c r="Y332" s="235" t="inlineStr">
        <is>
          <t>/</t>
        </is>
      </c>
      <c r="Z332" s="235" t="inlineStr">
        <is>
          <t>/</t>
        </is>
      </c>
      <c r="AA332" s="235" t="inlineStr">
        <is>
          <t>按实</t>
        </is>
      </c>
      <c r="AB332" s="652" t="inlineStr">
        <is>
          <t>/</t>
        </is>
      </c>
      <c r="AC332" s="652" t="inlineStr">
        <is>
          <t>/</t>
        </is>
      </c>
      <c r="AD332" s="230" t="inlineStr">
        <is>
          <t xml:space="preserve">
1、管理人员费：项目反馈不收取，包含在服务费中；
</t>
        </is>
      </c>
      <c r="AE332" s="232" t="inlineStr">
        <is>
          <t>1、签订期间：2026.2.26-2026.8.25；
2、指标按照全年换算；</t>
        </is>
      </c>
    </row>
    <row r="333" hidden="1" ht="36" customFormat="1" customHeight="1" s="209">
      <c r="A333" s="219" t="n">
        <v>331</v>
      </c>
      <c r="B333" s="220" t="inlineStr">
        <is>
          <t>KQCY0331</t>
        </is>
      </c>
      <c r="C333" s="221" t="inlineStr">
        <is>
          <t>餐饮五分部</t>
        </is>
      </c>
      <c r="D333" s="221" t="inlineStr">
        <is>
          <t>CF102</t>
        </is>
      </c>
      <c r="E333" s="221" t="inlineStr">
        <is>
          <t>苏大东区四食堂</t>
        </is>
      </c>
      <c r="F333" s="219" t="inlineStr">
        <is>
          <t>分组作业</t>
        </is>
      </c>
      <c r="G333" s="222" t="inlineStr">
        <is>
          <t>卫屹</t>
        </is>
      </c>
      <c r="H333" s="503" t="inlineStr">
        <is>
          <t>/</t>
        </is>
      </c>
      <c r="I333" s="237" t="inlineStr">
        <is>
          <t>炒饭.炖罐</t>
        </is>
      </c>
      <c r="J333" s="222" t="inlineStr">
        <is>
          <t>朱少谦</t>
        </is>
      </c>
      <c r="K333" s="222" t="n"/>
      <c r="L333" s="224" t="n"/>
      <c r="M333" s="224" t="inlineStr">
        <is>
          <t>/</t>
        </is>
      </c>
      <c r="N333" s="651" t="n">
        <v>580000</v>
      </c>
      <c r="O333" s="235" t="n">
        <v>0.15</v>
      </c>
      <c r="P333" s="235" t="inlineStr">
        <is>
          <t>/</t>
        </is>
      </c>
      <c r="Q333" s="235" t="n">
        <v>0.02</v>
      </c>
      <c r="R333" s="235" t="inlineStr">
        <is>
          <t>/</t>
        </is>
      </c>
      <c r="S333" s="235" t="inlineStr">
        <is>
          <t>/</t>
        </is>
      </c>
      <c r="T333" s="235" t="inlineStr">
        <is>
          <t>/</t>
        </is>
      </c>
      <c r="U333" s="235" t="inlineStr">
        <is>
          <t>/</t>
        </is>
      </c>
      <c r="V333" s="235" t="n">
        <v>0.02</v>
      </c>
      <c r="W333" s="235" t="n">
        <v>0.07000000000000001</v>
      </c>
      <c r="X333" s="235" t="inlineStr">
        <is>
          <t>按实</t>
        </is>
      </c>
      <c r="Y333" s="235" t="inlineStr">
        <is>
          <t>/</t>
        </is>
      </c>
      <c r="Z333" s="235" t="inlineStr">
        <is>
          <t>/</t>
        </is>
      </c>
      <c r="AA333" s="235" t="inlineStr">
        <is>
          <t>按实</t>
        </is>
      </c>
      <c r="AB333" s="652" t="inlineStr">
        <is>
          <t>/</t>
        </is>
      </c>
      <c r="AC333" s="652" t="inlineStr">
        <is>
          <t>/</t>
        </is>
      </c>
      <c r="AD333" s="230" t="inlineStr">
        <is>
          <t xml:space="preserve">
1、管理人员费：项目反馈不收取，包含在服务费中；
</t>
        </is>
      </c>
      <c r="AE333" s="232" t="inlineStr">
        <is>
          <t>1、签订期间：2026.2.26-2026.8.25；
2、指标按照全年换算；</t>
        </is>
      </c>
    </row>
    <row r="334" hidden="1" ht="36" customFormat="1" customHeight="1" s="209">
      <c r="A334" s="219" t="n">
        <v>332</v>
      </c>
      <c r="B334" s="220" t="inlineStr">
        <is>
          <t>KQCY0332</t>
        </is>
      </c>
      <c r="C334" s="221" t="inlineStr">
        <is>
          <t>餐饮五分部</t>
        </is>
      </c>
      <c r="D334" s="221" t="inlineStr">
        <is>
          <t>CF102</t>
        </is>
      </c>
      <c r="E334" s="221" t="inlineStr">
        <is>
          <t>苏大东区四食堂</t>
        </is>
      </c>
      <c r="F334" s="219" t="inlineStr">
        <is>
          <t>分组作业</t>
        </is>
      </c>
      <c r="G334" s="222" t="inlineStr">
        <is>
          <t>卫屹</t>
        </is>
      </c>
      <c r="H334" s="503" t="inlineStr">
        <is>
          <t>/</t>
        </is>
      </c>
      <c r="I334" s="237" t="inlineStr">
        <is>
          <t>七里糖</t>
        </is>
      </c>
      <c r="J334" s="222" t="inlineStr">
        <is>
          <t>任浩龙</t>
        </is>
      </c>
      <c r="K334" s="222" t="n"/>
      <c r="L334" s="224" t="n"/>
      <c r="M334" s="224" t="inlineStr">
        <is>
          <t>/</t>
        </is>
      </c>
      <c r="N334" s="651" t="n">
        <v>640000</v>
      </c>
      <c r="O334" s="235" t="n">
        <v>0.12</v>
      </c>
      <c r="P334" s="235" t="inlineStr">
        <is>
          <t>/</t>
        </is>
      </c>
      <c r="Q334" s="235" t="n">
        <v>0.02</v>
      </c>
      <c r="R334" s="235" t="inlineStr">
        <is>
          <t>/</t>
        </is>
      </c>
      <c r="S334" s="235" t="inlineStr">
        <is>
          <t>/</t>
        </is>
      </c>
      <c r="T334" s="235" t="inlineStr">
        <is>
          <t>/</t>
        </is>
      </c>
      <c r="U334" s="235" t="inlineStr">
        <is>
          <t>/</t>
        </is>
      </c>
      <c r="V334" s="235" t="n">
        <v>0.02</v>
      </c>
      <c r="W334" s="235" t="n">
        <v>0.07000000000000001</v>
      </c>
      <c r="X334" s="235" t="inlineStr">
        <is>
          <t>按实</t>
        </is>
      </c>
      <c r="Y334" s="235" t="inlineStr">
        <is>
          <t>/</t>
        </is>
      </c>
      <c r="Z334" s="235" t="inlineStr">
        <is>
          <t>/</t>
        </is>
      </c>
      <c r="AA334" s="235" t="inlineStr">
        <is>
          <t>按实</t>
        </is>
      </c>
      <c r="AB334" s="652" t="inlineStr">
        <is>
          <t>/</t>
        </is>
      </c>
      <c r="AC334" s="652" t="inlineStr">
        <is>
          <t>/</t>
        </is>
      </c>
      <c r="AD334" s="230" t="inlineStr">
        <is>
          <t xml:space="preserve">
1、管理人员费：项目反馈不收取，包含在服务费中；
</t>
        </is>
      </c>
      <c r="AE334" s="232" t="inlineStr">
        <is>
          <t>1、签订期间：2026.2.26-2026.8.25；
2、指标按照全年换算；</t>
        </is>
      </c>
    </row>
    <row r="335" hidden="1" ht="36" customFormat="1" customHeight="1" s="209">
      <c r="A335" s="219" t="n">
        <v>333</v>
      </c>
      <c r="B335" s="220" t="inlineStr">
        <is>
          <t>KQCY0333</t>
        </is>
      </c>
      <c r="C335" s="221" t="inlineStr">
        <is>
          <t>餐饮五分部</t>
        </is>
      </c>
      <c r="D335" s="221" t="inlineStr">
        <is>
          <t>CF102</t>
        </is>
      </c>
      <c r="E335" s="221" t="inlineStr">
        <is>
          <t>苏大东区四食堂</t>
        </is>
      </c>
      <c r="F335" s="219" t="inlineStr">
        <is>
          <t>分组作业</t>
        </is>
      </c>
      <c r="G335" s="222" t="inlineStr">
        <is>
          <t>卫屹</t>
        </is>
      </c>
      <c r="H335" s="503" t="inlineStr">
        <is>
          <t>/</t>
        </is>
      </c>
      <c r="I335" s="237" t="inlineStr">
        <is>
          <t>港式云吞</t>
        </is>
      </c>
      <c r="J335" s="222" t="inlineStr">
        <is>
          <t>杨华建</t>
        </is>
      </c>
      <c r="K335" s="222" t="n"/>
      <c r="L335" s="224" t="n"/>
      <c r="M335" s="224" t="inlineStr">
        <is>
          <t>/</t>
        </is>
      </c>
      <c r="N335" s="651" t="n">
        <v>300000</v>
      </c>
      <c r="O335" s="235" t="n">
        <v>0.1</v>
      </c>
      <c r="P335" s="235" t="inlineStr">
        <is>
          <t>/</t>
        </is>
      </c>
      <c r="Q335" s="235" t="n">
        <v>0.02</v>
      </c>
      <c r="R335" s="235" t="inlineStr">
        <is>
          <t>/</t>
        </is>
      </c>
      <c r="S335" s="235" t="inlineStr">
        <is>
          <t>/</t>
        </is>
      </c>
      <c r="T335" s="235" t="inlineStr">
        <is>
          <t>/</t>
        </is>
      </c>
      <c r="U335" s="235" t="inlineStr">
        <is>
          <t>/</t>
        </is>
      </c>
      <c r="V335" s="235" t="n">
        <v>0.02</v>
      </c>
      <c r="W335" s="235" t="n">
        <v>0.07000000000000001</v>
      </c>
      <c r="X335" s="235" t="inlineStr">
        <is>
          <t>按实</t>
        </is>
      </c>
      <c r="Y335" s="235" t="inlineStr">
        <is>
          <t>/</t>
        </is>
      </c>
      <c r="Z335" s="235" t="inlineStr">
        <is>
          <t>/</t>
        </is>
      </c>
      <c r="AA335" s="235" t="inlineStr">
        <is>
          <t>按实</t>
        </is>
      </c>
      <c r="AB335" s="652" t="inlineStr">
        <is>
          <t>/</t>
        </is>
      </c>
      <c r="AC335" s="652" t="inlineStr">
        <is>
          <t>/</t>
        </is>
      </c>
      <c r="AD335" s="230" t="inlineStr">
        <is>
          <t xml:space="preserve">
1、管理人员费：项目反馈不收取，包含在服务费中；
</t>
        </is>
      </c>
      <c r="AE335" s="232" t="inlineStr">
        <is>
          <t>1、签订期间：2026.2.26-2026.8.25；
2、指标按照全年换算；</t>
        </is>
      </c>
    </row>
    <row r="336" hidden="1" ht="36" customFormat="1" customHeight="1" s="209">
      <c r="A336" s="219" t="n">
        <v>334</v>
      </c>
      <c r="B336" s="220" t="inlineStr">
        <is>
          <t>KQCY0334</t>
        </is>
      </c>
      <c r="C336" s="221" t="inlineStr">
        <is>
          <t>餐饮五分部</t>
        </is>
      </c>
      <c r="D336" s="221" t="inlineStr">
        <is>
          <t>CF102</t>
        </is>
      </c>
      <c r="E336" s="221" t="inlineStr">
        <is>
          <t>苏大东区四食堂</t>
        </is>
      </c>
      <c r="F336" s="219" t="inlineStr">
        <is>
          <t>分组作业</t>
        </is>
      </c>
      <c r="G336" s="222" t="inlineStr">
        <is>
          <t>卫屹</t>
        </is>
      </c>
      <c r="H336" s="503" t="inlineStr">
        <is>
          <t>/</t>
        </is>
      </c>
      <c r="I336" s="237" t="inlineStr">
        <is>
          <t>烤肉拌饭</t>
        </is>
      </c>
      <c r="J336" s="222" t="inlineStr">
        <is>
          <t>李红利</t>
        </is>
      </c>
      <c r="K336" s="222" t="n"/>
      <c r="L336" s="224" t="n"/>
      <c r="M336" s="224" t="inlineStr">
        <is>
          <t>/</t>
        </is>
      </c>
      <c r="N336" s="651" t="n">
        <v>640000</v>
      </c>
      <c r="O336" s="235" t="n">
        <v>0.09</v>
      </c>
      <c r="P336" s="235" t="inlineStr">
        <is>
          <t>/</t>
        </is>
      </c>
      <c r="Q336" s="235" t="n">
        <v>0.02</v>
      </c>
      <c r="R336" s="235" t="inlineStr">
        <is>
          <t>/</t>
        </is>
      </c>
      <c r="S336" s="235" t="inlineStr">
        <is>
          <t>/</t>
        </is>
      </c>
      <c r="T336" s="235" t="inlineStr">
        <is>
          <t>/</t>
        </is>
      </c>
      <c r="U336" s="235" t="inlineStr">
        <is>
          <t>/</t>
        </is>
      </c>
      <c r="V336" s="235" t="n">
        <v>0.02</v>
      </c>
      <c r="W336" s="235" t="n">
        <v>0.07000000000000001</v>
      </c>
      <c r="X336" s="235" t="inlineStr">
        <is>
          <t>按实</t>
        </is>
      </c>
      <c r="Y336" s="235" t="inlineStr">
        <is>
          <t>/</t>
        </is>
      </c>
      <c r="Z336" s="235" t="inlineStr">
        <is>
          <t>/</t>
        </is>
      </c>
      <c r="AA336" s="235" t="inlineStr">
        <is>
          <t>按实</t>
        </is>
      </c>
      <c r="AB336" s="652" t="inlineStr">
        <is>
          <t>/</t>
        </is>
      </c>
      <c r="AC336" s="652" t="inlineStr">
        <is>
          <t>/</t>
        </is>
      </c>
      <c r="AD336" s="230" t="inlineStr">
        <is>
          <t xml:space="preserve">
1、管理人员费：项目反馈不收取，包含在服务费中；
</t>
        </is>
      </c>
      <c r="AE336" s="232" t="inlineStr">
        <is>
          <t>1、签订期间：2026.2.26-2026.8.25；
2、指标按照全年换算；</t>
        </is>
      </c>
    </row>
    <row r="337" hidden="1" ht="12" customFormat="1" customHeight="1" s="209">
      <c r="A337" s="219" t="n">
        <v>335</v>
      </c>
      <c r="B337" s="220" t="inlineStr">
        <is>
          <t>KQCY0335</t>
        </is>
      </c>
      <c r="C337" s="221" t="inlineStr">
        <is>
          <t>餐饮五分部</t>
        </is>
      </c>
      <c r="D337" s="221" t="inlineStr">
        <is>
          <t>CF108</t>
        </is>
      </c>
      <c r="E337" s="221" t="inlineStr">
        <is>
          <t>苏大北区六食堂</t>
        </is>
      </c>
      <c r="F337" s="219" t="inlineStr">
        <is>
          <t>自营</t>
        </is>
      </c>
      <c r="G337" s="222" t="inlineStr">
        <is>
          <t>卫屹</t>
        </is>
      </c>
      <c r="H337" s="503" t="inlineStr">
        <is>
          <t>/</t>
        </is>
      </c>
      <c r="I337" s="237" t="inlineStr">
        <is>
          <t>/</t>
        </is>
      </c>
      <c r="J337" s="222" t="inlineStr">
        <is>
          <t>/</t>
        </is>
      </c>
      <c r="K337" s="222" t="n"/>
      <c r="L337" s="224" t="n"/>
      <c r="M337" s="224" t="inlineStr">
        <is>
          <t>/</t>
        </is>
      </c>
      <c r="N337" s="651" t="inlineStr">
        <is>
          <t>/</t>
        </is>
      </c>
      <c r="O337" s="235" t="inlineStr">
        <is>
          <t>/</t>
        </is>
      </c>
      <c r="P337" s="235" t="inlineStr">
        <is>
          <t>/</t>
        </is>
      </c>
      <c r="Q337" s="235" t="inlineStr">
        <is>
          <t>/</t>
        </is>
      </c>
      <c r="R337" s="235" t="inlineStr">
        <is>
          <t>/</t>
        </is>
      </c>
      <c r="S337" s="235" t="inlineStr">
        <is>
          <t>/</t>
        </is>
      </c>
      <c r="T337" s="235" t="inlineStr">
        <is>
          <t>/</t>
        </is>
      </c>
      <c r="U337" s="235" t="inlineStr">
        <is>
          <t>/</t>
        </is>
      </c>
      <c r="V337" s="235" t="inlineStr">
        <is>
          <t>/</t>
        </is>
      </c>
      <c r="W337" s="235" t="inlineStr">
        <is>
          <t>/</t>
        </is>
      </c>
      <c r="X337" s="235" t="inlineStr">
        <is>
          <t>/</t>
        </is>
      </c>
      <c r="Y337" s="235" t="n"/>
      <c r="Z337" s="235" t="n"/>
      <c r="AA337" s="235" t="n">
        <v>0.52</v>
      </c>
      <c r="AB337" s="46" t="n">
        <v>0.06</v>
      </c>
      <c r="AC337" s="46" t="n">
        <v>0.005</v>
      </c>
      <c r="AD337" s="232" t="inlineStr">
        <is>
          <t>1、原材料：根据与甲方合同约定执行；</t>
        </is>
      </c>
      <c r="AE337" s="232" t="n"/>
    </row>
    <row r="338" hidden="1" ht="48" customFormat="1" customHeight="1" s="209">
      <c r="A338" s="219" t="n">
        <v>336</v>
      </c>
      <c r="B338" s="220" t="inlineStr">
        <is>
          <t>KQCY0336</t>
        </is>
      </c>
      <c r="C338" s="221" t="inlineStr">
        <is>
          <t>餐饮五分部</t>
        </is>
      </c>
      <c r="D338" s="221" t="inlineStr">
        <is>
          <t>CF108</t>
        </is>
      </c>
      <c r="E338" s="221" t="inlineStr">
        <is>
          <t>苏大北区六食堂</t>
        </is>
      </c>
      <c r="F338" s="219" t="inlineStr">
        <is>
          <t>分组作业</t>
        </is>
      </c>
      <c r="G338" s="222" t="inlineStr">
        <is>
          <t>卫屹</t>
        </is>
      </c>
      <c r="H338" s="503" t="inlineStr">
        <is>
          <t>/</t>
        </is>
      </c>
      <c r="I338" s="237" t="inlineStr">
        <is>
          <t>快餐</t>
        </is>
      </c>
      <c r="J338" s="222" t="inlineStr">
        <is>
          <t>刘立强</t>
        </is>
      </c>
      <c r="K338" s="222" t="n"/>
      <c r="L338" s="224" t="n"/>
      <c r="M338" s="224" t="inlineStr">
        <is>
          <t>/</t>
        </is>
      </c>
      <c r="N338" s="651" t="n">
        <v>1940000</v>
      </c>
      <c r="O338" s="235" t="n">
        <v>0.11</v>
      </c>
      <c r="P338" s="235" t="n">
        <v>0.01</v>
      </c>
      <c r="Q338" s="235" t="n">
        <v>0</v>
      </c>
      <c r="R338" s="235" t="n">
        <v>0.01</v>
      </c>
      <c r="S338" s="235" t="n">
        <v>0.01</v>
      </c>
      <c r="T338" s="235" t="n">
        <v>0</v>
      </c>
      <c r="U338" s="235" t="n">
        <v>0</v>
      </c>
      <c r="V338" s="461" t="inlineStr">
        <is>
          <t>1000元/月，每年1、2、7月份按实际经营天数结算</t>
        </is>
      </c>
      <c r="W338" s="235" t="n">
        <v>0.07000000000000001</v>
      </c>
      <c r="X338" s="235" t="inlineStr">
        <is>
          <t>按实</t>
        </is>
      </c>
      <c r="Y338" s="235" t="inlineStr">
        <is>
          <t>/</t>
        </is>
      </c>
      <c r="Z338" s="235" t="inlineStr">
        <is>
          <t>/</t>
        </is>
      </c>
      <c r="AA338" s="235" t="inlineStr">
        <is>
          <t>按实</t>
        </is>
      </c>
      <c r="AB338" s="652" t="inlineStr">
        <is>
          <t>/</t>
        </is>
      </c>
      <c r="AC338" s="652" t="inlineStr">
        <is>
          <t>/</t>
        </is>
      </c>
      <c r="AD338" s="230" t="inlineStr">
        <is>
          <t xml:space="preserve">1、服务费：包含甲方人员工资、甲方捐赠，不单独分摊
</t>
        </is>
      </c>
      <c r="AE338" s="232" t="inlineStr">
        <is>
          <t>1、签订期间：2026.1.26-2026.7.25；
2、指标按照全年换算；</t>
        </is>
      </c>
    </row>
    <row r="339" hidden="1" ht="48" customFormat="1" customHeight="1" s="209">
      <c r="A339" s="219" t="n">
        <v>337</v>
      </c>
      <c r="B339" s="220" t="inlineStr">
        <is>
          <t>KQCY0337</t>
        </is>
      </c>
      <c r="C339" s="221" t="inlineStr">
        <is>
          <t>餐饮五分部</t>
        </is>
      </c>
      <c r="D339" s="221" t="inlineStr">
        <is>
          <t>CF108</t>
        </is>
      </c>
      <c r="E339" s="221" t="inlineStr">
        <is>
          <t>苏大北区六食堂</t>
        </is>
      </c>
      <c r="F339" s="219" t="inlineStr">
        <is>
          <t>分组作业</t>
        </is>
      </c>
      <c r="G339" s="222" t="inlineStr">
        <is>
          <t>卫屹</t>
        </is>
      </c>
      <c r="H339" s="503" t="inlineStr">
        <is>
          <t>/</t>
        </is>
      </c>
      <c r="I339" s="237" t="inlineStr">
        <is>
          <t>香锅</t>
        </is>
      </c>
      <c r="J339" s="222" t="inlineStr">
        <is>
          <t>吕金春</t>
        </is>
      </c>
      <c r="K339" s="222" t="n"/>
      <c r="L339" s="224" t="n"/>
      <c r="M339" s="224" t="inlineStr">
        <is>
          <t>/</t>
        </is>
      </c>
      <c r="N339" s="651" t="n">
        <v>420000</v>
      </c>
      <c r="O339" s="235" t="n">
        <v>0.14</v>
      </c>
      <c r="P339" s="235" t="n">
        <v>0.01</v>
      </c>
      <c r="Q339" s="235" t="n">
        <v>0</v>
      </c>
      <c r="R339" s="235" t="n">
        <v>0.01</v>
      </c>
      <c r="S339" s="235" t="n">
        <v>0.01</v>
      </c>
      <c r="T339" s="235" t="n">
        <v>0</v>
      </c>
      <c r="U339" s="235" t="n">
        <v>0</v>
      </c>
      <c r="V339" s="461" t="inlineStr">
        <is>
          <t>1000元/月，每年1、2、7月份按实际经营天数结算</t>
        </is>
      </c>
      <c r="W339" s="235" t="n">
        <v>0.07000000000000001</v>
      </c>
      <c r="X339" s="235" t="inlineStr">
        <is>
          <t>按实</t>
        </is>
      </c>
      <c r="Y339" s="235" t="inlineStr">
        <is>
          <t>/</t>
        </is>
      </c>
      <c r="Z339" s="235" t="inlineStr">
        <is>
          <t>/</t>
        </is>
      </c>
      <c r="AA339" s="235" t="inlineStr">
        <is>
          <t>按实</t>
        </is>
      </c>
      <c r="AB339" s="652" t="inlineStr">
        <is>
          <t>/</t>
        </is>
      </c>
      <c r="AC339" s="652" t="inlineStr">
        <is>
          <t>/</t>
        </is>
      </c>
      <c r="AD339" s="230" t="inlineStr">
        <is>
          <t xml:space="preserve">1、服务费：包含甲方人员工资、甲方捐赠，不单独分摊
</t>
        </is>
      </c>
      <c r="AE339" s="232" t="inlineStr">
        <is>
          <t>1、签订期间：2026.1.26-2026.7.25；
2、指标按照全年换算；</t>
        </is>
      </c>
    </row>
    <row r="340" hidden="1" ht="48" customFormat="1" customHeight="1" s="209">
      <c r="A340" s="219" t="n">
        <v>338</v>
      </c>
      <c r="B340" s="220" t="inlineStr">
        <is>
          <t>KQCY0338</t>
        </is>
      </c>
      <c r="C340" s="221" t="inlineStr">
        <is>
          <t>餐饮五分部</t>
        </is>
      </c>
      <c r="D340" s="221" t="inlineStr">
        <is>
          <t>CF108</t>
        </is>
      </c>
      <c r="E340" s="221" t="inlineStr">
        <is>
          <t>苏大北区六食堂</t>
        </is>
      </c>
      <c r="F340" s="219" t="inlineStr">
        <is>
          <t>分组作业</t>
        </is>
      </c>
      <c r="G340" s="222" t="inlineStr">
        <is>
          <t>卫屹</t>
        </is>
      </c>
      <c r="H340" s="503" t="inlineStr">
        <is>
          <t>/</t>
        </is>
      </c>
      <c r="I340" s="237" t="inlineStr">
        <is>
          <t>黄焖鸡</t>
        </is>
      </c>
      <c r="J340" s="222" t="inlineStr">
        <is>
          <t>许可</t>
        </is>
      </c>
      <c r="K340" s="222" t="n"/>
      <c r="L340" s="224" t="n"/>
      <c r="M340" s="224" t="inlineStr">
        <is>
          <t>/</t>
        </is>
      </c>
      <c r="N340" s="651" t="n">
        <v>420000</v>
      </c>
      <c r="O340" s="235" t="n">
        <v>0.14</v>
      </c>
      <c r="P340" s="235" t="n">
        <v>0.01</v>
      </c>
      <c r="Q340" s="235" t="n">
        <v>0</v>
      </c>
      <c r="R340" s="235" t="n">
        <v>0.01</v>
      </c>
      <c r="S340" s="235" t="n">
        <v>0.01</v>
      </c>
      <c r="T340" s="235" t="n">
        <v>0</v>
      </c>
      <c r="U340" s="235" t="n">
        <v>0</v>
      </c>
      <c r="V340" s="461" t="inlineStr">
        <is>
          <t>1000元/月，每年1、2、7月份按实际经营天数结算</t>
        </is>
      </c>
      <c r="W340" s="235" t="n">
        <v>0.07000000000000001</v>
      </c>
      <c r="X340" s="235" t="inlineStr">
        <is>
          <t>按实</t>
        </is>
      </c>
      <c r="Y340" s="235" t="inlineStr">
        <is>
          <t>/</t>
        </is>
      </c>
      <c r="Z340" s="235" t="inlineStr">
        <is>
          <t>/</t>
        </is>
      </c>
      <c r="AA340" s="235" t="inlineStr">
        <is>
          <t>按实</t>
        </is>
      </c>
      <c r="AB340" s="652" t="inlineStr">
        <is>
          <t>/</t>
        </is>
      </c>
      <c r="AC340" s="652" t="inlineStr">
        <is>
          <t>/</t>
        </is>
      </c>
      <c r="AD340" s="230" t="inlineStr">
        <is>
          <t xml:space="preserve">1、服务费：包含甲方人员工资、甲方捐赠，不单独分摊
</t>
        </is>
      </c>
      <c r="AE340" s="232" t="inlineStr">
        <is>
          <t>1、签订期间：2026.1.26-2026.7.25；
2、指标按照全年换算；</t>
        </is>
      </c>
    </row>
    <row r="341" hidden="1" ht="48" customFormat="1" customHeight="1" s="209">
      <c r="A341" s="219" t="n">
        <v>339</v>
      </c>
      <c r="B341" s="220" t="inlineStr">
        <is>
          <t>KQCY0339</t>
        </is>
      </c>
      <c r="C341" s="221" t="inlineStr">
        <is>
          <t>餐饮五分部</t>
        </is>
      </c>
      <c r="D341" s="221" t="inlineStr">
        <is>
          <t>CF108</t>
        </is>
      </c>
      <c r="E341" s="221" t="inlineStr">
        <is>
          <t>苏大北区六食堂</t>
        </is>
      </c>
      <c r="F341" s="219" t="inlineStr">
        <is>
          <t>分组作业</t>
        </is>
      </c>
      <c r="G341" s="222" t="inlineStr">
        <is>
          <t>卫屹</t>
        </is>
      </c>
      <c r="H341" s="503" t="inlineStr">
        <is>
          <t>/</t>
        </is>
      </c>
      <c r="I341" s="237" t="inlineStr">
        <is>
          <t>千里香</t>
        </is>
      </c>
      <c r="J341" s="222" t="inlineStr">
        <is>
          <t>刘立强</t>
        </is>
      </c>
      <c r="K341" s="222" t="n"/>
      <c r="L341" s="224" t="n"/>
      <c r="M341" s="224" t="inlineStr">
        <is>
          <t>/</t>
        </is>
      </c>
      <c r="N341" s="651" t="n">
        <v>780000</v>
      </c>
      <c r="O341" s="235" t="n">
        <v>0.16</v>
      </c>
      <c r="P341" s="235" t="n">
        <v>0.01</v>
      </c>
      <c r="Q341" s="235" t="n">
        <v>0</v>
      </c>
      <c r="R341" s="235" t="n">
        <v>0.01</v>
      </c>
      <c r="S341" s="235" t="n">
        <v>0.01</v>
      </c>
      <c r="T341" s="235" t="n">
        <v>0</v>
      </c>
      <c r="U341" s="235" t="n">
        <v>0</v>
      </c>
      <c r="V341" s="461" t="inlineStr">
        <is>
          <t>1000元/月，每年1、2、7月份按实际经营天数结算</t>
        </is>
      </c>
      <c r="W341" s="235" t="n">
        <v>0.07000000000000001</v>
      </c>
      <c r="X341" s="235" t="inlineStr">
        <is>
          <t>按实</t>
        </is>
      </c>
      <c r="Y341" s="235" t="inlineStr">
        <is>
          <t>/</t>
        </is>
      </c>
      <c r="Z341" s="235" t="inlineStr">
        <is>
          <t>/</t>
        </is>
      </c>
      <c r="AA341" s="235" t="inlineStr">
        <is>
          <t>按实</t>
        </is>
      </c>
      <c r="AB341" s="652" t="inlineStr">
        <is>
          <t>/</t>
        </is>
      </c>
      <c r="AC341" s="652" t="inlineStr">
        <is>
          <t>/</t>
        </is>
      </c>
      <c r="AD341" s="230" t="inlineStr">
        <is>
          <t xml:space="preserve">1、服务费：包含甲方人员工资、甲方捐赠，不单独分摊
</t>
        </is>
      </c>
      <c r="AE341" s="232" t="inlineStr">
        <is>
          <t>1、签订期间：2026.1.26-2026.7.25；
2、指标按照全年换算；</t>
        </is>
      </c>
    </row>
    <row r="342" hidden="1" ht="48" customFormat="1" customHeight="1" s="209">
      <c r="A342" s="219" t="n">
        <v>340</v>
      </c>
      <c r="B342" s="220" t="inlineStr">
        <is>
          <t>KQCY0340</t>
        </is>
      </c>
      <c r="C342" s="221" t="inlineStr">
        <is>
          <t>餐饮五分部</t>
        </is>
      </c>
      <c r="D342" s="221" t="inlineStr">
        <is>
          <t>CF108</t>
        </is>
      </c>
      <c r="E342" s="221" t="inlineStr">
        <is>
          <t>苏大北区六食堂</t>
        </is>
      </c>
      <c r="F342" s="219" t="inlineStr">
        <is>
          <t>分组作业</t>
        </is>
      </c>
      <c r="G342" s="222" t="inlineStr">
        <is>
          <t>卫屹</t>
        </is>
      </c>
      <c r="H342" s="503" t="inlineStr">
        <is>
          <t>/</t>
        </is>
      </c>
      <c r="I342" s="237" t="inlineStr">
        <is>
          <t>拌面</t>
        </is>
      </c>
      <c r="J342" s="222" t="inlineStr">
        <is>
          <t>龚文涛</t>
        </is>
      </c>
      <c r="K342" s="222" t="n"/>
      <c r="L342" s="224" t="n"/>
      <c r="M342" s="224" t="inlineStr">
        <is>
          <t>/</t>
        </is>
      </c>
      <c r="N342" s="651" t="n">
        <v>420000</v>
      </c>
      <c r="O342" s="235" t="n">
        <v>0.16</v>
      </c>
      <c r="P342" s="235" t="n">
        <v>0.01</v>
      </c>
      <c r="Q342" s="235" t="n">
        <v>0</v>
      </c>
      <c r="R342" s="235" t="n">
        <v>0.01</v>
      </c>
      <c r="S342" s="235" t="n">
        <v>0.01</v>
      </c>
      <c r="T342" s="235" t="n">
        <v>0</v>
      </c>
      <c r="U342" s="235" t="n">
        <v>0</v>
      </c>
      <c r="V342" s="461" t="inlineStr">
        <is>
          <t>1000元/月，每年1、2、7月份按实际经营天数结算</t>
        </is>
      </c>
      <c r="W342" s="235" t="n">
        <v>0.07000000000000001</v>
      </c>
      <c r="X342" s="235" t="inlineStr">
        <is>
          <t>按实</t>
        </is>
      </c>
      <c r="Y342" s="235" t="inlineStr">
        <is>
          <t>/</t>
        </is>
      </c>
      <c r="Z342" s="235" t="inlineStr">
        <is>
          <t>/</t>
        </is>
      </c>
      <c r="AA342" s="235" t="inlineStr">
        <is>
          <t>按实</t>
        </is>
      </c>
      <c r="AB342" s="652" t="inlineStr">
        <is>
          <t>/</t>
        </is>
      </c>
      <c r="AC342" s="652" t="inlineStr">
        <is>
          <t>/</t>
        </is>
      </c>
      <c r="AD342" s="230" t="inlineStr">
        <is>
          <t xml:space="preserve">1、服务费：包含甲方人员工资、甲方捐赠，不单独分摊
</t>
        </is>
      </c>
      <c r="AE342" s="232" t="inlineStr">
        <is>
          <t>1、签订期间：2026.1.26-2026.7.25；
2、指标按照全年换算；</t>
        </is>
      </c>
    </row>
    <row r="343" hidden="1" ht="36" customFormat="1" customHeight="1" s="209">
      <c r="A343" s="219" t="n">
        <v>341</v>
      </c>
      <c r="B343" s="220" t="inlineStr">
        <is>
          <t>KQCY0341</t>
        </is>
      </c>
      <c r="C343" s="221" t="inlineStr">
        <is>
          <t>餐饮五分部</t>
        </is>
      </c>
      <c r="D343" s="221" t="inlineStr">
        <is>
          <t>CF108</t>
        </is>
      </c>
      <c r="E343" s="221" t="inlineStr">
        <is>
          <t>苏大北区六食堂</t>
        </is>
      </c>
      <c r="F343" s="219" t="inlineStr">
        <is>
          <t>分组作业</t>
        </is>
      </c>
      <c r="G343" s="222" t="inlineStr">
        <is>
          <t>卫屹</t>
        </is>
      </c>
      <c r="H343" s="503" t="inlineStr">
        <is>
          <t>/</t>
        </is>
      </c>
      <c r="I343" s="237" t="inlineStr">
        <is>
          <t>煎饼</t>
        </is>
      </c>
      <c r="J343" s="222" t="inlineStr">
        <is>
          <t>李秀德</t>
        </is>
      </c>
      <c r="K343" s="222" t="n"/>
      <c r="L343" s="224" t="n"/>
      <c r="M343" s="224" t="inlineStr">
        <is>
          <t>/</t>
        </is>
      </c>
      <c r="N343" s="651" t="n">
        <v>200000</v>
      </c>
      <c r="O343" s="235" t="n">
        <v>0.12</v>
      </c>
      <c r="P343" s="235" t="n">
        <v>0.01</v>
      </c>
      <c r="Q343" s="235" t="n">
        <v>0</v>
      </c>
      <c r="R343" s="235" t="n">
        <v>0.01</v>
      </c>
      <c r="S343" s="235" t="n">
        <v>0.01</v>
      </c>
      <c r="T343" s="235" t="n">
        <v>0</v>
      </c>
      <c r="U343" s="235" t="n">
        <v>0</v>
      </c>
      <c r="V343" s="461" t="inlineStr">
        <is>
          <t>500元，每年1、2、7月份按实际经营天数结算</t>
        </is>
      </c>
      <c r="W343" s="235" t="n">
        <v>0.07000000000000001</v>
      </c>
      <c r="X343" s="235" t="inlineStr">
        <is>
          <t>按实</t>
        </is>
      </c>
      <c r="Y343" s="235" t="inlineStr">
        <is>
          <t>/</t>
        </is>
      </c>
      <c r="Z343" s="235" t="inlineStr">
        <is>
          <t>/</t>
        </is>
      </c>
      <c r="AA343" s="235" t="inlineStr">
        <is>
          <t>按实</t>
        </is>
      </c>
      <c r="AB343" s="652" t="inlineStr">
        <is>
          <t>/</t>
        </is>
      </c>
      <c r="AC343" s="652" t="inlineStr">
        <is>
          <t>/</t>
        </is>
      </c>
      <c r="AD343" s="230" t="inlineStr">
        <is>
          <t xml:space="preserve">1、服务费：包含甲方人员工资、甲方捐赠，不单独分摊
</t>
        </is>
      </c>
      <c r="AE343" s="232" t="inlineStr">
        <is>
          <t>1、签订期间：2026.1.26-2026.7.25；
2、指标按照全年换算；</t>
        </is>
      </c>
    </row>
    <row r="344" hidden="1" ht="36" customFormat="1" customHeight="1" s="209">
      <c r="A344" s="219" t="n">
        <v>342</v>
      </c>
      <c r="B344" s="220" t="inlineStr">
        <is>
          <t>KQCY0342</t>
        </is>
      </c>
      <c r="C344" s="221" t="inlineStr">
        <is>
          <t>餐饮五分部</t>
        </is>
      </c>
      <c r="D344" s="221" t="inlineStr">
        <is>
          <t>CF108</t>
        </is>
      </c>
      <c r="E344" s="221" t="inlineStr">
        <is>
          <t>苏大北区六食堂</t>
        </is>
      </c>
      <c r="F344" s="219" t="inlineStr">
        <is>
          <t>分组作业</t>
        </is>
      </c>
      <c r="G344" s="222" t="inlineStr">
        <is>
          <t>卫屹</t>
        </is>
      </c>
      <c r="H344" s="503" t="inlineStr">
        <is>
          <t>/</t>
        </is>
      </c>
      <c r="I344" s="237" t="inlineStr">
        <is>
          <t>汉堡</t>
        </is>
      </c>
      <c r="J344" s="222" t="inlineStr">
        <is>
          <t>吴梦醒</t>
        </is>
      </c>
      <c r="K344" s="222" t="n"/>
      <c r="L344" s="224" t="n"/>
      <c r="M344" s="224" t="inlineStr">
        <is>
          <t>/</t>
        </is>
      </c>
      <c r="N344" s="651" t="n">
        <v>380000</v>
      </c>
      <c r="O344" s="235" t="n">
        <v>0.11</v>
      </c>
      <c r="P344" s="235" t="n">
        <v>0.01</v>
      </c>
      <c r="Q344" s="235" t="n">
        <v>0</v>
      </c>
      <c r="R344" s="235" t="n">
        <v>0.01</v>
      </c>
      <c r="S344" s="235" t="n">
        <v>0.01</v>
      </c>
      <c r="T344" s="235" t="n">
        <v>0</v>
      </c>
      <c r="U344" s="235" t="n">
        <v>0</v>
      </c>
      <c r="V344" s="461" t="inlineStr">
        <is>
          <t>500元，每年1、2、7月份按实际经营天数结算</t>
        </is>
      </c>
      <c r="W344" s="235" t="n">
        <v>0.07000000000000001</v>
      </c>
      <c r="X344" s="235" t="inlineStr">
        <is>
          <t>按实</t>
        </is>
      </c>
      <c r="Y344" s="461" t="inlineStr">
        <is>
          <t>/</t>
        </is>
      </c>
      <c r="Z344" s="461" t="inlineStr">
        <is>
          <t>/</t>
        </is>
      </c>
      <c r="AA344" s="461" t="inlineStr">
        <is>
          <t>按实</t>
        </is>
      </c>
      <c r="AB344" s="652" t="inlineStr">
        <is>
          <t>/</t>
        </is>
      </c>
      <c r="AC344" s="652" t="inlineStr">
        <is>
          <t>/</t>
        </is>
      </c>
      <c r="AD344" s="230" t="inlineStr">
        <is>
          <t xml:space="preserve">1、服务费：包含甲方人员工资、甲方捐赠，不单独分摊
</t>
        </is>
      </c>
      <c r="AE344" s="232" t="inlineStr">
        <is>
          <t>1、签订期间：2026.1.26-2026.7.25；
2、指标按照全年换算；</t>
        </is>
      </c>
    </row>
    <row r="345" hidden="1" ht="12" customFormat="1" customHeight="1" s="209">
      <c r="A345" s="219" t="n">
        <v>343</v>
      </c>
      <c r="B345" s="220" t="inlineStr">
        <is>
          <t>KQCY0343</t>
        </is>
      </c>
      <c r="C345" s="221" t="inlineStr">
        <is>
          <t>餐饮五分部</t>
        </is>
      </c>
      <c r="D345" s="221" t="inlineStr">
        <is>
          <t>CF101</t>
        </is>
      </c>
      <c r="E345" s="221" t="inlineStr">
        <is>
          <t>苏大本部方塔食堂</t>
        </is>
      </c>
      <c r="F345" s="219" t="inlineStr">
        <is>
          <t>强责</t>
        </is>
      </c>
      <c r="G345" s="222" t="inlineStr">
        <is>
          <t>卫屹</t>
        </is>
      </c>
      <c r="H345" s="222" t="inlineStr">
        <is>
          <t>/</t>
        </is>
      </c>
      <c r="I345" s="232" t="inlineStr">
        <is>
          <t>/</t>
        </is>
      </c>
      <c r="J345" s="222" t="inlineStr">
        <is>
          <t>蒋德生</t>
        </is>
      </c>
      <c r="K345" s="222" t="n"/>
      <c r="L345" s="224" t="n"/>
      <c r="M345" s="224" t="inlineStr">
        <is>
          <t>/</t>
        </is>
      </c>
      <c r="N345" s="651" t="n">
        <v>8000000</v>
      </c>
      <c r="O345" s="235" t="inlineStr">
        <is>
          <t>/</t>
        </is>
      </c>
      <c r="P345" s="235" t="inlineStr">
        <is>
          <t>/</t>
        </is>
      </c>
      <c r="Q345" s="235" t="inlineStr">
        <is>
          <t>/</t>
        </is>
      </c>
      <c r="R345" s="235" t="n">
        <v>0.02</v>
      </c>
      <c r="S345" s="235" t="inlineStr">
        <is>
          <t>/</t>
        </is>
      </c>
      <c r="T345" s="235" t="inlineStr">
        <is>
          <t>/</t>
        </is>
      </c>
      <c r="U345" s="235" t="inlineStr">
        <is>
          <t>/</t>
        </is>
      </c>
      <c r="V345" s="235" t="inlineStr">
        <is>
          <t>/</t>
        </is>
      </c>
      <c r="W345" s="235" t="inlineStr">
        <is>
          <t>/</t>
        </is>
      </c>
      <c r="X345" s="235" t="inlineStr">
        <is>
          <t>/</t>
        </is>
      </c>
      <c r="Y345" s="235" t="n"/>
      <c r="Z345" s="235" t="n"/>
      <c r="AA345" s="235" t="n">
        <v>0.52</v>
      </c>
      <c r="AB345" s="46" t="n">
        <v>0.05</v>
      </c>
      <c r="AC345" s="46" t="n">
        <v>0.005</v>
      </c>
      <c r="AD345" s="232" t="inlineStr">
        <is>
          <t>1、原材料：根据与甲方合同约定执行；</t>
        </is>
      </c>
      <c r="AE345" s="232" t="n"/>
    </row>
    <row r="346" hidden="1" ht="12" customFormat="1" customHeight="1" s="209">
      <c r="A346" s="219" t="n">
        <v>344</v>
      </c>
      <c r="B346" s="220" t="inlineStr">
        <is>
          <t>KQCY0344</t>
        </is>
      </c>
      <c r="C346" s="221" t="inlineStr">
        <is>
          <t>餐饮五分部</t>
        </is>
      </c>
      <c r="D346" s="221" t="inlineStr">
        <is>
          <t>CF107</t>
        </is>
      </c>
      <c r="E346" s="221" t="inlineStr">
        <is>
          <t>苏大东区教工食堂</t>
        </is>
      </c>
      <c r="F346" s="222" t="inlineStr">
        <is>
          <t>人员服务外包</t>
        </is>
      </c>
      <c r="G346" s="222" t="inlineStr">
        <is>
          <t>卫屹</t>
        </is>
      </c>
      <c r="H346" s="222" t="inlineStr">
        <is>
          <t>/</t>
        </is>
      </c>
      <c r="I346" s="237" t="inlineStr">
        <is>
          <t>/</t>
        </is>
      </c>
      <c r="J346" s="222" t="inlineStr">
        <is>
          <t>/</t>
        </is>
      </c>
      <c r="K346" s="222" t="n"/>
      <c r="L346" s="224" t="n"/>
      <c r="M346" s="224" t="inlineStr">
        <is>
          <t>/</t>
        </is>
      </c>
      <c r="N346" s="651" t="n">
        <v>612000</v>
      </c>
      <c r="O346" s="235" t="inlineStr">
        <is>
          <t>/</t>
        </is>
      </c>
      <c r="P346" s="235" t="inlineStr">
        <is>
          <t>/</t>
        </is>
      </c>
      <c r="Q346" s="235" t="inlineStr">
        <is>
          <t>/</t>
        </is>
      </c>
      <c r="R346" s="235" t="inlineStr">
        <is>
          <t>/</t>
        </is>
      </c>
      <c r="S346" s="235" t="inlineStr">
        <is>
          <t>/</t>
        </is>
      </c>
      <c r="T346" s="235" t="inlineStr">
        <is>
          <t>/</t>
        </is>
      </c>
      <c r="U346" s="235" t="inlineStr">
        <is>
          <t>/</t>
        </is>
      </c>
      <c r="V346" s="235" t="inlineStr">
        <is>
          <t>/</t>
        </is>
      </c>
      <c r="W346" s="235" t="inlineStr">
        <is>
          <t>/</t>
        </is>
      </c>
      <c r="X346" s="235" t="inlineStr">
        <is>
          <t>/</t>
        </is>
      </c>
      <c r="Y346" s="461" t="n"/>
      <c r="Z346" s="461" t="n"/>
      <c r="AA346" s="461" t="inlineStr">
        <is>
          <t>/</t>
        </is>
      </c>
      <c r="AB346" s="652" t="inlineStr">
        <is>
          <t>/</t>
        </is>
      </c>
      <c r="AC346" s="652" t="inlineStr">
        <is>
          <t>/</t>
        </is>
      </c>
      <c r="AD346" s="232" t="n"/>
      <c r="AE346" s="232" t="n"/>
    </row>
    <row r="347" hidden="1" ht="12" customFormat="1" customHeight="1" s="209">
      <c r="A347" s="219" t="n">
        <v>345</v>
      </c>
      <c r="B347" s="220" t="inlineStr">
        <is>
          <t>KQCY0345</t>
        </is>
      </c>
      <c r="C347" s="221" t="inlineStr">
        <is>
          <t>餐饮五分部</t>
        </is>
      </c>
      <c r="D347" s="221" t="inlineStr">
        <is>
          <t>CF120</t>
        </is>
      </c>
      <c r="E347" s="221" t="inlineStr">
        <is>
          <t>苏大独墅湖一食堂</t>
        </is>
      </c>
      <c r="F347" s="219" t="inlineStr">
        <is>
          <t>强责</t>
        </is>
      </c>
      <c r="G347" s="222" t="inlineStr">
        <is>
          <t>吉沐牛</t>
        </is>
      </c>
      <c r="H347" s="222" t="inlineStr">
        <is>
          <t>/</t>
        </is>
      </c>
      <c r="I347" s="232" t="inlineStr">
        <is>
          <t>/</t>
        </is>
      </c>
      <c r="J347" s="222" t="inlineStr">
        <is>
          <t>杨登钟</t>
        </is>
      </c>
      <c r="K347" s="222" t="n"/>
      <c r="L347" s="224" t="n"/>
      <c r="M347" s="224" t="inlineStr">
        <is>
          <t>/</t>
        </is>
      </c>
      <c r="N347" s="651" t="inlineStr">
        <is>
          <t>/</t>
        </is>
      </c>
      <c r="O347" s="227" t="inlineStr">
        <is>
          <t>/</t>
        </is>
      </c>
      <c r="P347" s="227" t="inlineStr">
        <is>
          <t>/</t>
        </is>
      </c>
      <c r="Q347" s="227" t="inlineStr">
        <is>
          <t>/</t>
        </is>
      </c>
      <c r="R347" s="227" t="inlineStr">
        <is>
          <t>/</t>
        </is>
      </c>
      <c r="S347" s="227" t="inlineStr">
        <is>
          <t>/</t>
        </is>
      </c>
      <c r="T347" s="227" t="inlineStr">
        <is>
          <t>/</t>
        </is>
      </c>
      <c r="U347" s="227" t="inlineStr">
        <is>
          <t>/</t>
        </is>
      </c>
      <c r="V347" s="461" t="n"/>
      <c r="W347" s="227" t="n"/>
      <c r="X347" s="227" t="inlineStr">
        <is>
          <t>/</t>
        </is>
      </c>
      <c r="Y347" s="235" t="n"/>
      <c r="Z347" s="235" t="n"/>
      <c r="AA347" s="235" t="n">
        <v>0.52</v>
      </c>
      <c r="AB347" s="46" t="n">
        <v>0.06</v>
      </c>
      <c r="AC347" s="46" t="inlineStr">
        <is>
          <t>/</t>
        </is>
      </c>
      <c r="AD347" s="230" t="inlineStr">
        <is>
          <t>1、原材料：根据与甲方合同约定执行；</t>
        </is>
      </c>
      <c r="AE347" s="232" t="n"/>
    </row>
    <row r="348" hidden="1" ht="24" customFormat="1" customHeight="1" s="209">
      <c r="A348" s="219" t="n">
        <v>346</v>
      </c>
      <c r="B348" s="220" t="inlineStr">
        <is>
          <t>KQCY0346</t>
        </is>
      </c>
      <c r="C348" s="221" t="inlineStr">
        <is>
          <t>餐饮五分部</t>
        </is>
      </c>
      <c r="D348" s="221" t="inlineStr">
        <is>
          <t>CF120</t>
        </is>
      </c>
      <c r="E348" s="221" t="inlineStr">
        <is>
          <t>苏大独墅湖一食堂</t>
        </is>
      </c>
      <c r="F348" s="219" t="inlineStr">
        <is>
          <t>强责</t>
        </is>
      </c>
      <c r="G348" s="222" t="inlineStr">
        <is>
          <t>吉沐牛</t>
        </is>
      </c>
      <c r="H348" s="503" t="inlineStr">
        <is>
          <t>/</t>
        </is>
      </c>
      <c r="I348" s="237" t="inlineStr">
        <is>
          <t>麻辣香锅</t>
        </is>
      </c>
      <c r="J348" s="222" t="inlineStr">
        <is>
          <t>周文影</t>
        </is>
      </c>
      <c r="K348" s="222" t="n"/>
      <c r="L348" s="224" t="n"/>
      <c r="M348" s="224" t="inlineStr">
        <is>
          <t>/</t>
        </is>
      </c>
      <c r="N348" s="651" t="n">
        <v>3830000</v>
      </c>
      <c r="O348" s="552" t="n">
        <v>0.18</v>
      </c>
      <c r="P348" s="235" t="n">
        <v>0</v>
      </c>
      <c r="Q348" s="235" t="n">
        <v>0</v>
      </c>
      <c r="R348" s="235" t="n">
        <v>0</v>
      </c>
      <c r="S348" s="235" t="n">
        <v>0</v>
      </c>
      <c r="T348" s="235" t="n">
        <v>0</v>
      </c>
      <c r="U348" s="235" t="n">
        <v>0</v>
      </c>
      <c r="V348" s="235" t="n">
        <v>0</v>
      </c>
      <c r="W348" s="235" t="inlineStr">
        <is>
          <t>按实</t>
        </is>
      </c>
      <c r="X348" s="461" t="inlineStr">
        <is>
          <t>按实结算</t>
        </is>
      </c>
      <c r="Y348" s="247" t="inlineStr">
        <is>
          <t>/</t>
        </is>
      </c>
      <c r="Z348" s="247" t="inlineStr">
        <is>
          <t>/</t>
        </is>
      </c>
      <c r="AA348" s="461" t="inlineStr">
        <is>
          <t>按实结算</t>
        </is>
      </c>
      <c r="AB348" s="51" t="inlineStr">
        <is>
          <t>/</t>
        </is>
      </c>
      <c r="AC348" s="46" t="inlineStr">
        <is>
          <t>/</t>
        </is>
      </c>
      <c r="AD348" s="60" t="n"/>
      <c r="AE348" s="232" t="inlineStr">
        <is>
          <t>1、签订期间：2026.1-2026.12；
2、指标按照全年换算；</t>
        </is>
      </c>
    </row>
    <row r="349" hidden="1" ht="24" customFormat="1" customHeight="1" s="209">
      <c r="A349" s="219" t="n">
        <v>347</v>
      </c>
      <c r="B349" s="220" t="inlineStr">
        <is>
          <t>KQCY0347</t>
        </is>
      </c>
      <c r="C349" s="221" t="inlineStr">
        <is>
          <t>餐饮五分部</t>
        </is>
      </c>
      <c r="D349" s="221" t="inlineStr">
        <is>
          <t>CF120</t>
        </is>
      </c>
      <c r="E349" s="221" t="inlineStr">
        <is>
          <t>苏大独墅湖一食堂</t>
        </is>
      </c>
      <c r="F349" s="219" t="inlineStr">
        <is>
          <t>强责</t>
        </is>
      </c>
      <c r="G349" s="222" t="inlineStr">
        <is>
          <t>吉沐牛</t>
        </is>
      </c>
      <c r="H349" s="503" t="inlineStr">
        <is>
          <t>/</t>
        </is>
      </c>
      <c r="I349" s="237" t="inlineStr">
        <is>
          <t>板煮</t>
        </is>
      </c>
      <c r="J349" s="222" t="inlineStr">
        <is>
          <t>郁亚勇</t>
        </is>
      </c>
      <c r="K349" s="222" t="n"/>
      <c r="L349" s="224" t="n"/>
      <c r="M349" s="224" t="inlineStr">
        <is>
          <t>/</t>
        </is>
      </c>
      <c r="N349" s="651" t="n">
        <v>930000</v>
      </c>
      <c r="O349" s="552" t="n">
        <v>0.19</v>
      </c>
      <c r="P349" s="235" t="n">
        <v>0</v>
      </c>
      <c r="Q349" s="235" t="n">
        <v>0</v>
      </c>
      <c r="R349" s="235" t="n">
        <v>0</v>
      </c>
      <c r="S349" s="235" t="n">
        <v>0</v>
      </c>
      <c r="T349" s="235" t="n">
        <v>0</v>
      </c>
      <c r="U349" s="235" t="n">
        <v>0</v>
      </c>
      <c r="V349" s="235" t="n">
        <v>0</v>
      </c>
      <c r="W349" s="235" t="inlineStr">
        <is>
          <t>按实</t>
        </is>
      </c>
      <c r="X349" s="461" t="inlineStr">
        <is>
          <t>按实结算</t>
        </is>
      </c>
      <c r="Y349" s="247" t="inlineStr">
        <is>
          <t>/</t>
        </is>
      </c>
      <c r="Z349" s="247" t="inlineStr">
        <is>
          <t>/</t>
        </is>
      </c>
      <c r="AA349" s="461" t="inlineStr">
        <is>
          <t>按实结算</t>
        </is>
      </c>
      <c r="AB349" s="51" t="inlineStr">
        <is>
          <t>/</t>
        </is>
      </c>
      <c r="AC349" s="46" t="inlineStr">
        <is>
          <t>/</t>
        </is>
      </c>
      <c r="AD349" s="60" t="n"/>
      <c r="AE349" s="232" t="inlineStr">
        <is>
          <t>1、签订期间：2026.1-2026.12；
2、指标按照全年换算；</t>
        </is>
      </c>
    </row>
    <row r="350" hidden="1" ht="36" customFormat="1" customHeight="1" s="209">
      <c r="A350" s="219" t="n">
        <v>348</v>
      </c>
      <c r="B350" s="220" t="inlineStr">
        <is>
          <t>KQCY0348</t>
        </is>
      </c>
      <c r="C350" s="221" t="inlineStr">
        <is>
          <t>餐饮五分部</t>
        </is>
      </c>
      <c r="D350" s="221" t="inlineStr">
        <is>
          <t>CF121</t>
        </is>
      </c>
      <c r="E350" s="221" t="inlineStr">
        <is>
          <t>苏大独墅湖六食堂</t>
        </is>
      </c>
      <c r="F350" s="219" t="inlineStr">
        <is>
          <t>强责</t>
        </is>
      </c>
      <c r="G350" s="222" t="inlineStr">
        <is>
          <t>吉沐牛</t>
        </is>
      </c>
      <c r="H350" s="222" t="inlineStr">
        <is>
          <t>/</t>
        </is>
      </c>
      <c r="I350" s="232" t="inlineStr">
        <is>
          <t>/</t>
        </is>
      </c>
      <c r="J350" s="222" t="inlineStr">
        <is>
          <t>杨登钟</t>
        </is>
      </c>
      <c r="K350" s="222" t="n"/>
      <c r="L350" s="224" t="n"/>
      <c r="M350" s="224" t="inlineStr">
        <is>
          <t>/</t>
        </is>
      </c>
      <c r="N350" s="651" t="inlineStr">
        <is>
          <t>/</t>
        </is>
      </c>
      <c r="O350" s="227" t="inlineStr">
        <is>
          <t>/</t>
        </is>
      </c>
      <c r="P350" s="227" t="inlineStr">
        <is>
          <t>/</t>
        </is>
      </c>
      <c r="Q350" s="227" t="inlineStr">
        <is>
          <t>/</t>
        </is>
      </c>
      <c r="R350" s="227" t="inlineStr">
        <is>
          <t>/</t>
        </is>
      </c>
      <c r="S350" s="227" t="inlineStr">
        <is>
          <t>/</t>
        </is>
      </c>
      <c r="T350" s="227" t="inlineStr">
        <is>
          <t>/</t>
        </is>
      </c>
      <c r="U350" s="227" t="inlineStr">
        <is>
          <t>/</t>
        </is>
      </c>
      <c r="V350" s="461" t="n"/>
      <c r="W350" s="227" t="n"/>
      <c r="X350" s="227" t="inlineStr">
        <is>
          <t>/</t>
        </is>
      </c>
      <c r="Y350" s="235" t="n"/>
      <c r="Z350" s="235" t="n"/>
      <c r="AA350" s="235" t="n">
        <v>0.52</v>
      </c>
      <c r="AB350" s="46" t="n">
        <v>0.05</v>
      </c>
      <c r="AC350" s="46" t="n">
        <v>0.005</v>
      </c>
      <c r="AD350" s="230" t="inlineStr">
        <is>
          <t>1、原材料：根据与甲方合同约定执行；
2、分部管理费：不含青海拉面营业额；
3、业务费：不含青海拉面营业额；</t>
        </is>
      </c>
      <c r="AE350" s="232" t="n"/>
    </row>
    <row r="351" hidden="1" ht="24" customFormat="1" customHeight="1" s="209">
      <c r="A351" s="219" t="n">
        <v>349</v>
      </c>
      <c r="B351" s="220" t="inlineStr">
        <is>
          <t>KQCY0349</t>
        </is>
      </c>
      <c r="C351" s="221" t="inlineStr">
        <is>
          <t>餐饮五分部</t>
        </is>
      </c>
      <c r="D351" s="221" t="inlineStr">
        <is>
          <t>CF121</t>
        </is>
      </c>
      <c r="E351" s="221" t="inlineStr">
        <is>
          <t>苏大独墅湖六食堂</t>
        </is>
      </c>
      <c r="F351" s="219" t="inlineStr">
        <is>
          <t>强责</t>
        </is>
      </c>
      <c r="G351" s="222" t="inlineStr">
        <is>
          <t>吉沐牛</t>
        </is>
      </c>
      <c r="H351" s="503" t="inlineStr">
        <is>
          <t>/</t>
        </is>
      </c>
      <c r="I351" s="237" t="inlineStr">
        <is>
          <t>青海拉面</t>
        </is>
      </c>
      <c r="J351" s="222" t="inlineStr">
        <is>
          <t>韩应努四</t>
        </is>
      </c>
      <c r="K351" s="222" t="n"/>
      <c r="L351" s="224" t="n"/>
      <c r="M351" s="224" t="inlineStr">
        <is>
          <t>/</t>
        </is>
      </c>
      <c r="N351" s="651" t="n">
        <v>1280000</v>
      </c>
      <c r="O351" s="552" t="n">
        <v>0.1</v>
      </c>
      <c r="P351" s="235" t="n">
        <v>0</v>
      </c>
      <c r="Q351" s="235" t="n">
        <v>0</v>
      </c>
      <c r="R351" s="235" t="n">
        <v>0</v>
      </c>
      <c r="S351" s="235" t="n">
        <v>0</v>
      </c>
      <c r="T351" s="235" t="n">
        <v>0</v>
      </c>
      <c r="U351" s="235" t="n">
        <v>0</v>
      </c>
      <c r="V351" s="235" t="n">
        <v>0</v>
      </c>
      <c r="W351" s="461" t="inlineStr">
        <is>
          <t>按实</t>
        </is>
      </c>
      <c r="X351" s="461" t="inlineStr">
        <is>
          <t>按实结算</t>
        </is>
      </c>
      <c r="Y351" s="247" t="inlineStr">
        <is>
          <t>/</t>
        </is>
      </c>
      <c r="Z351" s="247" t="inlineStr">
        <is>
          <t>/</t>
        </is>
      </c>
      <c r="AA351" s="461" t="inlineStr">
        <is>
          <t>按实结算</t>
        </is>
      </c>
      <c r="AB351" s="51" t="inlineStr">
        <is>
          <t>/</t>
        </is>
      </c>
      <c r="AC351" s="46" t="inlineStr">
        <is>
          <t>/</t>
        </is>
      </c>
      <c r="AD351" s="232" t="n"/>
      <c r="AE351" s="232" t="inlineStr">
        <is>
          <t>1、签订期间：2026.1-2026.12；
2、指标按照全年换算；</t>
        </is>
      </c>
    </row>
    <row r="352" hidden="1" ht="12" customFormat="1" customHeight="1" s="209">
      <c r="A352" s="219" t="n">
        <v>350</v>
      </c>
      <c r="B352" s="220" t="inlineStr">
        <is>
          <t>KQCY0350</t>
        </is>
      </c>
      <c r="C352" s="221" t="inlineStr">
        <is>
          <t>餐饮五分部</t>
        </is>
      </c>
      <c r="D352" s="221" t="inlineStr">
        <is>
          <t>CF121</t>
        </is>
      </c>
      <c r="E352" s="221" t="inlineStr">
        <is>
          <t>苏大独墅湖二食堂</t>
        </is>
      </c>
      <c r="F352" s="219" t="inlineStr">
        <is>
          <t>强责</t>
        </is>
      </c>
      <c r="G352" s="222" t="inlineStr">
        <is>
          <t>吉沐牛</t>
        </is>
      </c>
      <c r="H352" s="222" t="inlineStr">
        <is>
          <t>/</t>
        </is>
      </c>
      <c r="I352" s="232" t="inlineStr">
        <is>
          <t>/</t>
        </is>
      </c>
      <c r="J352" s="222" t="inlineStr">
        <is>
          <t>徐小林</t>
        </is>
      </c>
      <c r="K352" s="222" t="n"/>
      <c r="L352" s="224" t="n"/>
      <c r="M352" s="224" t="inlineStr">
        <is>
          <t>/</t>
        </is>
      </c>
      <c r="N352" s="651" t="inlineStr">
        <is>
          <t>/</t>
        </is>
      </c>
      <c r="O352" s="227" t="inlineStr">
        <is>
          <t>/</t>
        </is>
      </c>
      <c r="P352" s="227" t="inlineStr">
        <is>
          <t>/</t>
        </is>
      </c>
      <c r="Q352" s="227" t="inlineStr">
        <is>
          <t>/</t>
        </is>
      </c>
      <c r="R352" s="227" t="inlineStr">
        <is>
          <t>/</t>
        </is>
      </c>
      <c r="S352" s="227" t="inlineStr">
        <is>
          <t>/</t>
        </is>
      </c>
      <c r="T352" s="227" t="inlineStr">
        <is>
          <t>/</t>
        </is>
      </c>
      <c r="U352" s="227" t="inlineStr">
        <is>
          <t>/</t>
        </is>
      </c>
      <c r="V352" s="461" t="inlineStr">
        <is>
          <t>/</t>
        </is>
      </c>
      <c r="W352" s="227" t="n"/>
      <c r="X352" s="227" t="inlineStr">
        <is>
          <t>/</t>
        </is>
      </c>
      <c r="Y352" s="235" t="n"/>
      <c r="Z352" s="235" t="n"/>
      <c r="AA352" s="235" t="n">
        <v>0.52</v>
      </c>
      <c r="AB352" s="46" t="n">
        <v>0.06</v>
      </c>
      <c r="AC352" s="46" t="n">
        <v>0.005</v>
      </c>
      <c r="AD352" s="232" t="n"/>
      <c r="AE352" s="232" t="n"/>
    </row>
    <row r="353" hidden="1" ht="24" customFormat="1" customHeight="1" s="209">
      <c r="A353" s="219" t="n">
        <v>351</v>
      </c>
      <c r="B353" s="220" t="inlineStr">
        <is>
          <t>KQCY0351</t>
        </is>
      </c>
      <c r="C353" s="221" t="inlineStr">
        <is>
          <t>餐饮五分部</t>
        </is>
      </c>
      <c r="D353" s="221" t="inlineStr">
        <is>
          <t>CF121</t>
        </is>
      </c>
      <c r="E353" s="221" t="inlineStr">
        <is>
          <t>苏大独墅湖二食堂</t>
        </is>
      </c>
      <c r="F353" s="219" t="inlineStr">
        <is>
          <t>强责</t>
        </is>
      </c>
      <c r="G353" s="222" t="inlineStr">
        <is>
          <t>吉沐牛</t>
        </is>
      </c>
      <c r="H353" s="503" t="inlineStr">
        <is>
          <t>/</t>
        </is>
      </c>
      <c r="I353" s="237" t="inlineStr">
        <is>
          <t>手工水饺(山东煎饼)</t>
        </is>
      </c>
      <c r="J353" s="222" t="inlineStr">
        <is>
          <t>李俊</t>
        </is>
      </c>
      <c r="K353" s="222" t="n"/>
      <c r="L353" s="224" t="n"/>
      <c r="M353" s="224" t="inlineStr">
        <is>
          <t>/</t>
        </is>
      </c>
      <c r="N353" s="651" t="n">
        <v>730000</v>
      </c>
      <c r="O353" s="247" t="n">
        <v>0.25</v>
      </c>
      <c r="P353" s="235" t="n">
        <v>0</v>
      </c>
      <c r="Q353" s="235" t="n">
        <v>0</v>
      </c>
      <c r="R353" s="235" t="n">
        <v>0</v>
      </c>
      <c r="S353" s="235" t="n">
        <v>0</v>
      </c>
      <c r="T353" s="235" t="n">
        <v>0</v>
      </c>
      <c r="U353" s="235" t="n">
        <v>0</v>
      </c>
      <c r="V353" s="235" t="n">
        <v>0</v>
      </c>
      <c r="W353" s="235" t="n">
        <v>0</v>
      </c>
      <c r="X353" s="461" t="inlineStr">
        <is>
          <t>按实结算</t>
        </is>
      </c>
      <c r="Y353" s="461" t="inlineStr">
        <is>
          <t>/</t>
        </is>
      </c>
      <c r="Z353" s="461" t="inlineStr">
        <is>
          <t>/</t>
        </is>
      </c>
      <c r="AA353" s="461" t="inlineStr">
        <is>
          <t>按实结算</t>
        </is>
      </c>
      <c r="AB353" s="51" t="inlineStr">
        <is>
          <t>/</t>
        </is>
      </c>
      <c r="AC353" s="46" t="inlineStr">
        <is>
          <t>/</t>
        </is>
      </c>
      <c r="AD353" s="232" t="n"/>
      <c r="AE353" s="232" t="inlineStr">
        <is>
          <t>1、签订期间：2026.1-2026.12；
2、指标按照全年换算；</t>
        </is>
      </c>
    </row>
    <row r="354" hidden="1" ht="24" customFormat="1" customHeight="1" s="209">
      <c r="A354" s="219" t="n">
        <v>352</v>
      </c>
      <c r="B354" s="220" t="inlineStr">
        <is>
          <t>KQCY0352</t>
        </is>
      </c>
      <c r="C354" s="221" t="inlineStr">
        <is>
          <t>餐饮五分部</t>
        </is>
      </c>
      <c r="D354" s="221" t="inlineStr">
        <is>
          <t>CF121</t>
        </is>
      </c>
      <c r="E354" s="221" t="inlineStr">
        <is>
          <t>苏大独墅湖二食堂</t>
        </is>
      </c>
      <c r="F354" s="219" t="inlineStr">
        <is>
          <t>强责</t>
        </is>
      </c>
      <c r="G354" s="222" t="inlineStr">
        <is>
          <t>吉沐牛</t>
        </is>
      </c>
      <c r="H354" s="503" t="inlineStr">
        <is>
          <t>/</t>
        </is>
      </c>
      <c r="I354" s="237" t="inlineStr">
        <is>
          <t>苏式汤面</t>
        </is>
      </c>
      <c r="J354" s="222" t="inlineStr">
        <is>
          <t>孙建平</t>
        </is>
      </c>
      <c r="K354" s="222" t="n"/>
      <c r="L354" s="224" t="n"/>
      <c r="M354" s="224" t="inlineStr">
        <is>
          <t>/</t>
        </is>
      </c>
      <c r="N354" s="651" t="n">
        <v>1250000</v>
      </c>
      <c r="O354" s="247" t="n">
        <v>0.25</v>
      </c>
      <c r="P354" s="235" t="n">
        <v>0</v>
      </c>
      <c r="Q354" s="235" t="n">
        <v>0</v>
      </c>
      <c r="R354" s="235" t="n">
        <v>0</v>
      </c>
      <c r="S354" s="235" t="n">
        <v>0</v>
      </c>
      <c r="T354" s="235" t="n">
        <v>0</v>
      </c>
      <c r="U354" s="235" t="n">
        <v>0</v>
      </c>
      <c r="V354" s="235" t="n">
        <v>0</v>
      </c>
      <c r="W354" s="235" t="n">
        <v>0</v>
      </c>
      <c r="X354" s="461" t="inlineStr">
        <is>
          <t>按实结算</t>
        </is>
      </c>
      <c r="Y354" s="461" t="inlineStr">
        <is>
          <t>/</t>
        </is>
      </c>
      <c r="Z354" s="461" t="inlineStr">
        <is>
          <t>/</t>
        </is>
      </c>
      <c r="AA354" s="461" t="inlineStr">
        <is>
          <t>按实结算</t>
        </is>
      </c>
      <c r="AB354" s="51" t="inlineStr">
        <is>
          <t>/</t>
        </is>
      </c>
      <c r="AC354" s="46" t="inlineStr">
        <is>
          <t>/</t>
        </is>
      </c>
      <c r="AD354" s="232" t="n"/>
      <c r="AE354" s="232" t="inlineStr">
        <is>
          <t>1、签订期间：2026.1-2026.12；
2、指标按照全年换算；</t>
        </is>
      </c>
    </row>
    <row r="355" hidden="1" ht="24" customFormat="1" customHeight="1" s="209">
      <c r="A355" s="219" t="n">
        <v>353</v>
      </c>
      <c r="B355" s="220" t="inlineStr">
        <is>
          <t>KQCY0353</t>
        </is>
      </c>
      <c r="C355" s="221" t="inlineStr">
        <is>
          <t>餐饮五分部</t>
        </is>
      </c>
      <c r="D355" s="221" t="inlineStr">
        <is>
          <t>CF121</t>
        </is>
      </c>
      <c r="E355" s="221" t="inlineStr">
        <is>
          <t>苏大独墅湖二食堂</t>
        </is>
      </c>
      <c r="F355" s="219" t="inlineStr">
        <is>
          <t>强责</t>
        </is>
      </c>
      <c r="G355" s="222" t="inlineStr">
        <is>
          <t>吉沐牛</t>
        </is>
      </c>
      <c r="H355" s="503" t="inlineStr">
        <is>
          <t>/</t>
        </is>
      </c>
      <c r="I355" s="237" t="inlineStr">
        <is>
          <t>烤盘饭</t>
        </is>
      </c>
      <c r="J355" s="222" t="inlineStr">
        <is>
          <t>梁宇</t>
        </is>
      </c>
      <c r="K355" s="222" t="n"/>
      <c r="L355" s="224" t="n"/>
      <c r="M355" s="224" t="inlineStr">
        <is>
          <t>/</t>
        </is>
      </c>
      <c r="N355" s="651" t="n">
        <v>890000</v>
      </c>
      <c r="O355" s="247" t="n">
        <v>0.25</v>
      </c>
      <c r="P355" s="235" t="n">
        <v>0</v>
      </c>
      <c r="Q355" s="235" t="n">
        <v>0</v>
      </c>
      <c r="R355" s="235" t="n">
        <v>0</v>
      </c>
      <c r="S355" s="235" t="n">
        <v>0</v>
      </c>
      <c r="T355" s="235" t="n">
        <v>0</v>
      </c>
      <c r="U355" s="235" t="n">
        <v>0</v>
      </c>
      <c r="V355" s="235" t="n">
        <v>0</v>
      </c>
      <c r="W355" s="235" t="n">
        <v>0</v>
      </c>
      <c r="X355" s="461" t="inlineStr">
        <is>
          <t>按实结算</t>
        </is>
      </c>
      <c r="Y355" s="461" t="inlineStr">
        <is>
          <t>/</t>
        </is>
      </c>
      <c r="Z355" s="461" t="inlineStr">
        <is>
          <t>/</t>
        </is>
      </c>
      <c r="AA355" s="461" t="inlineStr">
        <is>
          <t>按实结算</t>
        </is>
      </c>
      <c r="AB355" s="51" t="inlineStr">
        <is>
          <t>/</t>
        </is>
      </c>
      <c r="AC355" s="46" t="inlineStr">
        <is>
          <t>/</t>
        </is>
      </c>
      <c r="AD355" s="232" t="n"/>
      <c r="AE355" s="232" t="inlineStr">
        <is>
          <t>1、签订期间：2026.1-2026.12；
2、指标按照全年换算；</t>
        </is>
      </c>
    </row>
    <row r="356" hidden="1" ht="12" customFormat="1" customHeight="1" s="209">
      <c r="A356" s="219" t="n">
        <v>354</v>
      </c>
      <c r="B356" s="220" t="inlineStr">
        <is>
          <t>KQCY0354</t>
        </is>
      </c>
      <c r="C356" s="337" t="inlineStr">
        <is>
          <t>餐饮五分部</t>
        </is>
      </c>
      <c r="D356" s="337" t="inlineStr">
        <is>
          <t>CF134</t>
        </is>
      </c>
      <c r="E356" s="337" t="inlineStr">
        <is>
          <t>苏大独墅湖五食堂</t>
        </is>
      </c>
      <c r="F356" s="239" t="inlineStr">
        <is>
          <t>自营</t>
        </is>
      </c>
      <c r="G356" s="220" t="inlineStr">
        <is>
          <t>吉沐牛</t>
        </is>
      </c>
      <c r="H356" s="461" t="inlineStr">
        <is>
          <t>/</t>
        </is>
      </c>
      <c r="I356" s="239" t="inlineStr">
        <is>
          <t>/</t>
        </is>
      </c>
      <c r="J356" s="220" t="inlineStr">
        <is>
          <t>/</t>
        </is>
      </c>
      <c r="K356" s="220" t="n"/>
      <c r="L356" s="235" t="n"/>
      <c r="M356" s="235" t="inlineStr">
        <is>
          <t>/</t>
        </is>
      </c>
      <c r="N356" s="651" t="inlineStr">
        <is>
          <t>/</t>
        </is>
      </c>
      <c r="O356" s="235" t="inlineStr">
        <is>
          <t>/</t>
        </is>
      </c>
      <c r="P356" s="235" t="n"/>
      <c r="Q356" s="235" t="inlineStr">
        <is>
          <t>/</t>
        </is>
      </c>
      <c r="R356" s="235" t="n"/>
      <c r="S356" s="235" t="inlineStr">
        <is>
          <t>/</t>
        </is>
      </c>
      <c r="T356" s="235" t="inlineStr">
        <is>
          <t>/</t>
        </is>
      </c>
      <c r="U356" s="235" t="inlineStr">
        <is>
          <t>/</t>
        </is>
      </c>
      <c r="V356" s="235" t="n"/>
      <c r="W356" s="235" t="n"/>
      <c r="X356" s="461" t="inlineStr">
        <is>
          <t>/</t>
        </is>
      </c>
      <c r="Y356" s="235" t="n"/>
      <c r="Z356" s="235" t="n"/>
      <c r="AA356" s="235" t="inlineStr">
        <is>
          <t>/</t>
        </is>
      </c>
      <c r="AB356" s="46" t="n">
        <v>0.06</v>
      </c>
      <c r="AC356" s="46" t="n">
        <v>0.005</v>
      </c>
      <c r="AD356" s="230" t="inlineStr">
        <is>
          <t>1、自营未实际经营；</t>
        </is>
      </c>
      <c r="AE356" s="232" t="n"/>
    </row>
    <row r="357" hidden="1" ht="48" customFormat="1" customHeight="1" s="209">
      <c r="A357" s="219" t="n">
        <v>355</v>
      </c>
      <c r="B357" s="220" t="inlineStr">
        <is>
          <t>KQCY0355</t>
        </is>
      </c>
      <c r="C357" s="221" t="inlineStr">
        <is>
          <t>餐饮五分部</t>
        </is>
      </c>
      <c r="D357" s="221" t="inlineStr">
        <is>
          <t>CF134</t>
        </is>
      </c>
      <c r="E357" s="221" t="inlineStr">
        <is>
          <t>苏大独墅湖五食堂</t>
        </is>
      </c>
      <c r="F357" s="219" t="inlineStr">
        <is>
          <t>分组作业</t>
        </is>
      </c>
      <c r="G357" s="222" t="inlineStr">
        <is>
          <t>吉沐牛</t>
        </is>
      </c>
      <c r="H357" s="503" t="inlineStr">
        <is>
          <t>/</t>
        </is>
      </c>
      <c r="I357" s="237" t="inlineStr">
        <is>
          <t>快餐</t>
        </is>
      </c>
      <c r="J357" s="222" t="inlineStr">
        <is>
          <t>赵广伟</t>
        </is>
      </c>
      <c r="K357" s="222" t="n"/>
      <c r="L357" s="224" t="n"/>
      <c r="M357" s="224" t="inlineStr">
        <is>
          <t>/</t>
        </is>
      </c>
      <c r="N357" s="651" t="n">
        <v>1720000</v>
      </c>
      <c r="O357" s="552" t="n">
        <v>0.12</v>
      </c>
      <c r="P357" s="247" t="inlineStr">
        <is>
          <t>/</t>
        </is>
      </c>
      <c r="Q357" s="247" t="inlineStr">
        <is>
          <t>/</t>
        </is>
      </c>
      <c r="R357" s="247" t="inlineStr">
        <is>
          <t>/</t>
        </is>
      </c>
      <c r="S357" s="247" t="inlineStr">
        <is>
          <t>/</t>
        </is>
      </c>
      <c r="T357" s="247" t="inlineStr">
        <is>
          <t>/</t>
        </is>
      </c>
      <c r="U357" s="247" t="inlineStr">
        <is>
          <t>/</t>
        </is>
      </c>
      <c r="V357" s="235" t="inlineStr">
        <is>
          <t>按实</t>
        </is>
      </c>
      <c r="W357" s="235" t="n">
        <v>0.05</v>
      </c>
      <c r="X357" s="235" t="inlineStr">
        <is>
          <t>按实</t>
        </is>
      </c>
      <c r="Y357" s="247" t="inlineStr">
        <is>
          <t>/</t>
        </is>
      </c>
      <c r="Z357" s="247" t="inlineStr">
        <is>
          <t>/</t>
        </is>
      </c>
      <c r="AA357" s="235" t="inlineStr">
        <is>
          <t>按实</t>
        </is>
      </c>
      <c r="AB357" s="51" t="inlineStr">
        <is>
          <t>/</t>
        </is>
      </c>
      <c r="AC357" s="46" t="inlineStr">
        <is>
          <t>/</t>
        </is>
      </c>
      <c r="AD357" s="232" t="inlineStr">
        <is>
          <t>1、虫害消杀：项目反馈不收取，包含在服务费中；
2、装修折旧费：项目反馈不收取，包含在服务费中；
3、甲方人员工资：项目反馈不收取，包含在服务费中；
4、甲方捐赠：项目反馈不收取，包含在服务费中；</t>
        </is>
      </c>
      <c r="AE357" s="232" t="inlineStr">
        <is>
          <t>1、签订期间：2026.1-7月；
2、指标按照全年换算；</t>
        </is>
      </c>
    </row>
    <row r="358" hidden="1" ht="48" customFormat="1" customHeight="1" s="209">
      <c r="A358" s="219" t="n">
        <v>356</v>
      </c>
      <c r="B358" s="220" t="inlineStr">
        <is>
          <t>KQCY0356</t>
        </is>
      </c>
      <c r="C358" s="221" t="inlineStr">
        <is>
          <t>餐饮五分部</t>
        </is>
      </c>
      <c r="D358" s="221" t="inlineStr">
        <is>
          <t>CF134</t>
        </is>
      </c>
      <c r="E358" s="221" t="inlineStr">
        <is>
          <t>苏大独墅湖五食堂</t>
        </is>
      </c>
      <c r="F358" s="219" t="inlineStr">
        <is>
          <t>分组作业</t>
        </is>
      </c>
      <c r="G358" s="222" t="inlineStr">
        <is>
          <t>吉沐牛</t>
        </is>
      </c>
      <c r="H358" s="503" t="inlineStr">
        <is>
          <t>/</t>
        </is>
      </c>
      <c r="I358" s="237" t="inlineStr">
        <is>
          <t>生烫牛肉米线</t>
        </is>
      </c>
      <c r="J358" s="222" t="inlineStr">
        <is>
          <t>胡振强</t>
        </is>
      </c>
      <c r="K358" s="222" t="n"/>
      <c r="L358" s="224" t="n"/>
      <c r="M358" s="224" t="inlineStr">
        <is>
          <t>/</t>
        </is>
      </c>
      <c r="N358" s="651" t="n">
        <v>820000</v>
      </c>
      <c r="O358" s="552" t="n">
        <v>0.15</v>
      </c>
      <c r="P358" s="247" t="inlineStr">
        <is>
          <t>/</t>
        </is>
      </c>
      <c r="Q358" s="247" t="inlineStr">
        <is>
          <t>/</t>
        </is>
      </c>
      <c r="R358" s="247" t="inlineStr">
        <is>
          <t>/</t>
        </is>
      </c>
      <c r="S358" s="247" t="inlineStr">
        <is>
          <t>/</t>
        </is>
      </c>
      <c r="T358" s="247" t="inlineStr">
        <is>
          <t>/</t>
        </is>
      </c>
      <c r="U358" s="247" t="inlineStr">
        <is>
          <t>/</t>
        </is>
      </c>
      <c r="V358" s="235" t="inlineStr">
        <is>
          <t>按实</t>
        </is>
      </c>
      <c r="W358" s="235" t="n">
        <v>0.03</v>
      </c>
      <c r="X358" s="235" t="inlineStr">
        <is>
          <t>按实</t>
        </is>
      </c>
      <c r="Y358" s="247" t="inlineStr">
        <is>
          <t>/</t>
        </is>
      </c>
      <c r="Z358" s="247" t="inlineStr">
        <is>
          <t>/</t>
        </is>
      </c>
      <c r="AA358" s="235" t="inlineStr">
        <is>
          <t>按实</t>
        </is>
      </c>
      <c r="AB358" s="51" t="inlineStr">
        <is>
          <t>/</t>
        </is>
      </c>
      <c r="AC358" s="46" t="inlineStr">
        <is>
          <t>/</t>
        </is>
      </c>
      <c r="AD358" s="232" t="inlineStr">
        <is>
          <t>1、虫害消杀：项目反馈不收取，包含在服务费中；
2、装修折旧费：项目反馈不收取，包含在服务费中；
3、甲方人员工资：项目反馈不收取，包含在服务费中；
4、甲方捐赠：项目反馈不收取，包含在服务费中；</t>
        </is>
      </c>
      <c r="AE358" s="232" t="inlineStr">
        <is>
          <t>1、签订期间：2026.1-7月；
2、指标按照全年换算；</t>
        </is>
      </c>
    </row>
    <row r="359" hidden="1" ht="48" customFormat="1" customHeight="1" s="209">
      <c r="A359" s="219" t="n">
        <v>357</v>
      </c>
      <c r="B359" s="220" t="inlineStr">
        <is>
          <t>KQCY0357</t>
        </is>
      </c>
      <c r="C359" s="221" t="inlineStr">
        <is>
          <t>餐饮五分部</t>
        </is>
      </c>
      <c r="D359" s="221" t="inlineStr">
        <is>
          <t>CF134</t>
        </is>
      </c>
      <c r="E359" s="221" t="inlineStr">
        <is>
          <t>苏大独墅湖五食堂</t>
        </is>
      </c>
      <c r="F359" s="219" t="inlineStr">
        <is>
          <t>分组作业</t>
        </is>
      </c>
      <c r="G359" s="222" t="inlineStr">
        <is>
          <t>吉沐牛</t>
        </is>
      </c>
      <c r="H359" s="503" t="inlineStr">
        <is>
          <t>/</t>
        </is>
      </c>
      <c r="I359" s="237" t="inlineStr">
        <is>
          <t xml:space="preserve">旋转小火锅 </t>
        </is>
      </c>
      <c r="J359" s="222" t="inlineStr">
        <is>
          <t>段姗姗</t>
        </is>
      </c>
      <c r="K359" s="222" t="n"/>
      <c r="L359" s="224" t="n"/>
      <c r="M359" s="224" t="inlineStr">
        <is>
          <t>/</t>
        </is>
      </c>
      <c r="N359" s="651" t="n">
        <v>730000</v>
      </c>
      <c r="O359" s="552" t="n">
        <v>0.18</v>
      </c>
      <c r="P359" s="247" t="inlineStr">
        <is>
          <t>/</t>
        </is>
      </c>
      <c r="Q359" s="247" t="inlineStr">
        <is>
          <t>/</t>
        </is>
      </c>
      <c r="R359" s="247" t="inlineStr">
        <is>
          <t>/</t>
        </is>
      </c>
      <c r="S359" s="247" t="inlineStr">
        <is>
          <t>/</t>
        </is>
      </c>
      <c r="T359" s="247" t="inlineStr">
        <is>
          <t>/</t>
        </is>
      </c>
      <c r="U359" s="247" t="inlineStr">
        <is>
          <t>/</t>
        </is>
      </c>
      <c r="V359" s="235" t="inlineStr">
        <is>
          <t>按实</t>
        </is>
      </c>
      <c r="W359" s="235" t="n">
        <v>0.04</v>
      </c>
      <c r="X359" s="235" t="inlineStr">
        <is>
          <t>按实</t>
        </is>
      </c>
      <c r="Y359" s="247" t="inlineStr">
        <is>
          <t>/</t>
        </is>
      </c>
      <c r="Z359" s="247" t="inlineStr">
        <is>
          <t>/</t>
        </is>
      </c>
      <c r="AA359" s="235" t="inlineStr">
        <is>
          <t>按实</t>
        </is>
      </c>
      <c r="AB359" s="51" t="inlineStr">
        <is>
          <t>/</t>
        </is>
      </c>
      <c r="AC359" s="46" t="inlineStr">
        <is>
          <t>/</t>
        </is>
      </c>
      <c r="AD359" s="232" t="inlineStr">
        <is>
          <t>1、虫害消杀：项目反馈不收取，包含在服务费中；
2、装修折旧费：项目反馈不收取，包含在服务费中；
3、甲方人员工资：项目反馈不收取，包含在服务费中；
4、甲方捐赠：项目反馈不收取，包含在服务费中；</t>
        </is>
      </c>
      <c r="AE359" s="232" t="inlineStr">
        <is>
          <t>1、签订期间：2026.1-7月；
2、指标按照全年换算；</t>
        </is>
      </c>
    </row>
    <row r="360" hidden="1" ht="12" customFormat="1" customHeight="1" s="209">
      <c r="A360" s="219" t="n">
        <v>358</v>
      </c>
      <c r="B360" s="220" t="inlineStr">
        <is>
          <t>KQCY0358</t>
        </is>
      </c>
      <c r="C360" s="221" t="n"/>
      <c r="D360" s="221" t="n"/>
      <c r="E360" s="221" t="inlineStr">
        <is>
          <t>苏大独墅湖五食堂</t>
        </is>
      </c>
      <c r="F360" s="219" t="inlineStr">
        <is>
          <t>分组作业</t>
        </is>
      </c>
      <c r="G360" s="222" t="inlineStr">
        <is>
          <t>吉沐牛</t>
        </is>
      </c>
      <c r="H360" s="461" t="inlineStr">
        <is>
          <t>/</t>
        </is>
      </c>
      <c r="I360" s="237" t="inlineStr">
        <is>
          <t>巴比馒头</t>
        </is>
      </c>
      <c r="J360" s="222" t="inlineStr">
        <is>
          <t>赵玉磊</t>
        </is>
      </c>
      <c r="K360" s="222" t="n"/>
      <c r="L360" s="224" t="n"/>
      <c r="M360" s="224" t="n"/>
      <c r="N360" s="651" t="n"/>
      <c r="O360" s="552" t="n">
        <v>0.18</v>
      </c>
      <c r="P360" s="247" t="inlineStr">
        <is>
          <t>/</t>
        </is>
      </c>
      <c r="Q360" s="247" t="inlineStr">
        <is>
          <t>/</t>
        </is>
      </c>
      <c r="R360" s="247" t="inlineStr">
        <is>
          <t>/</t>
        </is>
      </c>
      <c r="S360" s="247" t="inlineStr">
        <is>
          <t>/</t>
        </is>
      </c>
      <c r="T360" s="247" t="inlineStr">
        <is>
          <t>/</t>
        </is>
      </c>
      <c r="U360" s="247" t="inlineStr">
        <is>
          <t>/</t>
        </is>
      </c>
      <c r="V360" s="235" t="inlineStr">
        <is>
          <t>按实</t>
        </is>
      </c>
      <c r="W360" s="235" t="n">
        <v>0.03</v>
      </c>
      <c r="X360" s="235" t="inlineStr">
        <is>
          <t>按实</t>
        </is>
      </c>
      <c r="Y360" s="247" t="inlineStr">
        <is>
          <t>/</t>
        </is>
      </c>
      <c r="Z360" s="247" t="inlineStr">
        <is>
          <t>/</t>
        </is>
      </c>
      <c r="AA360" s="235" t="inlineStr">
        <is>
          <t>按实</t>
        </is>
      </c>
      <c r="AB360" s="51" t="n"/>
      <c r="AC360" s="46" t="n"/>
      <c r="AD360" s="232" t="n"/>
      <c r="AE360" s="232" t="n"/>
    </row>
    <row r="361" hidden="1" ht="48" customFormat="1" customHeight="1" s="209">
      <c r="A361" s="219" t="n">
        <v>359</v>
      </c>
      <c r="B361" s="220" t="inlineStr">
        <is>
          <t>KQCY0359</t>
        </is>
      </c>
      <c r="C361" s="221" t="inlineStr">
        <is>
          <t>餐饮五分部</t>
        </is>
      </c>
      <c r="D361" s="221" t="inlineStr">
        <is>
          <t>CF134</t>
        </is>
      </c>
      <c r="E361" s="221" t="inlineStr">
        <is>
          <t>苏大独墅湖五食堂</t>
        </is>
      </c>
      <c r="F361" s="219" t="inlineStr">
        <is>
          <t>分组作业</t>
        </is>
      </c>
      <c r="G361" s="222" t="inlineStr">
        <is>
          <t>吉沐牛</t>
        </is>
      </c>
      <c r="H361" s="503" t="inlineStr">
        <is>
          <t>/</t>
        </is>
      </c>
      <c r="I361" s="237" t="inlineStr">
        <is>
          <t>北京烤鸭</t>
        </is>
      </c>
      <c r="J361" s="222" t="inlineStr">
        <is>
          <t>韩少卫</t>
        </is>
      </c>
      <c r="K361" s="222" t="n"/>
      <c r="L361" s="224" t="n"/>
      <c r="M361" s="224" t="inlineStr">
        <is>
          <t>/</t>
        </is>
      </c>
      <c r="N361" s="651" t="n">
        <v>670000</v>
      </c>
      <c r="O361" s="552" t="n">
        <v>0.18</v>
      </c>
      <c r="P361" s="247" t="inlineStr">
        <is>
          <t>/</t>
        </is>
      </c>
      <c r="Q361" s="247" t="inlineStr">
        <is>
          <t>/</t>
        </is>
      </c>
      <c r="R361" s="247" t="inlineStr">
        <is>
          <t>/</t>
        </is>
      </c>
      <c r="S361" s="247" t="inlineStr">
        <is>
          <t>/</t>
        </is>
      </c>
      <c r="T361" s="247" t="inlineStr">
        <is>
          <t>/</t>
        </is>
      </c>
      <c r="U361" s="247" t="inlineStr">
        <is>
          <t>/</t>
        </is>
      </c>
      <c r="V361" s="235" t="inlineStr">
        <is>
          <t>按实</t>
        </is>
      </c>
      <c r="W361" s="235" t="n">
        <v>0.05</v>
      </c>
      <c r="X361" s="235" t="inlineStr">
        <is>
          <t>按实</t>
        </is>
      </c>
      <c r="Y361" s="247" t="inlineStr">
        <is>
          <t>/</t>
        </is>
      </c>
      <c r="Z361" s="247" t="inlineStr">
        <is>
          <t>/</t>
        </is>
      </c>
      <c r="AA361" s="235" t="inlineStr">
        <is>
          <t>按实</t>
        </is>
      </c>
      <c r="AB361" s="51" t="inlineStr">
        <is>
          <t>/</t>
        </is>
      </c>
      <c r="AC361" s="46" t="inlineStr">
        <is>
          <t>/</t>
        </is>
      </c>
      <c r="AD361" s="232" t="inlineStr">
        <is>
          <t>1、虫害消杀：项目反馈不收取，包含在服务费中；
2、装修折旧费：项目反馈不收取，包含在服务费中；
3、甲方人员工资：项目反馈不收取，包含在服务费中；
4、甲方捐赠：项目反馈不收取，包含在服务费中；</t>
        </is>
      </c>
      <c r="AE361" s="232" t="inlineStr">
        <is>
          <t>1、签订期间：2026.1-7月；
2、指标按照全年换算；</t>
        </is>
      </c>
    </row>
    <row r="362" hidden="1" ht="48" customFormat="1" customHeight="1" s="209">
      <c r="A362" s="219" t="n">
        <v>360</v>
      </c>
      <c r="B362" s="220" t="inlineStr">
        <is>
          <t>KQCY0360</t>
        </is>
      </c>
      <c r="C362" s="221" t="inlineStr">
        <is>
          <t>餐饮五分部</t>
        </is>
      </c>
      <c r="D362" s="221" t="inlineStr">
        <is>
          <t>CF134</t>
        </is>
      </c>
      <c r="E362" s="221" t="inlineStr">
        <is>
          <t>苏大独墅湖五食堂</t>
        </is>
      </c>
      <c r="F362" s="219" t="inlineStr">
        <is>
          <t>分组作业</t>
        </is>
      </c>
      <c r="G362" s="222" t="inlineStr">
        <is>
          <t>吉沐牛</t>
        </is>
      </c>
      <c r="H362" s="503" t="inlineStr">
        <is>
          <t>/</t>
        </is>
      </c>
      <c r="I362" s="237" t="inlineStr">
        <is>
          <t>山东炒鸡</t>
        </is>
      </c>
      <c r="J362" s="222" t="inlineStr">
        <is>
          <t>马明华</t>
        </is>
      </c>
      <c r="K362" s="222" t="n"/>
      <c r="L362" s="224" t="n"/>
      <c r="M362" s="224" t="inlineStr">
        <is>
          <t>/</t>
        </is>
      </c>
      <c r="N362" s="651" t="n">
        <v>770000</v>
      </c>
      <c r="O362" s="552" t="n">
        <v>0.18</v>
      </c>
      <c r="P362" s="247" t="inlineStr">
        <is>
          <t>/</t>
        </is>
      </c>
      <c r="Q362" s="247" t="inlineStr">
        <is>
          <t>/</t>
        </is>
      </c>
      <c r="R362" s="247" t="inlineStr">
        <is>
          <t>/</t>
        </is>
      </c>
      <c r="S362" s="247" t="inlineStr">
        <is>
          <t>/</t>
        </is>
      </c>
      <c r="T362" s="247" t="inlineStr">
        <is>
          <t>/</t>
        </is>
      </c>
      <c r="U362" s="247" t="inlineStr">
        <is>
          <t>/</t>
        </is>
      </c>
      <c r="V362" s="235" t="inlineStr">
        <is>
          <t>按实</t>
        </is>
      </c>
      <c r="W362" s="235" t="n">
        <v>0.05</v>
      </c>
      <c r="X362" s="235" t="inlineStr">
        <is>
          <t>按实</t>
        </is>
      </c>
      <c r="Y362" s="247" t="inlineStr">
        <is>
          <t>/</t>
        </is>
      </c>
      <c r="Z362" s="247" t="inlineStr">
        <is>
          <t>/</t>
        </is>
      </c>
      <c r="AA362" s="235" t="inlineStr">
        <is>
          <t>按实</t>
        </is>
      </c>
      <c r="AB362" s="51" t="inlineStr">
        <is>
          <t>/</t>
        </is>
      </c>
      <c r="AC362" s="46" t="inlineStr">
        <is>
          <t>/</t>
        </is>
      </c>
      <c r="AD362" s="232" t="inlineStr">
        <is>
          <t>1、虫害消杀：项目反馈不收取，包含在服务费中；
2、装修折旧费：项目反馈不收取，包含在服务费中；
3、甲方人员工资：项目反馈不收取，包含在服务费中；
4、甲方捐赠：项目反馈不收取，包含在服务费中；</t>
        </is>
      </c>
      <c r="AE362" s="232" t="inlineStr">
        <is>
          <t>1、签订期间：2026.1-7月；
2、指标按照全年换算；</t>
        </is>
      </c>
    </row>
    <row r="363" hidden="1" ht="48" customFormat="1" customHeight="1" s="209">
      <c r="A363" s="219" t="n">
        <v>361</v>
      </c>
      <c r="B363" s="220" t="inlineStr">
        <is>
          <t>KQCY0361</t>
        </is>
      </c>
      <c r="C363" s="221" t="inlineStr">
        <is>
          <t>餐饮五分部</t>
        </is>
      </c>
      <c r="D363" s="221" t="inlineStr">
        <is>
          <t>CF134</t>
        </is>
      </c>
      <c r="E363" s="221" t="inlineStr">
        <is>
          <t>苏大独墅湖五食堂</t>
        </is>
      </c>
      <c r="F363" s="219" t="inlineStr">
        <is>
          <t>分组作业</t>
        </is>
      </c>
      <c r="G363" s="222" t="inlineStr">
        <is>
          <t>吉沐牛</t>
        </is>
      </c>
      <c r="H363" s="503" t="inlineStr">
        <is>
          <t>/</t>
        </is>
      </c>
      <c r="I363" s="237" t="inlineStr">
        <is>
          <t>拌饭(套餐饭)</t>
        </is>
      </c>
      <c r="J363" s="222" t="inlineStr">
        <is>
          <t>刘兆安</t>
        </is>
      </c>
      <c r="K363" s="222" t="n"/>
      <c r="L363" s="224" t="n"/>
      <c r="M363" s="224" t="inlineStr">
        <is>
          <t>/</t>
        </is>
      </c>
      <c r="N363" s="651" t="n">
        <v>1480000</v>
      </c>
      <c r="O363" s="552" t="n">
        <v>0.18</v>
      </c>
      <c r="P363" s="247" t="inlineStr">
        <is>
          <t>/</t>
        </is>
      </c>
      <c r="Q363" s="247" t="inlineStr">
        <is>
          <t>/</t>
        </is>
      </c>
      <c r="R363" s="247" t="inlineStr">
        <is>
          <t>/</t>
        </is>
      </c>
      <c r="S363" s="247" t="inlineStr">
        <is>
          <t>/</t>
        </is>
      </c>
      <c r="T363" s="247" t="inlineStr">
        <is>
          <t>/</t>
        </is>
      </c>
      <c r="U363" s="247" t="inlineStr">
        <is>
          <t>/</t>
        </is>
      </c>
      <c r="V363" s="235" t="inlineStr">
        <is>
          <t>按实</t>
        </is>
      </c>
      <c r="W363" s="235" t="n">
        <v>0.05</v>
      </c>
      <c r="X363" s="235" t="inlineStr">
        <is>
          <t>按实</t>
        </is>
      </c>
      <c r="Y363" s="247" t="inlineStr">
        <is>
          <t>/</t>
        </is>
      </c>
      <c r="Z363" s="247" t="inlineStr">
        <is>
          <t>/</t>
        </is>
      </c>
      <c r="AA363" s="235" t="inlineStr">
        <is>
          <t>按实</t>
        </is>
      </c>
      <c r="AB363" s="51" t="inlineStr">
        <is>
          <t>/</t>
        </is>
      </c>
      <c r="AC363" s="46" t="inlineStr">
        <is>
          <t>/</t>
        </is>
      </c>
      <c r="AD363" s="232" t="inlineStr">
        <is>
          <t>1、虫害消杀：项目反馈不收取，包含在服务费中；
2、装修折旧费：项目反馈不收取，包含在服务费中；
3、甲方人员工资：项目反馈不收取，包含在服务费中；
4、甲方捐赠：项目反馈不收取，包含在服务费中；</t>
        </is>
      </c>
      <c r="AE363" s="232" t="inlineStr">
        <is>
          <t>1、签订期间：2026.1-7月；
2、指标按照全年换算；</t>
        </is>
      </c>
    </row>
    <row r="364" hidden="1" ht="48" customFormat="1" customHeight="1" s="209">
      <c r="A364" s="219" t="n">
        <v>362</v>
      </c>
      <c r="B364" s="220" t="inlineStr">
        <is>
          <t>KQCY0362</t>
        </is>
      </c>
      <c r="C364" s="221" t="inlineStr">
        <is>
          <t>餐饮五分部</t>
        </is>
      </c>
      <c r="D364" s="221" t="inlineStr">
        <is>
          <t>CF134</t>
        </is>
      </c>
      <c r="E364" s="221" t="inlineStr">
        <is>
          <t>苏大独墅湖五食堂</t>
        </is>
      </c>
      <c r="F364" s="219" t="inlineStr">
        <is>
          <t>分组作业</t>
        </is>
      </c>
      <c r="G364" s="222" t="inlineStr">
        <is>
          <t>吉沐牛</t>
        </is>
      </c>
      <c r="H364" s="503" t="inlineStr">
        <is>
          <t>/</t>
        </is>
      </c>
      <c r="I364" s="237" t="inlineStr">
        <is>
          <t>辣椒炒肉</t>
        </is>
      </c>
      <c r="J364" s="222" t="inlineStr">
        <is>
          <t>李美蓉</t>
        </is>
      </c>
      <c r="K364" s="222" t="n"/>
      <c r="L364" s="224" t="n"/>
      <c r="M364" s="224" t="inlineStr">
        <is>
          <t>/</t>
        </is>
      </c>
      <c r="N364" s="651" t="n">
        <v>680000</v>
      </c>
      <c r="O364" s="552" t="n">
        <v>0.18</v>
      </c>
      <c r="P364" s="247" t="inlineStr">
        <is>
          <t>/</t>
        </is>
      </c>
      <c r="Q364" s="247" t="inlineStr">
        <is>
          <t>/</t>
        </is>
      </c>
      <c r="R364" s="247" t="inlineStr">
        <is>
          <t>/</t>
        </is>
      </c>
      <c r="S364" s="247" t="inlineStr">
        <is>
          <t>/</t>
        </is>
      </c>
      <c r="T364" s="247" t="inlineStr">
        <is>
          <t>/</t>
        </is>
      </c>
      <c r="U364" s="247" t="inlineStr">
        <is>
          <t>/</t>
        </is>
      </c>
      <c r="V364" s="235" t="inlineStr">
        <is>
          <t>按实</t>
        </is>
      </c>
      <c r="W364" s="235" t="n">
        <v>0.05</v>
      </c>
      <c r="X364" s="235" t="inlineStr">
        <is>
          <t>按实</t>
        </is>
      </c>
      <c r="Y364" s="247" t="inlineStr">
        <is>
          <t>/</t>
        </is>
      </c>
      <c r="Z364" s="247" t="inlineStr">
        <is>
          <t>/</t>
        </is>
      </c>
      <c r="AA364" s="235" t="inlineStr">
        <is>
          <t>按实</t>
        </is>
      </c>
      <c r="AB364" s="51" t="inlineStr">
        <is>
          <t>/</t>
        </is>
      </c>
      <c r="AC364" s="46" t="inlineStr">
        <is>
          <t>/</t>
        </is>
      </c>
      <c r="AD364" s="232" t="inlineStr">
        <is>
          <t>1、虫害消杀：项目反馈不收取，包含在服务费中；
2、装修折旧费：项目反馈不收取，包含在服务费中；
3、甲方人员工资：项目反馈不收取，包含在服务费中；
4、甲方捐赠：项目反馈不收取，包含在服务费中；</t>
        </is>
      </c>
      <c r="AE364" s="232" t="inlineStr">
        <is>
          <t>1、签订期间：2026.1-7月；
2、指标按照全年换算；</t>
        </is>
      </c>
    </row>
    <row r="365" hidden="1" ht="48" customFormat="1" customHeight="1" s="209">
      <c r="A365" s="219" t="n">
        <v>363</v>
      </c>
      <c r="B365" s="220" t="inlineStr">
        <is>
          <t>KQCY0363</t>
        </is>
      </c>
      <c r="C365" s="221" t="inlineStr">
        <is>
          <t>餐饮五分部</t>
        </is>
      </c>
      <c r="D365" s="221" t="inlineStr">
        <is>
          <t>CF134</t>
        </is>
      </c>
      <c r="E365" s="221" t="inlineStr">
        <is>
          <t>苏大独墅湖五食堂</t>
        </is>
      </c>
      <c r="F365" s="219" t="inlineStr">
        <is>
          <t>分组作业</t>
        </is>
      </c>
      <c r="G365" s="222" t="inlineStr">
        <is>
          <t>吉沐牛</t>
        </is>
      </c>
      <c r="H365" s="503" t="inlineStr">
        <is>
          <t>/</t>
        </is>
      </c>
      <c r="I365" s="237" t="inlineStr">
        <is>
          <t>手工水饺</t>
        </is>
      </c>
      <c r="J365" s="222" t="inlineStr">
        <is>
          <t>王光芬</t>
        </is>
      </c>
      <c r="K365" s="222" t="n"/>
      <c r="L365" s="224" t="n"/>
      <c r="M365" s="224" t="inlineStr">
        <is>
          <t>/</t>
        </is>
      </c>
      <c r="N365" s="651" t="n">
        <v>780000</v>
      </c>
      <c r="O365" s="552" t="n">
        <v>0.18</v>
      </c>
      <c r="P365" s="247" t="inlineStr">
        <is>
          <t>/</t>
        </is>
      </c>
      <c r="Q365" s="247" t="inlineStr">
        <is>
          <t>/</t>
        </is>
      </c>
      <c r="R365" s="247" t="inlineStr">
        <is>
          <t>/</t>
        </is>
      </c>
      <c r="S365" s="247" t="inlineStr">
        <is>
          <t>/</t>
        </is>
      </c>
      <c r="T365" s="247" t="inlineStr">
        <is>
          <t>/</t>
        </is>
      </c>
      <c r="U365" s="247" t="inlineStr">
        <is>
          <t>/</t>
        </is>
      </c>
      <c r="V365" s="235" t="inlineStr">
        <is>
          <t>按实</t>
        </is>
      </c>
      <c r="W365" s="235" t="n">
        <v>0.04</v>
      </c>
      <c r="X365" s="235" t="inlineStr">
        <is>
          <t>按实</t>
        </is>
      </c>
      <c r="Y365" s="247" t="inlineStr">
        <is>
          <t>/</t>
        </is>
      </c>
      <c r="Z365" s="247" t="inlineStr">
        <is>
          <t>/</t>
        </is>
      </c>
      <c r="AA365" s="235" t="inlineStr">
        <is>
          <t>按实</t>
        </is>
      </c>
      <c r="AB365" s="51" t="inlineStr">
        <is>
          <t>/</t>
        </is>
      </c>
      <c r="AC365" s="46" t="inlineStr">
        <is>
          <t>/</t>
        </is>
      </c>
      <c r="AD365" s="232" t="inlineStr">
        <is>
          <t>1、虫害消杀：项目反馈不收取，包含在服务费中；
2、装修折旧费：项目反馈不收取，包含在服务费中；
3、甲方人员工资：项目反馈不收取，包含在服务费中；
4、甲方捐赠：项目反馈不收取，包含在服务费中；</t>
        </is>
      </c>
      <c r="AE365" s="232" t="inlineStr">
        <is>
          <t>1、签订期间：2026.1-7月；
2、指标按照全年换算；</t>
        </is>
      </c>
    </row>
    <row r="366" hidden="1" ht="48" customFormat="1" customHeight="1" s="209">
      <c r="A366" s="219" t="n">
        <v>364</v>
      </c>
      <c r="B366" s="220" t="inlineStr">
        <is>
          <t>KQCY0364</t>
        </is>
      </c>
      <c r="C366" s="221" t="inlineStr">
        <is>
          <t>餐饮五分部</t>
        </is>
      </c>
      <c r="D366" s="221" t="inlineStr">
        <is>
          <t>CF134</t>
        </is>
      </c>
      <c r="E366" s="221" t="inlineStr">
        <is>
          <t>苏大独墅湖五食堂</t>
        </is>
      </c>
      <c r="F366" s="219" t="inlineStr">
        <is>
          <t>分组作业</t>
        </is>
      </c>
      <c r="G366" s="222" t="inlineStr">
        <is>
          <t>吉沐牛</t>
        </is>
      </c>
      <c r="H366" s="503" t="inlineStr">
        <is>
          <t>/</t>
        </is>
      </c>
      <c r="I366" s="237" t="inlineStr">
        <is>
          <t>刀削面</t>
        </is>
      </c>
      <c r="J366" s="222" t="inlineStr">
        <is>
          <t>刘红东</t>
        </is>
      </c>
      <c r="K366" s="222" t="n"/>
      <c r="L366" s="224" t="n"/>
      <c r="M366" s="224" t="inlineStr">
        <is>
          <t>/</t>
        </is>
      </c>
      <c r="N366" s="651" t="n">
        <v>720000</v>
      </c>
      <c r="O366" s="552" t="n">
        <v>0.18</v>
      </c>
      <c r="P366" s="247" t="inlineStr">
        <is>
          <t>/</t>
        </is>
      </c>
      <c r="Q366" s="247" t="inlineStr">
        <is>
          <t>/</t>
        </is>
      </c>
      <c r="R366" s="247" t="inlineStr">
        <is>
          <t>/</t>
        </is>
      </c>
      <c r="S366" s="247" t="inlineStr">
        <is>
          <t>/</t>
        </is>
      </c>
      <c r="T366" s="247" t="inlineStr">
        <is>
          <t>/</t>
        </is>
      </c>
      <c r="U366" s="247" t="inlineStr">
        <is>
          <t>/</t>
        </is>
      </c>
      <c r="V366" s="235" t="inlineStr">
        <is>
          <t>按实</t>
        </is>
      </c>
      <c r="W366" s="235" t="n">
        <v>0.05</v>
      </c>
      <c r="X366" s="235" t="inlineStr">
        <is>
          <t>按实</t>
        </is>
      </c>
      <c r="Y366" s="247" t="inlineStr">
        <is>
          <t>/</t>
        </is>
      </c>
      <c r="Z366" s="247" t="inlineStr">
        <is>
          <t>/</t>
        </is>
      </c>
      <c r="AA366" s="235" t="inlineStr">
        <is>
          <t>按实</t>
        </is>
      </c>
      <c r="AB366" s="51" t="inlineStr">
        <is>
          <t>/</t>
        </is>
      </c>
      <c r="AC366" s="46" t="inlineStr">
        <is>
          <t>/</t>
        </is>
      </c>
      <c r="AD366" s="232" t="inlineStr">
        <is>
          <t>1、虫害消杀：项目反馈不收取，包含在服务费中；
2、装修折旧费：项目反馈不收取，包含在服务费中；
3、甲方人员工资：项目反馈不收取，包含在服务费中；
4、甲方捐赠：项目反馈不收取，包含在服务费中；</t>
        </is>
      </c>
      <c r="AE366" s="232" t="inlineStr">
        <is>
          <t>1、签订期间：2026.1-7月；
2、指标按照全年换算；</t>
        </is>
      </c>
    </row>
    <row r="367" hidden="1" ht="48" customFormat="1" customHeight="1" s="209">
      <c r="A367" s="219" t="n">
        <v>365</v>
      </c>
      <c r="B367" s="220" t="inlineStr">
        <is>
          <t>KQCY0365</t>
        </is>
      </c>
      <c r="C367" s="221" t="inlineStr">
        <is>
          <t>餐饮五分部</t>
        </is>
      </c>
      <c r="D367" s="221" t="inlineStr">
        <is>
          <t>CF134</t>
        </is>
      </c>
      <c r="E367" s="221" t="inlineStr">
        <is>
          <t>苏大独墅湖五食堂</t>
        </is>
      </c>
      <c r="F367" s="219" t="inlineStr">
        <is>
          <t>分组作业</t>
        </is>
      </c>
      <c r="G367" s="222" t="inlineStr">
        <is>
          <t>吉沐牛</t>
        </is>
      </c>
      <c r="H367" s="503" t="inlineStr">
        <is>
          <t>/</t>
        </is>
      </c>
      <c r="I367" s="237" t="inlineStr">
        <is>
          <t>奶茶、炸鸡</t>
        </is>
      </c>
      <c r="J367" s="222" t="inlineStr">
        <is>
          <t>张斌</t>
        </is>
      </c>
      <c r="K367" s="222" t="n"/>
      <c r="L367" s="224" t="n"/>
      <c r="M367" s="224" t="inlineStr">
        <is>
          <t>/</t>
        </is>
      </c>
      <c r="N367" s="651" t="n">
        <v>1100000</v>
      </c>
      <c r="O367" s="552" t="n">
        <v>0.1</v>
      </c>
      <c r="P367" s="247" t="inlineStr">
        <is>
          <t>/</t>
        </is>
      </c>
      <c r="Q367" s="247" t="inlineStr">
        <is>
          <t>/</t>
        </is>
      </c>
      <c r="R367" s="247" t="inlineStr">
        <is>
          <t>/</t>
        </is>
      </c>
      <c r="S367" s="247" t="inlineStr">
        <is>
          <t>/</t>
        </is>
      </c>
      <c r="T367" s="247" t="inlineStr">
        <is>
          <t>/</t>
        </is>
      </c>
      <c r="U367" s="247" t="inlineStr">
        <is>
          <t>/</t>
        </is>
      </c>
      <c r="V367" s="235" t="inlineStr">
        <is>
          <t>按实</t>
        </is>
      </c>
      <c r="W367" s="235" t="n">
        <v>0.03</v>
      </c>
      <c r="X367" s="235" t="inlineStr">
        <is>
          <t>按实</t>
        </is>
      </c>
      <c r="Y367" s="247" t="inlineStr">
        <is>
          <t>/</t>
        </is>
      </c>
      <c r="Z367" s="247" t="inlineStr">
        <is>
          <t>/</t>
        </is>
      </c>
      <c r="AA367" s="235" t="inlineStr">
        <is>
          <t>按实</t>
        </is>
      </c>
      <c r="AB367" s="51" t="inlineStr">
        <is>
          <t>/</t>
        </is>
      </c>
      <c r="AC367" s="46" t="inlineStr">
        <is>
          <t>/</t>
        </is>
      </c>
      <c r="AD367" s="232" t="inlineStr">
        <is>
          <t>1、虫害消杀：项目反馈不收取，包含在服务费中；
2、装修折旧费：项目反馈不收取，包含在服务费中；
3、甲方人员工资：项目反馈不收取，包含在服务费中；
4、甲方捐赠：项目反馈不收取，包含在服务费中；</t>
        </is>
      </c>
      <c r="AE367" s="232" t="inlineStr">
        <is>
          <t>1、签订期间：2026.1-7月；
2、指标按照全年换算；</t>
        </is>
      </c>
    </row>
    <row r="368" hidden="1" ht="12" customFormat="1" customHeight="1" s="209">
      <c r="A368" s="219" t="n">
        <v>366</v>
      </c>
      <c r="B368" s="220" t="inlineStr">
        <is>
          <t>KQCY0366</t>
        </is>
      </c>
      <c r="C368" s="221" t="inlineStr">
        <is>
          <t>餐饮六分部</t>
        </is>
      </c>
      <c r="D368" s="221" t="inlineStr">
        <is>
          <t>CF293</t>
        </is>
      </c>
      <c r="E368" s="221" t="inlineStr">
        <is>
          <t>江苏二师石湫校区食堂</t>
        </is>
      </c>
      <c r="F368" s="219" t="inlineStr">
        <is>
          <t>自营</t>
        </is>
      </c>
      <c r="G368" s="222" t="inlineStr">
        <is>
          <t>吉沐牛</t>
        </is>
      </c>
      <c r="H368" s="222" t="inlineStr">
        <is>
          <t>/</t>
        </is>
      </c>
      <c r="I368" s="237" t="inlineStr">
        <is>
          <t>/</t>
        </is>
      </c>
      <c r="J368" s="222" t="inlineStr">
        <is>
          <t>/</t>
        </is>
      </c>
      <c r="K368" s="222" t="n"/>
      <c r="L368" s="224" t="n"/>
      <c r="M368" s="224" t="inlineStr">
        <is>
          <t>/</t>
        </is>
      </c>
      <c r="N368" s="651" t="inlineStr">
        <is>
          <t>/</t>
        </is>
      </c>
      <c r="O368" s="235" t="inlineStr">
        <is>
          <t>/</t>
        </is>
      </c>
      <c r="P368" s="235" t="n"/>
      <c r="Q368" s="235" t="inlineStr">
        <is>
          <t>/</t>
        </is>
      </c>
      <c r="R368" s="235" t="n"/>
      <c r="S368" s="235" t="inlineStr">
        <is>
          <t>/</t>
        </is>
      </c>
      <c r="T368" s="235" t="inlineStr">
        <is>
          <t>/</t>
        </is>
      </c>
      <c r="U368" s="235" t="inlineStr">
        <is>
          <t>/</t>
        </is>
      </c>
      <c r="V368" s="235" t="n"/>
      <c r="W368" s="235" t="n"/>
      <c r="X368" s="235" t="inlineStr">
        <is>
          <t>/</t>
        </is>
      </c>
      <c r="Y368" s="461" t="n"/>
      <c r="Z368" s="461" t="n"/>
      <c r="AA368" s="461" t="n"/>
      <c r="AB368" s="46" t="n">
        <v>0.045</v>
      </c>
      <c r="AC368" s="46" t="inlineStr">
        <is>
          <t>/</t>
        </is>
      </c>
      <c r="AD368" s="232" t="n"/>
      <c r="AE368" s="232" t="n"/>
    </row>
    <row r="369" hidden="1" ht="48" customFormat="1" customHeight="1" s="209">
      <c r="A369" s="219" t="n">
        <v>367</v>
      </c>
      <c r="B369" s="220" t="inlineStr">
        <is>
          <t>KQCY0367</t>
        </is>
      </c>
      <c r="C369" s="221" t="inlineStr">
        <is>
          <t>餐饮六分部</t>
        </is>
      </c>
      <c r="D369" s="221" t="inlineStr">
        <is>
          <t>CF293</t>
        </is>
      </c>
      <c r="E369" s="221" t="inlineStr">
        <is>
          <t>江苏二师石湫校区食堂</t>
        </is>
      </c>
      <c r="F369" s="219" t="inlineStr">
        <is>
          <t>分组作业</t>
        </is>
      </c>
      <c r="G369" s="222" t="inlineStr">
        <is>
          <t>吉沐牛</t>
        </is>
      </c>
      <c r="H369" s="219" t="inlineStr">
        <is>
          <t>第二班组</t>
        </is>
      </c>
      <c r="I369" s="237" t="inlineStr">
        <is>
          <t>水饺面条</t>
        </is>
      </c>
      <c r="J369" s="219" t="inlineStr">
        <is>
          <t>申亮</t>
        </is>
      </c>
      <c r="K369" s="219" t="n"/>
      <c r="L369" s="224" t="n"/>
      <c r="M369" s="224" t="inlineStr">
        <is>
          <t>/</t>
        </is>
      </c>
      <c r="N369" s="651" t="n">
        <v>375000</v>
      </c>
      <c r="O369" s="552" t="n">
        <v>0.19</v>
      </c>
      <c r="P369" s="235" t="n">
        <v>0</v>
      </c>
      <c r="Q369" s="235" t="n">
        <v>0</v>
      </c>
      <c r="R369" s="235" t="n">
        <v>0</v>
      </c>
      <c r="S369" s="235" t="n">
        <v>0</v>
      </c>
      <c r="T369" s="235" t="n">
        <v>0</v>
      </c>
      <c r="U369" s="235" t="n">
        <v>0</v>
      </c>
      <c r="V369" s="552" t="n">
        <v>0.035</v>
      </c>
      <c r="W369" s="552" t="n">
        <v>0.055</v>
      </c>
      <c r="X369" s="235" t="inlineStr">
        <is>
          <t>按实</t>
        </is>
      </c>
      <c r="Y369" s="461" t="inlineStr">
        <is>
          <t>/</t>
        </is>
      </c>
      <c r="Z369" s="461" t="inlineStr">
        <is>
          <t>/</t>
        </is>
      </c>
      <c r="AA369" s="235" t="inlineStr">
        <is>
          <t>按实</t>
        </is>
      </c>
      <c r="AB369" s="46" t="inlineStr">
        <is>
          <t>/</t>
        </is>
      </c>
      <c r="AC369" s="46" t="inlineStr">
        <is>
          <t>/</t>
        </is>
      </c>
      <c r="AD369" s="232" t="inlineStr">
        <is>
          <t>1、装修折旧费：项目反馈不收取，包含在服务费中；
2、甲方管理费：项目反馈不收取，包含在服务费中；
3、甲方人员工资：项目反馈不收取，包含在服务费中；
4、甲方捐赠：项目反馈不收取，包含在服务费中；</t>
        </is>
      </c>
      <c r="AE369" s="232" t="inlineStr">
        <is>
          <t>1、签订期间：2026.3-2027.2月；
2、指标按照全年换算；</t>
        </is>
      </c>
    </row>
    <row r="370" hidden="1" ht="48" customFormat="1" customHeight="1" s="209">
      <c r="A370" s="219" t="n">
        <v>368</v>
      </c>
      <c r="B370" s="220" t="inlineStr">
        <is>
          <t>KQCY0368</t>
        </is>
      </c>
      <c r="C370" s="221" t="inlineStr">
        <is>
          <t>餐饮六分部</t>
        </is>
      </c>
      <c r="D370" s="221" t="inlineStr">
        <is>
          <t>CF293</t>
        </is>
      </c>
      <c r="E370" s="221" t="inlineStr">
        <is>
          <t>江苏二师石湫校区食堂</t>
        </is>
      </c>
      <c r="F370" s="219" t="inlineStr">
        <is>
          <t>分组作业</t>
        </is>
      </c>
      <c r="G370" s="222" t="inlineStr">
        <is>
          <t>吉沐牛</t>
        </is>
      </c>
      <c r="H370" s="219" t="inlineStr">
        <is>
          <t>第三班组</t>
        </is>
      </c>
      <c r="I370" s="237" t="inlineStr">
        <is>
          <t>湘西小炒</t>
        </is>
      </c>
      <c r="J370" s="219" t="inlineStr">
        <is>
          <t>李帮</t>
        </is>
      </c>
      <c r="K370" s="219" t="n"/>
      <c r="L370" s="224" t="n"/>
      <c r="M370" s="224" t="inlineStr">
        <is>
          <t>/</t>
        </is>
      </c>
      <c r="N370" s="651" t="n">
        <v>395000</v>
      </c>
      <c r="O370" s="552" t="n">
        <v>0.19</v>
      </c>
      <c r="P370" s="235" t="n">
        <v>0</v>
      </c>
      <c r="Q370" s="235" t="n">
        <v>0</v>
      </c>
      <c r="R370" s="235" t="n">
        <v>0</v>
      </c>
      <c r="S370" s="235" t="n">
        <v>0</v>
      </c>
      <c r="T370" s="235" t="n">
        <v>0</v>
      </c>
      <c r="U370" s="235" t="n">
        <v>0</v>
      </c>
      <c r="V370" s="552" t="n">
        <v>0.035</v>
      </c>
      <c r="W370" s="552" t="n">
        <v>0.055</v>
      </c>
      <c r="X370" s="235" t="inlineStr">
        <is>
          <t>按实</t>
        </is>
      </c>
      <c r="Y370" s="461" t="inlineStr">
        <is>
          <t>/</t>
        </is>
      </c>
      <c r="Z370" s="461" t="inlineStr">
        <is>
          <t>/</t>
        </is>
      </c>
      <c r="AA370" s="235" t="inlineStr">
        <is>
          <t>按实</t>
        </is>
      </c>
      <c r="AB370" s="46" t="inlineStr">
        <is>
          <t>/</t>
        </is>
      </c>
      <c r="AC370" s="46" t="inlineStr">
        <is>
          <t>/</t>
        </is>
      </c>
      <c r="AD370" s="232" t="inlineStr">
        <is>
          <t>1、装修折旧费：项目反馈不收取，包含在服务费中；
2、甲方管理费：项目反馈不收取，包含在服务费中；
3、甲方人员工资：项目反馈不收取，包含在服务费中；
4、甲方捐赠：项目反馈不收取，包含在服务费中；</t>
        </is>
      </c>
      <c r="AE370" s="232" t="inlineStr">
        <is>
          <t>1、签订期间：2026.3-2027.2月；
2、指标按照全年换算；</t>
        </is>
      </c>
    </row>
    <row r="371" hidden="1" ht="48" customFormat="1" customHeight="1" s="209">
      <c r="A371" s="219" t="n">
        <v>369</v>
      </c>
      <c r="B371" s="220" t="inlineStr">
        <is>
          <t>KQCY0369</t>
        </is>
      </c>
      <c r="C371" s="221" t="inlineStr">
        <is>
          <t>餐饮六分部</t>
        </is>
      </c>
      <c r="D371" s="221" t="inlineStr">
        <is>
          <t>CF293</t>
        </is>
      </c>
      <c r="E371" s="221" t="inlineStr">
        <is>
          <t>江苏二师石湫校区食堂</t>
        </is>
      </c>
      <c r="F371" s="219" t="inlineStr">
        <is>
          <t>分组作业</t>
        </is>
      </c>
      <c r="G371" s="222" t="inlineStr">
        <is>
          <t>吉沐牛</t>
        </is>
      </c>
      <c r="H371" s="219" t="inlineStr">
        <is>
          <t>第七班组</t>
        </is>
      </c>
      <c r="I371" s="237" t="inlineStr">
        <is>
          <t>早餐</t>
        </is>
      </c>
      <c r="J371" s="219" t="inlineStr">
        <is>
          <t>李帮</t>
        </is>
      </c>
      <c r="K371" s="219" t="n"/>
      <c r="L371" s="224" t="n"/>
      <c r="M371" s="224" t="inlineStr">
        <is>
          <t>/</t>
        </is>
      </c>
      <c r="N371" s="651" t="n">
        <v>968000</v>
      </c>
      <c r="O371" s="552" t="n">
        <v>0.19</v>
      </c>
      <c r="P371" s="235" t="n">
        <v>0</v>
      </c>
      <c r="Q371" s="235" t="n">
        <v>0</v>
      </c>
      <c r="R371" s="235" t="n">
        <v>0</v>
      </c>
      <c r="S371" s="235" t="n">
        <v>0</v>
      </c>
      <c r="T371" s="235" t="n">
        <v>0</v>
      </c>
      <c r="U371" s="235" t="n">
        <v>0</v>
      </c>
      <c r="V371" s="552" t="n">
        <v>0.025</v>
      </c>
      <c r="W371" s="552" t="n">
        <v>0.055</v>
      </c>
      <c r="X371" s="235" t="inlineStr">
        <is>
          <t>按实</t>
        </is>
      </c>
      <c r="Y371" s="461" t="inlineStr">
        <is>
          <t>/</t>
        </is>
      </c>
      <c r="Z371" s="461" t="inlineStr">
        <is>
          <t>/</t>
        </is>
      </c>
      <c r="AA371" s="235" t="inlineStr">
        <is>
          <t>按实</t>
        </is>
      </c>
      <c r="AB371" s="46" t="inlineStr">
        <is>
          <t>/</t>
        </is>
      </c>
      <c r="AC371" s="46" t="inlineStr">
        <is>
          <t>/</t>
        </is>
      </c>
      <c r="AD371" s="232" t="inlineStr">
        <is>
          <t>1、装修折旧费：项目反馈不收取，包含在服务费中；
2、甲方管理费：项目反馈不收取，包含在服务费中；
3、甲方人员工资：甲方人员工资：7500/月，寒暑假/；
4、甲方捐赠：项目反馈不收取，包含在服务费中；</t>
        </is>
      </c>
      <c r="AE371" s="232" t="inlineStr">
        <is>
          <t>1、签订期间：2026.3-2027.2月；
2、指标按照全年换算；</t>
        </is>
      </c>
    </row>
    <row r="372" hidden="1" ht="48" customFormat="1" customHeight="1" s="209">
      <c r="A372" s="219" t="n">
        <v>370</v>
      </c>
      <c r="B372" s="220" t="inlineStr">
        <is>
          <t>KQCY0370</t>
        </is>
      </c>
      <c r="C372" s="221" t="inlineStr">
        <is>
          <t>餐饮六分部</t>
        </is>
      </c>
      <c r="D372" s="221" t="inlineStr">
        <is>
          <t>CF293</t>
        </is>
      </c>
      <c r="E372" s="221" t="inlineStr">
        <is>
          <t>江苏二师石湫校区食堂</t>
        </is>
      </c>
      <c r="F372" s="219" t="inlineStr">
        <is>
          <t>分组作业</t>
        </is>
      </c>
      <c r="G372" s="222" t="inlineStr">
        <is>
          <t>吉沐牛</t>
        </is>
      </c>
      <c r="H372" s="219" t="inlineStr">
        <is>
          <t>第一班组</t>
        </is>
      </c>
      <c r="I372" s="237" t="inlineStr">
        <is>
          <t>营养粥(肠粉)</t>
        </is>
      </c>
      <c r="J372" s="219" t="inlineStr">
        <is>
          <t>申亮</t>
        </is>
      </c>
      <c r="K372" s="219" t="n"/>
      <c r="L372" s="224" t="n"/>
      <c r="M372" s="224" t="inlineStr">
        <is>
          <t>/</t>
        </is>
      </c>
      <c r="N372" s="651" t="n">
        <v>810000</v>
      </c>
      <c r="O372" s="552" t="n">
        <v>0.19</v>
      </c>
      <c r="P372" s="235" t="n">
        <v>0</v>
      </c>
      <c r="Q372" s="235" t="n">
        <v>0</v>
      </c>
      <c r="R372" s="235" t="n">
        <v>0</v>
      </c>
      <c r="S372" s="235" t="n">
        <v>0</v>
      </c>
      <c r="T372" s="235" t="n">
        <v>0</v>
      </c>
      <c r="U372" s="235" t="n">
        <v>0</v>
      </c>
      <c r="V372" s="235" t="inlineStr">
        <is>
          <t>按实</t>
        </is>
      </c>
      <c r="W372" s="235" t="inlineStr">
        <is>
          <t>按实</t>
        </is>
      </c>
      <c r="X372" s="235" t="inlineStr">
        <is>
          <t>按实</t>
        </is>
      </c>
      <c r="Y372" s="461" t="inlineStr">
        <is>
          <t>/</t>
        </is>
      </c>
      <c r="Z372" s="461" t="inlineStr">
        <is>
          <t>/</t>
        </is>
      </c>
      <c r="AA372" s="235" t="inlineStr">
        <is>
          <t>按实</t>
        </is>
      </c>
      <c r="AB372" s="46" t="inlineStr">
        <is>
          <t>/</t>
        </is>
      </c>
      <c r="AC372" s="46" t="inlineStr">
        <is>
          <t>/</t>
        </is>
      </c>
      <c r="AD372" s="232" t="inlineStr">
        <is>
          <t>1、装修折旧费：项目反馈不收取，包含在服务费中；
2、甲方管理费：项目反馈不收取，包含在服务费中；
3、甲方人员工资：项目反馈不收取，包含在服务费中；
4、甲方捐赠：项目反馈不收取，包含在服务费中；</t>
        </is>
      </c>
      <c r="AE372" s="232" t="inlineStr">
        <is>
          <t>1、签订期间：2025.8-2026.8月；
2、指标按照全年换算；</t>
        </is>
      </c>
    </row>
    <row r="373" hidden="1" ht="48" customFormat="1" customHeight="1" s="209">
      <c r="A373" s="219" t="n">
        <v>371</v>
      </c>
      <c r="B373" s="220" t="inlineStr">
        <is>
          <t>KQCY0371</t>
        </is>
      </c>
      <c r="C373" s="221" t="inlineStr">
        <is>
          <t>餐饮六分部</t>
        </is>
      </c>
      <c r="D373" s="221" t="inlineStr">
        <is>
          <t>CF293</t>
        </is>
      </c>
      <c r="E373" s="221" t="inlineStr">
        <is>
          <t>江苏二师石湫校区食堂</t>
        </is>
      </c>
      <c r="F373" s="219" t="inlineStr">
        <is>
          <t>分组作业</t>
        </is>
      </c>
      <c r="G373" s="222" t="inlineStr">
        <is>
          <t>吉沐牛</t>
        </is>
      </c>
      <c r="H373" s="219" t="inlineStr">
        <is>
          <t>第五班组</t>
        </is>
      </c>
      <c r="I373" s="237" t="inlineStr">
        <is>
          <t>米线</t>
        </is>
      </c>
      <c r="J373" s="219" t="inlineStr">
        <is>
          <t>汪芳</t>
        </is>
      </c>
      <c r="K373" s="219" t="n"/>
      <c r="L373" s="224" t="n"/>
      <c r="M373" s="224" t="inlineStr">
        <is>
          <t>/</t>
        </is>
      </c>
      <c r="N373" s="651" t="n">
        <v>745000</v>
      </c>
      <c r="O373" s="552" t="n">
        <v>0.19</v>
      </c>
      <c r="P373" s="235" t="n">
        <v>0</v>
      </c>
      <c r="Q373" s="235" t="n">
        <v>0</v>
      </c>
      <c r="R373" s="235" t="n">
        <v>0</v>
      </c>
      <c r="S373" s="235" t="n">
        <v>0</v>
      </c>
      <c r="T373" s="235" t="n">
        <v>0</v>
      </c>
      <c r="U373" s="235" t="n">
        <v>0</v>
      </c>
      <c r="V373" s="235" t="inlineStr">
        <is>
          <t>按实</t>
        </is>
      </c>
      <c r="W373" s="235" t="inlineStr">
        <is>
          <t>按实</t>
        </is>
      </c>
      <c r="X373" s="235" t="inlineStr">
        <is>
          <t>按实</t>
        </is>
      </c>
      <c r="Y373" s="461" t="inlineStr">
        <is>
          <t>/</t>
        </is>
      </c>
      <c r="Z373" s="461" t="inlineStr">
        <is>
          <t>/</t>
        </is>
      </c>
      <c r="AA373" s="235" t="inlineStr">
        <is>
          <t>按实</t>
        </is>
      </c>
      <c r="AB373" s="46" t="inlineStr">
        <is>
          <t>/</t>
        </is>
      </c>
      <c r="AC373" s="46" t="inlineStr">
        <is>
          <t>/</t>
        </is>
      </c>
      <c r="AD373" s="232" t="inlineStr">
        <is>
          <t>1、装修折旧费：项目反馈不收取，包含在服务费中；
2、甲方管理费：项目反馈不收取，包含在服务费中；
3、甲方人员工资：项目反馈不收取，包含在服务费中；
4、甲方捐赠：项目反馈不收取，包含在服务费中；</t>
        </is>
      </c>
      <c r="AE373" s="232" t="inlineStr">
        <is>
          <t>1、签订期间：2025.8-2026.8月；
2、指标按照全年换算；</t>
        </is>
      </c>
    </row>
    <row r="374" hidden="1" ht="48" customFormat="1" customHeight="1" s="209">
      <c r="A374" s="219" t="n">
        <v>372</v>
      </c>
      <c r="B374" s="220" t="inlineStr">
        <is>
          <t>KQCY0372</t>
        </is>
      </c>
      <c r="C374" s="221" t="inlineStr">
        <is>
          <t>餐饮六分部</t>
        </is>
      </c>
      <c r="D374" s="221" t="inlineStr">
        <is>
          <t>CF293</t>
        </is>
      </c>
      <c r="E374" s="221" t="inlineStr">
        <is>
          <t>江苏二师石湫校区食堂</t>
        </is>
      </c>
      <c r="F374" s="219" t="inlineStr">
        <is>
          <t>分组作业</t>
        </is>
      </c>
      <c r="G374" s="222" t="inlineStr">
        <is>
          <t>吉沐牛</t>
        </is>
      </c>
      <c r="H374" s="219" t="inlineStr">
        <is>
          <t>第六班组</t>
        </is>
      </c>
      <c r="I374" s="237" t="inlineStr">
        <is>
          <t>麻辣烫(麻辣拌)</t>
        </is>
      </c>
      <c r="J374" s="219" t="inlineStr">
        <is>
          <t>汪芳</t>
        </is>
      </c>
      <c r="K374" s="219" t="n"/>
      <c r="L374" s="224" t="n"/>
      <c r="M374" s="224" t="inlineStr">
        <is>
          <t>/</t>
        </is>
      </c>
      <c r="N374" s="651" t="n">
        <v>770000</v>
      </c>
      <c r="O374" s="552" t="n">
        <v>0.19</v>
      </c>
      <c r="P374" s="235" t="n">
        <v>0</v>
      </c>
      <c r="Q374" s="235" t="n">
        <v>0</v>
      </c>
      <c r="R374" s="235" t="n">
        <v>0</v>
      </c>
      <c r="S374" s="235" t="n">
        <v>0</v>
      </c>
      <c r="T374" s="235" t="n">
        <v>0</v>
      </c>
      <c r="U374" s="235" t="n">
        <v>0</v>
      </c>
      <c r="V374" s="235" t="inlineStr">
        <is>
          <t>按实</t>
        </is>
      </c>
      <c r="W374" s="235" t="inlineStr">
        <is>
          <t>按实</t>
        </is>
      </c>
      <c r="X374" s="235" t="inlineStr">
        <is>
          <t>按实</t>
        </is>
      </c>
      <c r="Y374" s="461" t="inlineStr">
        <is>
          <t>/</t>
        </is>
      </c>
      <c r="Z374" s="461" t="inlineStr">
        <is>
          <t>/</t>
        </is>
      </c>
      <c r="AA374" s="235" t="inlineStr">
        <is>
          <t>按实</t>
        </is>
      </c>
      <c r="AB374" s="46" t="inlineStr">
        <is>
          <t>/</t>
        </is>
      </c>
      <c r="AC374" s="46" t="inlineStr">
        <is>
          <t>/</t>
        </is>
      </c>
      <c r="AD374" s="232" t="inlineStr">
        <is>
          <t>1、装修折旧费：项目反馈不收取，包含在服务费中；
2、甲方管理费：项目反馈不收取，包含在服务费中；
3、甲方人员工资：项目反馈不收取，包含在服务费中；
4、甲方捐赠：项目反馈不收取，包含在服务费中；</t>
        </is>
      </c>
      <c r="AE374" s="232" t="inlineStr">
        <is>
          <t>1、签订期间：2025.8-2026.8月；
2、指标按照全年换算；</t>
        </is>
      </c>
    </row>
    <row r="375" hidden="1" ht="60" customFormat="1" customHeight="1" s="209">
      <c r="A375" s="219" t="n">
        <v>373</v>
      </c>
      <c r="B375" s="220" t="inlineStr">
        <is>
          <t>KQCY0373</t>
        </is>
      </c>
      <c r="C375" s="221" t="inlineStr">
        <is>
          <t>餐饮六分部</t>
        </is>
      </c>
      <c r="D375" s="221" t="inlineStr">
        <is>
          <t>CF293</t>
        </is>
      </c>
      <c r="E375" s="221" t="inlineStr">
        <is>
          <t>江苏二师石湫校区食堂</t>
        </is>
      </c>
      <c r="F375" s="219" t="inlineStr">
        <is>
          <t>分组作业</t>
        </is>
      </c>
      <c r="G375" s="222" t="inlineStr">
        <is>
          <t>吉沐牛</t>
        </is>
      </c>
      <c r="H375" s="219" t="inlineStr">
        <is>
          <t>第八班组</t>
        </is>
      </c>
      <c r="I375" s="237" t="inlineStr">
        <is>
          <t>炸鸡(汉堡)</t>
        </is>
      </c>
      <c r="J375" s="219" t="inlineStr">
        <is>
          <t>熊跳</t>
        </is>
      </c>
      <c r="K375" s="219" t="n"/>
      <c r="L375" s="224" t="n"/>
      <c r="M375" s="224" t="inlineStr">
        <is>
          <t>/</t>
        </is>
      </c>
      <c r="N375" s="651" t="n">
        <v>745000</v>
      </c>
      <c r="O375" s="552" t="n">
        <v>0.14</v>
      </c>
      <c r="P375" s="235" t="n">
        <v>0</v>
      </c>
      <c r="Q375" s="235" t="n">
        <v>0</v>
      </c>
      <c r="R375" s="235" t="n">
        <v>0</v>
      </c>
      <c r="S375" s="235" t="n">
        <v>0</v>
      </c>
      <c r="T375" s="235" t="n">
        <v>0</v>
      </c>
      <c r="U375" s="235" t="n">
        <v>0</v>
      </c>
      <c r="V375" s="235" t="n">
        <v>0</v>
      </c>
      <c r="W375" s="235" t="inlineStr">
        <is>
          <t>按实</t>
        </is>
      </c>
      <c r="X375" s="235" t="inlineStr">
        <is>
          <t>按实</t>
        </is>
      </c>
      <c r="Y375" s="461" t="inlineStr">
        <is>
          <t>/</t>
        </is>
      </c>
      <c r="Z375" s="461" t="inlineStr">
        <is>
          <t>/</t>
        </is>
      </c>
      <c r="AA375" s="235" t="inlineStr">
        <is>
          <t>按实</t>
        </is>
      </c>
      <c r="AB375" s="46" t="inlineStr">
        <is>
          <t>/</t>
        </is>
      </c>
      <c r="AC375" s="46" t="inlineStr">
        <is>
          <t>/</t>
        </is>
      </c>
      <c r="AD375" s="232"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AE375" s="232" t="inlineStr">
        <is>
          <t>1、签订期间：2025.8-2026.8月；
2、指标按照全年换算；</t>
        </is>
      </c>
    </row>
    <row r="376" hidden="1" ht="60" customFormat="1" customHeight="1" s="209">
      <c r="A376" s="219" t="n">
        <v>374</v>
      </c>
      <c r="B376" s="220" t="inlineStr">
        <is>
          <t>KQCY0374</t>
        </is>
      </c>
      <c r="C376" s="221" t="inlineStr">
        <is>
          <t>餐饮六分部</t>
        </is>
      </c>
      <c r="D376" s="221" t="inlineStr">
        <is>
          <t>CF293</t>
        </is>
      </c>
      <c r="E376" s="221" t="inlineStr">
        <is>
          <t>江苏二师石湫校区食堂</t>
        </is>
      </c>
      <c r="F376" s="219" t="inlineStr">
        <is>
          <t>分组作业</t>
        </is>
      </c>
      <c r="G376" s="222" t="inlineStr">
        <is>
          <t>吉沐牛</t>
        </is>
      </c>
      <c r="H376" s="219" t="inlineStr">
        <is>
          <t>第九班组</t>
        </is>
      </c>
      <c r="I376" s="237" t="inlineStr">
        <is>
          <t>七分甜</t>
        </is>
      </c>
      <c r="J376" s="219" t="inlineStr">
        <is>
          <t>熊跳</t>
        </is>
      </c>
      <c r="K376" s="219" t="n"/>
      <c r="L376" s="224" t="n"/>
      <c r="M376" s="224" t="inlineStr">
        <is>
          <t>/</t>
        </is>
      </c>
      <c r="N376" s="651" t="n">
        <v>820000</v>
      </c>
      <c r="O376" s="552" t="n">
        <v>0.14</v>
      </c>
      <c r="P376" s="235" t="n">
        <v>0</v>
      </c>
      <c r="Q376" s="235" t="n">
        <v>0</v>
      </c>
      <c r="R376" s="235" t="n">
        <v>0</v>
      </c>
      <c r="S376" s="235" t="n">
        <v>0</v>
      </c>
      <c r="T376" s="235" t="n">
        <v>0</v>
      </c>
      <c r="U376" s="235" t="n">
        <v>0</v>
      </c>
      <c r="V376" s="235" t="n">
        <v>0</v>
      </c>
      <c r="W376" s="461" t="inlineStr">
        <is>
          <t>按实</t>
        </is>
      </c>
      <c r="X376" s="235" t="inlineStr">
        <is>
          <t>按实</t>
        </is>
      </c>
      <c r="Y376" s="461" t="inlineStr">
        <is>
          <t>/</t>
        </is>
      </c>
      <c r="Z376" s="461" t="inlineStr">
        <is>
          <t>/</t>
        </is>
      </c>
      <c r="AA376" s="235" t="inlineStr">
        <is>
          <t>按实</t>
        </is>
      </c>
      <c r="AB376" s="46" t="inlineStr">
        <is>
          <t>/</t>
        </is>
      </c>
      <c r="AC376" s="46" t="inlineStr">
        <is>
          <t>/</t>
        </is>
      </c>
      <c r="AD376" s="232"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AE376" s="232" t="inlineStr">
        <is>
          <t>1、签订期间：2025.8-2026.8月；
2、指标按照全年换算；</t>
        </is>
      </c>
    </row>
    <row r="377" hidden="1" ht="48" customFormat="1" customHeight="1" s="209">
      <c r="A377" s="219" t="n">
        <v>375</v>
      </c>
      <c r="B377" s="220" t="inlineStr">
        <is>
          <t>KQCY0375</t>
        </is>
      </c>
      <c r="C377" s="221" t="inlineStr">
        <is>
          <t>餐饮六分部</t>
        </is>
      </c>
      <c r="D377" s="221" t="inlineStr">
        <is>
          <t>CF293</t>
        </is>
      </c>
      <c r="E377" s="221" t="inlineStr">
        <is>
          <t>江苏二师石湫校区食堂</t>
        </is>
      </c>
      <c r="F377" s="219" t="inlineStr">
        <is>
          <t>分组作业</t>
        </is>
      </c>
      <c r="G377" s="222" t="inlineStr">
        <is>
          <t>吉沐牛</t>
        </is>
      </c>
      <c r="H377" s="219" t="inlineStr">
        <is>
          <t>第四班组</t>
        </is>
      </c>
      <c r="I377" s="237" t="inlineStr">
        <is>
          <t>土豆泥拌饭</t>
        </is>
      </c>
      <c r="J377" s="219" t="inlineStr">
        <is>
          <t>端和伟</t>
        </is>
      </c>
      <c r="K377" s="219" t="n"/>
      <c r="L377" s="224" t="n"/>
      <c r="M377" s="224" t="inlineStr">
        <is>
          <t>/</t>
        </is>
      </c>
      <c r="N377" s="651" t="n">
        <v>480000</v>
      </c>
      <c r="O377" s="552" t="n">
        <v>0.19</v>
      </c>
      <c r="P377" s="235" t="n">
        <v>0</v>
      </c>
      <c r="Q377" s="235" t="n">
        <v>0</v>
      </c>
      <c r="R377" s="235" t="n">
        <v>0</v>
      </c>
      <c r="S377" s="235" t="n">
        <v>0</v>
      </c>
      <c r="T377" s="235" t="n">
        <v>0</v>
      </c>
      <c r="U377" s="235" t="n">
        <v>0</v>
      </c>
      <c r="V377" s="552" t="n">
        <v>0.035</v>
      </c>
      <c r="W377" s="552" t="n">
        <v>0.055</v>
      </c>
      <c r="X377" s="235" t="inlineStr">
        <is>
          <t>按实</t>
        </is>
      </c>
      <c r="Y377" s="461" t="inlineStr">
        <is>
          <t>/</t>
        </is>
      </c>
      <c r="Z377" s="461" t="inlineStr">
        <is>
          <t>/</t>
        </is>
      </c>
      <c r="AA377" s="235" t="inlineStr">
        <is>
          <t>按实</t>
        </is>
      </c>
      <c r="AB377" s="46" t="inlineStr">
        <is>
          <t>/</t>
        </is>
      </c>
      <c r="AC377" s="46" t="inlineStr">
        <is>
          <t>/</t>
        </is>
      </c>
      <c r="AD377" s="232" t="inlineStr">
        <is>
          <t>1、装修折旧费：项目反馈不收取，包含在服务费中；
2、甲方管理费：项目反馈不收取，包含在服务费中；
3、甲方人员工资：项目反馈不收取，包含在服务费中；
4、甲方捐赠：项目反馈不收取，包含在服务费中；</t>
        </is>
      </c>
      <c r="AE377" s="232" t="inlineStr">
        <is>
          <t>1、签订期间：2026.4-2027.4月；
2、指标按照全年换算；</t>
        </is>
      </c>
    </row>
    <row r="378" hidden="1" ht="12" customFormat="1" customHeight="1" s="209">
      <c r="A378" s="219" t="n">
        <v>376</v>
      </c>
      <c r="B378" s="220" t="inlineStr">
        <is>
          <t>KQCY0376</t>
        </is>
      </c>
      <c r="C378" s="221" t="inlineStr">
        <is>
          <t>餐饮六分部</t>
        </is>
      </c>
      <c r="D378" s="221" t="inlineStr">
        <is>
          <t>CF480</t>
        </is>
      </c>
      <c r="E378" s="221" t="inlineStr">
        <is>
          <t>江苏旅游学生食堂二楼</t>
        </is>
      </c>
      <c r="F378" s="239" t="inlineStr">
        <is>
          <t>自营</t>
        </is>
      </c>
      <c r="G378" s="222" t="inlineStr">
        <is>
          <t>吉沐牛</t>
        </is>
      </c>
      <c r="H378" s="503" t="inlineStr">
        <is>
          <t>/</t>
        </is>
      </c>
      <c r="I378" s="239" t="inlineStr">
        <is>
          <t>/</t>
        </is>
      </c>
      <c r="J378" s="239" t="inlineStr">
        <is>
          <t>/</t>
        </is>
      </c>
      <c r="K378" s="239" t="n"/>
      <c r="L378" s="235" t="n"/>
      <c r="M378" s="235" t="inlineStr">
        <is>
          <t>/</t>
        </is>
      </c>
      <c r="N378" s="651" t="inlineStr">
        <is>
          <t>/</t>
        </is>
      </c>
      <c r="O378" s="235" t="inlineStr">
        <is>
          <t>/</t>
        </is>
      </c>
      <c r="P378" s="235" t="n"/>
      <c r="Q378" s="235" t="inlineStr">
        <is>
          <t>/</t>
        </is>
      </c>
      <c r="R378" s="247" t="n"/>
      <c r="S378" s="247" t="inlineStr">
        <is>
          <t>/</t>
        </is>
      </c>
      <c r="T378" s="247" t="inlineStr">
        <is>
          <t>/</t>
        </is>
      </c>
      <c r="U378" s="235" t="inlineStr">
        <is>
          <t>/</t>
        </is>
      </c>
      <c r="V378" s="227" t="n"/>
      <c r="W378" s="227" t="n"/>
      <c r="X378" s="235" t="inlineStr">
        <is>
          <t>/</t>
        </is>
      </c>
      <c r="Y378" s="461" t="n"/>
      <c r="Z378" s="461" t="n"/>
      <c r="AA378" s="461" t="inlineStr">
        <is>
          <t>/</t>
        </is>
      </c>
      <c r="AB378" s="46" t="n">
        <v>0.05</v>
      </c>
      <c r="AC378" s="46" t="n">
        <v>0.005</v>
      </c>
      <c r="AD378" s="230" t="inlineStr">
        <is>
          <t>1、自营未实际经营；</t>
        </is>
      </c>
      <c r="AE378" s="232" t="n"/>
    </row>
    <row r="379" hidden="1" ht="48" customFormat="1" customHeight="1" s="209">
      <c r="A379" s="219" t="n">
        <v>377</v>
      </c>
      <c r="B379" s="220" t="inlineStr">
        <is>
          <t>KQCY0377</t>
        </is>
      </c>
      <c r="C379" s="221" t="inlineStr">
        <is>
          <t>餐饮六分部</t>
        </is>
      </c>
      <c r="D379" s="221" t="inlineStr">
        <is>
          <t>CF480</t>
        </is>
      </c>
      <c r="E379" s="221" t="inlineStr">
        <is>
          <t>江苏旅游学生食堂二楼</t>
        </is>
      </c>
      <c r="F379" s="219" t="inlineStr">
        <is>
          <t>分组作业</t>
        </is>
      </c>
      <c r="G379" s="222" t="inlineStr">
        <is>
          <t>吉沐牛</t>
        </is>
      </c>
      <c r="H379" s="503" t="inlineStr">
        <is>
          <t>/</t>
        </is>
      </c>
      <c r="I379" s="237" t="inlineStr">
        <is>
          <t>全福记热卤拌饭(牛肉汤)</t>
        </is>
      </c>
      <c r="J379" s="219" t="inlineStr">
        <is>
          <t>张文泉</t>
        </is>
      </c>
      <c r="K379" s="219" t="n"/>
      <c r="L379" s="224" t="n"/>
      <c r="M379" s="224" t="inlineStr">
        <is>
          <t>/</t>
        </is>
      </c>
      <c r="N379" s="651" t="inlineStr">
        <is>
          <t>/</t>
        </is>
      </c>
      <c r="O379" s="552" t="n">
        <v>0.28</v>
      </c>
      <c r="P379" s="235" t="inlineStr">
        <is>
          <t>/</t>
        </is>
      </c>
      <c r="Q379" s="235" t="inlineStr">
        <is>
          <t>/</t>
        </is>
      </c>
      <c r="R379" s="235" t="inlineStr">
        <is>
          <t>/</t>
        </is>
      </c>
      <c r="S379" s="235" t="inlineStr">
        <is>
          <t>/</t>
        </is>
      </c>
      <c r="T379" s="235" t="inlineStr">
        <is>
          <t>/</t>
        </is>
      </c>
      <c r="U379" s="235" t="inlineStr">
        <is>
          <t>/</t>
        </is>
      </c>
      <c r="V379" s="235" t="inlineStr">
        <is>
          <t>/</t>
        </is>
      </c>
      <c r="W379" s="235" t="inlineStr">
        <is>
          <t>/</t>
        </is>
      </c>
      <c r="X379" s="461" t="inlineStr">
        <is>
          <t>按实</t>
        </is>
      </c>
      <c r="Y379" s="235" t="inlineStr">
        <is>
          <t>/</t>
        </is>
      </c>
      <c r="Z379" s="235" t="inlineStr">
        <is>
          <t>/</t>
        </is>
      </c>
      <c r="AA379" s="461" t="inlineStr">
        <is>
          <t>按实</t>
        </is>
      </c>
      <c r="AB379" s="51" t="inlineStr">
        <is>
          <t>/</t>
        </is>
      </c>
      <c r="AC379" s="46" t="inlineStr">
        <is>
          <t>/</t>
        </is>
      </c>
      <c r="AD379" s="232" t="inlineStr">
        <is>
          <t>1、虫害消杀：项目反馈不收取，包含在服务费中；
2、装修折旧费：项目反馈不收取，包含在服务费中；
3、卫生费：项目反馈不收取，包含在服务费中；
4、能源费：项目反馈不收取，包含在服务费中；</t>
        </is>
      </c>
      <c r="AE379" s="232" t="n"/>
    </row>
    <row r="380" hidden="1" ht="48" customFormat="1" customHeight="1" s="209">
      <c r="A380" s="219" t="n">
        <v>378</v>
      </c>
      <c r="B380" s="220" t="inlineStr">
        <is>
          <t>KQCY0378</t>
        </is>
      </c>
      <c r="C380" s="221" t="inlineStr">
        <is>
          <t>餐饮六分部</t>
        </is>
      </c>
      <c r="D380" s="221" t="inlineStr">
        <is>
          <t>CF480</t>
        </is>
      </c>
      <c r="E380" s="221" t="inlineStr">
        <is>
          <t>江苏旅游学生食堂二楼</t>
        </is>
      </c>
      <c r="F380" s="219" t="inlineStr">
        <is>
          <t>分组作业</t>
        </is>
      </c>
      <c r="G380" s="222" t="inlineStr">
        <is>
          <t>吉沐牛</t>
        </is>
      </c>
      <c r="H380" s="503" t="inlineStr">
        <is>
          <t>/</t>
        </is>
      </c>
      <c r="I380" s="237" t="inlineStr">
        <is>
          <t>盖浇饭(套餐饭)</t>
        </is>
      </c>
      <c r="J380" s="219" t="inlineStr">
        <is>
          <t>刘宝峰</t>
        </is>
      </c>
      <c r="K380" s="219" t="n"/>
      <c r="L380" s="224" t="n"/>
      <c r="M380" s="224" t="inlineStr">
        <is>
          <t>/</t>
        </is>
      </c>
      <c r="N380" s="651" t="inlineStr">
        <is>
          <t>/</t>
        </is>
      </c>
      <c r="O380" s="552" t="n">
        <v>0.28</v>
      </c>
      <c r="P380" s="235" t="inlineStr">
        <is>
          <t>/</t>
        </is>
      </c>
      <c r="Q380" s="235" t="inlineStr">
        <is>
          <t>/</t>
        </is>
      </c>
      <c r="R380" s="235" t="inlineStr">
        <is>
          <t>/</t>
        </is>
      </c>
      <c r="S380" s="235" t="inlineStr">
        <is>
          <t>/</t>
        </is>
      </c>
      <c r="T380" s="235" t="inlineStr">
        <is>
          <t>/</t>
        </is>
      </c>
      <c r="U380" s="235" t="inlineStr">
        <is>
          <t>/</t>
        </is>
      </c>
      <c r="V380" s="235" t="inlineStr">
        <is>
          <t>/</t>
        </is>
      </c>
      <c r="W380" s="235" t="inlineStr">
        <is>
          <t>/</t>
        </is>
      </c>
      <c r="X380" s="461" t="inlineStr">
        <is>
          <t>按实</t>
        </is>
      </c>
      <c r="Y380" s="235" t="inlineStr">
        <is>
          <t>/</t>
        </is>
      </c>
      <c r="Z380" s="235" t="inlineStr">
        <is>
          <t>/</t>
        </is>
      </c>
      <c r="AA380" s="461" t="inlineStr">
        <is>
          <t>按实</t>
        </is>
      </c>
      <c r="AB380" s="51" t="inlineStr">
        <is>
          <t>/</t>
        </is>
      </c>
      <c r="AC380" s="46" t="inlineStr">
        <is>
          <t>/</t>
        </is>
      </c>
      <c r="AD380" s="232" t="inlineStr">
        <is>
          <t>1、虫害消杀：项目反馈不收取，包含在服务费中；
2、装修折旧费：项目反馈不收取，包含在服务费中；
3、卫生费：项目反馈不收取，包含在服务费中；
4、能源费：项目反馈不收取，包含在服务费中；</t>
        </is>
      </c>
      <c r="AE380" s="232" t="n"/>
    </row>
    <row r="381" hidden="1" ht="48" customFormat="1" customHeight="1" s="209">
      <c r="A381" s="219" t="n">
        <v>379</v>
      </c>
      <c r="B381" s="220" t="inlineStr">
        <is>
          <t>KQCY0379</t>
        </is>
      </c>
      <c r="C381" s="221" t="inlineStr">
        <is>
          <t>餐饮六分部</t>
        </is>
      </c>
      <c r="D381" s="221" t="inlineStr">
        <is>
          <t>CF480</t>
        </is>
      </c>
      <c r="E381" s="221" t="inlineStr">
        <is>
          <t>江苏旅游学生食堂二楼</t>
        </is>
      </c>
      <c r="F381" s="219" t="inlineStr">
        <is>
          <t>分组作业</t>
        </is>
      </c>
      <c r="G381" s="222" t="inlineStr">
        <is>
          <t>吉沐牛</t>
        </is>
      </c>
      <c r="H381" s="503" t="inlineStr">
        <is>
          <t>/</t>
        </is>
      </c>
      <c r="I381" s="237" t="inlineStr">
        <is>
          <t>煎饼(鸡蛋灌饼)</t>
        </is>
      </c>
      <c r="J381" s="219" t="inlineStr">
        <is>
          <t>李中怀</t>
        </is>
      </c>
      <c r="K381" s="219" t="n"/>
      <c r="L381" s="224" t="n"/>
      <c r="M381" s="224" t="inlineStr">
        <is>
          <t>/</t>
        </is>
      </c>
      <c r="N381" s="651" t="inlineStr">
        <is>
          <t>/</t>
        </is>
      </c>
      <c r="O381" s="552" t="n">
        <v>0.28</v>
      </c>
      <c r="P381" s="235" t="inlineStr">
        <is>
          <t>/</t>
        </is>
      </c>
      <c r="Q381" s="235" t="inlineStr">
        <is>
          <t>/</t>
        </is>
      </c>
      <c r="R381" s="235" t="inlineStr">
        <is>
          <t>/</t>
        </is>
      </c>
      <c r="S381" s="235" t="inlineStr">
        <is>
          <t>/</t>
        </is>
      </c>
      <c r="T381" s="235" t="inlineStr">
        <is>
          <t>/</t>
        </is>
      </c>
      <c r="U381" s="235" t="inlineStr">
        <is>
          <t>/</t>
        </is>
      </c>
      <c r="V381" s="235" t="inlineStr">
        <is>
          <t>/</t>
        </is>
      </c>
      <c r="W381" s="235" t="inlineStr">
        <is>
          <t>/</t>
        </is>
      </c>
      <c r="X381" s="461" t="inlineStr">
        <is>
          <t>按实</t>
        </is>
      </c>
      <c r="Y381" s="235" t="inlineStr">
        <is>
          <t>/</t>
        </is>
      </c>
      <c r="Z381" s="235" t="inlineStr">
        <is>
          <t>/</t>
        </is>
      </c>
      <c r="AA381" s="461" t="inlineStr">
        <is>
          <t>按实</t>
        </is>
      </c>
      <c r="AB381" s="51" t="inlineStr">
        <is>
          <t>/</t>
        </is>
      </c>
      <c r="AC381" s="46" t="inlineStr">
        <is>
          <t>/</t>
        </is>
      </c>
      <c r="AD381" s="232" t="inlineStr">
        <is>
          <t>1、虫害消杀：项目反馈不收取，包含在服务费中；
2、装修折旧费：项目反馈不收取，包含在服务费中；
3、卫生费：项目反馈不收取，包含在服务费中；
4、能源费：项目反馈不收取，包含在服务费中；</t>
        </is>
      </c>
      <c r="AE381" s="232" t="n"/>
    </row>
    <row r="382" hidden="1" ht="48" customFormat="1" customHeight="1" s="209">
      <c r="A382" s="219" t="n">
        <v>380</v>
      </c>
      <c r="B382" s="220" t="inlineStr">
        <is>
          <t>KQCY0380</t>
        </is>
      </c>
      <c r="C382" s="221" t="inlineStr">
        <is>
          <t>餐饮六分部</t>
        </is>
      </c>
      <c r="D382" s="221" t="inlineStr">
        <is>
          <t>CF480</t>
        </is>
      </c>
      <c r="E382" s="221" t="inlineStr">
        <is>
          <t>江苏旅游学生食堂二楼</t>
        </is>
      </c>
      <c r="F382" s="219" t="inlineStr">
        <is>
          <t>分组作业</t>
        </is>
      </c>
      <c r="G382" s="222" t="inlineStr">
        <is>
          <t>吉沐牛</t>
        </is>
      </c>
      <c r="H382" s="503" t="inlineStr">
        <is>
          <t>/</t>
        </is>
      </c>
      <c r="I382" s="237" t="inlineStr">
        <is>
          <t>柒公主焖饭</t>
        </is>
      </c>
      <c r="J382" s="219" t="inlineStr">
        <is>
          <t>张月红</t>
        </is>
      </c>
      <c r="K382" s="219" t="n"/>
      <c r="L382" s="224" t="n"/>
      <c r="M382" s="224" t="inlineStr">
        <is>
          <t>/</t>
        </is>
      </c>
      <c r="N382" s="651" t="inlineStr">
        <is>
          <t>/</t>
        </is>
      </c>
      <c r="O382" s="552" t="n">
        <v>0.28</v>
      </c>
      <c r="P382" s="235" t="inlineStr">
        <is>
          <t>/</t>
        </is>
      </c>
      <c r="Q382" s="235" t="inlineStr">
        <is>
          <t>/</t>
        </is>
      </c>
      <c r="R382" s="235" t="inlineStr">
        <is>
          <t>/</t>
        </is>
      </c>
      <c r="S382" s="235" t="inlineStr">
        <is>
          <t>/</t>
        </is>
      </c>
      <c r="T382" s="235" t="inlineStr">
        <is>
          <t>/</t>
        </is>
      </c>
      <c r="U382" s="235" t="inlineStr">
        <is>
          <t>/</t>
        </is>
      </c>
      <c r="V382" s="235" t="inlineStr">
        <is>
          <t>/</t>
        </is>
      </c>
      <c r="W382" s="235" t="inlineStr">
        <is>
          <t>/</t>
        </is>
      </c>
      <c r="X382" s="461" t="inlineStr">
        <is>
          <t>按实</t>
        </is>
      </c>
      <c r="Y382" s="235" t="inlineStr">
        <is>
          <t>/</t>
        </is>
      </c>
      <c r="Z382" s="235" t="inlineStr">
        <is>
          <t>/</t>
        </is>
      </c>
      <c r="AA382" s="461" t="inlineStr">
        <is>
          <t>按实</t>
        </is>
      </c>
      <c r="AB382" s="51" t="inlineStr">
        <is>
          <t>/</t>
        </is>
      </c>
      <c r="AC382" s="46" t="inlineStr">
        <is>
          <t>/</t>
        </is>
      </c>
      <c r="AD382" s="232" t="inlineStr">
        <is>
          <t>1、虫害消杀：项目反馈不收取，包含在服务费中；
2、装修折旧费：项目反馈不收取，包含在服务费中；
3、卫生费：项目反馈不收取，包含在服务费中；
4、能源费：项目反馈不收取，包含在服务费中；</t>
        </is>
      </c>
      <c r="AE382" s="232" t="n"/>
    </row>
    <row r="383" hidden="1" ht="48" customFormat="1" customHeight="1" s="209">
      <c r="A383" s="219" t="n">
        <v>381</v>
      </c>
      <c r="B383" s="220" t="inlineStr">
        <is>
          <t>KQCY0381</t>
        </is>
      </c>
      <c r="C383" s="221" t="inlineStr">
        <is>
          <t>餐饮六分部</t>
        </is>
      </c>
      <c r="D383" s="221" t="inlineStr">
        <is>
          <t>CF480</t>
        </is>
      </c>
      <c r="E383" s="221" t="inlineStr">
        <is>
          <t>江苏旅游学生食堂二楼</t>
        </is>
      </c>
      <c r="F383" s="219" t="inlineStr">
        <is>
          <t>分组作业</t>
        </is>
      </c>
      <c r="G383" s="222" t="inlineStr">
        <is>
          <t>吉沐牛</t>
        </is>
      </c>
      <c r="H383" s="503" t="inlineStr">
        <is>
          <t>/</t>
        </is>
      </c>
      <c r="I383" s="237" t="inlineStr">
        <is>
          <t>掉渣饼</t>
        </is>
      </c>
      <c r="J383" s="219" t="inlineStr">
        <is>
          <t>郭保君</t>
        </is>
      </c>
      <c r="K383" s="219" t="n"/>
      <c r="L383" s="224" t="n"/>
      <c r="M383" s="224" t="inlineStr">
        <is>
          <t>/</t>
        </is>
      </c>
      <c r="N383" s="651" t="inlineStr">
        <is>
          <t>/</t>
        </is>
      </c>
      <c r="O383" s="552" t="n">
        <v>0.28</v>
      </c>
      <c r="P383" s="235" t="n">
        <v>0</v>
      </c>
      <c r="Q383" s="235" t="n">
        <v>0</v>
      </c>
      <c r="R383" s="235" t="n">
        <v>0</v>
      </c>
      <c r="S383" s="235" t="n">
        <v>0</v>
      </c>
      <c r="T383" s="235" t="n">
        <v>0</v>
      </c>
      <c r="U383" s="235" t="n">
        <v>0</v>
      </c>
      <c r="V383" s="235" t="n">
        <v>0</v>
      </c>
      <c r="W383" s="235" t="n">
        <v>0</v>
      </c>
      <c r="X383" s="461" t="inlineStr">
        <is>
          <t>按实</t>
        </is>
      </c>
      <c r="Y383" s="235" t="inlineStr">
        <is>
          <t>/</t>
        </is>
      </c>
      <c r="Z383" s="235" t="inlineStr">
        <is>
          <t>/</t>
        </is>
      </c>
      <c r="AA383" s="461" t="inlineStr">
        <is>
          <t>按实</t>
        </is>
      </c>
      <c r="AB383" s="51" t="inlineStr">
        <is>
          <t>/</t>
        </is>
      </c>
      <c r="AC383" s="46" t="inlineStr">
        <is>
          <t>/</t>
        </is>
      </c>
      <c r="AD383" s="232" t="inlineStr">
        <is>
          <t>1、虫害消杀：项目反馈不收取，包含在服务费中；
2、装修折旧费：项目反馈不收取，包含在服务费中；
3、卫生费：项目反馈不收取，包含在服务费中；
4、能源费：项目反馈不收取，包含在服务费中；</t>
        </is>
      </c>
      <c r="AE383" s="232" t="n"/>
    </row>
    <row r="384" hidden="1" ht="48" customFormat="1" customHeight="1" s="209">
      <c r="A384" s="219" t="n">
        <v>382</v>
      </c>
      <c r="B384" s="220" t="inlineStr">
        <is>
          <t>KQCY0382</t>
        </is>
      </c>
      <c r="C384" s="221" t="inlineStr">
        <is>
          <t>餐饮六分部</t>
        </is>
      </c>
      <c r="D384" s="221" t="inlineStr">
        <is>
          <t>CF480</t>
        </is>
      </c>
      <c r="E384" s="221" t="inlineStr">
        <is>
          <t>江苏旅游学生食堂二楼</t>
        </is>
      </c>
      <c r="F384" s="219" t="inlineStr">
        <is>
          <t>分组作业</t>
        </is>
      </c>
      <c r="G384" s="222" t="inlineStr">
        <is>
          <t>吉沐牛</t>
        </is>
      </c>
      <c r="H384" s="503" t="inlineStr">
        <is>
          <t>/</t>
        </is>
      </c>
      <c r="I384" s="237" t="inlineStr">
        <is>
          <t>擂椒拌饭(烤鸭饭)</t>
        </is>
      </c>
      <c r="J384" s="219" t="inlineStr">
        <is>
          <t>崔建美</t>
        </is>
      </c>
      <c r="K384" s="219" t="n"/>
      <c r="L384" s="224" t="n"/>
      <c r="M384" s="224" t="inlineStr">
        <is>
          <t>/</t>
        </is>
      </c>
      <c r="N384" s="651" t="inlineStr">
        <is>
          <t>/</t>
        </is>
      </c>
      <c r="O384" s="552" t="n">
        <v>0.28</v>
      </c>
      <c r="P384" s="235" t="n">
        <v>0</v>
      </c>
      <c r="Q384" s="235" t="n">
        <v>0</v>
      </c>
      <c r="R384" s="235" t="n">
        <v>0</v>
      </c>
      <c r="S384" s="235" t="n">
        <v>0</v>
      </c>
      <c r="T384" s="235" t="n">
        <v>0</v>
      </c>
      <c r="U384" s="235" t="n">
        <v>0</v>
      </c>
      <c r="V384" s="235" t="n">
        <v>0</v>
      </c>
      <c r="W384" s="235" t="n">
        <v>0</v>
      </c>
      <c r="X384" s="461" t="inlineStr">
        <is>
          <t>按实</t>
        </is>
      </c>
      <c r="Y384" s="235" t="inlineStr">
        <is>
          <t>/</t>
        </is>
      </c>
      <c r="Z384" s="235" t="inlineStr">
        <is>
          <t>/</t>
        </is>
      </c>
      <c r="AA384" s="461" t="inlineStr">
        <is>
          <t>按实</t>
        </is>
      </c>
      <c r="AB384" s="51" t="inlineStr">
        <is>
          <t>/</t>
        </is>
      </c>
      <c r="AC384" s="46" t="inlineStr">
        <is>
          <t>/</t>
        </is>
      </c>
      <c r="AD384" s="232" t="inlineStr">
        <is>
          <t>1、虫害消杀：项目反馈不收取，包含在服务费中；
2、装修折旧费：项目反馈不收取，包含在服务费中；
3、卫生费：项目反馈不收取，包含在服务费中；
4、能源费：项目反馈不收取，包含在服务费中；</t>
        </is>
      </c>
      <c r="AE384" s="232" t="n"/>
    </row>
    <row r="385" hidden="1" ht="48" customFormat="1" customHeight="1" s="209">
      <c r="A385" s="219" t="n">
        <v>383</v>
      </c>
      <c r="B385" s="220" t="inlineStr">
        <is>
          <t>KQCY0383</t>
        </is>
      </c>
      <c r="C385" s="221" t="inlineStr">
        <is>
          <t>餐饮六分部</t>
        </is>
      </c>
      <c r="D385" s="221" t="inlineStr">
        <is>
          <t>CF480</t>
        </is>
      </c>
      <c r="E385" s="221" t="inlineStr">
        <is>
          <t>江苏旅游学生食堂二楼</t>
        </is>
      </c>
      <c r="F385" s="219" t="inlineStr">
        <is>
          <t>分组作业</t>
        </is>
      </c>
      <c r="G385" s="222" t="inlineStr">
        <is>
          <t>吉沐牛</t>
        </is>
      </c>
      <c r="H385" s="503" t="inlineStr">
        <is>
          <t>/</t>
        </is>
      </c>
      <c r="I385" s="237" t="inlineStr">
        <is>
          <t>老成都面(猪脚饭)</t>
        </is>
      </c>
      <c r="J385" s="219" t="inlineStr">
        <is>
          <t>顾卫君</t>
        </is>
      </c>
      <c r="K385" s="219" t="n"/>
      <c r="L385" s="224" t="n"/>
      <c r="M385" s="224" t="inlineStr">
        <is>
          <t>/</t>
        </is>
      </c>
      <c r="N385" s="651" t="inlineStr">
        <is>
          <t>/</t>
        </is>
      </c>
      <c r="O385" s="552" t="n">
        <v>0.28</v>
      </c>
      <c r="P385" s="235" t="n">
        <v>0</v>
      </c>
      <c r="Q385" s="235" t="n">
        <v>0</v>
      </c>
      <c r="R385" s="235" t="n">
        <v>0</v>
      </c>
      <c r="S385" s="235" t="n">
        <v>0</v>
      </c>
      <c r="T385" s="235" t="n">
        <v>0</v>
      </c>
      <c r="U385" s="235" t="n">
        <v>0</v>
      </c>
      <c r="V385" s="235" t="n">
        <v>0</v>
      </c>
      <c r="W385" s="235" t="n">
        <v>0</v>
      </c>
      <c r="X385" s="461" t="inlineStr">
        <is>
          <t>按实</t>
        </is>
      </c>
      <c r="Y385" s="235" t="inlineStr">
        <is>
          <t>/</t>
        </is>
      </c>
      <c r="Z385" s="235" t="inlineStr">
        <is>
          <t>/</t>
        </is>
      </c>
      <c r="AA385" s="461" t="inlineStr">
        <is>
          <t>按实</t>
        </is>
      </c>
      <c r="AB385" s="51" t="inlineStr">
        <is>
          <t>/</t>
        </is>
      </c>
      <c r="AC385" s="46" t="inlineStr">
        <is>
          <t>/</t>
        </is>
      </c>
      <c r="AD385" s="232" t="inlineStr">
        <is>
          <t>1、虫害消杀：项目反馈不收取，包含在服务费中；
2、装修折旧费：项目反馈不收取，包含在服务费中；
3、卫生费：项目反馈不收取，包含在服务费中；
4、能源费：项目反馈不收取，包含在服务费中；</t>
        </is>
      </c>
      <c r="AE385" s="232" t="n"/>
    </row>
    <row r="386" hidden="1" ht="48" customFormat="1" customHeight="1" s="209">
      <c r="A386" s="219" t="n">
        <v>384</v>
      </c>
      <c r="B386" s="220" t="inlineStr">
        <is>
          <t>KQCY0384</t>
        </is>
      </c>
      <c r="C386" s="221" t="inlineStr">
        <is>
          <t>餐饮六分部</t>
        </is>
      </c>
      <c r="D386" s="221" t="inlineStr">
        <is>
          <t>CF480</t>
        </is>
      </c>
      <c r="E386" s="221" t="inlineStr">
        <is>
          <t>江苏旅游学生食堂二楼</t>
        </is>
      </c>
      <c r="F386" s="219" t="inlineStr">
        <is>
          <t>分组作业</t>
        </is>
      </c>
      <c r="G386" s="222" t="inlineStr">
        <is>
          <t>吉沐牛</t>
        </is>
      </c>
      <c r="H386" s="503" t="inlineStr">
        <is>
          <t>/</t>
        </is>
      </c>
      <c r="I386" s="237" t="inlineStr">
        <is>
          <t>一纸鸡</t>
        </is>
      </c>
      <c r="J386" s="219" t="inlineStr">
        <is>
          <t>熊朝秀</t>
        </is>
      </c>
      <c r="K386" s="219" t="n"/>
      <c r="L386" s="224" t="n"/>
      <c r="M386" s="224" t="inlineStr">
        <is>
          <t>/</t>
        </is>
      </c>
      <c r="N386" s="651" t="inlineStr">
        <is>
          <t>/</t>
        </is>
      </c>
      <c r="O386" s="552" t="n">
        <v>0.28</v>
      </c>
      <c r="P386" s="235" t="n">
        <v>0</v>
      </c>
      <c r="Q386" s="235" t="n">
        <v>0</v>
      </c>
      <c r="R386" s="235" t="n">
        <v>0</v>
      </c>
      <c r="S386" s="235" t="n">
        <v>0</v>
      </c>
      <c r="T386" s="235" t="n">
        <v>0</v>
      </c>
      <c r="U386" s="235" t="n">
        <v>0</v>
      </c>
      <c r="V386" s="235" t="n">
        <v>0</v>
      </c>
      <c r="W386" s="235" t="n">
        <v>0</v>
      </c>
      <c r="X386" s="461" t="inlineStr">
        <is>
          <t>按实</t>
        </is>
      </c>
      <c r="Y386" s="235" t="inlineStr">
        <is>
          <t>/</t>
        </is>
      </c>
      <c r="Z386" s="235" t="inlineStr">
        <is>
          <t>/</t>
        </is>
      </c>
      <c r="AA386" s="461" t="inlineStr">
        <is>
          <t>按实</t>
        </is>
      </c>
      <c r="AB386" s="51" t="inlineStr">
        <is>
          <t>/</t>
        </is>
      </c>
      <c r="AC386" s="46" t="inlineStr">
        <is>
          <t>/</t>
        </is>
      </c>
      <c r="AD386" s="232" t="inlineStr">
        <is>
          <t>1、虫害消杀：项目反馈不收取，包含在服务费中；
2、装修折旧费：项目反馈不收取，包含在服务费中；
3、卫生费：项目反馈不收取，包含在服务费中；
4、能源费：项目反馈不收取，包含在服务费中；</t>
        </is>
      </c>
      <c r="AE386" s="232" t="n"/>
    </row>
    <row r="387" hidden="1" ht="48" customFormat="1" customHeight="1" s="209">
      <c r="A387" s="219" t="n">
        <v>385</v>
      </c>
      <c r="B387" s="220" t="inlineStr">
        <is>
          <t>KQCY0385</t>
        </is>
      </c>
      <c r="C387" s="221" t="inlineStr">
        <is>
          <t>餐饮六分部</t>
        </is>
      </c>
      <c r="D387" s="221" t="inlineStr">
        <is>
          <t>CF480</t>
        </is>
      </c>
      <c r="E387" s="221" t="inlineStr">
        <is>
          <t>江苏旅游学生食堂二楼</t>
        </is>
      </c>
      <c r="F387" s="219" t="inlineStr">
        <is>
          <t>分组作业</t>
        </is>
      </c>
      <c r="G387" s="222" t="inlineStr">
        <is>
          <t>吉沐牛</t>
        </is>
      </c>
      <c r="H387" s="503" t="inlineStr">
        <is>
          <t>/</t>
        </is>
      </c>
      <c r="I387" s="237" t="inlineStr">
        <is>
          <t>炸鸡</t>
        </is>
      </c>
      <c r="J387" s="219" t="inlineStr">
        <is>
          <t>单良</t>
        </is>
      </c>
      <c r="K387" s="219" t="n"/>
      <c r="L387" s="224" t="n"/>
      <c r="M387" s="224" t="inlineStr">
        <is>
          <t>/</t>
        </is>
      </c>
      <c r="N387" s="651" t="inlineStr">
        <is>
          <t>/</t>
        </is>
      </c>
      <c r="O387" s="552" t="n">
        <v>0.24</v>
      </c>
      <c r="P387" s="235" t="n">
        <v>0</v>
      </c>
      <c r="Q387" s="235" t="n">
        <v>0</v>
      </c>
      <c r="R387" s="235" t="n">
        <v>0</v>
      </c>
      <c r="S387" s="235" t="n">
        <v>0</v>
      </c>
      <c r="T387" s="235" t="n">
        <v>0</v>
      </c>
      <c r="U387" s="235" t="n">
        <v>0</v>
      </c>
      <c r="V387" s="235" t="n">
        <v>0</v>
      </c>
      <c r="W387" s="235" t="n">
        <v>0</v>
      </c>
      <c r="X387" s="461" t="inlineStr">
        <is>
          <t>按实</t>
        </is>
      </c>
      <c r="Y387" s="235" t="inlineStr">
        <is>
          <t>/</t>
        </is>
      </c>
      <c r="Z387" s="235" t="inlineStr">
        <is>
          <t>/</t>
        </is>
      </c>
      <c r="AA387" s="461" t="inlineStr">
        <is>
          <t>按实</t>
        </is>
      </c>
      <c r="AB387" s="51" t="inlineStr">
        <is>
          <t>/</t>
        </is>
      </c>
      <c r="AC387" s="46" t="inlineStr">
        <is>
          <t>/</t>
        </is>
      </c>
      <c r="AD387" s="232" t="inlineStr">
        <is>
          <t>1、虫害消杀：项目反馈不收取，包含在服务费中；
2、装修折旧费：项目反馈不收取，包含在服务费中；
3、卫生费：项目反馈不收取，包含在服务费中；
4、能源费：项目反馈不收取，包含在服务费中；</t>
        </is>
      </c>
      <c r="AE387" s="232" t="n"/>
    </row>
    <row r="388" hidden="1" ht="48" customFormat="1" customHeight="1" s="209">
      <c r="A388" s="219" t="n">
        <v>386</v>
      </c>
      <c r="B388" s="220" t="inlineStr">
        <is>
          <t>KQCY0386</t>
        </is>
      </c>
      <c r="C388" s="221" t="inlineStr">
        <is>
          <t>餐饮六分部</t>
        </is>
      </c>
      <c r="D388" s="221" t="inlineStr">
        <is>
          <t>CF480</t>
        </is>
      </c>
      <c r="E388" s="221" t="inlineStr">
        <is>
          <t>江苏旅游学生食堂二楼</t>
        </is>
      </c>
      <c r="F388" s="219" t="inlineStr">
        <is>
          <t>分组作业</t>
        </is>
      </c>
      <c r="G388" s="222" t="inlineStr">
        <is>
          <t>吉沐牛</t>
        </is>
      </c>
      <c r="H388" s="503" t="inlineStr">
        <is>
          <t>/</t>
        </is>
      </c>
      <c r="I388" s="237" t="inlineStr">
        <is>
          <t>快餐自选</t>
        </is>
      </c>
      <c r="J388" s="219" t="inlineStr">
        <is>
          <t>王明辉</t>
        </is>
      </c>
      <c r="K388" s="219" t="n"/>
      <c r="L388" s="224" t="n"/>
      <c r="M388" s="224" t="inlineStr">
        <is>
          <t>/</t>
        </is>
      </c>
      <c r="N388" s="651" t="inlineStr">
        <is>
          <t>/</t>
        </is>
      </c>
      <c r="O388" s="552" t="n">
        <v>0.22</v>
      </c>
      <c r="P388" s="235" t="n">
        <v>0</v>
      </c>
      <c r="Q388" s="235" t="n">
        <v>0</v>
      </c>
      <c r="R388" s="235" t="n">
        <v>0</v>
      </c>
      <c r="S388" s="235" t="n">
        <v>0</v>
      </c>
      <c r="T388" s="235" t="n">
        <v>0</v>
      </c>
      <c r="U388" s="235" t="n">
        <v>0</v>
      </c>
      <c r="V388" s="235" t="n">
        <v>0</v>
      </c>
      <c r="W388" s="235" t="n">
        <v>0</v>
      </c>
      <c r="X388" s="461" t="inlineStr">
        <is>
          <t>按实</t>
        </is>
      </c>
      <c r="Y388" s="235" t="inlineStr">
        <is>
          <t>/</t>
        </is>
      </c>
      <c r="Z388" s="235" t="inlineStr">
        <is>
          <t>/</t>
        </is>
      </c>
      <c r="AA388" s="461" t="inlineStr">
        <is>
          <t>按实</t>
        </is>
      </c>
      <c r="AB388" s="51" t="inlineStr">
        <is>
          <t>/</t>
        </is>
      </c>
      <c r="AC388" s="46" t="inlineStr">
        <is>
          <t>/</t>
        </is>
      </c>
      <c r="AD388" s="232" t="inlineStr">
        <is>
          <t>1、虫害消杀：项目反馈不收取，包含在服务费中；
2、装修折旧费：项目反馈不收取，包含在服务费中；
3、卫生费：项目反馈不收取，包含在服务费中；
4、能源费：项目反馈不收取，包含在服务费中；</t>
        </is>
      </c>
      <c r="AE388" s="232" t="n"/>
    </row>
    <row r="389" hidden="1" ht="48" customFormat="1" customHeight="1" s="209">
      <c r="A389" s="219" t="n">
        <v>387</v>
      </c>
      <c r="B389" s="220" t="inlineStr">
        <is>
          <t>KQCY0387</t>
        </is>
      </c>
      <c r="C389" s="221" t="inlineStr">
        <is>
          <t>餐饮六分部</t>
        </is>
      </c>
      <c r="D389" s="221" t="inlineStr">
        <is>
          <t>CF480</t>
        </is>
      </c>
      <c r="E389" s="221" t="inlineStr">
        <is>
          <t>江苏旅游学生食堂二楼</t>
        </is>
      </c>
      <c r="F389" s="219" t="inlineStr">
        <is>
          <t>分组作业</t>
        </is>
      </c>
      <c r="G389" s="222" t="inlineStr">
        <is>
          <t>吉沐牛</t>
        </is>
      </c>
      <c r="H389" s="503" t="inlineStr">
        <is>
          <t>/</t>
        </is>
      </c>
      <c r="I389" s="237" t="inlineStr">
        <is>
          <t>早餐</t>
        </is>
      </c>
      <c r="J389" s="219" t="inlineStr">
        <is>
          <t>王明辉</t>
        </is>
      </c>
      <c r="K389" s="219" t="n"/>
      <c r="L389" s="224" t="n"/>
      <c r="M389" s="224" t="inlineStr">
        <is>
          <t>/</t>
        </is>
      </c>
      <c r="N389" s="651" t="inlineStr">
        <is>
          <t>/</t>
        </is>
      </c>
      <c r="O389" s="552" t="n">
        <v>0.16</v>
      </c>
      <c r="P389" s="235" t="n">
        <v>0</v>
      </c>
      <c r="Q389" s="235" t="n">
        <v>0</v>
      </c>
      <c r="R389" s="235" t="n">
        <v>0</v>
      </c>
      <c r="S389" s="235" t="n">
        <v>0</v>
      </c>
      <c r="T389" s="235" t="n">
        <v>0</v>
      </c>
      <c r="U389" s="235" t="n">
        <v>0</v>
      </c>
      <c r="V389" s="235" t="n">
        <v>0</v>
      </c>
      <c r="W389" s="235" t="n">
        <v>0</v>
      </c>
      <c r="X389" s="461" t="inlineStr">
        <is>
          <t>按实</t>
        </is>
      </c>
      <c r="Y389" s="235" t="inlineStr">
        <is>
          <t>/</t>
        </is>
      </c>
      <c r="Z389" s="235" t="inlineStr">
        <is>
          <t>/</t>
        </is>
      </c>
      <c r="AA389" s="461" t="inlineStr">
        <is>
          <t>按实</t>
        </is>
      </c>
      <c r="AB389" s="51" t="inlineStr">
        <is>
          <t>/</t>
        </is>
      </c>
      <c r="AC389" s="46" t="inlineStr">
        <is>
          <t>/</t>
        </is>
      </c>
      <c r="AD389" s="232" t="inlineStr">
        <is>
          <t>1、虫害消杀：项目反馈不收取，包含在服务费中；
2、装修折旧费：项目反馈不收取，包含在服务费中；
3、卫生费：项目反馈不收取，包含在服务费中；
4、能源费：项目反馈不收取，包含在服务费中；</t>
        </is>
      </c>
      <c r="AE389" s="232" t="n"/>
    </row>
    <row r="390" hidden="1" ht="12" customFormat="1" customHeight="1" s="209">
      <c r="A390" s="219" t="n">
        <v>388</v>
      </c>
      <c r="B390" s="220" t="inlineStr">
        <is>
          <t>KQCY0388</t>
        </is>
      </c>
      <c r="C390" s="221" t="inlineStr">
        <is>
          <t>餐饮六分部</t>
        </is>
      </c>
      <c r="D390" s="221" t="inlineStr">
        <is>
          <t>CF341</t>
        </is>
      </c>
      <c r="E390" s="221" t="inlineStr">
        <is>
          <t>扬大荷花池校区二楼食堂</t>
        </is>
      </c>
      <c r="F390" s="219" t="inlineStr">
        <is>
          <t>人员服务外包</t>
        </is>
      </c>
      <c r="G390" s="222" t="inlineStr">
        <is>
          <t>吉沐牛</t>
        </is>
      </c>
      <c r="H390" s="461" t="inlineStr">
        <is>
          <t>/</t>
        </is>
      </c>
      <c r="I390" s="239" t="inlineStr">
        <is>
          <t>/</t>
        </is>
      </c>
      <c r="J390" s="239" t="inlineStr">
        <is>
          <t>/</t>
        </is>
      </c>
      <c r="K390" s="239" t="n"/>
      <c r="L390" s="235" t="n"/>
      <c r="M390" s="235" t="inlineStr">
        <is>
          <t>/</t>
        </is>
      </c>
      <c r="N390" s="651" t="inlineStr">
        <is>
          <t>/</t>
        </is>
      </c>
      <c r="O390" s="235" t="inlineStr">
        <is>
          <t>/</t>
        </is>
      </c>
      <c r="P390" s="235" t="inlineStr">
        <is>
          <t>/</t>
        </is>
      </c>
      <c r="Q390" s="235" t="inlineStr">
        <is>
          <t>/</t>
        </is>
      </c>
      <c r="R390" s="235" t="inlineStr">
        <is>
          <t>/</t>
        </is>
      </c>
      <c r="S390" s="235" t="inlineStr">
        <is>
          <t>/</t>
        </is>
      </c>
      <c r="T390" s="235" t="inlineStr">
        <is>
          <t>/</t>
        </is>
      </c>
      <c r="U390" s="235" t="inlineStr">
        <is>
          <t>/</t>
        </is>
      </c>
      <c r="V390" s="227" t="n"/>
      <c r="W390" s="227" t="inlineStr">
        <is>
          <t>/</t>
        </is>
      </c>
      <c r="X390" s="235" t="inlineStr">
        <is>
          <t>/</t>
        </is>
      </c>
      <c r="Y390" s="461" t="n"/>
      <c r="Z390" s="461" t="n"/>
      <c r="AA390" s="461" t="inlineStr">
        <is>
          <t>/</t>
        </is>
      </c>
      <c r="AB390" s="46" t="n">
        <v>0.11</v>
      </c>
      <c r="AC390" s="229" t="inlineStr">
        <is>
          <t>/</t>
        </is>
      </c>
      <c r="AD390" s="230" t="inlineStr">
        <is>
          <t>1、自营未实际经营；</t>
        </is>
      </c>
      <c r="AE390" s="232" t="n"/>
    </row>
    <row r="391" hidden="1" ht="48" customFormat="1" customHeight="1" s="209">
      <c r="A391" s="219" t="n">
        <v>389</v>
      </c>
      <c r="B391" s="220" t="inlineStr">
        <is>
          <t>KQCY0389</t>
        </is>
      </c>
      <c r="C391" s="221" t="inlineStr">
        <is>
          <t>餐饮六分部</t>
        </is>
      </c>
      <c r="D391" s="221" t="inlineStr">
        <is>
          <t>CF341</t>
        </is>
      </c>
      <c r="E391" s="221" t="inlineStr">
        <is>
          <t>扬大荷花池校区二楼食堂</t>
        </is>
      </c>
      <c r="F391" s="219" t="inlineStr">
        <is>
          <t>人员服务外包</t>
        </is>
      </c>
      <c r="G391" s="222" t="inlineStr">
        <is>
          <t>吉沐牛</t>
        </is>
      </c>
      <c r="H391" s="219" t="inlineStr">
        <is>
          <t>第一班组</t>
        </is>
      </c>
      <c r="I391" s="237" t="inlineStr">
        <is>
          <t>麻辣烫(麻辣拌、麻酱拌、小碗菜、盖浇饭、猪脚饭)</t>
        </is>
      </c>
      <c r="J391" s="219" t="inlineStr">
        <is>
          <t>于士位</t>
        </is>
      </c>
      <c r="K391" s="219" t="n"/>
      <c r="L391" s="224" t="n"/>
      <c r="M391" s="224" t="inlineStr">
        <is>
          <t>/</t>
        </is>
      </c>
      <c r="N391" s="651" t="n">
        <v>1668000</v>
      </c>
      <c r="O391" s="552" t="n">
        <v>0.08500000000000001</v>
      </c>
      <c r="P391" s="235" t="n">
        <v>0</v>
      </c>
      <c r="Q391" s="235" t="n">
        <v>0</v>
      </c>
      <c r="R391" s="235" t="n">
        <v>0</v>
      </c>
      <c r="S391" s="235" t="n">
        <v>0</v>
      </c>
      <c r="T391" s="235" t="n">
        <v>0</v>
      </c>
      <c r="U391" s="235" t="n">
        <v>0</v>
      </c>
      <c r="V391" s="235" t="n">
        <v>0</v>
      </c>
      <c r="W391" s="235" t="n">
        <v>0</v>
      </c>
      <c r="X391" s="235" t="inlineStr">
        <is>
          <t>按实</t>
        </is>
      </c>
      <c r="Y391" s="461" t="inlineStr">
        <is>
          <t>/</t>
        </is>
      </c>
      <c r="Z391" s="461" t="inlineStr">
        <is>
          <t>/</t>
        </is>
      </c>
      <c r="AA391" s="235" t="inlineStr">
        <is>
          <t>按实</t>
        </is>
      </c>
      <c r="AB391" s="51" t="inlineStr">
        <is>
          <t>/</t>
        </is>
      </c>
      <c r="AC391" s="46" t="inlineStr">
        <is>
          <t>/</t>
        </is>
      </c>
      <c r="AD391" s="232" t="inlineStr">
        <is>
          <t>1、卫生费：项目反馈不收取，包含在服务费中；</t>
        </is>
      </c>
      <c r="AE391" s="232" t="inlineStr">
        <is>
          <t xml:space="preserve">1、签订期间：2026.3-7月；
2、指标按照全年换算；
</t>
        </is>
      </c>
    </row>
    <row r="392" hidden="1" ht="48" customFormat="1" customHeight="1" s="209">
      <c r="A392" s="219" t="n">
        <v>390</v>
      </c>
      <c r="B392" s="220" t="inlineStr">
        <is>
          <t>KQCY0390</t>
        </is>
      </c>
      <c r="C392" s="221" t="inlineStr">
        <is>
          <t>餐饮六分部</t>
        </is>
      </c>
      <c r="D392" s="221" t="inlineStr">
        <is>
          <t>CF341</t>
        </is>
      </c>
      <c r="E392" s="221" t="inlineStr">
        <is>
          <t>扬大荷花池校区二楼食堂</t>
        </is>
      </c>
      <c r="F392" s="219" t="inlineStr">
        <is>
          <t>人员服务外包</t>
        </is>
      </c>
      <c r="G392" s="222" t="inlineStr">
        <is>
          <t>吉沐牛</t>
        </is>
      </c>
      <c r="H392" s="219" t="inlineStr">
        <is>
          <t>第二班组</t>
        </is>
      </c>
      <c r="I392" s="237" t="inlineStr">
        <is>
          <t>烤鸭饭</t>
        </is>
      </c>
      <c r="J392" s="219" t="inlineStr">
        <is>
          <t>吴异</t>
        </is>
      </c>
      <c r="K392" s="219" t="n"/>
      <c r="L392" s="224" t="n"/>
      <c r="M392" s="224" t="inlineStr">
        <is>
          <t>/</t>
        </is>
      </c>
      <c r="N392" s="651" t="n">
        <v>984000</v>
      </c>
      <c r="O392" s="552" t="n">
        <v>0.08500000000000001</v>
      </c>
      <c r="P392" s="235" t="n">
        <v>0</v>
      </c>
      <c r="Q392" s="235" t="n">
        <v>0</v>
      </c>
      <c r="R392" s="235" t="n">
        <v>0</v>
      </c>
      <c r="S392" s="235" t="n">
        <v>0</v>
      </c>
      <c r="T392" s="235" t="n">
        <v>0</v>
      </c>
      <c r="U392" s="235" t="n">
        <v>0</v>
      </c>
      <c r="V392" s="235" t="n">
        <v>0</v>
      </c>
      <c r="W392" s="235" t="n">
        <v>0</v>
      </c>
      <c r="X392" s="235" t="inlineStr">
        <is>
          <t>按实</t>
        </is>
      </c>
      <c r="Y392" s="461" t="inlineStr">
        <is>
          <t>/</t>
        </is>
      </c>
      <c r="Z392" s="461" t="inlineStr">
        <is>
          <t>/</t>
        </is>
      </c>
      <c r="AA392" s="235" t="inlineStr">
        <is>
          <t>按实</t>
        </is>
      </c>
      <c r="AB392" s="51" t="inlineStr">
        <is>
          <t>/</t>
        </is>
      </c>
      <c r="AC392" s="46" t="inlineStr">
        <is>
          <t>/</t>
        </is>
      </c>
      <c r="AD392" s="232" t="inlineStr">
        <is>
          <t>1、卫生费：项目反馈不收取，包含在服务费中；</t>
        </is>
      </c>
      <c r="AE392" s="232" t="inlineStr">
        <is>
          <t xml:space="preserve">1、签订期间：2026.3-7月；
2、指标按照全年换算；
</t>
        </is>
      </c>
    </row>
    <row r="393" hidden="1" ht="48" customFormat="1" customHeight="1" s="209">
      <c r="A393" s="219" t="n">
        <v>391</v>
      </c>
      <c r="B393" s="220" t="inlineStr">
        <is>
          <t>KQCY0391</t>
        </is>
      </c>
      <c r="C393" s="221" t="inlineStr">
        <is>
          <t>餐饮六分部</t>
        </is>
      </c>
      <c r="D393" s="221" t="inlineStr">
        <is>
          <t>CF341</t>
        </is>
      </c>
      <c r="E393" s="221" t="inlineStr">
        <is>
          <t>扬大荷花池校区二楼食堂</t>
        </is>
      </c>
      <c r="F393" s="219" t="inlineStr">
        <is>
          <t>人员服务外包</t>
        </is>
      </c>
      <c r="G393" s="222" t="inlineStr">
        <is>
          <t>吉沐牛</t>
        </is>
      </c>
      <c r="H393" s="219" t="inlineStr">
        <is>
          <t>第三班组</t>
        </is>
      </c>
      <c r="I393" s="237" t="inlineStr">
        <is>
          <t>酸菜鱼(砂锅)</t>
        </is>
      </c>
      <c r="J393" s="219" t="inlineStr">
        <is>
          <t>邱康兴</t>
        </is>
      </c>
      <c r="K393" s="219" t="n"/>
      <c r="L393" s="224" t="n"/>
      <c r="M393" s="224" t="inlineStr">
        <is>
          <t>/</t>
        </is>
      </c>
      <c r="N393" s="651" t="n">
        <v>662400</v>
      </c>
      <c r="O393" s="552" t="n">
        <v>0.08500000000000001</v>
      </c>
      <c r="P393" s="235" t="n">
        <v>0</v>
      </c>
      <c r="Q393" s="235" t="n">
        <v>0</v>
      </c>
      <c r="R393" s="235" t="n">
        <v>0</v>
      </c>
      <c r="S393" s="235" t="n">
        <v>0</v>
      </c>
      <c r="T393" s="235" t="n">
        <v>0</v>
      </c>
      <c r="U393" s="235" t="n">
        <v>0</v>
      </c>
      <c r="V393" s="235" t="n">
        <v>0</v>
      </c>
      <c r="W393" s="235" t="n">
        <v>0</v>
      </c>
      <c r="X393" s="235" t="inlineStr">
        <is>
          <t>按实</t>
        </is>
      </c>
      <c r="Y393" s="461" t="inlineStr">
        <is>
          <t>/</t>
        </is>
      </c>
      <c r="Z393" s="461" t="inlineStr">
        <is>
          <t>/</t>
        </is>
      </c>
      <c r="AA393" s="235" t="inlineStr">
        <is>
          <t>按实</t>
        </is>
      </c>
      <c r="AB393" s="51" t="inlineStr">
        <is>
          <t>/</t>
        </is>
      </c>
      <c r="AC393" s="46" t="inlineStr">
        <is>
          <t>/</t>
        </is>
      </c>
      <c r="AD393" s="232" t="inlineStr">
        <is>
          <t>1、卫生费：项目反馈不收取，包含在服务费中；</t>
        </is>
      </c>
      <c r="AE393" s="232" t="inlineStr">
        <is>
          <t xml:space="preserve">1、签订期间：2026.3-7月；
2、指标按照全年换算；
</t>
        </is>
      </c>
    </row>
    <row r="394" hidden="1" ht="48" customFormat="1" customHeight="1" s="209">
      <c r="A394" s="219" t="n">
        <v>392</v>
      </c>
      <c r="B394" s="220" t="inlineStr">
        <is>
          <t>KQCY0392</t>
        </is>
      </c>
      <c r="C394" s="221" t="inlineStr">
        <is>
          <t>餐饮六分部</t>
        </is>
      </c>
      <c r="D394" s="221" t="inlineStr">
        <is>
          <t>CF341</t>
        </is>
      </c>
      <c r="E394" s="221" t="inlineStr">
        <is>
          <t>扬大荷花池校区二楼食堂</t>
        </is>
      </c>
      <c r="F394" s="219" t="inlineStr">
        <is>
          <t>人员服务外包</t>
        </is>
      </c>
      <c r="G394" s="222" t="inlineStr">
        <is>
          <t>吉沐牛</t>
        </is>
      </c>
      <c r="H394" s="219" t="inlineStr">
        <is>
          <t>第四班组</t>
        </is>
      </c>
      <c r="I394" s="237" t="inlineStr">
        <is>
          <t>瓦香鸡</t>
        </is>
      </c>
      <c r="J394" s="219" t="inlineStr">
        <is>
          <t>董伟</t>
        </is>
      </c>
      <c r="K394" s="219" t="n"/>
      <c r="L394" s="224" t="n"/>
      <c r="M394" s="224" t="inlineStr">
        <is>
          <t>/</t>
        </is>
      </c>
      <c r="N394" s="651" t="n">
        <v>367200</v>
      </c>
      <c r="O394" s="552" t="n">
        <v>0.08500000000000001</v>
      </c>
      <c r="P394" s="235" t="n">
        <v>0</v>
      </c>
      <c r="Q394" s="235" t="n">
        <v>0</v>
      </c>
      <c r="R394" s="235" t="n">
        <v>0</v>
      </c>
      <c r="S394" s="235" t="n">
        <v>0</v>
      </c>
      <c r="T394" s="235" t="n">
        <v>0</v>
      </c>
      <c r="U394" s="235" t="n">
        <v>0</v>
      </c>
      <c r="V394" s="235" t="n">
        <v>0</v>
      </c>
      <c r="W394" s="235" t="n">
        <v>0</v>
      </c>
      <c r="X394" s="235" t="inlineStr">
        <is>
          <t>按实</t>
        </is>
      </c>
      <c r="Y394" s="461" t="inlineStr">
        <is>
          <t>/</t>
        </is>
      </c>
      <c r="Z394" s="461" t="inlineStr">
        <is>
          <t>/</t>
        </is>
      </c>
      <c r="AA394" s="235" t="inlineStr">
        <is>
          <t>按实</t>
        </is>
      </c>
      <c r="AB394" s="51" t="inlineStr">
        <is>
          <t>/</t>
        </is>
      </c>
      <c r="AC394" s="46" t="inlineStr">
        <is>
          <t>/</t>
        </is>
      </c>
      <c r="AD394" s="232" t="inlineStr">
        <is>
          <t>1、卫生费：项目反馈不收取，包含在服务费中；</t>
        </is>
      </c>
      <c r="AE394" s="232" t="inlineStr">
        <is>
          <t xml:space="preserve">1、签订期间：2026.3-7月；
2、指标按照全年换算；
</t>
        </is>
      </c>
    </row>
    <row r="395" hidden="1" ht="48" customFormat="1" customHeight="1" s="209">
      <c r="A395" s="219" t="n">
        <v>393</v>
      </c>
      <c r="B395" s="220" t="inlineStr">
        <is>
          <t>KQCY0393</t>
        </is>
      </c>
      <c r="C395" s="221" t="inlineStr">
        <is>
          <t>餐饮六分部</t>
        </is>
      </c>
      <c r="D395" s="221" t="inlineStr">
        <is>
          <t>CF341</t>
        </is>
      </c>
      <c r="E395" s="221" t="inlineStr">
        <is>
          <t>扬大荷花池校区二楼食堂</t>
        </is>
      </c>
      <c r="F395" s="219" t="inlineStr">
        <is>
          <t>人员服务外包</t>
        </is>
      </c>
      <c r="G395" s="222" t="inlineStr">
        <is>
          <t>吉沐牛</t>
        </is>
      </c>
      <c r="H395" s="219" t="inlineStr">
        <is>
          <t>第五班组</t>
        </is>
      </c>
      <c r="I395" s="237" t="inlineStr">
        <is>
          <t>水饺(馄饨)</t>
        </is>
      </c>
      <c r="J395" s="219" t="inlineStr">
        <is>
          <t>周凯</t>
        </is>
      </c>
      <c r="K395" s="219" t="n"/>
      <c r="L395" s="224" t="n"/>
      <c r="M395" s="224" t="inlineStr">
        <is>
          <t>/</t>
        </is>
      </c>
      <c r="N395" s="651" t="n">
        <v>316800</v>
      </c>
      <c r="O395" s="552" t="n">
        <v>0.08500000000000001</v>
      </c>
      <c r="P395" s="235" t="n">
        <v>0</v>
      </c>
      <c r="Q395" s="235" t="n">
        <v>0</v>
      </c>
      <c r="R395" s="235" t="n">
        <v>0</v>
      </c>
      <c r="S395" s="235" t="n">
        <v>0</v>
      </c>
      <c r="T395" s="235" t="n">
        <v>0</v>
      </c>
      <c r="U395" s="235" t="n">
        <v>0</v>
      </c>
      <c r="V395" s="235" t="n">
        <v>0</v>
      </c>
      <c r="W395" s="235" t="n">
        <v>0</v>
      </c>
      <c r="X395" s="235" t="inlineStr">
        <is>
          <t>按实</t>
        </is>
      </c>
      <c r="Y395" s="461" t="inlineStr">
        <is>
          <t>/</t>
        </is>
      </c>
      <c r="Z395" s="461" t="inlineStr">
        <is>
          <t>/</t>
        </is>
      </c>
      <c r="AA395" s="235" t="inlineStr">
        <is>
          <t>按实</t>
        </is>
      </c>
      <c r="AB395" s="51" t="inlineStr">
        <is>
          <t>/</t>
        </is>
      </c>
      <c r="AC395" s="46" t="inlineStr">
        <is>
          <t>/</t>
        </is>
      </c>
      <c r="AD395" s="232" t="inlineStr">
        <is>
          <t>1、卫生费：项目反馈不收取，包含在服务费中；</t>
        </is>
      </c>
      <c r="AE395" s="232" t="inlineStr">
        <is>
          <t xml:space="preserve">1、签订期间：2026.3-7月；
2、指标按照全年换算；
</t>
        </is>
      </c>
    </row>
    <row r="396" hidden="1" ht="48" customFormat="1" customHeight="1" s="209">
      <c r="A396" s="219" t="n">
        <v>394</v>
      </c>
      <c r="B396" s="220" t="inlineStr">
        <is>
          <t>KQCY0394</t>
        </is>
      </c>
      <c r="C396" s="221" t="inlineStr">
        <is>
          <t>餐饮六分部</t>
        </is>
      </c>
      <c r="D396" s="221" t="inlineStr">
        <is>
          <t>CF341</t>
        </is>
      </c>
      <c r="E396" s="221" t="inlineStr">
        <is>
          <t>扬大荷花池校区二楼食堂</t>
        </is>
      </c>
      <c r="F396" s="219" t="inlineStr">
        <is>
          <t>人员服务外包</t>
        </is>
      </c>
      <c r="G396" s="222" t="inlineStr">
        <is>
          <t>吉沐牛</t>
        </is>
      </c>
      <c r="H396" s="219" t="inlineStr">
        <is>
          <t>第六班组</t>
        </is>
      </c>
      <c r="I396" s="237" t="inlineStr">
        <is>
          <t>川湘菜</t>
        </is>
      </c>
      <c r="J396" s="219" t="inlineStr">
        <is>
          <t>刘诚诚</t>
        </is>
      </c>
      <c r="K396" s="219" t="n"/>
      <c r="L396" s="224" t="n"/>
      <c r="M396" s="224" t="inlineStr">
        <is>
          <t>/</t>
        </is>
      </c>
      <c r="N396" s="651" t="n">
        <v>2232000</v>
      </c>
      <c r="O396" s="552" t="n">
        <v>0.08500000000000001</v>
      </c>
      <c r="P396" s="235" t="n">
        <v>0</v>
      </c>
      <c r="Q396" s="235" t="n">
        <v>0</v>
      </c>
      <c r="R396" s="235" t="n">
        <v>0</v>
      </c>
      <c r="S396" s="235" t="n">
        <v>0</v>
      </c>
      <c r="T396" s="235" t="n">
        <v>0</v>
      </c>
      <c r="U396" s="235" t="n">
        <v>0</v>
      </c>
      <c r="V396" s="235" t="n">
        <v>0</v>
      </c>
      <c r="W396" s="235" t="n">
        <v>0</v>
      </c>
      <c r="X396" s="235" t="inlineStr">
        <is>
          <t>按实</t>
        </is>
      </c>
      <c r="Y396" s="461" t="inlineStr">
        <is>
          <t>/</t>
        </is>
      </c>
      <c r="Z396" s="461" t="inlineStr">
        <is>
          <t>/</t>
        </is>
      </c>
      <c r="AA396" s="235" t="inlineStr">
        <is>
          <t>按实</t>
        </is>
      </c>
      <c r="AB396" s="51" t="inlineStr">
        <is>
          <t>/</t>
        </is>
      </c>
      <c r="AC396" s="46" t="inlineStr">
        <is>
          <t>/</t>
        </is>
      </c>
      <c r="AD396" s="232" t="inlineStr">
        <is>
          <t>1、卫生费：项目反馈不收取，包含在服务费中；</t>
        </is>
      </c>
      <c r="AE396" s="232" t="inlineStr">
        <is>
          <t xml:space="preserve">1、签订期间：2026.3-7月；
2、指标按照全年换算；
</t>
        </is>
      </c>
    </row>
    <row r="397" hidden="1" ht="48" customFormat="1" customHeight="1" s="209">
      <c r="A397" s="219" t="n">
        <v>395</v>
      </c>
      <c r="B397" s="220" t="inlineStr">
        <is>
          <t>KQCY0395</t>
        </is>
      </c>
      <c r="C397" s="221" t="inlineStr">
        <is>
          <t>餐饮六分部</t>
        </is>
      </c>
      <c r="D397" s="221" t="inlineStr">
        <is>
          <t>CF341</t>
        </is>
      </c>
      <c r="E397" s="221" t="inlineStr">
        <is>
          <t>扬大荷花池校区二楼食堂</t>
        </is>
      </c>
      <c r="F397" s="219" t="inlineStr">
        <is>
          <t>人员服务外包</t>
        </is>
      </c>
      <c r="G397" s="222" t="inlineStr">
        <is>
          <t>吉沐牛</t>
        </is>
      </c>
      <c r="H397" s="219" t="inlineStr">
        <is>
          <t>第七班组</t>
        </is>
      </c>
      <c r="I397" s="237" t="inlineStr">
        <is>
          <t>烤盘饭</t>
        </is>
      </c>
      <c r="J397" s="219" t="inlineStr">
        <is>
          <t>曹清红</t>
        </is>
      </c>
      <c r="K397" s="219" t="n"/>
      <c r="L397" s="224" t="n"/>
      <c r="M397" s="224" t="inlineStr">
        <is>
          <t>/</t>
        </is>
      </c>
      <c r="N397" s="651" t="n">
        <v>655200</v>
      </c>
      <c r="O397" s="552" t="n">
        <v>0.08500000000000001</v>
      </c>
      <c r="P397" s="235" t="n">
        <v>0</v>
      </c>
      <c r="Q397" s="235" t="n">
        <v>0</v>
      </c>
      <c r="R397" s="235" t="n">
        <v>0</v>
      </c>
      <c r="S397" s="235" t="n">
        <v>0</v>
      </c>
      <c r="T397" s="235" t="n">
        <v>0</v>
      </c>
      <c r="U397" s="235" t="n">
        <v>0</v>
      </c>
      <c r="V397" s="235" t="n">
        <v>0</v>
      </c>
      <c r="W397" s="235" t="n">
        <v>0</v>
      </c>
      <c r="X397" s="235" t="inlineStr">
        <is>
          <t>按实</t>
        </is>
      </c>
      <c r="Y397" s="461" t="inlineStr">
        <is>
          <t>/</t>
        </is>
      </c>
      <c r="Z397" s="461" t="inlineStr">
        <is>
          <t>/</t>
        </is>
      </c>
      <c r="AA397" s="235" t="inlineStr">
        <is>
          <t>按实</t>
        </is>
      </c>
      <c r="AB397" s="51" t="inlineStr">
        <is>
          <t>/</t>
        </is>
      </c>
      <c r="AC397" s="46" t="inlineStr">
        <is>
          <t>/</t>
        </is>
      </c>
      <c r="AD397" s="232" t="inlineStr">
        <is>
          <t>1、卫生费：项目反馈不收取，包含在服务费中；</t>
        </is>
      </c>
      <c r="AE397" s="232" t="inlineStr">
        <is>
          <t xml:space="preserve">1、签订期间：2026.3-7月；
2、指标按照全年换算；
</t>
        </is>
      </c>
    </row>
    <row r="398" hidden="1" ht="24" customFormat="1" customHeight="1" s="209">
      <c r="A398" s="219" t="n">
        <v>396</v>
      </c>
      <c r="B398" s="220" t="inlineStr">
        <is>
          <t>KQCY0396</t>
        </is>
      </c>
      <c r="C398" s="221" t="inlineStr">
        <is>
          <t>餐饮六分部</t>
        </is>
      </c>
      <c r="D398" s="221" t="inlineStr">
        <is>
          <t>CF341</t>
        </is>
      </c>
      <c r="E398" s="221" t="inlineStr">
        <is>
          <t>扬大荷花池校区二楼食堂</t>
        </is>
      </c>
      <c r="F398" s="219" t="inlineStr">
        <is>
          <t>人员服务外包</t>
        </is>
      </c>
      <c r="G398" s="222" t="inlineStr">
        <is>
          <t>吉沐牛</t>
        </is>
      </c>
      <c r="H398" s="219" t="inlineStr">
        <is>
          <t>第八班组</t>
        </is>
      </c>
      <c r="I398" s="237" t="inlineStr">
        <is>
          <t>黄焖鸡(黑鸭煲、拌面拌粉)</t>
        </is>
      </c>
      <c r="J398" s="219" t="inlineStr">
        <is>
          <t>刘发治</t>
        </is>
      </c>
      <c r="K398" s="219" t="n"/>
      <c r="L398" s="224" t="n"/>
      <c r="M398" s="224" t="inlineStr">
        <is>
          <t>/</t>
        </is>
      </c>
      <c r="N398" s="651" t="n">
        <v>662400</v>
      </c>
      <c r="O398" s="552" t="n">
        <v>0.08500000000000001</v>
      </c>
      <c r="P398" s="235" t="n">
        <v>0</v>
      </c>
      <c r="Q398" s="235" t="n">
        <v>0</v>
      </c>
      <c r="R398" s="235" t="n">
        <v>0</v>
      </c>
      <c r="S398" s="235" t="n">
        <v>0</v>
      </c>
      <c r="T398" s="235" t="n">
        <v>0</v>
      </c>
      <c r="U398" s="235" t="n">
        <v>0</v>
      </c>
      <c r="V398" s="235" t="n">
        <v>0</v>
      </c>
      <c r="W398" s="235" t="n">
        <v>0</v>
      </c>
      <c r="X398" s="235" t="inlineStr">
        <is>
          <t>按实</t>
        </is>
      </c>
      <c r="Y398" s="461" t="inlineStr">
        <is>
          <t>/</t>
        </is>
      </c>
      <c r="Z398" s="461" t="inlineStr">
        <is>
          <t>/</t>
        </is>
      </c>
      <c r="AA398" s="235" t="inlineStr">
        <is>
          <t>按实</t>
        </is>
      </c>
      <c r="AB398" s="51" t="inlineStr">
        <is>
          <t>/</t>
        </is>
      </c>
      <c r="AC398" s="46" t="inlineStr">
        <is>
          <t>/</t>
        </is>
      </c>
      <c r="AD398" s="232" t="inlineStr">
        <is>
          <t>1、卫生费：项目反馈不收取，包含在服务费中；</t>
        </is>
      </c>
      <c r="AE398" s="232" t="inlineStr">
        <is>
          <t>1、签订期间：2026.3-7月；
2、指标按照全年换算；</t>
        </is>
      </c>
    </row>
    <row r="399" ht="12" customFormat="1" customHeight="1" s="209">
      <c r="A399" s="219" t="n">
        <v>397</v>
      </c>
      <c r="B399" s="220" t="inlineStr">
        <is>
          <t>KQCY0397</t>
        </is>
      </c>
      <c r="C399" s="221" t="inlineStr">
        <is>
          <t>餐饮六分部</t>
        </is>
      </c>
      <c r="D399" s="221" t="inlineStr">
        <is>
          <t>CF213</t>
        </is>
      </c>
      <c r="E399" s="221" t="inlineStr">
        <is>
          <t>苏州大脑营行餐厅</t>
        </is>
      </c>
      <c r="F399" s="219" t="inlineStr">
        <is>
          <t>自营</t>
        </is>
      </c>
      <c r="G399" s="222" t="inlineStr">
        <is>
          <t>位军浩</t>
        </is>
      </c>
      <c r="H399" s="222" t="inlineStr">
        <is>
          <t>/</t>
        </is>
      </c>
      <c r="I399" s="237" t="inlineStr">
        <is>
          <t>/</t>
        </is>
      </c>
      <c r="J399" s="222" t="inlineStr">
        <is>
          <t>/</t>
        </is>
      </c>
      <c r="K399" s="222" t="n"/>
      <c r="L399" s="224" t="n"/>
      <c r="M399" s="224" t="inlineStr">
        <is>
          <t>/</t>
        </is>
      </c>
      <c r="N399" s="651" t="inlineStr">
        <is>
          <t>/</t>
        </is>
      </c>
      <c r="O399" s="235" t="inlineStr">
        <is>
          <t>/</t>
        </is>
      </c>
      <c r="P399" s="235" t="inlineStr">
        <is>
          <t>/</t>
        </is>
      </c>
      <c r="Q399" s="235" t="n">
        <v>0.02</v>
      </c>
      <c r="R399" s="235" t="inlineStr">
        <is>
          <t>/</t>
        </is>
      </c>
      <c r="S399" s="235" t="inlineStr">
        <is>
          <t>/</t>
        </is>
      </c>
      <c r="T399" s="235" t="inlineStr">
        <is>
          <t>/</t>
        </is>
      </c>
      <c r="U399" s="235" t="inlineStr">
        <is>
          <t>/</t>
        </is>
      </c>
      <c r="V399" s="235" t="inlineStr">
        <is>
          <t>/</t>
        </is>
      </c>
      <c r="W399" s="235" t="inlineStr">
        <is>
          <t>/</t>
        </is>
      </c>
      <c r="X399" s="235" t="inlineStr">
        <is>
          <t>/</t>
        </is>
      </c>
      <c r="Y399" s="235" t="n"/>
      <c r="Z399" s="235" t="n"/>
      <c r="AA399" s="235" t="n"/>
      <c r="AB399" s="22" t="n">
        <v>0.07000000000000001</v>
      </c>
      <c r="AC399" s="503" t="inlineStr">
        <is>
          <t>/</t>
        </is>
      </c>
      <c r="AD399" s="230" t="inlineStr">
        <is>
          <t>超市、咖啡吧、饮料机不收取采购费</t>
        </is>
      </c>
      <c r="AE399" s="232" t="n"/>
    </row>
    <row r="400" ht="36" customFormat="1" customHeight="1" s="209">
      <c r="A400" s="219" t="n">
        <v>398</v>
      </c>
      <c r="B400" s="220" t="inlineStr">
        <is>
          <t>KQCY0398</t>
        </is>
      </c>
      <c r="C400" s="221" t="inlineStr">
        <is>
          <t>餐饮六分部</t>
        </is>
      </c>
      <c r="D400" s="221" t="inlineStr">
        <is>
          <t>CF213</t>
        </is>
      </c>
      <c r="E400" s="221" t="inlineStr">
        <is>
          <t>苏州大脑营行餐厅</t>
        </is>
      </c>
      <c r="F400" s="219" t="inlineStr">
        <is>
          <t>分组作业</t>
        </is>
      </c>
      <c r="G400" s="222" t="inlineStr">
        <is>
          <t>位军浩</t>
        </is>
      </c>
      <c r="H400" s="222" t="inlineStr">
        <is>
          <t>第一班组</t>
        </is>
      </c>
      <c r="I400" s="237" t="inlineStr">
        <is>
          <t>湘菜</t>
        </is>
      </c>
      <c r="J400" s="222" t="inlineStr">
        <is>
          <t>李勇</t>
        </is>
      </c>
      <c r="K400" s="222" t="n"/>
      <c r="L400" s="224" t="n"/>
      <c r="M400" s="224" t="inlineStr">
        <is>
          <t>/</t>
        </is>
      </c>
      <c r="N400" s="651" t="n">
        <v>621000</v>
      </c>
      <c r="O400" s="247" t="n">
        <v>0.12</v>
      </c>
      <c r="P400" s="235" t="n">
        <v>0.01</v>
      </c>
      <c r="Q400" s="235" t="n">
        <v>0</v>
      </c>
      <c r="R400" s="235" t="n">
        <v>0</v>
      </c>
      <c r="S400" s="247" t="n">
        <v>0</v>
      </c>
      <c r="T400" s="247" t="n">
        <v>0</v>
      </c>
      <c r="U400" s="235" t="n">
        <v>0</v>
      </c>
      <c r="V400" s="247" t="n">
        <v>0.03</v>
      </c>
      <c r="W400" s="247" t="n">
        <v>0.08</v>
      </c>
      <c r="X400" s="279" t="inlineStr">
        <is>
          <t>垃圾清运500元/月</t>
        </is>
      </c>
      <c r="Y400" s="235" t="inlineStr">
        <is>
          <t>代垫税费6％</t>
        </is>
      </c>
      <c r="Z400" s="235" t="inlineStr">
        <is>
          <t>/</t>
        </is>
      </c>
      <c r="AA400" s="235" t="inlineStr">
        <is>
          <t>按实结算</t>
        </is>
      </c>
      <c r="AB400" s="22" t="inlineStr">
        <is>
          <t>/</t>
        </is>
      </c>
      <c r="AC400" s="503" t="inlineStr">
        <is>
          <t>/</t>
        </is>
      </c>
      <c r="AD400" s="250" t="inlineStr">
        <is>
          <t>1、采购费：收取2%，分组作业未分摊，服务费已包含；
2、甲方管理费：收取5%，分组作业未分摊，服务费已包含</t>
        </is>
      </c>
      <c r="AE400" s="232" t="inlineStr">
        <is>
          <t xml:space="preserve">
1、签订期间：2026.1.1-2026.12.31；</t>
        </is>
      </c>
    </row>
    <row r="401" ht="36" customFormat="1" customHeight="1" s="209">
      <c r="A401" s="219" t="n">
        <v>399</v>
      </c>
      <c r="B401" s="220" t="inlineStr">
        <is>
          <t>KQCY0399</t>
        </is>
      </c>
      <c r="C401" s="221" t="inlineStr">
        <is>
          <t>餐饮六分部</t>
        </is>
      </c>
      <c r="D401" s="221" t="inlineStr">
        <is>
          <t>CF213</t>
        </is>
      </c>
      <c r="E401" s="221" t="inlineStr">
        <is>
          <t>苏州大脑营行餐厅</t>
        </is>
      </c>
      <c r="F401" s="219" t="inlineStr">
        <is>
          <t>分组作业</t>
        </is>
      </c>
      <c r="G401" s="222" t="inlineStr">
        <is>
          <t>位军浩</t>
        </is>
      </c>
      <c r="H401" s="222" t="inlineStr">
        <is>
          <t>第二班组</t>
        </is>
      </c>
      <c r="I401" s="237" t="inlineStr">
        <is>
          <t>猪脚饭（酸菜鱼、米线、鸭血粉丝）</t>
        </is>
      </c>
      <c r="J401" s="222" t="inlineStr">
        <is>
          <t>黄永利</t>
        </is>
      </c>
      <c r="K401" s="222" t="n"/>
      <c r="L401" s="224" t="n"/>
      <c r="M401" s="224" t="inlineStr">
        <is>
          <t>/</t>
        </is>
      </c>
      <c r="N401" s="651" t="n">
        <v>610000</v>
      </c>
      <c r="O401" s="247" t="n">
        <v>0.12</v>
      </c>
      <c r="P401" s="235" t="n">
        <v>0.01</v>
      </c>
      <c r="Q401" s="235" t="n">
        <v>0</v>
      </c>
      <c r="R401" s="235" t="n">
        <v>0</v>
      </c>
      <c r="S401" s="247" t="n">
        <v>0</v>
      </c>
      <c r="T401" s="247" t="n">
        <v>0</v>
      </c>
      <c r="U401" s="235" t="n">
        <v>0</v>
      </c>
      <c r="V401" s="247" t="n">
        <v>0.03</v>
      </c>
      <c r="W401" s="247" t="n">
        <v>0.08</v>
      </c>
      <c r="X401" s="279" t="inlineStr">
        <is>
          <t>垃圾清运500元/月</t>
        </is>
      </c>
      <c r="Y401" s="235" t="inlineStr">
        <is>
          <t>代垫税费6％</t>
        </is>
      </c>
      <c r="Z401" s="235" t="inlineStr">
        <is>
          <t>/</t>
        </is>
      </c>
      <c r="AA401" s="235" t="inlineStr">
        <is>
          <t>按实结算</t>
        </is>
      </c>
      <c r="AB401" s="22" t="inlineStr">
        <is>
          <t>/</t>
        </is>
      </c>
      <c r="AC401" s="503" t="inlineStr">
        <is>
          <t>/</t>
        </is>
      </c>
      <c r="AD401" s="250" t="inlineStr">
        <is>
          <t>1、采购费：收取2%，分组作业未分摊，服务费已包含；
2、甲方管理费：收取5%，分组作业未分摊，服务费已包含；</t>
        </is>
      </c>
      <c r="AE401" s="232" t="inlineStr">
        <is>
          <t xml:space="preserve">
1、签订期间：2026.1.1-2026.12.31；</t>
        </is>
      </c>
    </row>
    <row r="402" ht="24" customFormat="1" customHeight="1" s="209">
      <c r="A402" s="219" t="n">
        <v>400</v>
      </c>
      <c r="B402" s="220" t="inlineStr">
        <is>
          <t>KQCY0400</t>
        </is>
      </c>
      <c r="C402" s="221" t="n"/>
      <c r="D402" s="221" t="n"/>
      <c r="E402" s="221" t="inlineStr">
        <is>
          <t>苏州大脑营行餐厅</t>
        </is>
      </c>
      <c r="F402" s="239" t="inlineStr">
        <is>
          <t>分组作业</t>
        </is>
      </c>
      <c r="G402" s="222" t="inlineStr">
        <is>
          <t>位军浩</t>
        </is>
      </c>
      <c r="H402" s="355" t="inlineStr">
        <is>
          <t>第三班组</t>
        </is>
      </c>
      <c r="I402" s="219" t="inlineStr">
        <is>
          <t>黄焖鸡、沙县小吃</t>
        </is>
      </c>
      <c r="J402" s="222" t="inlineStr">
        <is>
          <t>苏嫩仔</t>
        </is>
      </c>
      <c r="K402" s="222" t="n"/>
      <c r="L402" s="224" t="n"/>
      <c r="M402" s="224" t="n"/>
      <c r="N402" s="651" t="n"/>
      <c r="O402" s="247" t="n">
        <v>0.12</v>
      </c>
      <c r="P402" s="235" t="n">
        <v>0</v>
      </c>
      <c r="Q402" s="235" t="n">
        <v>0</v>
      </c>
      <c r="R402" s="235" t="n">
        <v>0</v>
      </c>
      <c r="S402" s="247" t="n">
        <v>0</v>
      </c>
      <c r="T402" s="247" t="n">
        <v>0</v>
      </c>
      <c r="U402" s="235" t="n">
        <v>0</v>
      </c>
      <c r="V402" s="247" t="n">
        <v>0.03</v>
      </c>
      <c r="W402" s="247" t="n">
        <v>0.08</v>
      </c>
      <c r="X402" s="279" t="inlineStr">
        <is>
          <t>垃圾清运500元/月</t>
        </is>
      </c>
      <c r="Y402" s="235" t="inlineStr">
        <is>
          <t>代垫税费6％</t>
        </is>
      </c>
      <c r="Z402" s="235" t="inlineStr">
        <is>
          <t>低值易耗费1%营业额</t>
        </is>
      </c>
      <c r="AA402" s="235" t="inlineStr">
        <is>
          <t>按实结算</t>
        </is>
      </c>
      <c r="AB402" s="22" t="n"/>
      <c r="AC402" s="503" t="n"/>
      <c r="AD402" s="250" t="n"/>
      <c r="AE402" s="232" t="n"/>
    </row>
    <row r="403" ht="12" customFormat="1" customHeight="1" s="209">
      <c r="A403" s="219" t="n">
        <v>401</v>
      </c>
      <c r="B403" s="220" t="inlineStr">
        <is>
          <t>KQCY0401</t>
        </is>
      </c>
      <c r="C403" s="221" t="inlineStr">
        <is>
          <t>餐饮六分部</t>
        </is>
      </c>
      <c r="D403" s="221" t="inlineStr">
        <is>
          <t>CF275</t>
        </is>
      </c>
      <c r="E403" s="221" t="inlineStr">
        <is>
          <t>南大苏州校区西区二食堂</t>
        </is>
      </c>
      <c r="F403" s="219" t="inlineStr">
        <is>
          <t>自营</t>
        </is>
      </c>
      <c r="G403" s="222" t="inlineStr">
        <is>
          <t>位军浩</t>
        </is>
      </c>
      <c r="H403" s="222" t="inlineStr">
        <is>
          <t>/</t>
        </is>
      </c>
      <c r="I403" s="237" t="inlineStr">
        <is>
          <t>/</t>
        </is>
      </c>
      <c r="J403" s="222" t="inlineStr">
        <is>
          <t>/</t>
        </is>
      </c>
      <c r="K403" s="222" t="n"/>
      <c r="L403" s="224" t="n"/>
      <c r="M403" s="224" t="inlineStr">
        <is>
          <t>/</t>
        </is>
      </c>
      <c r="N403" s="651" t="inlineStr">
        <is>
          <t>/</t>
        </is>
      </c>
      <c r="O403" s="235" t="inlineStr">
        <is>
          <t>/</t>
        </is>
      </c>
      <c r="P403" s="235" t="inlineStr">
        <is>
          <t>/</t>
        </is>
      </c>
      <c r="Q403" s="235" t="n">
        <v>0.05</v>
      </c>
      <c r="R403" s="235" t="inlineStr">
        <is>
          <t>/</t>
        </is>
      </c>
      <c r="S403" s="235" t="inlineStr">
        <is>
          <t>/</t>
        </is>
      </c>
      <c r="T403" s="235" t="inlineStr">
        <is>
          <t>/</t>
        </is>
      </c>
      <c r="U403" s="235" t="inlineStr">
        <is>
          <t>/</t>
        </is>
      </c>
      <c r="V403" s="235" t="inlineStr">
        <is>
          <t>/</t>
        </is>
      </c>
      <c r="W403" s="235" t="inlineStr">
        <is>
          <t>/</t>
        </is>
      </c>
      <c r="X403" s="235" t="inlineStr">
        <is>
          <t>/</t>
        </is>
      </c>
      <c r="Y403" s="461" t="n"/>
      <c r="Z403" s="461" t="n"/>
      <c r="AA403" s="461" t="n"/>
      <c r="AB403" s="22" t="n">
        <v>0.05</v>
      </c>
      <c r="AC403" s="503" t="inlineStr">
        <is>
          <t>/</t>
        </is>
      </c>
      <c r="AD403" s="232" t="inlineStr">
        <is>
          <t>1、采购费：采购额的5%</t>
        </is>
      </c>
      <c r="AE403" s="232" t="n"/>
    </row>
    <row r="404" ht="48" customFormat="1" customHeight="1" s="209">
      <c r="A404" s="219" t="n">
        <v>402</v>
      </c>
      <c r="B404" s="220" t="inlineStr">
        <is>
          <t>KQCY0402</t>
        </is>
      </c>
      <c r="C404" s="221" t="inlineStr">
        <is>
          <t>餐饮六分部</t>
        </is>
      </c>
      <c r="D404" s="221" t="inlineStr">
        <is>
          <t>CF275</t>
        </is>
      </c>
      <c r="E404" s="221" t="inlineStr">
        <is>
          <t>南大苏州校区西区二食堂</t>
        </is>
      </c>
      <c r="F404" s="219" t="inlineStr">
        <is>
          <t>分组作业</t>
        </is>
      </c>
      <c r="G404" s="222" t="inlineStr">
        <is>
          <t>位军浩</t>
        </is>
      </c>
      <c r="H404" s="222" t="inlineStr">
        <is>
          <t>第一班组</t>
        </is>
      </c>
      <c r="I404" s="237" t="inlineStr">
        <is>
          <t>自选</t>
        </is>
      </c>
      <c r="J404" s="222" t="inlineStr">
        <is>
          <t>刘岩艳</t>
        </is>
      </c>
      <c r="K404" s="222" t="n"/>
      <c r="L404" s="224" t="n"/>
      <c r="M404" s="224" t="inlineStr">
        <is>
          <t>/</t>
        </is>
      </c>
      <c r="N404" s="651" t="n">
        <v>800000</v>
      </c>
      <c r="O404" s="247" t="n">
        <v>0.19</v>
      </c>
      <c r="P404" s="235" t="n">
        <v>0</v>
      </c>
      <c r="Q404" s="247" t="n">
        <v>0</v>
      </c>
      <c r="R404" s="551" t="n">
        <v>0</v>
      </c>
      <c r="S404" s="247" t="n">
        <v>0</v>
      </c>
      <c r="T404" s="247" t="n">
        <v>0</v>
      </c>
      <c r="U404" s="235" t="n">
        <v>0</v>
      </c>
      <c r="V404" s="247" t="n">
        <v>0.03</v>
      </c>
      <c r="W404" s="284" t="n">
        <v>0</v>
      </c>
      <c r="X404" s="551" t="inlineStr">
        <is>
          <t>按实结算</t>
        </is>
      </c>
      <c r="Y404" s="235" t="inlineStr">
        <is>
          <t>餐具折旧费500元/月，1、2、7、8月份按实际运营天数结算</t>
        </is>
      </c>
      <c r="Z404" s="235" t="inlineStr">
        <is>
          <t>/</t>
        </is>
      </c>
      <c r="AA404" s="235" t="inlineStr">
        <is>
          <t>按实结算</t>
        </is>
      </c>
      <c r="AB404" s="22" t="inlineStr">
        <is>
          <t>/</t>
        </is>
      </c>
      <c r="AC404" s="503" t="inlineStr">
        <is>
          <t>/</t>
        </is>
      </c>
      <c r="AD404" s="230" t="inlineStr">
        <is>
          <t xml:space="preserve">1、采购费：按采购额比例5%收取，分组作业应分摊未分摊，已补分摊，采购费比例应做相应调整；                             2、服务费，分组作业应分摊未分摊，已补分摊，服务费比例应做相应调整；            </t>
        </is>
      </c>
      <c r="AE404" s="232" t="inlineStr">
        <is>
          <t xml:space="preserve">
1、签订期间：2026.1.1-2026.7.31；
2、指标按照全年换算；</t>
        </is>
      </c>
    </row>
    <row r="405" ht="48" customFormat="1" customHeight="1" s="209">
      <c r="A405" s="219" t="n">
        <v>403</v>
      </c>
      <c r="B405" s="220" t="inlineStr">
        <is>
          <t>KQCY0403</t>
        </is>
      </c>
      <c r="C405" s="221" t="inlineStr">
        <is>
          <t>餐饮六分部</t>
        </is>
      </c>
      <c r="D405" s="221" t="inlineStr">
        <is>
          <t>CF275</t>
        </is>
      </c>
      <c r="E405" s="221" t="inlineStr">
        <is>
          <t>南大苏州校区西区二食堂</t>
        </is>
      </c>
      <c r="F405" s="219" t="inlineStr">
        <is>
          <t>分组作业</t>
        </is>
      </c>
      <c r="G405" s="222" t="inlineStr">
        <is>
          <t>位军浩</t>
        </is>
      </c>
      <c r="H405" s="222" t="inlineStr">
        <is>
          <t>第二班组</t>
        </is>
      </c>
      <c r="I405" s="237" t="inlineStr">
        <is>
          <t>特色</t>
        </is>
      </c>
      <c r="J405" s="222" t="inlineStr">
        <is>
          <t>朱传兴</t>
        </is>
      </c>
      <c r="K405" s="222" t="n"/>
      <c r="L405" s="224" t="n"/>
      <c r="M405" s="224" t="inlineStr">
        <is>
          <t>/</t>
        </is>
      </c>
      <c r="N405" s="651" t="n">
        <v>640000</v>
      </c>
      <c r="O405" s="247" t="n">
        <v>0.19</v>
      </c>
      <c r="P405" s="235" t="n">
        <v>0</v>
      </c>
      <c r="Q405" s="247" t="n">
        <v>0</v>
      </c>
      <c r="R405" s="551" t="n">
        <v>0</v>
      </c>
      <c r="S405" s="247" t="n">
        <v>0</v>
      </c>
      <c r="T405" s="247" t="n">
        <v>0</v>
      </c>
      <c r="U405" s="235" t="n">
        <v>0</v>
      </c>
      <c r="V405" s="247" t="n">
        <v>0.03</v>
      </c>
      <c r="W405" s="284" t="n">
        <v>0</v>
      </c>
      <c r="X405" s="551" t="inlineStr">
        <is>
          <t>按实结算</t>
        </is>
      </c>
      <c r="Y405" s="235" t="inlineStr">
        <is>
          <t>餐具折旧费500元/月，1、2、7、8月份按实际运营天数结算</t>
        </is>
      </c>
      <c r="Z405" s="235" t="inlineStr">
        <is>
          <t>/</t>
        </is>
      </c>
      <c r="AA405" s="235" t="inlineStr">
        <is>
          <t>按实结算</t>
        </is>
      </c>
      <c r="AB405" s="22" t="inlineStr">
        <is>
          <t>/</t>
        </is>
      </c>
      <c r="AC405" s="503" t="inlineStr">
        <is>
          <t>/</t>
        </is>
      </c>
      <c r="AD405" s="230" t="inlineStr">
        <is>
          <t>1、采购费：按采购额比例5%收取，分组作业应分摊未分摊，已补分摊，采购费比例应做相应调整；                             2、服务费，分组作业应分摊未分摊，已补分摊，服务费比例应做相应调整；</t>
        </is>
      </c>
      <c r="AE405" s="232" t="inlineStr">
        <is>
          <t xml:space="preserve">
1、签订期间：2026.1.1-2026.7.31；
2、指标按照全年换算；</t>
        </is>
      </c>
    </row>
    <row r="406" ht="48" customFormat="1" customHeight="1" s="209">
      <c r="A406" s="219" t="n">
        <v>404</v>
      </c>
      <c r="B406" s="220" t="inlineStr">
        <is>
          <t>KQCY0404</t>
        </is>
      </c>
      <c r="C406" s="221" t="inlineStr">
        <is>
          <t>餐饮六分部</t>
        </is>
      </c>
      <c r="D406" s="221" t="inlineStr">
        <is>
          <t>CF275</t>
        </is>
      </c>
      <c r="E406" s="221" t="inlineStr">
        <is>
          <t>南大苏州校区西区二食堂</t>
        </is>
      </c>
      <c r="F406" s="219" t="inlineStr">
        <is>
          <t>分组作业</t>
        </is>
      </c>
      <c r="G406" s="222" t="inlineStr">
        <is>
          <t>位军浩</t>
        </is>
      </c>
      <c r="H406" s="222" t="inlineStr">
        <is>
          <t>第三班组</t>
        </is>
      </c>
      <c r="I406" s="237" t="inlineStr">
        <is>
          <t>早餐</t>
        </is>
      </c>
      <c r="J406" s="222" t="inlineStr">
        <is>
          <t>李嵩</t>
        </is>
      </c>
      <c r="K406" s="222" t="n"/>
      <c r="L406" s="224" t="n"/>
      <c r="M406" s="224" t="inlineStr">
        <is>
          <t>/</t>
        </is>
      </c>
      <c r="N406" s="651" t="n">
        <v>160000</v>
      </c>
      <c r="O406" s="247" t="n">
        <v>0.19</v>
      </c>
      <c r="P406" s="235" t="n">
        <v>0</v>
      </c>
      <c r="Q406" s="247" t="n">
        <v>0</v>
      </c>
      <c r="R406" s="551" t="n">
        <v>0</v>
      </c>
      <c r="S406" s="247" t="n">
        <v>0</v>
      </c>
      <c r="T406" s="247" t="n">
        <v>0</v>
      </c>
      <c r="U406" s="235" t="n">
        <v>0</v>
      </c>
      <c r="V406" s="247" t="n">
        <v>0.03</v>
      </c>
      <c r="W406" s="284" t="n">
        <v>0</v>
      </c>
      <c r="X406" s="551" t="inlineStr">
        <is>
          <t>按实结算</t>
        </is>
      </c>
      <c r="Y406" s="235" t="inlineStr">
        <is>
          <t>餐具折旧费500元/月，1、2、7、8月份按实际运营天数结算</t>
        </is>
      </c>
      <c r="Z406" s="235" t="inlineStr">
        <is>
          <t>/</t>
        </is>
      </c>
      <c r="AA406" s="235" t="inlineStr">
        <is>
          <t>按实结算</t>
        </is>
      </c>
      <c r="AB406" s="22" t="inlineStr">
        <is>
          <t>/</t>
        </is>
      </c>
      <c r="AC406" s="503" t="inlineStr">
        <is>
          <t>/</t>
        </is>
      </c>
      <c r="AD406" s="230" t="inlineStr">
        <is>
          <t xml:space="preserve">1、采购费：按采购额比例5%收取，分组作业应分摊未分摊，已补分摊，采购费比例应做相应调整；                             2、服务费，分组作业应分摊未分摊，已补分摊，服务费比例应做相应调整；            </t>
        </is>
      </c>
      <c r="AE406" s="232" t="inlineStr">
        <is>
          <t xml:space="preserve">
1、签订期间：2026.1.1-2026.7.31；
2、指标按照全年换算；</t>
        </is>
      </c>
    </row>
    <row r="407" ht="48" customFormat="1" customHeight="1" s="209">
      <c r="A407" s="219" t="n">
        <v>405</v>
      </c>
      <c r="B407" s="220" t="inlineStr">
        <is>
          <t>KQCY0405</t>
        </is>
      </c>
      <c r="C407" s="221" t="inlineStr">
        <is>
          <t>餐饮六分部</t>
        </is>
      </c>
      <c r="D407" s="221" t="inlineStr">
        <is>
          <t>CF275</t>
        </is>
      </c>
      <c r="E407" s="221" t="inlineStr">
        <is>
          <t>南大苏州校区西区二食堂</t>
        </is>
      </c>
      <c r="F407" s="219" t="inlineStr">
        <is>
          <t>分组作业</t>
        </is>
      </c>
      <c r="G407" s="222" t="inlineStr">
        <is>
          <t>位军浩</t>
        </is>
      </c>
      <c r="H407" s="222" t="inlineStr">
        <is>
          <t>第四班组</t>
        </is>
      </c>
      <c r="I407" s="237" t="inlineStr">
        <is>
          <t>民族风味</t>
        </is>
      </c>
      <c r="J407" s="220" t="inlineStr">
        <is>
          <t>马素女</t>
        </is>
      </c>
      <c r="K407" s="222" t="n"/>
      <c r="L407" s="224" t="n"/>
      <c r="M407" s="224" t="inlineStr">
        <is>
          <t>/</t>
        </is>
      </c>
      <c r="N407" s="651" t="n">
        <v>240000</v>
      </c>
      <c r="O407" s="247" t="n">
        <v>0.17</v>
      </c>
      <c r="P407" s="235" t="n">
        <v>0</v>
      </c>
      <c r="Q407" s="247" t="n">
        <v>0</v>
      </c>
      <c r="R407" s="551" t="n">
        <v>0</v>
      </c>
      <c r="S407" s="247" t="n">
        <v>0</v>
      </c>
      <c r="T407" s="247" t="n">
        <v>0</v>
      </c>
      <c r="U407" s="235" t="n">
        <v>0</v>
      </c>
      <c r="V407" s="247" t="n">
        <v>0.03</v>
      </c>
      <c r="W407" s="284" t="n">
        <v>0</v>
      </c>
      <c r="X407" s="551" t="inlineStr">
        <is>
          <t>按实结算</t>
        </is>
      </c>
      <c r="Y407" s="235" t="inlineStr">
        <is>
          <t>餐具折旧费1000元/月，1、2、7、8月份按实际运营天数结算</t>
        </is>
      </c>
      <c r="Z407" s="235" t="inlineStr">
        <is>
          <t>/</t>
        </is>
      </c>
      <c r="AA407" s="235" t="inlineStr">
        <is>
          <t>按实结算</t>
        </is>
      </c>
      <c r="AB407" s="22" t="inlineStr">
        <is>
          <t>/</t>
        </is>
      </c>
      <c r="AC407" s="503" t="inlineStr">
        <is>
          <t>/</t>
        </is>
      </c>
      <c r="AD407" s="230" t="inlineStr">
        <is>
          <t>1、采购费：按采购额比例5%收取，分组作业应分摊未分摊，已补分摊，采购费比例应做相应调整；                             2、服务费，分组作业应分摊未分摊，已补分摊，服务费比例应做相应调整；            3、原材料：据实收取</t>
        </is>
      </c>
      <c r="AE407" s="232" t="inlineStr">
        <is>
          <t xml:space="preserve">
1、签订期间：2026.1.1-2026.7.31；
2、指标按照全年换算；</t>
        </is>
      </c>
    </row>
    <row r="408" ht="48" customFormat="1" customHeight="1" s="209">
      <c r="A408" s="219" t="n">
        <v>406</v>
      </c>
      <c r="B408" s="220" t="inlineStr">
        <is>
          <t>KQCY0406</t>
        </is>
      </c>
      <c r="C408" s="221" t="inlineStr">
        <is>
          <t>餐饮六分部</t>
        </is>
      </c>
      <c r="D408" s="221" t="inlineStr">
        <is>
          <t>CF275</t>
        </is>
      </c>
      <c r="E408" s="221" t="inlineStr">
        <is>
          <t>南大苏州校区西区二食堂</t>
        </is>
      </c>
      <c r="F408" s="219" t="inlineStr">
        <is>
          <t>分组作业</t>
        </is>
      </c>
      <c r="G408" s="222" t="inlineStr">
        <is>
          <t>位军浩</t>
        </is>
      </c>
      <c r="H408" s="222" t="inlineStr">
        <is>
          <t>第五班组</t>
        </is>
      </c>
      <c r="I408" s="237" t="inlineStr">
        <is>
          <t>卤肉饭</t>
        </is>
      </c>
      <c r="J408" s="222" t="inlineStr">
        <is>
          <t>周文琳</t>
        </is>
      </c>
      <c r="K408" s="222" t="n"/>
      <c r="L408" s="224" t="n"/>
      <c r="M408" s="224" t="inlineStr">
        <is>
          <t>/</t>
        </is>
      </c>
      <c r="N408" s="651" t="n">
        <v>320000</v>
      </c>
      <c r="O408" s="247" t="n">
        <v>0.23</v>
      </c>
      <c r="P408" s="235" t="n">
        <v>0</v>
      </c>
      <c r="Q408" s="247" t="n">
        <v>0</v>
      </c>
      <c r="R408" s="551" t="n">
        <v>0</v>
      </c>
      <c r="S408" s="247" t="n">
        <v>0</v>
      </c>
      <c r="T408" s="247" t="n">
        <v>0</v>
      </c>
      <c r="U408" s="235" t="n">
        <v>0</v>
      </c>
      <c r="V408" s="247" t="n">
        <v>0.03</v>
      </c>
      <c r="W408" s="284" t="n">
        <v>0</v>
      </c>
      <c r="X408" s="551" t="inlineStr">
        <is>
          <t>按实结算</t>
        </is>
      </c>
      <c r="Y408" s="235" t="inlineStr">
        <is>
          <t>餐具折旧费1000元/月，1、2、7、8月份按实际运营天数结算</t>
        </is>
      </c>
      <c r="Z408" s="235" t="inlineStr">
        <is>
          <t>/</t>
        </is>
      </c>
      <c r="AA408" s="235" t="inlineStr">
        <is>
          <t>按实结算</t>
        </is>
      </c>
      <c r="AB408" s="22" t="inlineStr">
        <is>
          <t>/</t>
        </is>
      </c>
      <c r="AC408" s="503" t="inlineStr">
        <is>
          <t>/</t>
        </is>
      </c>
      <c r="AD408" s="230" t="inlineStr">
        <is>
          <t xml:space="preserve">1、采购费：按采购额比例5%收取，分组作业应分摊未分摊，已补分摊，采购费比例应做相应调整；                             2、服务费，分组作业应分摊未分摊，已补分摊，服务费比例应做相应调整；            </t>
        </is>
      </c>
      <c r="AE408" s="232" t="inlineStr">
        <is>
          <t xml:space="preserve">
1、签订期间：2026.1.1-2026.7.31；
2、指标按照全年换算；</t>
        </is>
      </c>
    </row>
    <row r="409" ht="48" customFormat="1" customHeight="1" s="209">
      <c r="A409" s="219" t="n">
        <v>407</v>
      </c>
      <c r="B409" s="220" t="inlineStr">
        <is>
          <t>KQCY0407</t>
        </is>
      </c>
      <c r="C409" s="221" t="inlineStr">
        <is>
          <t>餐饮六分部</t>
        </is>
      </c>
      <c r="D409" s="221" t="inlineStr">
        <is>
          <t>CF275</t>
        </is>
      </c>
      <c r="E409" s="221" t="inlineStr">
        <is>
          <t>南大苏州校区西区二食堂</t>
        </is>
      </c>
      <c r="F409" s="219" t="inlineStr">
        <is>
          <t>分组作业</t>
        </is>
      </c>
      <c r="G409" s="222" t="inlineStr">
        <is>
          <t>位军浩</t>
        </is>
      </c>
      <c r="H409" s="222" t="inlineStr">
        <is>
          <t>第六班组</t>
        </is>
      </c>
      <c r="I409" s="237" t="inlineStr">
        <is>
          <t>麻辣烫</t>
        </is>
      </c>
      <c r="J409" s="222" t="inlineStr">
        <is>
          <t>余红莹</t>
        </is>
      </c>
      <c r="K409" s="222" t="n"/>
      <c r="L409" s="224" t="n"/>
      <c r="M409" s="224" t="inlineStr">
        <is>
          <t>/</t>
        </is>
      </c>
      <c r="N409" s="651" t="n">
        <v>320000</v>
      </c>
      <c r="O409" s="247" t="n">
        <v>0.23</v>
      </c>
      <c r="P409" s="235" t="n">
        <v>0</v>
      </c>
      <c r="Q409" s="247" t="n">
        <v>0</v>
      </c>
      <c r="R409" s="551" t="n">
        <v>0</v>
      </c>
      <c r="S409" s="247" t="n">
        <v>0</v>
      </c>
      <c r="T409" s="247" t="n">
        <v>0</v>
      </c>
      <c r="U409" s="235" t="n">
        <v>0</v>
      </c>
      <c r="V409" s="247" t="n">
        <v>0.03</v>
      </c>
      <c r="W409" s="284" t="n">
        <v>0</v>
      </c>
      <c r="X409" s="551" t="inlineStr">
        <is>
          <t>按实结算</t>
        </is>
      </c>
      <c r="Y409" s="235" t="inlineStr">
        <is>
          <t>餐具折旧费1000元/月，1、2、7、8月份按实际运营天数结算</t>
        </is>
      </c>
      <c r="Z409" s="235" t="inlineStr">
        <is>
          <t>/</t>
        </is>
      </c>
      <c r="AA409" s="235" t="inlineStr">
        <is>
          <t>按实结算</t>
        </is>
      </c>
      <c r="AB409" s="22" t="inlineStr">
        <is>
          <t>/</t>
        </is>
      </c>
      <c r="AC409" s="503" t="inlineStr">
        <is>
          <t>/</t>
        </is>
      </c>
      <c r="AD409" s="230" t="inlineStr">
        <is>
          <t xml:space="preserve">1、采购费：按采购额比例5%收取，分组作业应分摊未分摊，已补分摊，采购费比例应做相应调整；                             2、服务费，分组作业应分摊未分摊，已补分摊，服务费比例应做相应调整；            </t>
        </is>
      </c>
      <c r="AE409" s="232" t="inlineStr">
        <is>
          <t xml:space="preserve">
1、签订期间：2026.1.1-2026.7.31；
2、指标按照全年换算；</t>
        </is>
      </c>
    </row>
    <row r="410" ht="48" customFormat="1" customHeight="1" s="209">
      <c r="A410" s="219" t="n">
        <v>408</v>
      </c>
      <c r="B410" s="220" t="inlineStr">
        <is>
          <t>KQCY0408</t>
        </is>
      </c>
      <c r="C410" s="221" t="inlineStr">
        <is>
          <t>餐饮六分部</t>
        </is>
      </c>
      <c r="D410" s="221" t="inlineStr">
        <is>
          <t>CF275</t>
        </is>
      </c>
      <c r="E410" s="221" t="inlineStr">
        <is>
          <t>南大苏州校区西区二食堂</t>
        </is>
      </c>
      <c r="F410" s="219" t="inlineStr">
        <is>
          <t>分组作业</t>
        </is>
      </c>
      <c r="G410" s="222" t="inlineStr">
        <is>
          <t>位军浩</t>
        </is>
      </c>
      <c r="H410" s="222" t="inlineStr">
        <is>
          <t>第七班组</t>
        </is>
      </c>
      <c r="I410" s="237" t="inlineStr">
        <is>
          <t>面条</t>
        </is>
      </c>
      <c r="J410" s="222" t="inlineStr">
        <is>
          <t>许铭鼎</t>
        </is>
      </c>
      <c r="K410" s="222" t="n"/>
      <c r="L410" s="224" t="n"/>
      <c r="M410" s="224" t="inlineStr">
        <is>
          <t>/</t>
        </is>
      </c>
      <c r="N410" s="651" t="n">
        <v>240000</v>
      </c>
      <c r="O410" s="247" t="n">
        <v>0.23</v>
      </c>
      <c r="P410" s="235" t="n">
        <v>0</v>
      </c>
      <c r="Q410" s="247" t="n">
        <v>0</v>
      </c>
      <c r="R410" s="551" t="n">
        <v>0</v>
      </c>
      <c r="S410" s="247" t="n">
        <v>0</v>
      </c>
      <c r="T410" s="247" t="n">
        <v>0</v>
      </c>
      <c r="U410" s="235" t="n">
        <v>0</v>
      </c>
      <c r="V410" s="247" t="n">
        <v>0.03</v>
      </c>
      <c r="W410" s="284" t="n">
        <v>0</v>
      </c>
      <c r="X410" s="551" t="inlineStr">
        <is>
          <t>按实结算</t>
        </is>
      </c>
      <c r="Y410" s="235" t="inlineStr">
        <is>
          <t>餐具折旧费1000元/月，1、2、7、8月份按实际运营天数结算</t>
        </is>
      </c>
      <c r="Z410" s="235" t="inlineStr">
        <is>
          <t>/</t>
        </is>
      </c>
      <c r="AA410" s="235" t="inlineStr">
        <is>
          <t>按实结算</t>
        </is>
      </c>
      <c r="AB410" s="22" t="inlineStr">
        <is>
          <t>/</t>
        </is>
      </c>
      <c r="AC410" s="503" t="inlineStr">
        <is>
          <t>/</t>
        </is>
      </c>
      <c r="AD410" s="230" t="inlineStr">
        <is>
          <t>1、采购费：按采购额比例5%收取，分组作业应分摊未分摊，已补分摊，采购费比例应做相应调整；管理费：                     2、服务费，分组作业应分摊未分摊，已补分摊，服务费比例应做相应调整；</t>
        </is>
      </c>
      <c r="AE410" s="232" t="inlineStr">
        <is>
          <t xml:space="preserve">
1、签订期间：2026.1.1-2026.7.31；
2、指标按照全年换算；</t>
        </is>
      </c>
    </row>
    <row r="411" ht="48" customFormat="1" customHeight="1" s="209">
      <c r="A411" s="219" t="n">
        <v>409</v>
      </c>
      <c r="B411" s="220" t="inlineStr">
        <is>
          <t>KQCY0409</t>
        </is>
      </c>
      <c r="C411" s="221" t="inlineStr">
        <is>
          <t>餐饮六分部</t>
        </is>
      </c>
      <c r="D411" s="221" t="inlineStr">
        <is>
          <t>CF275</t>
        </is>
      </c>
      <c r="E411" s="221" t="inlineStr">
        <is>
          <t>南大苏州校区西区二食堂</t>
        </is>
      </c>
      <c r="F411" s="219" t="inlineStr">
        <is>
          <t>分组作业</t>
        </is>
      </c>
      <c r="G411" s="222" t="inlineStr">
        <is>
          <t>位军浩</t>
        </is>
      </c>
      <c r="H411" s="222" t="inlineStr">
        <is>
          <t>第八班组</t>
        </is>
      </c>
      <c r="I411" s="237" t="inlineStr">
        <is>
          <t>辣椒炒肉</t>
        </is>
      </c>
      <c r="J411" s="222" t="inlineStr">
        <is>
          <t>吴海龙</t>
        </is>
      </c>
      <c r="K411" s="222" t="n"/>
      <c r="L411" s="224" t="n"/>
      <c r="M411" s="224" t="inlineStr">
        <is>
          <t>/</t>
        </is>
      </c>
      <c r="N411" s="651" t="n">
        <v>320000</v>
      </c>
      <c r="O411" s="247" t="n">
        <v>0.23</v>
      </c>
      <c r="P411" s="235" t="n">
        <v>0</v>
      </c>
      <c r="Q411" s="247" t="n">
        <v>0</v>
      </c>
      <c r="R411" s="551" t="n">
        <v>0</v>
      </c>
      <c r="S411" s="247" t="n">
        <v>0</v>
      </c>
      <c r="T411" s="247" t="n">
        <v>0</v>
      </c>
      <c r="U411" s="235" t="n">
        <v>0</v>
      </c>
      <c r="V411" s="247" t="n">
        <v>0.03</v>
      </c>
      <c r="W411" s="284" t="n">
        <v>0</v>
      </c>
      <c r="X411" s="551" t="inlineStr">
        <is>
          <t>按实结算</t>
        </is>
      </c>
      <c r="Y411" s="235" t="inlineStr">
        <is>
          <t>餐具折旧费1000元/月，1、2、7、8月份按实际运营天数结算</t>
        </is>
      </c>
      <c r="Z411" s="235" t="inlineStr">
        <is>
          <t>/</t>
        </is>
      </c>
      <c r="AA411" s="235" t="inlineStr">
        <is>
          <t>按实结算</t>
        </is>
      </c>
      <c r="AB411" s="22" t="inlineStr">
        <is>
          <t>/</t>
        </is>
      </c>
      <c r="AC411" s="503" t="inlineStr">
        <is>
          <t>/</t>
        </is>
      </c>
      <c r="AD411" s="230" t="inlineStr">
        <is>
          <t xml:space="preserve">1、采购费：按采购额比例5%收取，分组作业应分摊未分摊，已补分摊，采购费比例应做相应调整；                             2、服务费，分组作业应分摊未分摊，已补分摊，服务费比例应做相应调整；            </t>
        </is>
      </c>
      <c r="AE411" s="232" t="inlineStr">
        <is>
          <t xml:space="preserve">
1、签订期间：2026.1.1-2026.7.31；
2、指标按照全年换算；</t>
        </is>
      </c>
    </row>
    <row r="412" ht="48" customFormat="1" customHeight="1" s="209">
      <c r="A412" s="219" t="n">
        <v>410</v>
      </c>
      <c r="B412" s="220" t="inlineStr">
        <is>
          <t>KQCY0410</t>
        </is>
      </c>
      <c r="C412" s="221" t="inlineStr">
        <is>
          <t>餐饮六分部</t>
        </is>
      </c>
      <c r="D412" s="221" t="inlineStr">
        <is>
          <t>CF275</t>
        </is>
      </c>
      <c r="E412" s="221" t="inlineStr">
        <is>
          <t>南大苏州校区西区二食堂</t>
        </is>
      </c>
      <c r="F412" s="219" t="inlineStr">
        <is>
          <t>分组作业</t>
        </is>
      </c>
      <c r="G412" s="222" t="inlineStr">
        <is>
          <t>位军浩</t>
        </is>
      </c>
      <c r="H412" s="222" t="inlineStr">
        <is>
          <t>第九班组</t>
        </is>
      </c>
      <c r="I412" s="237" t="inlineStr">
        <is>
          <t>瓦香鸡</t>
        </is>
      </c>
      <c r="J412" s="222" t="inlineStr">
        <is>
          <t>仲海洋</t>
        </is>
      </c>
      <c r="K412" s="222" t="n"/>
      <c r="L412" s="224" t="n"/>
      <c r="M412" s="224" t="inlineStr">
        <is>
          <t>/</t>
        </is>
      </c>
      <c r="N412" s="651" t="n">
        <v>240000</v>
      </c>
      <c r="O412" s="247" t="n">
        <v>0.23</v>
      </c>
      <c r="P412" s="235" t="n">
        <v>0</v>
      </c>
      <c r="Q412" s="247" t="n">
        <v>0</v>
      </c>
      <c r="R412" s="551" t="n">
        <v>0</v>
      </c>
      <c r="S412" s="247" t="n">
        <v>0</v>
      </c>
      <c r="T412" s="247" t="n">
        <v>0</v>
      </c>
      <c r="U412" s="235" t="n">
        <v>0</v>
      </c>
      <c r="V412" s="247" t="n">
        <v>0.03</v>
      </c>
      <c r="W412" s="284" t="n">
        <v>0</v>
      </c>
      <c r="X412" s="551" t="inlineStr">
        <is>
          <t>按实结算</t>
        </is>
      </c>
      <c r="Y412" s="235" t="inlineStr">
        <is>
          <t>餐具折旧费1000元/月，1、2、7、8月份按实际运营天水谷结算</t>
        </is>
      </c>
      <c r="Z412" s="235" t="inlineStr">
        <is>
          <t>/</t>
        </is>
      </c>
      <c r="AA412" s="235" t="inlineStr">
        <is>
          <t>按实结算</t>
        </is>
      </c>
      <c r="AB412" s="22" t="inlineStr">
        <is>
          <t>/</t>
        </is>
      </c>
      <c r="AC412" s="503" t="inlineStr">
        <is>
          <t>/</t>
        </is>
      </c>
      <c r="AD412" s="230" t="inlineStr">
        <is>
          <t xml:space="preserve">1采购费：按采购额比例5%收取，分组作业应分摊未分摊，已补分摊，采购费比例应做相应调整；                             2服务费，分组作业应分摊未分摊，已补分摊，服务费比例应做相应调整；            </t>
        </is>
      </c>
      <c r="AE412" s="232" t="inlineStr">
        <is>
          <t xml:space="preserve">
1、签订期间：2026.1.1-2026.7.31；
2、指标按照全年换算；</t>
        </is>
      </c>
    </row>
    <row r="413" ht="48" customFormat="1" customHeight="1" s="209">
      <c r="A413" s="219" t="n">
        <v>411</v>
      </c>
      <c r="B413" s="220" t="inlineStr">
        <is>
          <t>KQCY0411</t>
        </is>
      </c>
      <c r="C413" s="221" t="inlineStr">
        <is>
          <t>餐饮六分部</t>
        </is>
      </c>
      <c r="D413" s="221" t="inlineStr">
        <is>
          <t>CF275</t>
        </is>
      </c>
      <c r="E413" s="221" t="inlineStr">
        <is>
          <t>南大苏州校区西区二食堂</t>
        </is>
      </c>
      <c r="F413" s="219" t="inlineStr">
        <is>
          <t>分组作业</t>
        </is>
      </c>
      <c r="G413" s="222" t="inlineStr">
        <is>
          <t>位军浩</t>
        </is>
      </c>
      <c r="H413" s="222" t="inlineStr">
        <is>
          <t>第十班组</t>
        </is>
      </c>
      <c r="I413" s="237" t="inlineStr">
        <is>
          <t>炸鸡汉堡</t>
        </is>
      </c>
      <c r="J413" s="222" t="inlineStr">
        <is>
          <t>张栗铭</t>
        </is>
      </c>
      <c r="K413" s="222" t="n"/>
      <c r="L413" s="224" t="n"/>
      <c r="M413" s="224" t="inlineStr">
        <is>
          <t>/</t>
        </is>
      </c>
      <c r="N413" s="651" t="n">
        <v>400000</v>
      </c>
      <c r="O413" s="247" t="n">
        <v>0.23</v>
      </c>
      <c r="P413" s="235" t="n">
        <v>0</v>
      </c>
      <c r="Q413" s="247" t="n">
        <v>0</v>
      </c>
      <c r="R413" s="551" t="n">
        <v>0</v>
      </c>
      <c r="S413" s="247" t="n">
        <v>0</v>
      </c>
      <c r="T413" s="247" t="n">
        <v>0</v>
      </c>
      <c r="U413" s="235" t="n">
        <v>0</v>
      </c>
      <c r="V413" s="247" t="n">
        <v>0.03</v>
      </c>
      <c r="W413" s="284" t="n">
        <v>0</v>
      </c>
      <c r="X413" s="551" t="inlineStr">
        <is>
          <t>按实结算</t>
        </is>
      </c>
      <c r="Y413" s="235" t="inlineStr">
        <is>
          <t>餐具折旧费1000元/月，1、2、7、8月份按实际运营天数结算</t>
        </is>
      </c>
      <c r="Z413" s="235" t="inlineStr">
        <is>
          <t>/</t>
        </is>
      </c>
      <c r="AA413" s="235" t="inlineStr">
        <is>
          <t>按实结算</t>
        </is>
      </c>
      <c r="AB413" s="22" t="inlineStr">
        <is>
          <t>/</t>
        </is>
      </c>
      <c r="AC413" s="503" t="inlineStr">
        <is>
          <t>/</t>
        </is>
      </c>
      <c r="AD413" s="230" t="inlineStr">
        <is>
          <t xml:space="preserve">1、采购费：按采购额比例5%收取，分组作业应分摊未分摊，已补分摊，采购费比例应做相应调整；                             2、服务费，分组作业应分摊未分摊，已补分摊，服务费比例应做相应调整；            </t>
        </is>
      </c>
      <c r="AE413" s="232" t="inlineStr">
        <is>
          <t xml:space="preserve">
1、签订期间：2026.1.1-2026.7.31；
2、指标按照全年换算；</t>
        </is>
      </c>
    </row>
    <row r="414" ht="48" customFormat="1" customHeight="1" s="209">
      <c r="A414" s="219" t="n">
        <v>412</v>
      </c>
      <c r="B414" s="220" t="inlineStr">
        <is>
          <t>KQCY0412</t>
        </is>
      </c>
      <c r="C414" s="221" t="inlineStr">
        <is>
          <t>餐饮六分部</t>
        </is>
      </c>
      <c r="D414" s="221" t="inlineStr">
        <is>
          <t>CF275</t>
        </is>
      </c>
      <c r="E414" s="221" t="inlineStr">
        <is>
          <t>南大苏州校区西区二食堂</t>
        </is>
      </c>
      <c r="F414" s="219" t="inlineStr">
        <is>
          <t>分组作业</t>
        </is>
      </c>
      <c r="G414" s="222" t="inlineStr">
        <is>
          <t>位军浩</t>
        </is>
      </c>
      <c r="H414" s="222" t="inlineStr">
        <is>
          <t>第十一班组</t>
        </is>
      </c>
      <c r="I414" s="237" t="inlineStr">
        <is>
          <t>淮南牛肉汤</t>
        </is>
      </c>
      <c r="J414" s="222" t="inlineStr">
        <is>
          <t>钱年英</t>
        </is>
      </c>
      <c r="K414" s="222" t="n"/>
      <c r="L414" s="224" t="n"/>
      <c r="M414" s="224" t="inlineStr">
        <is>
          <t>/</t>
        </is>
      </c>
      <c r="N414" s="651" t="n">
        <v>240000</v>
      </c>
      <c r="O414" s="247" t="n">
        <v>0.23</v>
      </c>
      <c r="P414" s="235" t="n">
        <v>0</v>
      </c>
      <c r="Q414" s="247" t="n">
        <v>0</v>
      </c>
      <c r="R414" s="551" t="n">
        <v>0</v>
      </c>
      <c r="S414" s="247" t="n">
        <v>0</v>
      </c>
      <c r="T414" s="247" t="n">
        <v>0</v>
      </c>
      <c r="U414" s="235" t="n">
        <v>0</v>
      </c>
      <c r="V414" s="247" t="n">
        <v>0.03</v>
      </c>
      <c r="W414" s="284" t="n">
        <v>0</v>
      </c>
      <c r="X414" s="551" t="inlineStr">
        <is>
          <t>按实结算</t>
        </is>
      </c>
      <c r="Y414" s="235" t="inlineStr">
        <is>
          <t>餐具折旧费1000元/月，1、2、7、8月份按实际运营天数结算</t>
        </is>
      </c>
      <c r="Z414" s="235" t="inlineStr">
        <is>
          <t>/</t>
        </is>
      </c>
      <c r="AA414" s="235" t="inlineStr">
        <is>
          <t>按实结算</t>
        </is>
      </c>
      <c r="AB414" s="22" t="inlineStr">
        <is>
          <t>/</t>
        </is>
      </c>
      <c r="AC414" s="503" t="inlineStr">
        <is>
          <t>/</t>
        </is>
      </c>
      <c r="AD414" s="230" t="inlineStr">
        <is>
          <t xml:space="preserve">1、采购费：按采购额比例5%收取，分组作业应分摊未分摊，已补分摊，采购费比例应做相应调整；                             2、服务费，分组作业应分摊未分摊，已补分摊，服务费比例应做相应调整；            </t>
        </is>
      </c>
      <c r="AE414" s="232" t="inlineStr">
        <is>
          <t xml:space="preserve">
1、签订期间：2026.1.1-2026.7.31；
2、指标按照全年换算；</t>
        </is>
      </c>
    </row>
    <row r="415" ht="72" customFormat="1" customHeight="1" s="209">
      <c r="A415" s="219" t="n">
        <v>413</v>
      </c>
      <c r="B415" s="220" t="inlineStr">
        <is>
          <t>KQCY0413</t>
        </is>
      </c>
      <c r="C415" s="221" t="inlineStr">
        <is>
          <t>餐饮六分部</t>
        </is>
      </c>
      <c r="D415" s="221" t="inlineStr">
        <is>
          <t>CF275</t>
        </is>
      </c>
      <c r="E415" s="221" t="inlineStr">
        <is>
          <t>南大苏州校区西区二食堂</t>
        </is>
      </c>
      <c r="F415" s="219" t="inlineStr">
        <is>
          <t>分组作业</t>
        </is>
      </c>
      <c r="G415" s="222" t="inlineStr">
        <is>
          <t>位军浩</t>
        </is>
      </c>
      <c r="H415" s="222" t="inlineStr">
        <is>
          <t>第十二班组</t>
        </is>
      </c>
      <c r="I415" s="237" t="inlineStr">
        <is>
          <t>面点</t>
        </is>
      </c>
      <c r="J415" s="222" t="inlineStr">
        <is>
          <t>陈天燕</t>
        </is>
      </c>
      <c r="K415" s="222" t="n"/>
      <c r="L415" s="224" t="n"/>
      <c r="M415" s="224" t="inlineStr">
        <is>
          <t>/</t>
        </is>
      </c>
      <c r="N415" s="651" t="n">
        <v>80000</v>
      </c>
      <c r="O415" s="247" t="n">
        <v>0.07000000000000001</v>
      </c>
      <c r="P415" s="235" t="n">
        <v>0</v>
      </c>
      <c r="Q415" s="247" t="n">
        <v>0</v>
      </c>
      <c r="R415" s="235" t="n">
        <v>0</v>
      </c>
      <c r="S415" s="247" t="n">
        <v>0</v>
      </c>
      <c r="T415" s="247" t="n">
        <v>0</v>
      </c>
      <c r="U415" s="235" t="n">
        <v>0</v>
      </c>
      <c r="V415" s="247" t="n">
        <v>0.03</v>
      </c>
      <c r="W415" s="284" t="n">
        <v>0</v>
      </c>
      <c r="X415" s="551" t="inlineStr">
        <is>
          <t>按实结算</t>
        </is>
      </c>
      <c r="Y415" s="235" t="inlineStr">
        <is>
          <t>/</t>
        </is>
      </c>
      <c r="Z415" s="235" t="inlineStr">
        <is>
          <t>/</t>
        </is>
      </c>
      <c r="AA415" s="235" t="inlineStr">
        <is>
          <t>按实结算</t>
        </is>
      </c>
      <c r="AB415" s="22" t="inlineStr">
        <is>
          <t>/</t>
        </is>
      </c>
      <c r="AC415" s="503" t="inlineStr">
        <is>
          <t>/</t>
        </is>
      </c>
      <c r="AD415" s="230" t="inlineStr">
        <is>
          <t>1、采购费：按采购额比例5%收取，分组作业应分摊未分摊，已补分摊，采购费比例应做相应调整；                             2、服务费，分组作业应分摊未分摊，已补分摊，服务费比例应做相应调整；                            3、装修折旧：80000元/年，分组作业未分摊，服务费已包含；</t>
        </is>
      </c>
      <c r="AE415" s="232" t="inlineStr">
        <is>
          <t xml:space="preserve">
1、签订期间：2026.1.1-2026.7.31；
2、指标按照全年换算；</t>
        </is>
      </c>
    </row>
    <row r="416" ht="12" customFormat="1" customHeight="1" s="209">
      <c r="A416" s="219" t="n">
        <v>414</v>
      </c>
      <c r="B416" s="220" t="inlineStr">
        <is>
          <t>KQCY0414</t>
        </is>
      </c>
      <c r="C416" s="221" t="inlineStr">
        <is>
          <t>餐饮六分部</t>
        </is>
      </c>
      <c r="D416" s="173" t="inlineStr">
        <is>
          <t>CF212</t>
        </is>
      </c>
      <c r="E416" s="221" t="inlineStr">
        <is>
          <t>苏中附校苏州湾食堂</t>
        </is>
      </c>
      <c r="F416" s="219" t="inlineStr">
        <is>
          <t>自营</t>
        </is>
      </c>
      <c r="G416" s="222" t="inlineStr">
        <is>
          <t>位军浩</t>
        </is>
      </c>
      <c r="H416" s="222" t="inlineStr">
        <is>
          <t>/</t>
        </is>
      </c>
      <c r="I416" s="237" t="inlineStr">
        <is>
          <t>/</t>
        </is>
      </c>
      <c r="J416" s="222" t="inlineStr">
        <is>
          <t>/</t>
        </is>
      </c>
      <c r="K416" s="222" t="n"/>
      <c r="L416" s="224" t="n"/>
      <c r="M416" s="224" t="inlineStr">
        <is>
          <t>/</t>
        </is>
      </c>
      <c r="N416" s="651" t="n">
        <v>2125000</v>
      </c>
      <c r="O416" s="235" t="inlineStr">
        <is>
          <t>/</t>
        </is>
      </c>
      <c r="P416" s="235" t="inlineStr">
        <is>
          <t>/</t>
        </is>
      </c>
      <c r="Q416" s="235" t="inlineStr">
        <is>
          <t>/</t>
        </is>
      </c>
      <c r="R416" s="235" t="inlineStr">
        <is>
          <t>/</t>
        </is>
      </c>
      <c r="S416" s="235" t="inlineStr">
        <is>
          <t>/</t>
        </is>
      </c>
      <c r="T416" s="235" t="inlineStr">
        <is>
          <t>/</t>
        </is>
      </c>
      <c r="U416" s="235" t="inlineStr">
        <is>
          <t>/</t>
        </is>
      </c>
      <c r="V416" s="235" t="inlineStr">
        <is>
          <t>/</t>
        </is>
      </c>
      <c r="W416" s="235" t="inlineStr">
        <is>
          <t>/</t>
        </is>
      </c>
      <c r="X416" s="235" t="inlineStr">
        <is>
          <t>/</t>
        </is>
      </c>
      <c r="Y416" s="461" t="n"/>
      <c r="Z416" s="461" t="n"/>
      <c r="AA416" s="461" t="inlineStr">
        <is>
          <t>/</t>
        </is>
      </c>
      <c r="AB416" s="666" t="n">
        <v>100000</v>
      </c>
      <c r="AC416" s="46" t="inlineStr">
        <is>
          <t>/</t>
        </is>
      </c>
      <c r="AD416" s="232" t="inlineStr">
        <is>
          <t>1、分部管理费：10万元</t>
        </is>
      </c>
      <c r="AE416" s="232" t="n"/>
    </row>
    <row r="417" ht="12" customFormat="1" customHeight="1" s="209">
      <c r="A417" s="219" t="n">
        <v>415</v>
      </c>
      <c r="B417" s="220" t="inlineStr">
        <is>
          <t>KQCY0415</t>
        </is>
      </c>
      <c r="C417" s="221" t="inlineStr">
        <is>
          <t>餐饮六分部</t>
        </is>
      </c>
      <c r="D417" s="221" t="inlineStr">
        <is>
          <t>CF273</t>
        </is>
      </c>
      <c r="E417" s="221" t="inlineStr">
        <is>
          <t>南大苏州校区科创大厦食堂</t>
        </is>
      </c>
      <c r="F417" s="219" t="inlineStr">
        <is>
          <t>自营</t>
        </is>
      </c>
      <c r="G417" s="222" t="inlineStr">
        <is>
          <t>位军浩</t>
        </is>
      </c>
      <c r="H417" s="222" t="inlineStr">
        <is>
          <t>/</t>
        </is>
      </c>
      <c r="I417" s="237" t="inlineStr">
        <is>
          <t>/</t>
        </is>
      </c>
      <c r="J417" s="222" t="inlineStr">
        <is>
          <t>/</t>
        </is>
      </c>
      <c r="K417" s="222" t="n"/>
      <c r="L417" s="224" t="n"/>
      <c r="M417" s="224" t="inlineStr">
        <is>
          <t>/</t>
        </is>
      </c>
      <c r="N417" s="651" t="n">
        <v>2992000</v>
      </c>
      <c r="O417" s="235" t="inlineStr">
        <is>
          <t>/</t>
        </is>
      </c>
      <c r="P417" s="235" t="inlineStr">
        <is>
          <t>/</t>
        </is>
      </c>
      <c r="Q417" s="235" t="n">
        <v>0.02</v>
      </c>
      <c r="R417" s="235" t="inlineStr">
        <is>
          <t>/</t>
        </is>
      </c>
      <c r="S417" s="235" t="inlineStr">
        <is>
          <t>/</t>
        </is>
      </c>
      <c r="T417" s="235" t="inlineStr">
        <is>
          <t>/</t>
        </is>
      </c>
      <c r="U417" s="235" t="inlineStr">
        <is>
          <t>/</t>
        </is>
      </c>
      <c r="V417" s="235" t="inlineStr">
        <is>
          <t>/</t>
        </is>
      </c>
      <c r="W417" s="235" t="inlineStr">
        <is>
          <t>/</t>
        </is>
      </c>
      <c r="X417" s="235" t="inlineStr">
        <is>
          <t>/</t>
        </is>
      </c>
      <c r="Y417" s="235" t="n"/>
      <c r="Z417" s="235" t="n"/>
      <c r="AA417" s="235" t="n"/>
      <c r="AB417" s="46" t="n">
        <v>0.035</v>
      </c>
      <c r="AC417" s="46" t="inlineStr">
        <is>
          <t>/</t>
        </is>
      </c>
      <c r="AD417" s="232" t="n"/>
      <c r="AE417" s="232" t="n"/>
    </row>
    <row r="418" hidden="1" ht="12" customFormat="1" customHeight="1" s="209">
      <c r="A418" s="219" t="n">
        <v>416</v>
      </c>
      <c r="B418" s="220" t="inlineStr">
        <is>
          <t>KQCY0416</t>
        </is>
      </c>
      <c r="C418" s="221" t="inlineStr">
        <is>
          <t>餐饮六分部</t>
        </is>
      </c>
      <c r="D418" s="221" t="inlineStr">
        <is>
          <t>CF191</t>
        </is>
      </c>
      <c r="E418" s="221" t="inlineStr">
        <is>
          <t>苏州旭辉彩园餐厅</t>
        </is>
      </c>
      <c r="F418" s="219" t="inlineStr">
        <is>
          <t>人员服务外包</t>
        </is>
      </c>
      <c r="G418" s="222" t="inlineStr">
        <is>
          <t>张镁镁</t>
        </is>
      </c>
      <c r="H418" s="222" t="inlineStr">
        <is>
          <t>/</t>
        </is>
      </c>
      <c r="I418" s="237" t="inlineStr">
        <is>
          <t>/</t>
        </is>
      </c>
      <c r="J418" s="222" t="inlineStr">
        <is>
          <t>/</t>
        </is>
      </c>
      <c r="K418" s="222" t="n"/>
      <c r="L418" s="224" t="n"/>
      <c r="M418" s="224" t="inlineStr">
        <is>
          <t>/</t>
        </is>
      </c>
      <c r="N418" s="667" t="n">
        <v>2084000</v>
      </c>
      <c r="O418" s="284" t="inlineStr">
        <is>
          <t>/</t>
        </is>
      </c>
      <c r="P418" s="227" t="inlineStr">
        <is>
          <t>/</t>
        </is>
      </c>
      <c r="Q418" s="227" t="inlineStr">
        <is>
          <t>/</t>
        </is>
      </c>
      <c r="R418" s="227" t="inlineStr">
        <is>
          <t>/</t>
        </is>
      </c>
      <c r="S418" s="227" t="inlineStr">
        <is>
          <t>/</t>
        </is>
      </c>
      <c r="T418" s="227" t="inlineStr">
        <is>
          <t>/</t>
        </is>
      </c>
      <c r="U418" s="227" t="inlineStr">
        <is>
          <t>/</t>
        </is>
      </c>
      <c r="V418" s="247" t="inlineStr">
        <is>
          <t>/</t>
        </is>
      </c>
      <c r="W418" s="284" t="inlineStr">
        <is>
          <t>/</t>
        </is>
      </c>
      <c r="X418" s="227" t="inlineStr">
        <is>
          <t>/</t>
        </is>
      </c>
      <c r="Y418" s="461" t="n"/>
      <c r="Z418" s="461" t="n"/>
      <c r="AA418" s="461" t="inlineStr">
        <is>
          <t>/</t>
        </is>
      </c>
      <c r="AB418" s="51" t="n">
        <v>0.08</v>
      </c>
      <c r="AC418" s="46" t="inlineStr">
        <is>
          <t>/</t>
        </is>
      </c>
      <c r="AD418" s="232" t="n"/>
      <c r="AE418" s="232" t="n"/>
    </row>
    <row r="419" hidden="1" ht="12" customFormat="1" customHeight="1" s="209">
      <c r="A419" s="219" t="n">
        <v>417</v>
      </c>
      <c r="B419" s="220" t="inlineStr">
        <is>
          <t>KQCY0417</t>
        </is>
      </c>
      <c r="C419" s="221" t="inlineStr">
        <is>
          <t>餐饮六分部</t>
        </is>
      </c>
      <c r="D419" s="221" t="inlineStr">
        <is>
          <t>CF479</t>
        </is>
      </c>
      <c r="E419" s="221" t="inlineStr">
        <is>
          <t>江苏省交通技师学院第一食堂</t>
        </is>
      </c>
      <c r="F419" s="219" t="inlineStr">
        <is>
          <t>自营</t>
        </is>
      </c>
      <c r="G419" s="222" t="inlineStr">
        <is>
          <t>卫屹</t>
        </is>
      </c>
      <c r="H419" s="222" t="inlineStr">
        <is>
          <t>/</t>
        </is>
      </c>
      <c r="I419" s="237" t="inlineStr">
        <is>
          <t>/</t>
        </is>
      </c>
      <c r="J419" s="222" t="inlineStr">
        <is>
          <t>/</t>
        </is>
      </c>
      <c r="K419" s="222" t="n"/>
      <c r="L419" s="224" t="n"/>
      <c r="M419" s="224" t="inlineStr">
        <is>
          <t>/</t>
        </is>
      </c>
      <c r="N419" s="651" t="inlineStr">
        <is>
          <t>/</t>
        </is>
      </c>
      <c r="O419" s="235" t="inlineStr">
        <is>
          <t>/</t>
        </is>
      </c>
      <c r="P419" s="235" t="inlineStr">
        <is>
          <t>/</t>
        </is>
      </c>
      <c r="Q419" s="235" t="inlineStr">
        <is>
          <t>/</t>
        </is>
      </c>
      <c r="R419" s="235" t="inlineStr">
        <is>
          <t>/</t>
        </is>
      </c>
      <c r="S419" s="235" t="inlineStr">
        <is>
          <t>/</t>
        </is>
      </c>
      <c r="T419" s="235" t="inlineStr">
        <is>
          <t>/</t>
        </is>
      </c>
      <c r="U419" s="235" t="inlineStr">
        <is>
          <t>/</t>
        </is>
      </c>
      <c r="V419" s="235" t="inlineStr">
        <is>
          <t>/</t>
        </is>
      </c>
      <c r="W419" s="235" t="inlineStr">
        <is>
          <t>/</t>
        </is>
      </c>
      <c r="X419" s="235" t="inlineStr">
        <is>
          <t>/</t>
        </is>
      </c>
      <c r="Y419" s="461" t="n"/>
      <c r="Z419" s="461" t="n"/>
      <c r="AA419" s="461" t="n"/>
      <c r="AB419" s="46" t="n">
        <v>0.045</v>
      </c>
      <c r="AC419" s="46" t="n">
        <v>0.005</v>
      </c>
      <c r="AD419" s="230" t="inlineStr">
        <is>
          <t>1、自营未实际经营</t>
        </is>
      </c>
      <c r="AE419" s="232" t="n"/>
    </row>
    <row r="420" hidden="1" ht="60" customFormat="1" customHeight="1" s="209">
      <c r="A420" s="219" t="n">
        <v>418</v>
      </c>
      <c r="B420" s="220" t="inlineStr">
        <is>
          <t>KQCY0418</t>
        </is>
      </c>
      <c r="C420" s="221" t="inlineStr">
        <is>
          <t>餐饮六分部</t>
        </is>
      </c>
      <c r="D420" s="221" t="inlineStr">
        <is>
          <t>CF479</t>
        </is>
      </c>
      <c r="E420" s="221" t="inlineStr">
        <is>
          <t>江苏省交通技师学院第一食堂</t>
        </is>
      </c>
      <c r="F420" s="219" t="inlineStr">
        <is>
          <t>分组作业</t>
        </is>
      </c>
      <c r="G420" s="222" t="inlineStr">
        <is>
          <t>卫屹</t>
        </is>
      </c>
      <c r="H420" s="222" t="inlineStr">
        <is>
          <t>第一班组</t>
        </is>
      </c>
      <c r="I420" s="237" t="inlineStr">
        <is>
          <t>八大碗</t>
        </is>
      </c>
      <c r="J420" s="222" t="inlineStr">
        <is>
          <t>丁秀梅</t>
        </is>
      </c>
      <c r="K420" s="222" t="n"/>
      <c r="L420" s="224" t="n"/>
      <c r="M420" s="224" t="inlineStr">
        <is>
          <t>/</t>
        </is>
      </c>
      <c r="N420" s="651" t="n">
        <v>340000</v>
      </c>
      <c r="O420" s="235" t="n">
        <v>0.27</v>
      </c>
      <c r="P420" s="235" t="inlineStr">
        <is>
          <t>/</t>
        </is>
      </c>
      <c r="Q420" s="235" t="inlineStr">
        <is>
          <t>/</t>
        </is>
      </c>
      <c r="R420" s="235" t="inlineStr">
        <is>
          <t>/</t>
        </is>
      </c>
      <c r="S420" s="235" t="inlineStr">
        <is>
          <t>/</t>
        </is>
      </c>
      <c r="T420" s="235" t="inlineStr">
        <is>
          <t>/</t>
        </is>
      </c>
      <c r="U420" s="235" t="inlineStr">
        <is>
          <t>/</t>
        </is>
      </c>
      <c r="V420" s="235" t="inlineStr">
        <is>
          <t>/</t>
        </is>
      </c>
      <c r="W420" s="235" t="inlineStr">
        <is>
          <t>/</t>
        </is>
      </c>
      <c r="X420" s="235" t="inlineStr">
        <is>
          <t>按实</t>
        </is>
      </c>
      <c r="Y420" s="235" t="inlineStr">
        <is>
          <t>/</t>
        </is>
      </c>
      <c r="Z420" s="235" t="inlineStr">
        <is>
          <t>/</t>
        </is>
      </c>
      <c r="AA420" s="235" t="inlineStr">
        <is>
          <t>按实</t>
        </is>
      </c>
      <c r="AB420" s="652" t="inlineStr">
        <is>
          <t>/</t>
        </is>
      </c>
      <c r="AC420" s="652" t="inlineStr">
        <is>
          <t>/</t>
        </is>
      </c>
      <c r="AD420" s="230" t="inlineStr">
        <is>
          <t>1、共建活动费：校园美食节费用，未分摊共建活动费，服务费包含未拆分
2、装修折旧费：服务费包含未拆分
3、卫生费：服务费包含未拆分
4、能源费：服务费包含未拆分</t>
        </is>
      </c>
      <c r="AE420" s="232" t="inlineStr">
        <is>
          <t>1、签订期间：2026.3.6-2026.7.30；
2、指标按照全年换算；</t>
        </is>
      </c>
    </row>
    <row r="421" hidden="1" ht="60" customFormat="1" customHeight="1" s="209">
      <c r="A421" s="219" t="n">
        <v>419</v>
      </c>
      <c r="B421" s="220" t="inlineStr">
        <is>
          <t>KQCY0419</t>
        </is>
      </c>
      <c r="C421" s="221" t="inlineStr">
        <is>
          <t>餐饮六分部</t>
        </is>
      </c>
      <c r="D421" s="221" t="inlineStr">
        <is>
          <t>CF479</t>
        </is>
      </c>
      <c r="E421" s="221" t="inlineStr">
        <is>
          <t>江苏省交通技师学院第一食堂</t>
        </is>
      </c>
      <c r="F421" s="219" t="inlineStr">
        <is>
          <t>分组作业</t>
        </is>
      </c>
      <c r="G421" s="222" t="inlineStr">
        <is>
          <t>卫屹</t>
        </is>
      </c>
      <c r="H421" s="222" t="inlineStr">
        <is>
          <t>第二班组</t>
        </is>
      </c>
      <c r="I421" s="237" t="inlineStr">
        <is>
          <t>牛肉汤</t>
        </is>
      </c>
      <c r="J421" s="222" t="inlineStr">
        <is>
          <t>范义龙</t>
        </is>
      </c>
      <c r="K421" s="222" t="n"/>
      <c r="L421" s="224" t="n"/>
      <c r="M421" s="224" t="inlineStr">
        <is>
          <t>/</t>
        </is>
      </c>
      <c r="N421" s="651" t="n">
        <v>296000</v>
      </c>
      <c r="O421" s="235" t="n">
        <v>0.19</v>
      </c>
      <c r="P421" s="235" t="inlineStr">
        <is>
          <t>/</t>
        </is>
      </c>
      <c r="Q421" s="235" t="inlineStr">
        <is>
          <t>/</t>
        </is>
      </c>
      <c r="R421" s="235" t="inlineStr">
        <is>
          <t>/</t>
        </is>
      </c>
      <c r="S421" s="235" t="inlineStr">
        <is>
          <t>/</t>
        </is>
      </c>
      <c r="T421" s="235" t="inlineStr">
        <is>
          <t>/</t>
        </is>
      </c>
      <c r="U421" s="235" t="inlineStr">
        <is>
          <t>/</t>
        </is>
      </c>
      <c r="V421" s="247" t="n">
        <v>0.035</v>
      </c>
      <c r="W421" s="235" t="inlineStr">
        <is>
          <t>按实</t>
        </is>
      </c>
      <c r="X421" s="235" t="inlineStr">
        <is>
          <t>按实</t>
        </is>
      </c>
      <c r="Y421" s="235" t="inlineStr">
        <is>
          <t>/</t>
        </is>
      </c>
      <c r="Z421" s="235" t="inlineStr">
        <is>
          <t>/</t>
        </is>
      </c>
      <c r="AA421" s="235" t="inlineStr">
        <is>
          <t>按实</t>
        </is>
      </c>
      <c r="AB421" s="652" t="inlineStr">
        <is>
          <t>/</t>
        </is>
      </c>
      <c r="AC421" s="652" t="inlineStr">
        <is>
          <t>/</t>
        </is>
      </c>
      <c r="AD421" s="230" t="inlineStr">
        <is>
          <t>1、共建活动费：校园美食节费用，未分摊共建活动费，服务费包含未拆分
2、装修折旧费：服务费包含未拆分
3、卫生费：服务费包含未拆分
4、能源费：服务费包含未拆分</t>
        </is>
      </c>
      <c r="AE421" s="232" t="inlineStr">
        <is>
          <t>1、签订期间：2026.3.6-2026.7.30；
2、指标按照全年换算；</t>
        </is>
      </c>
    </row>
    <row r="422" hidden="1" ht="96" customFormat="1" customHeight="1" s="209">
      <c r="A422" s="219" t="n">
        <v>420</v>
      </c>
      <c r="B422" s="220" t="inlineStr">
        <is>
          <t>KQCY0420</t>
        </is>
      </c>
      <c r="C422" s="221" t="inlineStr">
        <is>
          <t>餐饮六分部</t>
        </is>
      </c>
      <c r="D422" s="221" t="inlineStr">
        <is>
          <t>CF479</t>
        </is>
      </c>
      <c r="E422" s="221" t="inlineStr">
        <is>
          <t>江苏省交通技师学院第一食堂</t>
        </is>
      </c>
      <c r="F422" s="219" t="inlineStr">
        <is>
          <t>分组作业</t>
        </is>
      </c>
      <c r="G422" s="222" t="inlineStr">
        <is>
          <t>卫屹</t>
        </is>
      </c>
      <c r="H422" s="222" t="inlineStr">
        <is>
          <t>第三班组</t>
        </is>
      </c>
      <c r="I422" s="237" t="inlineStr">
        <is>
          <t>基本大伙</t>
        </is>
      </c>
      <c r="J422" s="222" t="inlineStr">
        <is>
          <t>查启清</t>
        </is>
      </c>
      <c r="K422" s="222" t="n"/>
      <c r="L422" s="224" t="n"/>
      <c r="M422" s="224" t="inlineStr">
        <is>
          <t>/</t>
        </is>
      </c>
      <c r="N422" s="651" t="n">
        <v>1440000</v>
      </c>
      <c r="O422" s="247" t="inlineStr">
        <is>
          <t>22-23.5%
（18万元 23.5%
20万元 23%
22万元 22.5%
24万元及以上22%）</t>
        </is>
      </c>
      <c r="P422" s="235" t="inlineStr">
        <is>
          <t>/</t>
        </is>
      </c>
      <c r="Q422" s="235" t="inlineStr">
        <is>
          <t>/</t>
        </is>
      </c>
      <c r="R422" s="235" t="inlineStr">
        <is>
          <t>/</t>
        </is>
      </c>
      <c r="S422" s="235" t="inlineStr">
        <is>
          <t>/</t>
        </is>
      </c>
      <c r="T422" s="235" t="inlineStr">
        <is>
          <t>/</t>
        </is>
      </c>
      <c r="U422" s="235" t="inlineStr">
        <is>
          <t>/</t>
        </is>
      </c>
      <c r="V422" s="235" t="inlineStr">
        <is>
          <t>/</t>
        </is>
      </c>
      <c r="W422" s="235" t="inlineStr">
        <is>
          <t>/</t>
        </is>
      </c>
      <c r="X422" s="235" t="inlineStr">
        <is>
          <t>按实</t>
        </is>
      </c>
      <c r="Y422" s="235" t="inlineStr">
        <is>
          <t>/</t>
        </is>
      </c>
      <c r="Z422" s="235" t="inlineStr">
        <is>
          <t>/</t>
        </is>
      </c>
      <c r="AA422" s="235" t="inlineStr">
        <is>
          <t>按实</t>
        </is>
      </c>
      <c r="AB422" s="652" t="inlineStr">
        <is>
          <t>/</t>
        </is>
      </c>
      <c r="AC422" s="652" t="inlineStr">
        <is>
          <t>/</t>
        </is>
      </c>
      <c r="AD422" s="230" t="inlineStr">
        <is>
          <t>1、共建活动费：校园美食节费用，未分摊共建活动费，服务费包含未拆分
2、装修折旧费：服务费包含未拆分
3、卫生费：服务费包含未拆分
4、能源费：服务费包含未拆分</t>
        </is>
      </c>
      <c r="AE422" s="232" t="inlineStr">
        <is>
          <t>1、签订期间：2026.3.6-2026.7.30；
2、指标按照全年换算；</t>
        </is>
      </c>
    </row>
    <row r="423" hidden="1" ht="60" customFormat="1" customHeight="1" s="209">
      <c r="A423" s="219" t="n">
        <v>421</v>
      </c>
      <c r="B423" s="220" t="inlineStr">
        <is>
          <t>KQCY0421</t>
        </is>
      </c>
      <c r="C423" s="221" t="inlineStr">
        <is>
          <t>餐饮六分部</t>
        </is>
      </c>
      <c r="D423" s="221" t="inlineStr">
        <is>
          <t>CF479</t>
        </is>
      </c>
      <c r="E423" s="221" t="inlineStr">
        <is>
          <t>江苏省交通技师学院第一食堂</t>
        </is>
      </c>
      <c r="F423" s="219" t="inlineStr">
        <is>
          <t>分组作业</t>
        </is>
      </c>
      <c r="G423" s="222" t="inlineStr">
        <is>
          <t>卫屹</t>
        </is>
      </c>
      <c r="H423" s="222" t="inlineStr">
        <is>
          <t>第四班组</t>
        </is>
      </c>
      <c r="I423" s="237" t="inlineStr">
        <is>
          <t>早餐</t>
        </is>
      </c>
      <c r="J423" s="222" t="inlineStr">
        <is>
          <t>苏广前</t>
        </is>
      </c>
      <c r="K423" s="222" t="n"/>
      <c r="L423" s="224" t="n"/>
      <c r="M423" s="224" t="inlineStr">
        <is>
          <t>/</t>
        </is>
      </c>
      <c r="N423" s="651" t="n">
        <v>800000</v>
      </c>
      <c r="O423" s="235" t="n">
        <v>0.19</v>
      </c>
      <c r="P423" s="235" t="inlineStr">
        <is>
          <t>/</t>
        </is>
      </c>
      <c r="Q423" s="235" t="inlineStr">
        <is>
          <t>/</t>
        </is>
      </c>
      <c r="R423" s="235" t="inlineStr">
        <is>
          <t>/</t>
        </is>
      </c>
      <c r="S423" s="235" t="inlineStr">
        <is>
          <t>/</t>
        </is>
      </c>
      <c r="T423" s="235" t="inlineStr">
        <is>
          <t>/</t>
        </is>
      </c>
      <c r="U423" s="235" t="inlineStr">
        <is>
          <t>/</t>
        </is>
      </c>
      <c r="V423" s="247" t="n">
        <v>0.035</v>
      </c>
      <c r="W423" s="235" t="inlineStr">
        <is>
          <t>按实</t>
        </is>
      </c>
      <c r="X423" s="235" t="inlineStr">
        <is>
          <t>按实</t>
        </is>
      </c>
      <c r="Y423" s="235" t="inlineStr">
        <is>
          <t>/</t>
        </is>
      </c>
      <c r="Z423" s="235" t="inlineStr">
        <is>
          <t>/</t>
        </is>
      </c>
      <c r="AA423" s="235" t="inlineStr">
        <is>
          <t>按实</t>
        </is>
      </c>
      <c r="AB423" s="652" t="inlineStr">
        <is>
          <t>/</t>
        </is>
      </c>
      <c r="AC423" s="652" t="inlineStr">
        <is>
          <t>/</t>
        </is>
      </c>
      <c r="AD423" s="230" t="inlineStr">
        <is>
          <t>1、共建活动费：校园美食节费用，未分摊共建活动费，服务费包含未拆分
2、装修折旧费：服务费包含未拆分
3、卫生费：服务费包含未拆分
4、能源费：服务费包含未拆分</t>
        </is>
      </c>
      <c r="AE423" s="232" t="inlineStr">
        <is>
          <t>1、签订期间：2026.3.6-2026.7.30；
2、指标按照全年换算；</t>
        </is>
      </c>
    </row>
    <row r="424" hidden="1" ht="60" customFormat="1" customHeight="1" s="209">
      <c r="A424" s="219" t="n">
        <v>422</v>
      </c>
      <c r="B424" s="220" t="inlineStr">
        <is>
          <t>KQCY0422</t>
        </is>
      </c>
      <c r="C424" s="221" t="inlineStr">
        <is>
          <t>餐饮六分部</t>
        </is>
      </c>
      <c r="D424" s="221" t="inlineStr">
        <is>
          <t>CF479</t>
        </is>
      </c>
      <c r="E424" s="221" t="inlineStr">
        <is>
          <t>江苏省交通技师学院第一食堂</t>
        </is>
      </c>
      <c r="F424" s="219" t="inlineStr">
        <is>
          <t>分组作业</t>
        </is>
      </c>
      <c r="G424" s="222" t="inlineStr">
        <is>
          <t>卫屹</t>
        </is>
      </c>
      <c r="H424" s="222" t="inlineStr">
        <is>
          <t>第五班组</t>
        </is>
      </c>
      <c r="I424" s="237" t="inlineStr">
        <is>
          <t>面条</t>
        </is>
      </c>
      <c r="J424" s="222" t="inlineStr">
        <is>
          <t>李炳志</t>
        </is>
      </c>
      <c r="K424" s="222" t="n"/>
      <c r="L424" s="224" t="n"/>
      <c r="M424" s="224" t="inlineStr">
        <is>
          <t>/</t>
        </is>
      </c>
      <c r="N424" s="651" t="n">
        <v>290000</v>
      </c>
      <c r="O424" s="235" t="n">
        <v>0.19</v>
      </c>
      <c r="P424" s="235" t="inlineStr">
        <is>
          <t>/</t>
        </is>
      </c>
      <c r="Q424" s="235" t="inlineStr">
        <is>
          <t>/</t>
        </is>
      </c>
      <c r="R424" s="235" t="inlineStr">
        <is>
          <t>/</t>
        </is>
      </c>
      <c r="S424" s="235" t="inlineStr">
        <is>
          <t>/</t>
        </is>
      </c>
      <c r="T424" s="235" t="inlineStr">
        <is>
          <t>/</t>
        </is>
      </c>
      <c r="U424" s="235" t="inlineStr">
        <is>
          <t>/</t>
        </is>
      </c>
      <c r="V424" s="247" t="n">
        <v>0.035</v>
      </c>
      <c r="W424" s="235" t="inlineStr">
        <is>
          <t>按实</t>
        </is>
      </c>
      <c r="X424" s="235" t="inlineStr">
        <is>
          <t>按实</t>
        </is>
      </c>
      <c r="Y424" s="235" t="inlineStr">
        <is>
          <t>/</t>
        </is>
      </c>
      <c r="Z424" s="235" t="inlineStr">
        <is>
          <t>/</t>
        </is>
      </c>
      <c r="AA424" s="235" t="inlineStr">
        <is>
          <t>按实</t>
        </is>
      </c>
      <c r="AB424" s="652" t="inlineStr">
        <is>
          <t>/</t>
        </is>
      </c>
      <c r="AC424" s="652" t="inlineStr">
        <is>
          <t>/</t>
        </is>
      </c>
      <c r="AD424" s="230" t="inlineStr">
        <is>
          <t>1、共建活动费：校园美食节费用，未分摊共建活动费，服务费包含未拆分
2、装修折旧费：服务费包含未拆分
3、卫生费：服务费包含未拆分
4、能源费：服务费包含未拆分</t>
        </is>
      </c>
      <c r="AE424" s="232" t="inlineStr">
        <is>
          <t>1、签订期间：2026.3.6-2026.7.30；
2、指标按照全年换算；</t>
        </is>
      </c>
    </row>
    <row r="425" hidden="1" ht="60" customFormat="1" customHeight="1" s="209">
      <c r="A425" s="219" t="n">
        <v>423</v>
      </c>
      <c r="B425" s="220" t="inlineStr">
        <is>
          <t>KQCY0423</t>
        </is>
      </c>
      <c r="C425" s="221" t="inlineStr">
        <is>
          <t>餐饮六分部</t>
        </is>
      </c>
      <c r="D425" s="221" t="inlineStr">
        <is>
          <t>CF479</t>
        </is>
      </c>
      <c r="E425" s="221" t="inlineStr">
        <is>
          <t>江苏省交通技师学院第一食堂</t>
        </is>
      </c>
      <c r="F425" s="219" t="inlineStr">
        <is>
          <t>分组作业</t>
        </is>
      </c>
      <c r="G425" s="222" t="inlineStr">
        <is>
          <t>卫屹</t>
        </is>
      </c>
      <c r="H425" s="222" t="inlineStr">
        <is>
          <t>第六班组</t>
        </is>
      </c>
      <c r="I425" s="237" t="inlineStr">
        <is>
          <t>水饺</t>
        </is>
      </c>
      <c r="J425" s="222" t="inlineStr">
        <is>
          <t>王金华</t>
        </is>
      </c>
      <c r="K425" s="222" t="n"/>
      <c r="L425" s="224" t="n"/>
      <c r="M425" s="224" t="inlineStr">
        <is>
          <t>/</t>
        </is>
      </c>
      <c r="N425" s="651" t="n">
        <v>210000</v>
      </c>
      <c r="O425" s="235" t="n">
        <v>0.19</v>
      </c>
      <c r="P425" s="235" t="inlineStr">
        <is>
          <t>/</t>
        </is>
      </c>
      <c r="Q425" s="235" t="inlineStr">
        <is>
          <t>/</t>
        </is>
      </c>
      <c r="R425" s="235" t="inlineStr">
        <is>
          <t>/</t>
        </is>
      </c>
      <c r="S425" s="235" t="inlineStr">
        <is>
          <t>/</t>
        </is>
      </c>
      <c r="T425" s="235" t="inlineStr">
        <is>
          <t>/</t>
        </is>
      </c>
      <c r="U425" s="235" t="inlineStr">
        <is>
          <t>/</t>
        </is>
      </c>
      <c r="V425" s="247" t="n">
        <v>0.035</v>
      </c>
      <c r="W425" s="235" t="inlineStr">
        <is>
          <t>按实</t>
        </is>
      </c>
      <c r="X425" s="235" t="inlineStr">
        <is>
          <t>按实</t>
        </is>
      </c>
      <c r="Y425" s="235" t="inlineStr">
        <is>
          <t>/</t>
        </is>
      </c>
      <c r="Z425" s="235" t="inlineStr">
        <is>
          <t>/</t>
        </is>
      </c>
      <c r="AA425" s="235" t="inlineStr">
        <is>
          <t>按实</t>
        </is>
      </c>
      <c r="AB425" s="652" t="inlineStr">
        <is>
          <t>/</t>
        </is>
      </c>
      <c r="AC425" s="652" t="inlineStr">
        <is>
          <t>/</t>
        </is>
      </c>
      <c r="AD425" s="230" t="inlineStr">
        <is>
          <t>1、共建活动费：校园美食节费用，未分摊共建活动费，服务费包含未拆分
2、装修折旧费：服务费包含未拆分
3、卫生费：服务费包含未拆分
4、能源费：服务费包含未拆分</t>
        </is>
      </c>
      <c r="AE425" s="232" t="inlineStr">
        <is>
          <t>1、签订期间：2026.3.6-2026.7.30；
2、指标按照全年换算；</t>
        </is>
      </c>
    </row>
    <row r="426" hidden="1" ht="60" customFormat="1" customHeight="1" s="209">
      <c r="A426" s="219" t="n">
        <v>424</v>
      </c>
      <c r="B426" s="220" t="inlineStr">
        <is>
          <t>KQCY0424</t>
        </is>
      </c>
      <c r="C426" s="221" t="inlineStr">
        <is>
          <t>餐饮六分部</t>
        </is>
      </c>
      <c r="D426" s="221" t="inlineStr">
        <is>
          <t>CF479</t>
        </is>
      </c>
      <c r="E426" s="221" t="inlineStr">
        <is>
          <t>江苏省交通技师学院第一食堂</t>
        </is>
      </c>
      <c r="F426" s="219" t="inlineStr">
        <is>
          <t>分组作业</t>
        </is>
      </c>
      <c r="G426" s="222" t="inlineStr">
        <is>
          <t>卫屹</t>
        </is>
      </c>
      <c r="H426" s="222" t="inlineStr">
        <is>
          <t>第七班组</t>
        </is>
      </c>
      <c r="I426" s="237" t="inlineStr">
        <is>
          <t>油泼鸡</t>
        </is>
      </c>
      <c r="J426" s="222" t="inlineStr">
        <is>
          <t>陈永龙</t>
        </is>
      </c>
      <c r="K426" s="222" t="n"/>
      <c r="L426" s="224" t="n"/>
      <c r="M426" s="224" t="inlineStr">
        <is>
          <t>/</t>
        </is>
      </c>
      <c r="N426" s="651" t="n">
        <v>280000</v>
      </c>
      <c r="O426" s="235" t="n">
        <v>0.19</v>
      </c>
      <c r="P426" s="235" t="inlineStr">
        <is>
          <t>/</t>
        </is>
      </c>
      <c r="Q426" s="235" t="inlineStr">
        <is>
          <t>/</t>
        </is>
      </c>
      <c r="R426" s="235" t="inlineStr">
        <is>
          <t>/</t>
        </is>
      </c>
      <c r="S426" s="235" t="inlineStr">
        <is>
          <t>/</t>
        </is>
      </c>
      <c r="T426" s="235" t="inlineStr">
        <is>
          <t>/</t>
        </is>
      </c>
      <c r="U426" s="235" t="inlineStr">
        <is>
          <t>/</t>
        </is>
      </c>
      <c r="V426" s="247" t="n">
        <v>0.035</v>
      </c>
      <c r="W426" s="235" t="inlineStr">
        <is>
          <t>按实</t>
        </is>
      </c>
      <c r="X426" s="235" t="inlineStr">
        <is>
          <t>按实</t>
        </is>
      </c>
      <c r="Y426" s="235" t="inlineStr">
        <is>
          <t>/</t>
        </is>
      </c>
      <c r="Z426" s="235" t="inlineStr">
        <is>
          <t>/</t>
        </is>
      </c>
      <c r="AA426" s="235" t="inlineStr">
        <is>
          <t>按实</t>
        </is>
      </c>
      <c r="AB426" s="652" t="inlineStr">
        <is>
          <t>/</t>
        </is>
      </c>
      <c r="AC426" s="652" t="inlineStr">
        <is>
          <t>/</t>
        </is>
      </c>
      <c r="AD426" s="230" t="inlineStr">
        <is>
          <t>1、共建活动费：校园美食节费用，未分摊共建活动费，服务费包含未拆分
2、装修折旧费：服务费包含未拆分
3、卫生费：服务费包含未拆分
4、能源费：服务费包含未拆分</t>
        </is>
      </c>
      <c r="AE426" s="232" t="inlineStr">
        <is>
          <t>1、签订期间：2026.3.6-2026.7.30；
2、指标按照全年换算；</t>
        </is>
      </c>
    </row>
    <row r="427" hidden="1" ht="60" customFormat="1" customHeight="1" s="209">
      <c r="A427" s="219" t="n">
        <v>425</v>
      </c>
      <c r="B427" s="220" t="inlineStr">
        <is>
          <t>KQCY0425</t>
        </is>
      </c>
      <c r="C427" s="221" t="inlineStr">
        <is>
          <t>餐饮六分部</t>
        </is>
      </c>
      <c r="D427" s="221" t="inlineStr">
        <is>
          <t>CF479</t>
        </is>
      </c>
      <c r="E427" s="221" t="inlineStr">
        <is>
          <t>江苏省交通技师学院第一食堂</t>
        </is>
      </c>
      <c r="F427" s="219" t="inlineStr">
        <is>
          <t>分组作业</t>
        </is>
      </c>
      <c r="G427" s="222" t="inlineStr">
        <is>
          <t>卫屹</t>
        </is>
      </c>
      <c r="H427" s="222" t="inlineStr">
        <is>
          <t>第八班组</t>
        </is>
      </c>
      <c r="I427" s="237" t="inlineStr">
        <is>
          <t>麦多馅饼</t>
        </is>
      </c>
      <c r="J427" s="222" t="inlineStr">
        <is>
          <t>董超</t>
        </is>
      </c>
      <c r="K427" s="222" t="n"/>
      <c r="L427" s="224" t="n"/>
      <c r="M427" s="224" t="inlineStr">
        <is>
          <t>/</t>
        </is>
      </c>
      <c r="N427" s="651" t="n">
        <v>260000</v>
      </c>
      <c r="O427" s="235" t="n">
        <v>0.19</v>
      </c>
      <c r="P427" s="235" t="inlineStr">
        <is>
          <t>/</t>
        </is>
      </c>
      <c r="Q427" s="235" t="inlineStr">
        <is>
          <t>/</t>
        </is>
      </c>
      <c r="R427" s="235" t="inlineStr">
        <is>
          <t>/</t>
        </is>
      </c>
      <c r="S427" s="235" t="inlineStr">
        <is>
          <t>/</t>
        </is>
      </c>
      <c r="T427" s="235" t="inlineStr">
        <is>
          <t>/</t>
        </is>
      </c>
      <c r="U427" s="235" t="inlineStr">
        <is>
          <t>/</t>
        </is>
      </c>
      <c r="V427" s="551" t="inlineStr">
        <is>
          <t>1500元/月，7月按实际营业天数结算</t>
        </is>
      </c>
      <c r="W427" s="235" t="inlineStr">
        <is>
          <t>按实</t>
        </is>
      </c>
      <c r="X427" s="235" t="inlineStr">
        <is>
          <t>按实</t>
        </is>
      </c>
      <c r="Y427" s="235" t="inlineStr">
        <is>
          <t>/</t>
        </is>
      </c>
      <c r="Z427" s="235" t="inlineStr">
        <is>
          <t>/</t>
        </is>
      </c>
      <c r="AA427" s="235" t="inlineStr">
        <is>
          <t>按实</t>
        </is>
      </c>
      <c r="AB427" s="652" t="inlineStr">
        <is>
          <t>/</t>
        </is>
      </c>
      <c r="AC427" s="652" t="inlineStr">
        <is>
          <t>/</t>
        </is>
      </c>
      <c r="AD427" s="230" t="inlineStr">
        <is>
          <t>1、共建活动费：校园美食节费用，未分摊共建活动费，服务费包含未拆分
2、装修折旧费：服务费包含未拆分
3、卫生费：服务费包含未拆分
4、能源费：服务费包含未拆分</t>
        </is>
      </c>
      <c r="AE427" s="232" t="inlineStr">
        <is>
          <t>1、签订期间：2026.3.6-2026.7.30；
2、指标按照全年换算；</t>
        </is>
      </c>
    </row>
    <row r="428" hidden="1" ht="60" customFormat="1" customHeight="1" s="209">
      <c r="A428" s="219" t="n">
        <v>426</v>
      </c>
      <c r="B428" s="220" t="inlineStr">
        <is>
          <t>KQCY0426</t>
        </is>
      </c>
      <c r="C428" s="221" t="inlineStr">
        <is>
          <t>餐饮六分部</t>
        </is>
      </c>
      <c r="D428" s="221" t="inlineStr">
        <is>
          <t>CF479</t>
        </is>
      </c>
      <c r="E428" s="221" t="inlineStr">
        <is>
          <t>江苏省交通技师学院第一食堂</t>
        </is>
      </c>
      <c r="F428" s="219" t="inlineStr">
        <is>
          <t>分组作业</t>
        </is>
      </c>
      <c r="G428" s="222" t="inlineStr">
        <is>
          <t>卫屹</t>
        </is>
      </c>
      <c r="H428" s="222" t="inlineStr">
        <is>
          <t>第九班组</t>
        </is>
      </c>
      <c r="I428" s="237" t="inlineStr">
        <is>
          <t>炒饭炒面</t>
        </is>
      </c>
      <c r="J428" s="222" t="inlineStr">
        <is>
          <t>于继文</t>
        </is>
      </c>
      <c r="K428" s="222" t="n"/>
      <c r="L428" s="224" t="n"/>
      <c r="M428" s="224" t="inlineStr">
        <is>
          <t>/</t>
        </is>
      </c>
      <c r="N428" s="651" t="n">
        <v>320000</v>
      </c>
      <c r="O428" s="235" t="n">
        <v>0.18</v>
      </c>
      <c r="P428" s="235" t="inlineStr">
        <is>
          <t>/</t>
        </is>
      </c>
      <c r="Q428" s="235" t="inlineStr">
        <is>
          <t>/</t>
        </is>
      </c>
      <c r="R428" s="235" t="inlineStr">
        <is>
          <t>/</t>
        </is>
      </c>
      <c r="S428" s="235" t="inlineStr">
        <is>
          <t>/</t>
        </is>
      </c>
      <c r="T428" s="235" t="inlineStr">
        <is>
          <t>/</t>
        </is>
      </c>
      <c r="U428" s="235" t="inlineStr">
        <is>
          <t>/</t>
        </is>
      </c>
      <c r="V428" s="247" t="n">
        <v>0.03</v>
      </c>
      <c r="W428" s="235" t="inlineStr">
        <is>
          <t>按实</t>
        </is>
      </c>
      <c r="X428" s="235" t="inlineStr">
        <is>
          <t>按实</t>
        </is>
      </c>
      <c r="Y428" s="235" t="inlineStr">
        <is>
          <t>/</t>
        </is>
      </c>
      <c r="Z428" s="235" t="inlineStr">
        <is>
          <t>/</t>
        </is>
      </c>
      <c r="AA428" s="235" t="inlineStr">
        <is>
          <t>按实</t>
        </is>
      </c>
      <c r="AB428" s="652" t="inlineStr">
        <is>
          <t>/</t>
        </is>
      </c>
      <c r="AC428" s="652" t="inlineStr">
        <is>
          <t>/</t>
        </is>
      </c>
      <c r="AD428" s="230" t="inlineStr">
        <is>
          <t>1、共建活动费：校园美食节费用，未分摊共建活动费，服务费包含未拆分
2、装修折旧费：服务费包含未拆分
3、卫生费：服务费包含未拆分
4、能源费：服务费包含未拆分</t>
        </is>
      </c>
      <c r="AE428" s="232" t="inlineStr">
        <is>
          <t>1、签订期间：2026.3.6-2026.7.30；
2、指标按照全年换算；</t>
        </is>
      </c>
    </row>
    <row r="429" hidden="1" ht="60" customFormat="1" customHeight="1" s="209">
      <c r="A429" s="219" t="n">
        <v>427</v>
      </c>
      <c r="B429" s="220" t="inlineStr">
        <is>
          <t>KQCY0427</t>
        </is>
      </c>
      <c r="C429" s="221" t="inlineStr">
        <is>
          <t>餐饮六分部</t>
        </is>
      </c>
      <c r="D429" s="221" t="inlineStr">
        <is>
          <t>CF479</t>
        </is>
      </c>
      <c r="E429" s="221" t="inlineStr">
        <is>
          <t>江苏省交通技师学院第一食堂</t>
        </is>
      </c>
      <c r="F429" s="219" t="inlineStr">
        <is>
          <t>分组作业</t>
        </is>
      </c>
      <c r="G429" s="222" t="inlineStr">
        <is>
          <t>卫屹</t>
        </is>
      </c>
      <c r="H429" s="222" t="inlineStr">
        <is>
          <t>第十班组</t>
        </is>
      </c>
      <c r="I429" s="237" t="inlineStr">
        <is>
          <t>麻辣烫</t>
        </is>
      </c>
      <c r="J429" s="222" t="inlineStr">
        <is>
          <t xml:space="preserve">于立鑫 </t>
        </is>
      </c>
      <c r="K429" s="222" t="n"/>
      <c r="L429" s="224" t="n"/>
      <c r="M429" s="224" t="inlineStr">
        <is>
          <t>/</t>
        </is>
      </c>
      <c r="N429" s="651" t="n">
        <v>330000</v>
      </c>
      <c r="O429" s="235" t="n">
        <v>0.28</v>
      </c>
      <c r="P429" s="235" t="inlineStr">
        <is>
          <t>/</t>
        </is>
      </c>
      <c r="Q429" s="235" t="inlineStr">
        <is>
          <t>/</t>
        </is>
      </c>
      <c r="R429" s="235" t="inlineStr">
        <is>
          <t>/</t>
        </is>
      </c>
      <c r="S429" s="235" t="inlineStr">
        <is>
          <t>/</t>
        </is>
      </c>
      <c r="T429" s="235" t="inlineStr">
        <is>
          <t>/</t>
        </is>
      </c>
      <c r="U429" s="235" t="inlineStr">
        <is>
          <t>/</t>
        </is>
      </c>
      <c r="V429" s="235" t="inlineStr">
        <is>
          <t>/</t>
        </is>
      </c>
      <c r="W429" s="235" t="inlineStr">
        <is>
          <t>/</t>
        </is>
      </c>
      <c r="X429" s="235" t="inlineStr">
        <is>
          <t>按实</t>
        </is>
      </c>
      <c r="Y429" s="235" t="inlineStr">
        <is>
          <t>/</t>
        </is>
      </c>
      <c r="Z429" s="235" t="inlineStr">
        <is>
          <t>/</t>
        </is>
      </c>
      <c r="AA429" s="235" t="inlineStr">
        <is>
          <t>按实</t>
        </is>
      </c>
      <c r="AB429" s="652" t="inlineStr">
        <is>
          <t>/</t>
        </is>
      </c>
      <c r="AC429" s="652" t="inlineStr">
        <is>
          <t>/</t>
        </is>
      </c>
      <c r="AD429" s="230" t="inlineStr">
        <is>
          <t>1、共建活动费：校园美食节费用，未分摊共建活动费，服务费包含未拆分
2、装修折旧费：服务费包含未拆分
3、卫生费：服务费包含未拆分
4、能源费：服务费包含未拆分</t>
        </is>
      </c>
      <c r="AE429" s="232" t="inlineStr">
        <is>
          <t>1、签订期间：2026.3.6-2026.7.30；
2、指标按照全年换算；
3、已撤场（2026年3月）；</t>
        </is>
      </c>
    </row>
    <row r="430" hidden="1" ht="60" customFormat="1" customHeight="1" s="209">
      <c r="A430" s="219" t="n">
        <v>428</v>
      </c>
      <c r="B430" s="220" t="inlineStr">
        <is>
          <t>KQCY0428</t>
        </is>
      </c>
      <c r="C430" s="221" t="inlineStr">
        <is>
          <t>餐饮六分部</t>
        </is>
      </c>
      <c r="D430" s="221" t="inlineStr">
        <is>
          <t>CF479</t>
        </is>
      </c>
      <c r="E430" s="221" t="inlineStr">
        <is>
          <t>江苏省交通技师学院第一食堂</t>
        </is>
      </c>
      <c r="F430" s="219" t="inlineStr">
        <is>
          <t>分组作业</t>
        </is>
      </c>
      <c r="G430" s="222" t="inlineStr">
        <is>
          <t>卫屹</t>
        </is>
      </c>
      <c r="H430" s="222" t="inlineStr">
        <is>
          <t>第十一班组</t>
        </is>
      </c>
      <c r="I430" s="237" t="inlineStr">
        <is>
          <t>炸鸡汉堡</t>
        </is>
      </c>
      <c r="J430" s="222" t="inlineStr">
        <is>
          <t>刘立志</t>
        </is>
      </c>
      <c r="K430" s="222" t="n"/>
      <c r="L430" s="224" t="n"/>
      <c r="M430" s="224" t="inlineStr">
        <is>
          <t>/</t>
        </is>
      </c>
      <c r="N430" s="651" t="n">
        <v>280000</v>
      </c>
      <c r="O430" s="235" t="n">
        <v>0.19</v>
      </c>
      <c r="P430" s="235" t="inlineStr">
        <is>
          <t>/</t>
        </is>
      </c>
      <c r="Q430" s="235" t="inlineStr">
        <is>
          <t>/</t>
        </is>
      </c>
      <c r="R430" s="235" t="inlineStr">
        <is>
          <t>/</t>
        </is>
      </c>
      <c r="S430" s="235" t="inlineStr">
        <is>
          <t>/</t>
        </is>
      </c>
      <c r="T430" s="235" t="inlineStr">
        <is>
          <t>/</t>
        </is>
      </c>
      <c r="U430" s="235" t="inlineStr">
        <is>
          <t>/</t>
        </is>
      </c>
      <c r="V430" s="551" t="inlineStr">
        <is>
          <t>1200元/月，7月按实际营业天数结算</t>
        </is>
      </c>
      <c r="W430" s="235" t="inlineStr">
        <is>
          <t>按实</t>
        </is>
      </c>
      <c r="X430" s="235" t="inlineStr">
        <is>
          <t>按实</t>
        </is>
      </c>
      <c r="Y430" s="235" t="inlineStr">
        <is>
          <t>/</t>
        </is>
      </c>
      <c r="Z430" s="235" t="inlineStr">
        <is>
          <t>/</t>
        </is>
      </c>
      <c r="AA430" s="235" t="inlineStr">
        <is>
          <t>按实</t>
        </is>
      </c>
      <c r="AB430" s="652" t="inlineStr">
        <is>
          <t>/</t>
        </is>
      </c>
      <c r="AC430" s="652" t="inlineStr">
        <is>
          <t>/</t>
        </is>
      </c>
      <c r="AD430" s="230" t="inlineStr">
        <is>
          <t>1、共建活动费：校园美食节费用，未分摊共建活动费，服务费包含未拆分
2、装修折旧费：服务费包含未拆分
3、卫生费：服务费包含未拆分
4、能源费：服务费包含未拆分</t>
        </is>
      </c>
      <c r="AE430" s="232" t="inlineStr">
        <is>
          <t>1、签订期间：2026.3.6-2026.7.30；
2、指标按照全年换算；</t>
        </is>
      </c>
    </row>
    <row r="431" hidden="1" ht="60" customFormat="1" customHeight="1" s="209">
      <c r="A431" s="219" t="n">
        <v>429</v>
      </c>
      <c r="B431" s="220" t="inlineStr">
        <is>
          <t>KQCY0429</t>
        </is>
      </c>
      <c r="C431" s="221" t="inlineStr">
        <is>
          <t>餐饮六分部</t>
        </is>
      </c>
      <c r="D431" s="221" t="inlineStr">
        <is>
          <t>CF479</t>
        </is>
      </c>
      <c r="E431" s="221" t="inlineStr">
        <is>
          <t>江苏省交通技师学院第一食堂</t>
        </is>
      </c>
      <c r="F431" s="219" t="inlineStr">
        <is>
          <t>分组作业</t>
        </is>
      </c>
      <c r="G431" s="222" t="inlineStr">
        <is>
          <t>卫屹</t>
        </is>
      </c>
      <c r="H431" s="222" t="inlineStr">
        <is>
          <t>第十二班组</t>
        </is>
      </c>
      <c r="I431" s="237" t="inlineStr">
        <is>
          <t>掉渣饼</t>
        </is>
      </c>
      <c r="J431" s="222" t="inlineStr">
        <is>
          <t>武情</t>
        </is>
      </c>
      <c r="K431" s="222" t="n"/>
      <c r="L431" s="224" t="n"/>
      <c r="M431" s="224" t="inlineStr">
        <is>
          <t>/</t>
        </is>
      </c>
      <c r="N431" s="651" t="n">
        <v>330000</v>
      </c>
      <c r="O431" s="247" t="n">
        <v>0.275</v>
      </c>
      <c r="P431" s="235" t="inlineStr">
        <is>
          <t>/</t>
        </is>
      </c>
      <c r="Q431" s="235" t="inlineStr">
        <is>
          <t>/</t>
        </is>
      </c>
      <c r="R431" s="235" t="inlineStr">
        <is>
          <t>/</t>
        </is>
      </c>
      <c r="S431" s="235" t="inlineStr">
        <is>
          <t>/</t>
        </is>
      </c>
      <c r="T431" s="235" t="inlineStr">
        <is>
          <t>/</t>
        </is>
      </c>
      <c r="U431" s="235" t="inlineStr">
        <is>
          <t>/</t>
        </is>
      </c>
      <c r="V431" s="235" t="inlineStr">
        <is>
          <t>/</t>
        </is>
      </c>
      <c r="W431" s="235" t="inlineStr">
        <is>
          <t>/</t>
        </is>
      </c>
      <c r="X431" s="235" t="inlineStr">
        <is>
          <t>按实</t>
        </is>
      </c>
      <c r="Y431" s="235" t="inlineStr">
        <is>
          <t>/</t>
        </is>
      </c>
      <c r="Z431" s="235" t="inlineStr">
        <is>
          <t>/</t>
        </is>
      </c>
      <c r="AA431" s="235" t="inlineStr">
        <is>
          <t>按实</t>
        </is>
      </c>
      <c r="AB431" s="652" t="inlineStr">
        <is>
          <t>/</t>
        </is>
      </c>
      <c r="AC431" s="652" t="inlineStr">
        <is>
          <t>/</t>
        </is>
      </c>
      <c r="AD431" s="230" t="inlineStr">
        <is>
          <t>1、共建活动费：校园美食节费用，未分摊共建活动费，服务费包含未拆分
2、装修折旧费：服务费包含未拆分
3、卫生费：服务费包含未拆分
4、能源费：服务费包含未拆分</t>
        </is>
      </c>
      <c r="AE431" s="232" t="inlineStr">
        <is>
          <t>1、签订期间：2026.3.6-2026.7.30；
2、指标按照全年换算；
3、已撤场（2026年3月）；</t>
        </is>
      </c>
    </row>
    <row r="432" hidden="1" ht="60" customFormat="1" customHeight="1" s="209">
      <c r="A432" s="219" t="n">
        <v>430</v>
      </c>
      <c r="B432" s="220" t="inlineStr">
        <is>
          <t>KQCY0430</t>
        </is>
      </c>
      <c r="C432" s="221" t="inlineStr">
        <is>
          <t>餐饮六分部</t>
        </is>
      </c>
      <c r="D432" s="221" t="inlineStr">
        <is>
          <t>CF479</t>
        </is>
      </c>
      <c r="E432" s="221" t="inlineStr">
        <is>
          <t>江苏省交通技师学院第一食堂</t>
        </is>
      </c>
      <c r="F432" s="219" t="inlineStr">
        <is>
          <t>分组作业</t>
        </is>
      </c>
      <c r="G432" s="222" t="inlineStr">
        <is>
          <t>卫屹</t>
        </is>
      </c>
      <c r="H432" s="222" t="inlineStr">
        <is>
          <t>第十三班组</t>
        </is>
      </c>
      <c r="I432" s="237" t="inlineStr">
        <is>
          <t>鸭血粉丝</t>
        </is>
      </c>
      <c r="J432" s="222" t="inlineStr">
        <is>
          <t>巫杨银</t>
        </is>
      </c>
      <c r="K432" s="222" t="n"/>
      <c r="L432" s="224" t="n"/>
      <c r="M432" s="224" t="inlineStr">
        <is>
          <t>/</t>
        </is>
      </c>
      <c r="N432" s="651" t="n">
        <v>330000</v>
      </c>
      <c r="O432" s="235" t="n">
        <v>0.19</v>
      </c>
      <c r="P432" s="235" t="inlineStr">
        <is>
          <t>/</t>
        </is>
      </c>
      <c r="Q432" s="235" t="inlineStr">
        <is>
          <t>/</t>
        </is>
      </c>
      <c r="R432" s="235" t="inlineStr">
        <is>
          <t>/</t>
        </is>
      </c>
      <c r="S432" s="235" t="inlineStr">
        <is>
          <t>/</t>
        </is>
      </c>
      <c r="T432" s="235" t="inlineStr">
        <is>
          <t>/</t>
        </is>
      </c>
      <c r="U432" s="235" t="inlineStr">
        <is>
          <t>/</t>
        </is>
      </c>
      <c r="V432" s="247" t="n">
        <v>0.035</v>
      </c>
      <c r="W432" s="235" t="inlineStr">
        <is>
          <t>按实</t>
        </is>
      </c>
      <c r="X432" s="235" t="inlineStr">
        <is>
          <t>按实</t>
        </is>
      </c>
      <c r="Y432" s="235" t="inlineStr">
        <is>
          <t>/</t>
        </is>
      </c>
      <c r="Z432" s="235" t="inlineStr">
        <is>
          <t>/</t>
        </is>
      </c>
      <c r="AA432" s="235" t="inlineStr">
        <is>
          <t>按实</t>
        </is>
      </c>
      <c r="AB432" s="652" t="inlineStr">
        <is>
          <t>/</t>
        </is>
      </c>
      <c r="AC432" s="652" t="inlineStr">
        <is>
          <t>/</t>
        </is>
      </c>
      <c r="AD432" s="230" t="inlineStr">
        <is>
          <t>1、共建活动费：校园美食节费用，未分摊共建活动费，服务费包含未拆分
2、装修折旧费：服务费包含未拆分
3、卫生费：服务费包含未拆分
4、能源费：服务费包含未拆分</t>
        </is>
      </c>
      <c r="AE432" s="232" t="inlineStr">
        <is>
          <t>1、签订期间：2026.3.6-2026.7.30；
2、指标按照全年换算；</t>
        </is>
      </c>
    </row>
    <row r="433" hidden="1" ht="12" customFormat="1" customHeight="1" s="209">
      <c r="A433" s="219" t="n">
        <v>431</v>
      </c>
      <c r="B433" s="220" t="inlineStr">
        <is>
          <t>KQCY0431</t>
        </is>
      </c>
      <c r="C433" s="221" t="inlineStr">
        <is>
          <t>餐饮六分部</t>
        </is>
      </c>
      <c r="D433" s="221" t="inlineStr">
        <is>
          <t>CF475</t>
        </is>
      </c>
      <c r="E433" s="221" t="inlineStr">
        <is>
          <t>国科大南京学院食堂</t>
        </is>
      </c>
      <c r="F433" s="219" t="inlineStr">
        <is>
          <t>自营</t>
        </is>
      </c>
      <c r="G433" s="222" t="inlineStr">
        <is>
          <t>卫屹</t>
        </is>
      </c>
      <c r="H433" s="222" t="inlineStr">
        <is>
          <t>/</t>
        </is>
      </c>
      <c r="I433" s="237" t="inlineStr">
        <is>
          <t>/</t>
        </is>
      </c>
      <c r="J433" s="222" t="inlineStr">
        <is>
          <t>/</t>
        </is>
      </c>
      <c r="K433" s="222" t="n"/>
      <c r="L433" s="224" t="n"/>
      <c r="M433" s="224" t="inlineStr">
        <is>
          <t>/</t>
        </is>
      </c>
      <c r="N433" s="651" t="inlineStr">
        <is>
          <t>/</t>
        </is>
      </c>
      <c r="O433" s="235" t="inlineStr">
        <is>
          <t>/</t>
        </is>
      </c>
      <c r="P433" s="235" t="inlineStr">
        <is>
          <t>/</t>
        </is>
      </c>
      <c r="Q433" s="235" t="inlineStr">
        <is>
          <t>/</t>
        </is>
      </c>
      <c r="R433" s="235" t="inlineStr">
        <is>
          <t>/</t>
        </is>
      </c>
      <c r="S433" s="235" t="inlineStr">
        <is>
          <t>/</t>
        </is>
      </c>
      <c r="T433" s="235" t="inlineStr">
        <is>
          <t>/</t>
        </is>
      </c>
      <c r="U433" s="235" t="inlineStr">
        <is>
          <t>/</t>
        </is>
      </c>
      <c r="V433" s="235" t="inlineStr">
        <is>
          <t>/</t>
        </is>
      </c>
      <c r="W433" s="235" t="inlineStr">
        <is>
          <t>/</t>
        </is>
      </c>
      <c r="X433" s="235" t="inlineStr">
        <is>
          <t>/</t>
        </is>
      </c>
      <c r="Y433" s="461" t="n"/>
      <c r="Z433" s="461" t="n"/>
      <c r="AA433" s="461" t="n"/>
      <c r="AB433" s="46" t="n">
        <v>0.05</v>
      </c>
      <c r="AC433" s="652" t="inlineStr">
        <is>
          <t>/</t>
        </is>
      </c>
      <c r="AD433" s="232" t="n"/>
      <c r="AE433" s="232" t="n"/>
    </row>
    <row r="434" hidden="1" ht="48" customFormat="1" customHeight="1" s="209">
      <c r="A434" s="219" t="n">
        <v>432</v>
      </c>
      <c r="B434" s="220" t="inlineStr">
        <is>
          <t>KQCY0432</t>
        </is>
      </c>
      <c r="C434" s="221" t="inlineStr">
        <is>
          <t>餐饮六分部</t>
        </is>
      </c>
      <c r="D434" s="221" t="inlineStr">
        <is>
          <t>CF475</t>
        </is>
      </c>
      <c r="E434" s="221" t="inlineStr">
        <is>
          <t>国科大南京学院食堂</t>
        </is>
      </c>
      <c r="F434" s="219" t="inlineStr">
        <is>
          <t>分组作业</t>
        </is>
      </c>
      <c r="G434" s="222" t="inlineStr">
        <is>
          <t>卫屹</t>
        </is>
      </c>
      <c r="H434" s="503" t="inlineStr">
        <is>
          <t>第一班组</t>
        </is>
      </c>
      <c r="I434" s="237" t="inlineStr">
        <is>
          <t>茶香鸡、麻辣烫、水吧</t>
        </is>
      </c>
      <c r="J434" s="503" t="inlineStr">
        <is>
          <t>浦卫东</t>
        </is>
      </c>
      <c r="K434" s="503" t="n"/>
      <c r="L434" s="224" t="n"/>
      <c r="M434" s="224" t="inlineStr">
        <is>
          <t>/</t>
        </is>
      </c>
      <c r="N434" s="651" t="inlineStr">
        <is>
          <t>/</t>
        </is>
      </c>
      <c r="O434" s="235" t="n">
        <v>0.06</v>
      </c>
      <c r="P434" s="235" t="inlineStr">
        <is>
          <t>/</t>
        </is>
      </c>
      <c r="Q434" s="235" t="inlineStr">
        <is>
          <t>按实</t>
        </is>
      </c>
      <c r="R434" s="235" t="inlineStr">
        <is>
          <t>/</t>
        </is>
      </c>
      <c r="S434" s="235" t="inlineStr">
        <is>
          <t>/</t>
        </is>
      </c>
      <c r="T434" s="235" t="inlineStr">
        <is>
          <t>/</t>
        </is>
      </c>
      <c r="U434" s="235" t="inlineStr">
        <is>
          <t>按实</t>
        </is>
      </c>
      <c r="V434" s="235" t="inlineStr">
        <is>
          <t>按实</t>
        </is>
      </c>
      <c r="W434" s="235" t="inlineStr">
        <is>
          <t>年能源费超30万元后，超出部分按班组营业额比例分摊</t>
        </is>
      </c>
      <c r="X434" s="551" t="inlineStr">
        <is>
          <t>按实</t>
        </is>
      </c>
      <c r="Y434" s="461" t="inlineStr">
        <is>
          <t>/</t>
        </is>
      </c>
      <c r="Z434" s="461" t="inlineStr">
        <is>
          <t>/</t>
        </is>
      </c>
      <c r="AA434" s="461" t="inlineStr">
        <is>
          <t>按实</t>
        </is>
      </c>
      <c r="AB434" s="652" t="inlineStr">
        <is>
          <t>/</t>
        </is>
      </c>
      <c r="AC434" s="652" t="inlineStr">
        <is>
          <t>/</t>
        </is>
      </c>
      <c r="AD434" s="230" t="inlineStr">
        <is>
          <t>1、能源费：能源费补贴30万，超补贴后按比例付
2、卫生费：按营业额公摊</t>
        </is>
      </c>
      <c r="AE434" s="232" t="inlineStr">
        <is>
          <t>1、签订期间：2025.8.1-2026.8.31；
2、指标按照全年换算；</t>
        </is>
      </c>
    </row>
    <row r="435" hidden="1" ht="48" customFormat="1" customHeight="1" s="209">
      <c r="A435" s="219" t="n">
        <v>433</v>
      </c>
      <c r="B435" s="220" t="inlineStr">
        <is>
          <t>KQCY0433</t>
        </is>
      </c>
      <c r="C435" s="221" t="inlineStr">
        <is>
          <t>餐饮六分部</t>
        </is>
      </c>
      <c r="D435" s="221" t="inlineStr">
        <is>
          <t>CF475</t>
        </is>
      </c>
      <c r="E435" s="221" t="inlineStr">
        <is>
          <t>国科大南京学院食堂</t>
        </is>
      </c>
      <c r="F435" s="219" t="inlineStr">
        <is>
          <t>分组作业</t>
        </is>
      </c>
      <c r="G435" s="222" t="inlineStr">
        <is>
          <t>卫屹</t>
        </is>
      </c>
      <c r="H435" s="503" t="inlineStr">
        <is>
          <t>第二班组</t>
        </is>
      </c>
      <c r="I435" s="237" t="inlineStr">
        <is>
          <t>西北风味</t>
        </is>
      </c>
      <c r="J435" s="503" t="inlineStr">
        <is>
          <t>马山杏尼</t>
        </is>
      </c>
      <c r="K435" s="503" t="n"/>
      <c r="L435" s="224" t="n"/>
      <c r="M435" s="224" t="inlineStr">
        <is>
          <t>/</t>
        </is>
      </c>
      <c r="N435" s="651" t="inlineStr">
        <is>
          <t>/</t>
        </is>
      </c>
      <c r="O435" s="235" t="n">
        <v>0.06</v>
      </c>
      <c r="P435" s="235" t="inlineStr">
        <is>
          <t>/</t>
        </is>
      </c>
      <c r="Q435" s="235" t="inlineStr">
        <is>
          <t>按实</t>
        </is>
      </c>
      <c r="R435" s="235" t="inlineStr">
        <is>
          <t>/</t>
        </is>
      </c>
      <c r="S435" s="235" t="inlineStr">
        <is>
          <t>/</t>
        </is>
      </c>
      <c r="T435" s="235" t="inlineStr">
        <is>
          <t>/</t>
        </is>
      </c>
      <c r="U435" s="235" t="inlineStr">
        <is>
          <t>按实</t>
        </is>
      </c>
      <c r="V435" s="551" t="inlineStr">
        <is>
          <t>3000元/月，2026年2月开始取消</t>
        </is>
      </c>
      <c r="W435" s="235" t="inlineStr">
        <is>
          <t>年能源费超30万元后，超出部分按班组营业额比例分摊</t>
        </is>
      </c>
      <c r="X435" s="235" t="inlineStr">
        <is>
          <t>按实</t>
        </is>
      </c>
      <c r="Y435" s="461" t="inlineStr">
        <is>
          <t>/</t>
        </is>
      </c>
      <c r="Z435" s="461" t="inlineStr">
        <is>
          <t>/</t>
        </is>
      </c>
      <c r="AA435" s="461" t="inlineStr">
        <is>
          <t>按实</t>
        </is>
      </c>
      <c r="AB435" s="652" t="inlineStr">
        <is>
          <t>/</t>
        </is>
      </c>
      <c r="AC435" s="652" t="inlineStr">
        <is>
          <t>/</t>
        </is>
      </c>
      <c r="AD435" s="230" t="inlineStr">
        <is>
          <t>1、能源费：能源费补贴30万，超补贴后按比例付
2、卫生费：2026年2月之后不在收取</t>
        </is>
      </c>
      <c r="AE435" s="232" t="inlineStr">
        <is>
          <t>1、签订期间：2025.8.1-2026.8.31；
2、指标按照全年换算；</t>
        </is>
      </c>
    </row>
    <row r="436" hidden="1" ht="24" customFormat="1" customHeight="1" s="209">
      <c r="A436" s="219" t="n">
        <v>434</v>
      </c>
      <c r="B436" s="220" t="inlineStr">
        <is>
          <t>KQCY0434</t>
        </is>
      </c>
      <c r="C436" s="221" t="inlineStr">
        <is>
          <t>餐饮六分部</t>
        </is>
      </c>
      <c r="D436" s="221" t="inlineStr">
        <is>
          <t>CF475</t>
        </is>
      </c>
      <c r="E436" s="221" t="inlineStr">
        <is>
          <t>国科大南京学院食堂</t>
        </is>
      </c>
      <c r="F436" s="219" t="inlineStr">
        <is>
          <t>分组作业</t>
        </is>
      </c>
      <c r="G436" s="222" t="inlineStr">
        <is>
          <t>卫屹</t>
        </is>
      </c>
      <c r="H436" s="503" t="inlineStr">
        <is>
          <t>第四班组</t>
        </is>
      </c>
      <c r="I436" s="237" t="inlineStr">
        <is>
          <t>七里塘</t>
        </is>
      </c>
      <c r="J436" s="503" t="inlineStr">
        <is>
          <t>沈汉平</t>
        </is>
      </c>
      <c r="K436" s="503" t="n"/>
      <c r="L436" s="224" t="n"/>
      <c r="M436" s="224" t="inlineStr">
        <is>
          <t>/</t>
        </is>
      </c>
      <c r="N436" s="651" t="inlineStr">
        <is>
          <t>/</t>
        </is>
      </c>
      <c r="O436" s="235" t="n">
        <v>0</v>
      </c>
      <c r="P436" s="235" t="n">
        <v>0</v>
      </c>
      <c r="Q436" s="235" t="n">
        <v>0</v>
      </c>
      <c r="R436" s="235" t="n">
        <v>0</v>
      </c>
      <c r="S436" s="235" t="n">
        <v>0</v>
      </c>
      <c r="T436" s="235" t="n">
        <v>0</v>
      </c>
      <c r="U436" s="235" t="n">
        <v>0</v>
      </c>
      <c r="V436" s="235" t="n">
        <v>0</v>
      </c>
      <c r="W436" s="235" t="n">
        <v>0</v>
      </c>
      <c r="X436" s="235" t="inlineStr">
        <is>
          <t>按实</t>
        </is>
      </c>
      <c r="Y436" s="461" t="inlineStr">
        <is>
          <t>/</t>
        </is>
      </c>
      <c r="Z436" s="461" t="inlineStr">
        <is>
          <t>/</t>
        </is>
      </c>
      <c r="AA436" s="461" t="inlineStr">
        <is>
          <t>按实</t>
        </is>
      </c>
      <c r="AB436" s="652" t="inlineStr">
        <is>
          <t>/</t>
        </is>
      </c>
      <c r="AC436" s="652" t="inlineStr">
        <is>
          <t>/</t>
        </is>
      </c>
      <c r="AD436" s="230" t="n"/>
      <c r="AE436" s="230" t="inlineStr">
        <is>
          <t>1、签订期间：2026.3.1-2026.8.31；
2、指标按照全年换算；</t>
        </is>
      </c>
    </row>
  </sheetData>
  <sheetProtection selectLockedCells="0" selectUnlockedCells="0" sheet="1" objects="0" insertRows="0" insertHyperlinks="0" autoFilter="0" scenarios="0" formatColumns="0" deleteColumns="0" insertColumns="0" pivotTables="0" deleteRows="0" formatCells="0" formatRows="0" sort="0"/>
  <autoFilter ref="A2:AE436">
    <filterColumn colId="6" hiddenButton="0" showButton="1">
      <customFilters>
        <customFilter val="位军浩" operator="equal"/>
      </customFilters>
    </filterColumn>
  </autoFilter>
  <mergeCells count="1">
    <mergeCell ref="A1:P1"/>
  </mergeCells>
  <dataValidations count="1">
    <dataValidation sqref="F137:F144" showDropDown="0" showInputMessage="1" showErrorMessage="1" allowBlank="1" type="list">
      <formula1>"自营/分组作业,分组作业,强责,自营,人员服务外包,人员服务外包/自营"</formula1>
    </dataValidation>
  </dataValidation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E429"/>
  <sheetViews>
    <sheetView workbookViewId="0">
      <selection activeCell="A1" sqref="A1:N1"/>
    </sheetView>
  </sheetViews>
  <sheetFormatPr baseColWidth="8" defaultColWidth="9" defaultRowHeight="13.5"/>
  <cols>
    <col width="9" customWidth="1" style="27" min="1" max="1"/>
    <col width="16.25" customWidth="1" style="27" min="2" max="2"/>
    <col hidden="1" width="12.5" customWidth="1" style="534" min="3" max="4"/>
    <col width="21.125" customWidth="1" style="534" min="5" max="5"/>
    <col width="12.5" customWidth="1" style="29" min="6" max="6"/>
    <col width="12.5" customWidth="1" style="534" min="7" max="7"/>
    <col width="16.25" customWidth="1" style="534" min="8" max="8"/>
    <col width="14.375" customWidth="1" style="30" min="9" max="9"/>
    <col width="16.25" customWidth="1" style="31" min="10" max="10"/>
    <col width="12.5" customWidth="1" style="31" min="11" max="11"/>
    <col width="25.875" customWidth="1" style="542" min="12" max="12"/>
    <col width="10.75" customWidth="1" style="33" min="13" max="13"/>
    <col width="12.5" customWidth="1" style="27" min="14" max="15"/>
    <col width="14.25" customWidth="1" style="27" min="16" max="18"/>
    <col width="12.5" customWidth="1" style="27" min="19" max="19"/>
    <col width="12.5" customWidth="1" style="34" min="20" max="20"/>
    <col width="12.5" customWidth="1" style="33" min="21" max="21"/>
    <col width="12.5" customWidth="1" style="27" min="22" max="22"/>
    <col width="12.5" customWidth="1" style="31" min="23" max="23"/>
    <col width="14.25" customWidth="1" style="31" min="24" max="24"/>
    <col width="12.5" customWidth="1" style="31" min="25" max="25"/>
    <col width="14.25" customWidth="1" style="31" min="26" max="26"/>
    <col width="12.5" customWidth="1" style="31" min="27" max="27"/>
    <col width="27.875" customWidth="1" style="35" min="28" max="28"/>
    <col width="10.75" customWidth="1" style="534" min="29" max="29"/>
    <col width="41.5" customWidth="1" style="29" min="30" max="30"/>
    <col width="41.75" customWidth="1" style="30" min="31" max="31"/>
  </cols>
  <sheetData>
    <row r="1" ht="18.75" customHeight="1" s="537">
      <c r="A1" s="36" t="inlineStr">
        <is>
          <t xml:space="preserve"> 2026年科桥餐饮公司各项指标明细</t>
        </is>
      </c>
      <c r="B1" s="37" t="n"/>
      <c r="C1" s="37" t="n"/>
      <c r="D1" s="37" t="n"/>
      <c r="E1" s="37" t="n"/>
      <c r="F1" s="37" t="n"/>
      <c r="G1" s="37" t="n"/>
      <c r="H1" s="37" t="n"/>
      <c r="I1" s="37" t="n"/>
      <c r="J1" s="37" t="n"/>
      <c r="K1" s="37" t="n"/>
      <c r="L1" s="37" t="n"/>
      <c r="M1" s="37" t="n"/>
      <c r="N1" s="37" t="n"/>
      <c r="O1" s="38" t="n"/>
      <c r="P1" s="38" t="n"/>
      <c r="Q1" s="38" t="n"/>
      <c r="R1" s="38" t="n"/>
      <c r="S1" s="38" t="n"/>
      <c r="T1" s="38" t="n"/>
      <c r="U1" s="38" t="n"/>
      <c r="V1" s="38" t="n"/>
      <c r="W1" s="38" t="n"/>
      <c r="X1" s="39" t="n"/>
      <c r="Y1" s="40" t="n"/>
      <c r="Z1" s="40" t="n"/>
      <c r="AA1" s="40" t="n"/>
      <c r="AB1" s="41" t="n"/>
      <c r="AC1" s="38" t="n"/>
      <c r="AD1" s="42" t="n"/>
      <c r="AE1" s="42" t="n"/>
    </row>
    <row r="2" ht="24" customFormat="1" customHeight="1" s="1">
      <c r="A2" s="3" t="inlineStr">
        <is>
          <t>序号</t>
        </is>
      </c>
      <c r="B2" s="3" t="inlineStr">
        <is>
          <t>档口唯一标志</t>
        </is>
      </c>
      <c r="C2" s="3" t="inlineStr">
        <is>
          <t>分部名称</t>
        </is>
      </c>
      <c r="D2" s="3" t="inlineStr">
        <is>
          <t>项目代码</t>
        </is>
      </c>
      <c r="E2" s="3" t="inlineStr">
        <is>
          <t>项目名称</t>
        </is>
      </c>
      <c r="F2" s="4" t="inlineStr">
        <is>
          <t>项目类型</t>
        </is>
      </c>
      <c r="G2" s="4" t="inlineStr">
        <is>
          <t>核算会计</t>
        </is>
      </c>
      <c r="H2" s="4" t="inlineStr">
        <is>
          <t>分组作业名称</t>
        </is>
      </c>
      <c r="I2" s="4" t="inlineStr">
        <is>
          <t>分组作业窗口名称</t>
        </is>
      </c>
      <c r="J2" s="4" t="inlineStr">
        <is>
          <t>签订人
（会议纪要）</t>
        </is>
      </c>
      <c r="K2" s="6" t="inlineStr">
        <is>
          <t>人员工资</t>
        </is>
      </c>
      <c r="L2" s="650" t="inlineStr">
        <is>
          <t>营业额指标
【部分金额折算成一年】</t>
        </is>
      </c>
      <c r="M2" s="8" t="inlineStr">
        <is>
          <t>服务费</t>
        </is>
      </c>
      <c r="N2" s="4" t="inlineStr">
        <is>
          <t>虫害消杀
(按实）</t>
        </is>
      </c>
      <c r="O2" s="4" t="inlineStr">
        <is>
          <t>采购费
（按实）</t>
        </is>
      </c>
      <c r="P2" s="6" t="inlineStr">
        <is>
          <t>装修折旧费
(按实）</t>
        </is>
      </c>
      <c r="Q2" s="6" t="inlineStr">
        <is>
          <t>管理人员费
（按实）</t>
        </is>
      </c>
      <c r="R2" s="6" t="inlineStr">
        <is>
          <t>共建活动费
（按实）</t>
        </is>
      </c>
      <c r="S2" s="6" t="inlineStr">
        <is>
          <t>资产费
（按实）</t>
        </is>
      </c>
      <c r="T2" s="9" t="inlineStr">
        <is>
          <t>卫生费
（按实）</t>
        </is>
      </c>
      <c r="U2" s="9" t="inlineStr">
        <is>
          <t>能源费
（按实）</t>
        </is>
      </c>
      <c r="V2" s="4" t="inlineStr">
        <is>
          <t>其他
（按实）</t>
        </is>
      </c>
      <c r="W2" s="4" t="inlineStr">
        <is>
          <t>原材料
（按实）</t>
        </is>
      </c>
      <c r="X2" s="10" t="inlineStr">
        <is>
          <t>甲方管理费
（按实）</t>
        </is>
      </c>
      <c r="Y2" s="10" t="inlineStr">
        <is>
          <t>甲方房租</t>
        </is>
      </c>
      <c r="Z2" s="10" t="inlineStr">
        <is>
          <t>甲方人员工资</t>
        </is>
      </c>
      <c r="AA2" s="10" t="inlineStr">
        <is>
          <t>甲方捐赠</t>
        </is>
      </c>
      <c r="AB2" s="11" t="inlineStr">
        <is>
          <t>分部管理费
（按实+固定值）</t>
        </is>
      </c>
      <c r="AC2" s="12" t="inlineStr">
        <is>
          <t>业务费</t>
        </is>
      </c>
      <c r="AD2" s="4" t="inlineStr">
        <is>
          <t>备注1</t>
        </is>
      </c>
      <c r="AE2" s="6" t="inlineStr">
        <is>
          <t>备注2</t>
        </is>
      </c>
    </row>
    <row r="3" ht="12" customFormat="1" customHeight="1" s="209">
      <c r="A3" s="219" t="n">
        <v>1</v>
      </c>
      <c r="B3" s="14" t="inlineStr">
        <is>
          <t>KQCY0001</t>
        </is>
      </c>
      <c r="C3" s="221" t="inlineStr">
        <is>
          <t>餐饮一分部</t>
        </is>
      </c>
      <c r="D3" s="221" t="inlineStr">
        <is>
          <t>CF139</t>
        </is>
      </c>
      <c r="E3" s="221" t="inlineStr">
        <is>
          <t>苏州中科新药篮餐厅</t>
        </is>
      </c>
      <c r="F3" s="219" t="inlineStr">
        <is>
          <t>自营</t>
        </is>
      </c>
      <c r="G3" s="222" t="inlineStr">
        <is>
          <t>卫屹</t>
        </is>
      </c>
      <c r="H3" s="222" t="inlineStr">
        <is>
          <t>/</t>
        </is>
      </c>
      <c r="I3" s="237" t="inlineStr">
        <is>
          <t>/</t>
        </is>
      </c>
      <c r="J3" s="222" t="inlineStr">
        <is>
          <t>/</t>
        </is>
      </c>
      <c r="K3" s="224" t="inlineStr">
        <is>
          <t>/</t>
        </is>
      </c>
      <c r="L3" s="651" t="n">
        <v>1900000</v>
      </c>
      <c r="M3" s="224" t="inlineStr">
        <is>
          <t>/</t>
        </is>
      </c>
      <c r="N3" s="224" t="inlineStr">
        <is>
          <t>/</t>
        </is>
      </c>
      <c r="O3" s="224" t="inlineStr">
        <is>
          <t>/</t>
        </is>
      </c>
      <c r="P3" s="224" t="inlineStr">
        <is>
          <t>/</t>
        </is>
      </c>
      <c r="Q3" s="224" t="inlineStr">
        <is>
          <t>/</t>
        </is>
      </c>
      <c r="R3" s="224" t="inlineStr">
        <is>
          <t>/</t>
        </is>
      </c>
      <c r="S3" s="224" t="inlineStr">
        <is>
          <t>/</t>
        </is>
      </c>
      <c r="T3" s="224" t="inlineStr">
        <is>
          <t>/</t>
        </is>
      </c>
      <c r="U3" s="224" t="inlineStr">
        <is>
          <t>/</t>
        </is>
      </c>
      <c r="V3" s="224" t="inlineStr">
        <is>
          <t>/</t>
        </is>
      </c>
      <c r="W3" s="44" t="n"/>
      <c r="X3" s="461" t="inlineStr">
        <is>
          <t>/</t>
        </is>
      </c>
      <c r="Y3" s="461" t="inlineStr">
        <is>
          <t>/</t>
        </is>
      </c>
      <c r="Z3" s="461" t="inlineStr">
        <is>
          <t>/</t>
        </is>
      </c>
      <c r="AA3" s="461" t="inlineStr">
        <is>
          <t>/</t>
        </is>
      </c>
      <c r="AB3" s="46" t="n">
        <v>0.06</v>
      </c>
      <c r="AC3" s="46" t="inlineStr">
        <is>
          <t>/</t>
        </is>
      </c>
      <c r="AD3" s="232" t="n"/>
      <c r="AE3" s="232" t="n"/>
    </row>
    <row r="4" ht="48" customFormat="1" customHeight="1" s="209">
      <c r="A4" s="219" t="n">
        <v>2</v>
      </c>
      <c r="B4" s="14" t="inlineStr">
        <is>
          <t>KQCY0002</t>
        </is>
      </c>
      <c r="C4" s="221" t="inlineStr">
        <is>
          <t>餐饮一分部</t>
        </is>
      </c>
      <c r="D4" s="221" t="inlineStr">
        <is>
          <t>CF481</t>
        </is>
      </c>
      <c r="E4" s="221" t="inlineStr">
        <is>
          <t>常熟世华高级中学食堂</t>
        </is>
      </c>
      <c r="F4" s="219" t="inlineStr">
        <is>
          <t>自营</t>
        </is>
      </c>
      <c r="G4" s="222" t="inlineStr">
        <is>
          <t>卫屹</t>
        </is>
      </c>
      <c r="H4" s="222" t="inlineStr">
        <is>
          <t>/</t>
        </is>
      </c>
      <c r="I4" s="237" t="inlineStr">
        <is>
          <t>/</t>
        </is>
      </c>
      <c r="J4" s="222" t="inlineStr">
        <is>
          <t>/</t>
        </is>
      </c>
      <c r="K4" s="224" t="inlineStr">
        <is>
          <t>/</t>
        </is>
      </c>
      <c r="L4" s="651" t="n">
        <v>2600000</v>
      </c>
      <c r="M4" s="224" t="inlineStr">
        <is>
          <t>/</t>
        </is>
      </c>
      <c r="N4" s="224" t="inlineStr">
        <is>
          <t>/</t>
        </is>
      </c>
      <c r="O4" s="224" t="inlineStr">
        <is>
          <t>/</t>
        </is>
      </c>
      <c r="P4" s="224" t="inlineStr">
        <is>
          <t>/</t>
        </is>
      </c>
      <c r="Q4" s="224" t="inlineStr">
        <is>
          <t>/</t>
        </is>
      </c>
      <c r="R4" s="224" t="inlineStr">
        <is>
          <t>/</t>
        </is>
      </c>
      <c r="S4" s="224" t="inlineStr">
        <is>
          <t>/</t>
        </is>
      </c>
      <c r="T4" s="224" t="inlineStr">
        <is>
          <t>/</t>
        </is>
      </c>
      <c r="U4" s="224" t="inlineStr">
        <is>
          <t>/</t>
        </is>
      </c>
      <c r="V4" s="224" t="inlineStr">
        <is>
          <t>/</t>
        </is>
      </c>
      <c r="W4" s="47" t="n"/>
      <c r="X4" s="461" t="inlineStr">
        <is>
          <t>/</t>
        </is>
      </c>
      <c r="Y4" s="461" t="inlineStr">
        <is>
          <t>/</t>
        </is>
      </c>
      <c r="Z4" s="461" t="inlineStr">
        <is>
          <t>/</t>
        </is>
      </c>
      <c r="AA4" s="461" t="inlineStr">
        <is>
          <t>/</t>
        </is>
      </c>
      <c r="AB4" s="46" t="n">
        <v>0.0585</v>
      </c>
      <c r="AC4" s="46" t="n">
        <v>0.005</v>
      </c>
      <c r="AD4" s="48" t="inlineStr">
        <is>
          <t>1、原材料：若政府部门要求执行“阳光平台”的原材料比例，乙方实际经营中原材料比例与阳光平台规定比例的差额的处理和费用都由甲方承担。（阳光平台原材料占餐食营业额比例≥75%，项目按实际领用）</t>
        </is>
      </c>
      <c r="AE4" s="25" t="n"/>
    </row>
    <row r="5" ht="12" customFormat="1" customHeight="1" s="209">
      <c r="A5" s="219" t="n">
        <v>3</v>
      </c>
      <c r="B5" s="14" t="inlineStr">
        <is>
          <t>KQCY0003</t>
        </is>
      </c>
      <c r="C5" s="221" t="inlineStr">
        <is>
          <t>餐饮一分部</t>
        </is>
      </c>
      <c r="D5" s="221" t="inlineStr">
        <is>
          <t>CF478</t>
        </is>
      </c>
      <c r="E5" s="221" t="inlineStr">
        <is>
          <t>苏州华杨电子餐厅</t>
        </is>
      </c>
      <c r="F5" s="219" t="inlineStr">
        <is>
          <t>强责</t>
        </is>
      </c>
      <c r="G5" s="222" t="inlineStr">
        <is>
          <t>陆琪</t>
        </is>
      </c>
      <c r="H5" s="222" t="inlineStr">
        <is>
          <t>/</t>
        </is>
      </c>
      <c r="I5" s="232" t="inlineStr">
        <is>
          <t>/</t>
        </is>
      </c>
      <c r="J5" s="222" t="inlineStr">
        <is>
          <t>武良军</t>
        </is>
      </c>
      <c r="K5" s="224" t="inlineStr">
        <is>
          <t>/</t>
        </is>
      </c>
      <c r="L5" s="651" t="n">
        <v>2200000</v>
      </c>
      <c r="M5" s="502" t="inlineStr">
        <is>
          <t>/</t>
        </is>
      </c>
      <c r="N5" s="502" t="inlineStr">
        <is>
          <t>/</t>
        </is>
      </c>
      <c r="O5" s="49" t="n">
        <v>0.01</v>
      </c>
      <c r="P5" s="502" t="inlineStr">
        <is>
          <t>/</t>
        </is>
      </c>
      <c r="Q5" s="502" t="inlineStr">
        <is>
          <t>/</t>
        </is>
      </c>
      <c r="R5" s="502" t="inlineStr">
        <is>
          <t>/</t>
        </is>
      </c>
      <c r="S5" s="502" t="inlineStr">
        <is>
          <t>/</t>
        </is>
      </c>
      <c r="T5" s="503" t="inlineStr">
        <is>
          <t>/</t>
        </is>
      </c>
      <c r="U5" s="502" t="inlineStr">
        <is>
          <t>/</t>
        </is>
      </c>
      <c r="V5" s="502" t="inlineStr">
        <is>
          <t>/</t>
        </is>
      </c>
      <c r="W5" s="50" t="n"/>
      <c r="X5" s="51" t="inlineStr">
        <is>
          <t>/</t>
        </is>
      </c>
      <c r="Y5" s="51" t="inlineStr">
        <is>
          <t>/</t>
        </is>
      </c>
      <c r="Z5" s="51" t="inlineStr">
        <is>
          <t>/</t>
        </is>
      </c>
      <c r="AA5" s="51" t="inlineStr">
        <is>
          <t>/</t>
        </is>
      </c>
      <c r="AB5" s="51" t="n">
        <v>0.04</v>
      </c>
      <c r="AC5" s="46" t="inlineStr">
        <is>
          <t>/</t>
        </is>
      </c>
      <c r="AD5" s="232" t="n"/>
      <c r="AE5" s="25" t="n"/>
    </row>
    <row r="6" ht="12" customFormat="1" customHeight="1" s="209">
      <c r="A6" s="219" t="n">
        <v>4</v>
      </c>
      <c r="B6" s="14" t="inlineStr">
        <is>
          <t>KQCY0004</t>
        </is>
      </c>
      <c r="C6" s="221" t="inlineStr">
        <is>
          <t>餐饮一分部</t>
        </is>
      </c>
      <c r="D6" s="221" t="inlineStr">
        <is>
          <t>CF751</t>
        </is>
      </c>
      <c r="E6" s="221" t="inlineStr">
        <is>
          <t>国防科大（长沙）食堂</t>
        </is>
      </c>
      <c r="F6" s="219" t="inlineStr">
        <is>
          <t>人员服务外包</t>
        </is>
      </c>
      <c r="G6" s="222" t="inlineStr">
        <is>
          <t>陆琪</t>
        </is>
      </c>
      <c r="H6" s="222" t="inlineStr">
        <is>
          <t>/</t>
        </is>
      </c>
      <c r="I6" s="237" t="inlineStr">
        <is>
          <t>/</t>
        </is>
      </c>
      <c r="J6" s="222" t="inlineStr">
        <is>
          <t>/</t>
        </is>
      </c>
      <c r="K6" s="224" t="inlineStr">
        <is>
          <t>/</t>
        </is>
      </c>
      <c r="L6" s="651" t="n">
        <v>8931000</v>
      </c>
      <c r="M6" s="502" t="inlineStr">
        <is>
          <t>/</t>
        </is>
      </c>
      <c r="N6" s="502" t="inlineStr">
        <is>
          <t>/</t>
        </is>
      </c>
      <c r="O6" s="502" t="inlineStr">
        <is>
          <t>/</t>
        </is>
      </c>
      <c r="P6" s="502" t="inlineStr">
        <is>
          <t>/</t>
        </is>
      </c>
      <c r="Q6" s="502" t="inlineStr">
        <is>
          <t>/</t>
        </is>
      </c>
      <c r="R6" s="502" t="inlineStr">
        <is>
          <t>/</t>
        </is>
      </c>
      <c r="S6" s="502" t="inlineStr">
        <is>
          <t>/</t>
        </is>
      </c>
      <c r="T6" s="503" t="inlineStr">
        <is>
          <t>/</t>
        </is>
      </c>
      <c r="U6" s="502" t="inlineStr">
        <is>
          <t>/</t>
        </is>
      </c>
      <c r="V6" s="502" t="inlineStr">
        <is>
          <t>/</t>
        </is>
      </c>
      <c r="W6" s="503" t="inlineStr">
        <is>
          <t>/</t>
        </is>
      </c>
      <c r="X6" s="51" t="inlineStr">
        <is>
          <t>/</t>
        </is>
      </c>
      <c r="Y6" s="51" t="inlineStr">
        <is>
          <t>/</t>
        </is>
      </c>
      <c r="Z6" s="51" t="inlineStr">
        <is>
          <t>/</t>
        </is>
      </c>
      <c r="AA6" s="51" t="inlineStr">
        <is>
          <t>/</t>
        </is>
      </c>
      <c r="AB6" s="46" t="n">
        <v>0.045</v>
      </c>
      <c r="AC6" s="46" t="inlineStr">
        <is>
          <t>/</t>
        </is>
      </c>
      <c r="AD6" s="232" t="n"/>
      <c r="AE6" s="25" t="n"/>
    </row>
    <row r="7" ht="24" customFormat="1" customHeight="1" s="209">
      <c r="A7" s="219" t="n">
        <v>5</v>
      </c>
      <c r="B7" s="14" t="inlineStr">
        <is>
          <t>KQCY0005</t>
        </is>
      </c>
      <c r="C7" s="221" t="inlineStr">
        <is>
          <t>餐饮一分部</t>
        </is>
      </c>
      <c r="D7" s="221" t="inlineStr">
        <is>
          <t>CF474</t>
        </is>
      </c>
      <c r="E7" s="221" t="inlineStr">
        <is>
          <t>安工大七食堂</t>
        </is>
      </c>
      <c r="F7" s="219" t="inlineStr">
        <is>
          <t>强责</t>
        </is>
      </c>
      <c r="G7" s="222" t="inlineStr">
        <is>
          <t>卫屹</t>
        </is>
      </c>
      <c r="H7" s="222" t="inlineStr">
        <is>
          <t>/</t>
        </is>
      </c>
      <c r="I7" s="232" t="inlineStr">
        <is>
          <t>/</t>
        </is>
      </c>
      <c r="J7" s="503" t="inlineStr">
        <is>
          <t>李俊彦</t>
        </is>
      </c>
      <c r="K7" s="224" t="inlineStr">
        <is>
          <t>/</t>
        </is>
      </c>
      <c r="L7" s="651" t="inlineStr">
        <is>
          <t>/</t>
        </is>
      </c>
      <c r="M7" s="502" t="inlineStr">
        <is>
          <t>/</t>
        </is>
      </c>
      <c r="N7" s="502" t="inlineStr">
        <is>
          <t>/</t>
        </is>
      </c>
      <c r="O7" s="502" t="inlineStr">
        <is>
          <t>/</t>
        </is>
      </c>
      <c r="P7" s="502" t="inlineStr">
        <is>
          <t>/</t>
        </is>
      </c>
      <c r="Q7" s="502" t="inlineStr">
        <is>
          <t>/</t>
        </is>
      </c>
      <c r="R7" s="502" t="inlineStr">
        <is>
          <t>/</t>
        </is>
      </c>
      <c r="S7" s="502" t="inlineStr">
        <is>
          <t>/</t>
        </is>
      </c>
      <c r="T7" s="503" t="inlineStr">
        <is>
          <t>/</t>
        </is>
      </c>
      <c r="U7" s="502" t="inlineStr">
        <is>
          <t>/</t>
        </is>
      </c>
      <c r="V7" s="502" t="inlineStr">
        <is>
          <t>/</t>
        </is>
      </c>
      <c r="W7" s="47" t="n">
        <v>0.55</v>
      </c>
      <c r="X7" s="461" t="inlineStr">
        <is>
          <t>/</t>
        </is>
      </c>
      <c r="Y7" s="461" t="inlineStr">
        <is>
          <t>/</t>
        </is>
      </c>
      <c r="Z7" s="461" t="inlineStr">
        <is>
          <t>/</t>
        </is>
      </c>
      <c r="AA7" s="461" t="inlineStr">
        <is>
          <t>/</t>
        </is>
      </c>
      <c r="AB7" s="46" t="n">
        <v>0.015</v>
      </c>
      <c r="AC7" s="652" t="inlineStr">
        <is>
          <t>/</t>
        </is>
      </c>
      <c r="AD7" s="48" t="inlineStr">
        <is>
          <t>1、原材料：安徽工业大学食堂食品原材料定点采购办法约定食品原材料≥55%营业额（不含一次性打包用品）</t>
        </is>
      </c>
      <c r="AE7" s="25" t="n"/>
    </row>
    <row r="8" ht="82.5" customFormat="1" customHeight="1" s="209">
      <c r="A8" s="219" t="n">
        <v>6</v>
      </c>
      <c r="B8" s="14" t="inlineStr">
        <is>
          <t>KQCY0006</t>
        </is>
      </c>
      <c r="C8" s="221" t="inlineStr">
        <is>
          <t>餐饮一分部</t>
        </is>
      </c>
      <c r="D8" s="221" t="inlineStr">
        <is>
          <t>CF474</t>
        </is>
      </c>
      <c r="E8" s="221" t="inlineStr">
        <is>
          <t>安工大七食堂</t>
        </is>
      </c>
      <c r="F8" s="219" t="inlineStr">
        <is>
          <t>强责</t>
        </is>
      </c>
      <c r="G8" s="222" t="inlineStr">
        <is>
          <t>卫屹</t>
        </is>
      </c>
      <c r="H8" s="222" t="inlineStr">
        <is>
          <t>第一班组</t>
        </is>
      </c>
      <c r="I8" s="232" t="inlineStr">
        <is>
          <t>手工馄饨（大陷水饺、刀削面/汆肉米线）</t>
        </is>
      </c>
      <c r="J8" s="503" t="inlineStr">
        <is>
          <t>潘海英</t>
        </is>
      </c>
      <c r="K8" s="224" t="inlineStr">
        <is>
          <t>/</t>
        </is>
      </c>
      <c r="L8" s="651" t="n">
        <v>700000</v>
      </c>
      <c r="M8" s="224" t="n">
        <v>0.07000000000000001</v>
      </c>
      <c r="N8" s="224" t="n">
        <v>0.01</v>
      </c>
      <c r="O8" s="224" t="inlineStr">
        <is>
          <t>/</t>
        </is>
      </c>
      <c r="P8" s="224" t="n">
        <v>0.03</v>
      </c>
      <c r="Q8" s="224" t="n">
        <v>0.03</v>
      </c>
      <c r="R8" s="224" t="n">
        <v>0.01</v>
      </c>
      <c r="S8" s="224" t="n">
        <v>0.02</v>
      </c>
      <c r="T8" s="224" t="n">
        <v>0.04</v>
      </c>
      <c r="U8" s="224" t="n">
        <v>0.05</v>
      </c>
      <c r="V8" s="224" t="inlineStr">
        <is>
          <t>/</t>
        </is>
      </c>
      <c r="W8" s="224" t="n">
        <v>0.4</v>
      </c>
      <c r="X8" s="349" t="inlineStr">
        <is>
          <t>/</t>
        </is>
      </c>
      <c r="Y8" s="461" t="inlineStr">
        <is>
          <t>/</t>
        </is>
      </c>
      <c r="Z8" s="461" t="inlineStr">
        <is>
          <t>/</t>
        </is>
      </c>
      <c r="AA8" s="349" t="inlineStr">
        <is>
          <t>/</t>
        </is>
      </c>
      <c r="AB8" s="652" t="inlineStr">
        <is>
          <t>/</t>
        </is>
      </c>
      <c r="AC8" s="652" t="inlineStr">
        <is>
          <t>/</t>
        </is>
      </c>
      <c r="AD8"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8" s="53" t="n"/>
    </row>
    <row r="9" ht="92.25" customFormat="1" customHeight="1" s="209">
      <c r="A9" s="219" t="n">
        <v>7</v>
      </c>
      <c r="B9" s="14" t="inlineStr">
        <is>
          <t>KQCY0007</t>
        </is>
      </c>
      <c r="C9" s="221" t="inlineStr">
        <is>
          <t>餐饮一分部</t>
        </is>
      </c>
      <c r="D9" s="221" t="inlineStr">
        <is>
          <t>CF474</t>
        </is>
      </c>
      <c r="E9" s="221" t="inlineStr">
        <is>
          <t>安工大七食堂</t>
        </is>
      </c>
      <c r="F9" s="219" t="inlineStr">
        <is>
          <t>强责</t>
        </is>
      </c>
      <c r="G9" s="222" t="inlineStr">
        <is>
          <t>卫屹</t>
        </is>
      </c>
      <c r="H9" s="222" t="inlineStr">
        <is>
          <t>第二班组</t>
        </is>
      </c>
      <c r="I9" s="232" t="inlineStr">
        <is>
          <t>黄焖系列（酸菜肉煲系列、椒麻鸡系列、酸菜鱼系列）</t>
        </is>
      </c>
      <c r="J9" s="503" t="inlineStr">
        <is>
          <t>胡科才</t>
        </is>
      </c>
      <c r="K9" s="224" t="inlineStr">
        <is>
          <t>/</t>
        </is>
      </c>
      <c r="L9" s="651" t="n">
        <v>500000</v>
      </c>
      <c r="M9" s="224" t="n">
        <v>0.07000000000000001</v>
      </c>
      <c r="N9" s="224" t="n">
        <v>0.01</v>
      </c>
      <c r="O9" s="224" t="inlineStr">
        <is>
          <t>/</t>
        </is>
      </c>
      <c r="P9" s="224" t="n">
        <v>0.03</v>
      </c>
      <c r="Q9" s="224" t="n">
        <v>0.03</v>
      </c>
      <c r="R9" s="224" t="n">
        <v>0.01</v>
      </c>
      <c r="S9" s="224" t="n">
        <v>0.02</v>
      </c>
      <c r="T9" s="224" t="n">
        <v>0.04</v>
      </c>
      <c r="U9" s="224" t="n">
        <v>0.05</v>
      </c>
      <c r="V9" s="224" t="inlineStr">
        <is>
          <t>/</t>
        </is>
      </c>
      <c r="W9" s="224" t="n">
        <v>0.4</v>
      </c>
      <c r="X9" s="349" t="inlineStr">
        <is>
          <t>/</t>
        </is>
      </c>
      <c r="Y9" s="461" t="inlineStr">
        <is>
          <t>/</t>
        </is>
      </c>
      <c r="Z9" s="461" t="inlineStr">
        <is>
          <t>/</t>
        </is>
      </c>
      <c r="AA9" s="349" t="inlineStr">
        <is>
          <t>/</t>
        </is>
      </c>
      <c r="AB9" s="652" t="inlineStr">
        <is>
          <t>/</t>
        </is>
      </c>
      <c r="AC9" s="652" t="inlineStr">
        <is>
          <t>/</t>
        </is>
      </c>
      <c r="AD9"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9" s="25" t="n"/>
    </row>
    <row r="10" ht="72" customFormat="1" customHeight="1" s="209">
      <c r="A10" s="219" t="n">
        <v>8</v>
      </c>
      <c r="B10" s="14" t="inlineStr">
        <is>
          <t>KQCY0008</t>
        </is>
      </c>
      <c r="C10" s="221" t="inlineStr">
        <is>
          <t>餐饮一分部</t>
        </is>
      </c>
      <c r="D10" s="221" t="inlineStr">
        <is>
          <t>CF474</t>
        </is>
      </c>
      <c r="E10" s="221" t="inlineStr">
        <is>
          <t>安工大七食堂</t>
        </is>
      </c>
      <c r="F10" s="219" t="inlineStr">
        <is>
          <t>强责</t>
        </is>
      </c>
      <c r="G10" s="222" t="inlineStr">
        <is>
          <t>卫屹</t>
        </is>
      </c>
      <c r="H10" s="222" t="inlineStr">
        <is>
          <t>第三班组</t>
        </is>
      </c>
      <c r="I10" s="232" t="inlineStr">
        <is>
          <t>猪脚饭系列（套饭系列、菜饭骨头汤系列）</t>
        </is>
      </c>
      <c r="J10" s="503" t="inlineStr">
        <is>
          <t>杨克顺</t>
        </is>
      </c>
      <c r="K10" s="224" t="inlineStr">
        <is>
          <t>/</t>
        </is>
      </c>
      <c r="L10" s="651" t="n">
        <v>700000</v>
      </c>
      <c r="M10" s="224" t="n">
        <v>0.07000000000000001</v>
      </c>
      <c r="N10" s="224" t="n">
        <v>0.01</v>
      </c>
      <c r="O10" s="224" t="inlineStr">
        <is>
          <t>/</t>
        </is>
      </c>
      <c r="P10" s="224" t="n">
        <v>0.03</v>
      </c>
      <c r="Q10" s="224" t="n">
        <v>0.03</v>
      </c>
      <c r="R10" s="224" t="n">
        <v>0.01</v>
      </c>
      <c r="S10" s="224" t="n">
        <v>0.02</v>
      </c>
      <c r="T10" s="224" t="n">
        <v>0.04</v>
      </c>
      <c r="U10" s="224" t="n">
        <v>0.05</v>
      </c>
      <c r="V10" s="224" t="inlineStr">
        <is>
          <t>/</t>
        </is>
      </c>
      <c r="W10" s="224" t="n">
        <v>0.4</v>
      </c>
      <c r="X10" s="349" t="inlineStr">
        <is>
          <t>/</t>
        </is>
      </c>
      <c r="Y10" s="461" t="inlineStr">
        <is>
          <t>/</t>
        </is>
      </c>
      <c r="Z10" s="461" t="inlineStr">
        <is>
          <t>/</t>
        </is>
      </c>
      <c r="AA10" s="349" t="inlineStr">
        <is>
          <t>/</t>
        </is>
      </c>
      <c r="AB10" s="652" t="inlineStr">
        <is>
          <t>/</t>
        </is>
      </c>
      <c r="AC10" s="652" t="inlineStr">
        <is>
          <t>/</t>
        </is>
      </c>
      <c r="AD10"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10" s="25" t="n"/>
    </row>
    <row r="11" ht="72" customFormat="1" customHeight="1" s="209">
      <c r="A11" s="219" t="n">
        <v>9</v>
      </c>
      <c r="B11" s="14" t="inlineStr">
        <is>
          <t>KQCY0009</t>
        </is>
      </c>
      <c r="C11" s="221" t="inlineStr">
        <is>
          <t>餐饮一分部</t>
        </is>
      </c>
      <c r="D11" s="221" t="inlineStr">
        <is>
          <t>CF474</t>
        </is>
      </c>
      <c r="E11" s="221" t="inlineStr">
        <is>
          <t>安工大七食堂</t>
        </is>
      </c>
      <c r="F11" s="219" t="inlineStr">
        <is>
          <t>强责</t>
        </is>
      </c>
      <c r="G11" s="222" t="inlineStr">
        <is>
          <t>卫屹</t>
        </is>
      </c>
      <c r="H11" s="222" t="inlineStr">
        <is>
          <t>第四班组</t>
        </is>
      </c>
      <c r="I11" s="232" t="inlineStr">
        <is>
          <t>拌饭系列（肉夹馍、紫菜包饭）</t>
        </is>
      </c>
      <c r="J11" s="503" t="inlineStr">
        <is>
          <t>魏祖华</t>
        </is>
      </c>
      <c r="K11" s="224" t="inlineStr">
        <is>
          <t>/</t>
        </is>
      </c>
      <c r="L11" s="651" t="n">
        <v>700000</v>
      </c>
      <c r="M11" s="224" t="n">
        <v>0.07000000000000001</v>
      </c>
      <c r="N11" s="224" t="n">
        <v>0.01</v>
      </c>
      <c r="O11" s="224" t="inlineStr">
        <is>
          <t>/</t>
        </is>
      </c>
      <c r="P11" s="224" t="n">
        <v>0.03</v>
      </c>
      <c r="Q11" s="224" t="n">
        <v>0.03</v>
      </c>
      <c r="R11" s="224" t="n">
        <v>0.01</v>
      </c>
      <c r="S11" s="224" t="n">
        <v>0.02</v>
      </c>
      <c r="T11" s="224" t="n">
        <v>0.04</v>
      </c>
      <c r="U11" s="224" t="n">
        <v>0.05</v>
      </c>
      <c r="V11" s="224" t="inlineStr">
        <is>
          <t>/</t>
        </is>
      </c>
      <c r="W11" s="224" t="n">
        <v>0.4</v>
      </c>
      <c r="X11" s="349" t="inlineStr">
        <is>
          <t>/</t>
        </is>
      </c>
      <c r="Y11" s="461" t="inlineStr">
        <is>
          <t>/</t>
        </is>
      </c>
      <c r="Z11" s="461" t="inlineStr">
        <is>
          <t>/</t>
        </is>
      </c>
      <c r="AA11" s="349" t="inlineStr">
        <is>
          <t>/</t>
        </is>
      </c>
      <c r="AB11" s="652" t="inlineStr">
        <is>
          <t>/</t>
        </is>
      </c>
      <c r="AC11" s="652" t="inlineStr">
        <is>
          <t>/</t>
        </is>
      </c>
      <c r="AD11"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11" s="25" t="n"/>
    </row>
    <row r="12" ht="12" customFormat="1" customHeight="1" s="209">
      <c r="A12" s="219" t="n">
        <v>10</v>
      </c>
      <c r="B12" s="14" t="inlineStr">
        <is>
          <t>KQCY0010</t>
        </is>
      </c>
      <c r="C12" s="221" t="inlineStr">
        <is>
          <t>餐饮一分部</t>
        </is>
      </c>
      <c r="D12" s="221" t="inlineStr">
        <is>
          <t>CF477</t>
        </is>
      </c>
      <c r="E12" s="221" t="inlineStr">
        <is>
          <t>上海民航第一食堂</t>
        </is>
      </c>
      <c r="F12" s="219" t="inlineStr">
        <is>
          <t>自营</t>
        </is>
      </c>
      <c r="G12" s="222" t="inlineStr">
        <is>
          <t>卫屹</t>
        </is>
      </c>
      <c r="H12" s="222" t="inlineStr">
        <is>
          <t>/</t>
        </is>
      </c>
      <c r="I12" s="237" t="inlineStr">
        <is>
          <t>/</t>
        </is>
      </c>
      <c r="J12" s="222" t="inlineStr">
        <is>
          <t>/</t>
        </is>
      </c>
      <c r="K12" s="224" t="inlineStr">
        <is>
          <t>/</t>
        </is>
      </c>
      <c r="L12" s="651" t="inlineStr">
        <is>
          <t>/</t>
        </is>
      </c>
      <c r="M12" s="224" t="inlineStr">
        <is>
          <t>/</t>
        </is>
      </c>
      <c r="N12" s="224" t="inlineStr">
        <is>
          <t>/</t>
        </is>
      </c>
      <c r="O12" s="224" t="inlineStr">
        <is>
          <t>/</t>
        </is>
      </c>
      <c r="P12" s="224" t="inlineStr">
        <is>
          <t>/</t>
        </is>
      </c>
      <c r="Q12" s="224" t="inlineStr">
        <is>
          <t>/</t>
        </is>
      </c>
      <c r="R12" s="224" t="inlineStr">
        <is>
          <t>/</t>
        </is>
      </c>
      <c r="S12" s="224" t="inlineStr">
        <is>
          <t>/</t>
        </is>
      </c>
      <c r="T12" s="224" t="inlineStr">
        <is>
          <t>/</t>
        </is>
      </c>
      <c r="U12" s="224" t="inlineStr">
        <is>
          <t>/</t>
        </is>
      </c>
      <c r="V12" s="224" t="inlineStr">
        <is>
          <t>/</t>
        </is>
      </c>
      <c r="W12" s="44" t="n"/>
      <c r="X12" s="461" t="inlineStr">
        <is>
          <t>/</t>
        </is>
      </c>
      <c r="Y12" s="461" t="inlineStr">
        <is>
          <t>/</t>
        </is>
      </c>
      <c r="Z12" s="461" t="inlineStr">
        <is>
          <t>/</t>
        </is>
      </c>
      <c r="AA12" s="461" t="inlineStr">
        <is>
          <t>/</t>
        </is>
      </c>
      <c r="AB12" s="54" t="n">
        <v>0.03</v>
      </c>
      <c r="AC12" s="652" t="inlineStr">
        <is>
          <t>/</t>
        </is>
      </c>
      <c r="AD12" s="232" t="n"/>
      <c r="AE12" s="25" t="n"/>
    </row>
    <row r="13" ht="12" customFormat="1" customHeight="1" s="209">
      <c r="A13" s="219" t="n">
        <v>11</v>
      </c>
      <c r="B13" s="14" t="inlineStr">
        <is>
          <t>KQCY0011</t>
        </is>
      </c>
      <c r="C13" s="221" t="inlineStr">
        <is>
          <t>餐饮一分部</t>
        </is>
      </c>
      <c r="D13" s="221" t="inlineStr">
        <is>
          <t>CF477</t>
        </is>
      </c>
      <c r="E13" s="221" t="inlineStr">
        <is>
          <t>上海民航第一食堂</t>
        </is>
      </c>
      <c r="F13" s="219" t="inlineStr">
        <is>
          <t>分组作业</t>
        </is>
      </c>
      <c r="G13" s="222" t="inlineStr">
        <is>
          <t>卫屹</t>
        </is>
      </c>
      <c r="H13" s="222" t="inlineStr">
        <is>
          <t>第二班组</t>
        </is>
      </c>
      <c r="I13" s="237" t="inlineStr">
        <is>
          <t>山东煎饼</t>
        </is>
      </c>
      <c r="J13" s="222" t="inlineStr">
        <is>
          <t>姚群</t>
        </is>
      </c>
      <c r="K13" s="224" t="inlineStr">
        <is>
          <t>/</t>
        </is>
      </c>
      <c r="L13" s="651" t="n">
        <v>570000</v>
      </c>
      <c r="M13" s="224" t="n">
        <v>0.1</v>
      </c>
      <c r="N13" s="224" t="n">
        <v>0.03</v>
      </c>
      <c r="O13" s="224" t="inlineStr">
        <is>
          <t>/</t>
        </is>
      </c>
      <c r="P13" s="224" t="n">
        <v>0.05</v>
      </c>
      <c r="Q13" s="224" t="n">
        <v>0.02</v>
      </c>
      <c r="R13" s="224" t="inlineStr">
        <is>
          <t>/</t>
        </is>
      </c>
      <c r="S13" s="224" t="n">
        <v>0.03</v>
      </c>
      <c r="T13" s="349" t="inlineStr">
        <is>
          <t>/</t>
        </is>
      </c>
      <c r="U13" s="224" t="n">
        <v>0.04</v>
      </c>
      <c r="V13" s="224" t="inlineStr">
        <is>
          <t>/</t>
        </is>
      </c>
      <c r="W13" s="44" t="n"/>
      <c r="X13" s="461" t="inlineStr">
        <is>
          <t>/</t>
        </is>
      </c>
      <c r="Y13" s="461" t="inlineStr">
        <is>
          <t>/</t>
        </is>
      </c>
      <c r="Z13" s="461" t="inlineStr">
        <is>
          <t>/</t>
        </is>
      </c>
      <c r="AA13" s="461" t="inlineStr">
        <is>
          <t>/</t>
        </is>
      </c>
      <c r="AB13" s="652" t="inlineStr">
        <is>
          <t>/</t>
        </is>
      </c>
      <c r="AC13" s="652" t="inlineStr">
        <is>
          <t>/</t>
        </is>
      </c>
      <c r="AD13" s="48" t="inlineStr">
        <is>
          <t>1、服务费：包含卫生费，不单独分摊</t>
        </is>
      </c>
      <c r="AE13" s="25" t="n"/>
    </row>
    <row r="14" ht="12" customFormat="1" customHeight="1" s="209">
      <c r="A14" s="219" t="n">
        <v>12</v>
      </c>
      <c r="B14" s="14" t="inlineStr">
        <is>
          <t>KQCY0012</t>
        </is>
      </c>
      <c r="C14" s="221" t="inlineStr">
        <is>
          <t>餐饮一分部</t>
        </is>
      </c>
      <c r="D14" s="221" t="inlineStr">
        <is>
          <t>CF477</t>
        </is>
      </c>
      <c r="E14" s="221" t="inlineStr">
        <is>
          <t>上海民航第一食堂</t>
        </is>
      </c>
      <c r="F14" s="219" t="inlineStr">
        <is>
          <t>分组作业</t>
        </is>
      </c>
      <c r="G14" s="222" t="inlineStr">
        <is>
          <t>卫屹</t>
        </is>
      </c>
      <c r="H14" s="222" t="inlineStr">
        <is>
          <t>第六班组</t>
        </is>
      </c>
      <c r="I14" s="237" t="inlineStr">
        <is>
          <t>蜜雪冰城</t>
        </is>
      </c>
      <c r="J14" s="222" t="inlineStr">
        <is>
          <t>任黎明</t>
        </is>
      </c>
      <c r="K14" s="224" t="inlineStr">
        <is>
          <t>/</t>
        </is>
      </c>
      <c r="L14" s="651" t="n">
        <v>899800</v>
      </c>
      <c r="M14" s="224" t="inlineStr">
        <is>
          <t>/</t>
        </is>
      </c>
      <c r="N14" s="224" t="inlineStr">
        <is>
          <t>/</t>
        </is>
      </c>
      <c r="O14" s="224" t="inlineStr">
        <is>
          <t>/</t>
        </is>
      </c>
      <c r="P14" s="224" t="inlineStr">
        <is>
          <t>/</t>
        </is>
      </c>
      <c r="Q14" s="224" t="inlineStr">
        <is>
          <t>/</t>
        </is>
      </c>
      <c r="R14" s="224" t="inlineStr">
        <is>
          <t>/</t>
        </is>
      </c>
      <c r="S14" s="224" t="inlineStr">
        <is>
          <t>/</t>
        </is>
      </c>
      <c r="T14" s="224" t="inlineStr">
        <is>
          <t>/</t>
        </is>
      </c>
      <c r="U14" s="224" t="inlineStr">
        <is>
          <t>/</t>
        </is>
      </c>
      <c r="V14" s="653" t="n">
        <v>160000</v>
      </c>
      <c r="W14" s="461" t="inlineStr">
        <is>
          <t>/</t>
        </is>
      </c>
      <c r="X14" s="461" t="inlineStr">
        <is>
          <t>/</t>
        </is>
      </c>
      <c r="Y14" s="461" t="inlineStr">
        <is>
          <t>/</t>
        </is>
      </c>
      <c r="Z14" s="461" t="inlineStr">
        <is>
          <t>/</t>
        </is>
      </c>
      <c r="AA14" s="461" t="inlineStr">
        <is>
          <t>/</t>
        </is>
      </c>
      <c r="AB14" s="652" t="inlineStr">
        <is>
          <t>/</t>
        </is>
      </c>
      <c r="AC14" s="652" t="inlineStr">
        <is>
          <t>/</t>
        </is>
      </c>
      <c r="AD14" s="232" t="inlineStr">
        <is>
          <t>1、其他：固定资金16万元/年</t>
        </is>
      </c>
      <c r="AE14" s="25" t="n"/>
    </row>
    <row r="15" ht="12" customFormat="1" customHeight="1" s="209">
      <c r="A15" s="219" t="n">
        <v>13</v>
      </c>
      <c r="B15" s="14" t="inlineStr">
        <is>
          <t>KQCY0013</t>
        </is>
      </c>
      <c r="C15" s="221" t="inlineStr">
        <is>
          <t>餐饮一分部</t>
        </is>
      </c>
      <c r="D15" s="221" t="inlineStr">
        <is>
          <t>CF477</t>
        </is>
      </c>
      <c r="E15" s="221" t="inlineStr">
        <is>
          <t>上海民航第一食堂</t>
        </is>
      </c>
      <c r="F15" s="219" t="inlineStr">
        <is>
          <t>分组作业</t>
        </is>
      </c>
      <c r="G15" s="222" t="inlineStr">
        <is>
          <t>卫屹</t>
        </is>
      </c>
      <c r="H15" s="222" t="inlineStr">
        <is>
          <t>第三班组</t>
        </is>
      </c>
      <c r="I15" s="237" t="inlineStr">
        <is>
          <t>糖水粥铺</t>
        </is>
      </c>
      <c r="J15" s="222" t="inlineStr">
        <is>
          <t>孙青青</t>
        </is>
      </c>
      <c r="K15" s="224" t="inlineStr">
        <is>
          <t>/</t>
        </is>
      </c>
      <c r="L15" s="651" t="n">
        <v>449900</v>
      </c>
      <c r="M15" s="224" t="n">
        <v>0.1</v>
      </c>
      <c r="N15" s="224" t="n">
        <v>0.03</v>
      </c>
      <c r="O15" s="224" t="inlineStr">
        <is>
          <t>/</t>
        </is>
      </c>
      <c r="P15" s="224" t="n">
        <v>0.05</v>
      </c>
      <c r="Q15" s="224" t="n">
        <v>0.02</v>
      </c>
      <c r="R15" s="224" t="inlineStr">
        <is>
          <t>/</t>
        </is>
      </c>
      <c r="S15" s="224" t="n">
        <v>0.03</v>
      </c>
      <c r="T15" s="349" t="inlineStr">
        <is>
          <t>/</t>
        </is>
      </c>
      <c r="U15" s="224" t="n">
        <v>0.04</v>
      </c>
      <c r="V15" s="224" t="inlineStr">
        <is>
          <t>/</t>
        </is>
      </c>
      <c r="W15" s="44" t="n"/>
      <c r="X15" s="461" t="inlineStr">
        <is>
          <t>/</t>
        </is>
      </c>
      <c r="Y15" s="461" t="inlineStr">
        <is>
          <t>/</t>
        </is>
      </c>
      <c r="Z15" s="461" t="inlineStr">
        <is>
          <t>/</t>
        </is>
      </c>
      <c r="AA15" s="461" t="inlineStr">
        <is>
          <t>/</t>
        </is>
      </c>
      <c r="AB15" s="652" t="inlineStr">
        <is>
          <t>/</t>
        </is>
      </c>
      <c r="AC15" s="652" t="inlineStr">
        <is>
          <t>/</t>
        </is>
      </c>
      <c r="AD15" s="48" t="inlineStr">
        <is>
          <t>1、服务费：包含卫生费，不单独分摊</t>
        </is>
      </c>
      <c r="AE15" s="25" t="n"/>
    </row>
    <row r="16" ht="12" customFormat="1" customHeight="1" s="209">
      <c r="A16" s="219" t="n">
        <v>14</v>
      </c>
      <c r="B16" s="14" t="inlineStr">
        <is>
          <t>KQCY0014</t>
        </is>
      </c>
      <c r="C16" s="221" t="inlineStr">
        <is>
          <t>餐饮一分部</t>
        </is>
      </c>
      <c r="D16" s="221" t="inlineStr">
        <is>
          <t>CF477</t>
        </is>
      </c>
      <c r="E16" s="221" t="inlineStr">
        <is>
          <t>上海民航第一食堂</t>
        </is>
      </c>
      <c r="F16" s="219" t="inlineStr">
        <is>
          <t>分组作业</t>
        </is>
      </c>
      <c r="G16" s="222" t="inlineStr">
        <is>
          <t>卫屹</t>
        </is>
      </c>
      <c r="H16" s="222" t="inlineStr">
        <is>
          <t>第四班组</t>
        </is>
      </c>
      <c r="I16" s="237" t="inlineStr">
        <is>
          <t>大碗面</t>
        </is>
      </c>
      <c r="J16" s="222" t="inlineStr">
        <is>
          <t>景帅帅</t>
        </is>
      </c>
      <c r="K16" s="224" t="inlineStr">
        <is>
          <t>/</t>
        </is>
      </c>
      <c r="L16" s="651" t="n">
        <v>486500</v>
      </c>
      <c r="M16" s="224" t="n">
        <v>0.1</v>
      </c>
      <c r="N16" s="224" t="n">
        <v>0.03</v>
      </c>
      <c r="O16" s="224" t="inlineStr">
        <is>
          <t>/</t>
        </is>
      </c>
      <c r="P16" s="224" t="n">
        <v>0.05</v>
      </c>
      <c r="Q16" s="224" t="n">
        <v>0.02</v>
      </c>
      <c r="R16" s="224" t="inlineStr">
        <is>
          <t>/</t>
        </is>
      </c>
      <c r="S16" s="224" t="n">
        <v>0.03</v>
      </c>
      <c r="T16" s="349" t="inlineStr">
        <is>
          <t>/</t>
        </is>
      </c>
      <c r="U16" s="224" t="n">
        <v>0.04</v>
      </c>
      <c r="V16" s="224" t="inlineStr">
        <is>
          <t>/</t>
        </is>
      </c>
      <c r="W16" s="44" t="n"/>
      <c r="X16" s="461" t="inlineStr">
        <is>
          <t>/</t>
        </is>
      </c>
      <c r="Y16" s="461" t="inlineStr">
        <is>
          <t>/</t>
        </is>
      </c>
      <c r="Z16" s="461" t="inlineStr">
        <is>
          <t>/</t>
        </is>
      </c>
      <c r="AA16" s="461" t="inlineStr">
        <is>
          <t>/</t>
        </is>
      </c>
      <c r="AB16" s="652" t="inlineStr">
        <is>
          <t>/</t>
        </is>
      </c>
      <c r="AC16" s="652" t="inlineStr">
        <is>
          <t>/</t>
        </is>
      </c>
      <c r="AD16" s="48" t="inlineStr">
        <is>
          <t>1、服务费：包含卫生费，不单独分摊</t>
        </is>
      </c>
      <c r="AE16" s="25" t="n"/>
    </row>
    <row r="17" ht="12" customFormat="1" customHeight="1" s="209">
      <c r="A17" s="219" t="n">
        <v>15</v>
      </c>
      <c r="B17" s="14" t="inlineStr">
        <is>
          <t>KQCY0015</t>
        </is>
      </c>
      <c r="C17" s="221" t="inlineStr">
        <is>
          <t>餐饮一分部</t>
        </is>
      </c>
      <c r="D17" s="221" t="inlineStr">
        <is>
          <t>CF477</t>
        </is>
      </c>
      <c r="E17" s="221" t="inlineStr">
        <is>
          <t>上海民航第一食堂</t>
        </is>
      </c>
      <c r="F17" s="219" t="inlineStr">
        <is>
          <t>分组作业</t>
        </is>
      </c>
      <c r="G17" s="222" t="inlineStr">
        <is>
          <t>卫屹</t>
        </is>
      </c>
      <c r="H17" s="222" t="inlineStr">
        <is>
          <t>第一班组</t>
        </is>
      </c>
      <c r="I17" s="237" t="inlineStr">
        <is>
          <t>早餐</t>
        </is>
      </c>
      <c r="J17" s="222" t="inlineStr">
        <is>
          <t>芦磊</t>
        </is>
      </c>
      <c r="K17" s="224" t="inlineStr">
        <is>
          <t>/</t>
        </is>
      </c>
      <c r="L17" s="651" t="n">
        <v>628600</v>
      </c>
      <c r="M17" s="224" t="n">
        <v>0.1</v>
      </c>
      <c r="N17" s="224" t="n">
        <v>0.03</v>
      </c>
      <c r="O17" s="224" t="inlineStr">
        <is>
          <t>/</t>
        </is>
      </c>
      <c r="P17" s="224" t="n">
        <v>0.05</v>
      </c>
      <c r="Q17" s="224" t="n">
        <v>0.02</v>
      </c>
      <c r="R17" s="224" t="inlineStr">
        <is>
          <t>/</t>
        </is>
      </c>
      <c r="S17" s="224" t="n">
        <v>0.03</v>
      </c>
      <c r="T17" s="349" t="inlineStr">
        <is>
          <t>/</t>
        </is>
      </c>
      <c r="U17" s="349" t="inlineStr">
        <is>
          <t>/</t>
        </is>
      </c>
      <c r="V17" s="224" t="inlineStr">
        <is>
          <t>/</t>
        </is>
      </c>
      <c r="W17" s="44" t="n"/>
      <c r="X17" s="461" t="inlineStr">
        <is>
          <t>/</t>
        </is>
      </c>
      <c r="Y17" s="461" t="inlineStr">
        <is>
          <t>/</t>
        </is>
      </c>
      <c r="Z17" s="461" t="inlineStr">
        <is>
          <t>/</t>
        </is>
      </c>
      <c r="AA17" s="461" t="inlineStr">
        <is>
          <t>/</t>
        </is>
      </c>
      <c r="AB17" s="652" t="inlineStr">
        <is>
          <t>/</t>
        </is>
      </c>
      <c r="AC17" s="652" t="inlineStr">
        <is>
          <t>/</t>
        </is>
      </c>
      <c r="AD17" s="48" t="inlineStr">
        <is>
          <t>1、服务费：包含卫生费、能源费，不单独分摊</t>
        </is>
      </c>
      <c r="AE17" s="25" t="n"/>
    </row>
    <row r="18" ht="12" customFormat="1" customHeight="1" s="209">
      <c r="A18" s="219" t="n">
        <v>16</v>
      </c>
      <c r="B18" s="14" t="inlineStr">
        <is>
          <t>KQCY0016</t>
        </is>
      </c>
      <c r="C18" s="221" t="inlineStr">
        <is>
          <t>餐饮一分部</t>
        </is>
      </c>
      <c r="D18" s="221" t="inlineStr">
        <is>
          <t>CF272</t>
        </is>
      </c>
      <c r="E18" s="221" t="inlineStr">
        <is>
          <t>苏州工学院南一食堂</t>
        </is>
      </c>
      <c r="F18" s="219" t="inlineStr">
        <is>
          <t>强责</t>
        </is>
      </c>
      <c r="G18" s="222" t="inlineStr">
        <is>
          <t>位军浩</t>
        </is>
      </c>
      <c r="H18" s="503" t="inlineStr">
        <is>
          <t>/</t>
        </is>
      </c>
      <c r="I18" s="503" t="inlineStr">
        <is>
          <t>/</t>
        </is>
      </c>
      <c r="J18" s="503" t="inlineStr">
        <is>
          <t>/</t>
        </is>
      </c>
      <c r="K18" s="349" t="inlineStr">
        <is>
          <t>/</t>
        </is>
      </c>
      <c r="L18" s="651" t="inlineStr">
        <is>
          <t>/</t>
        </is>
      </c>
      <c r="M18" s="224" t="inlineStr">
        <is>
          <t>/</t>
        </is>
      </c>
      <c r="N18" s="47" t="n"/>
      <c r="O18" s="47" t="n"/>
      <c r="P18" s="47" t="n"/>
      <c r="Q18" s="349" t="inlineStr">
        <is>
          <t>/</t>
        </is>
      </c>
      <c r="R18" s="349" t="inlineStr">
        <is>
          <t>/</t>
        </is>
      </c>
      <c r="S18" s="349" t="inlineStr">
        <is>
          <t>/</t>
        </is>
      </c>
      <c r="T18" s="47" t="n"/>
      <c r="U18" s="47" t="n"/>
      <c r="V18" s="47" t="n"/>
      <c r="W18" s="47" t="n"/>
      <c r="X18" s="349" t="inlineStr">
        <is>
          <t>/</t>
        </is>
      </c>
      <c r="Y18" s="480" t="inlineStr">
        <is>
          <t>/</t>
        </is>
      </c>
      <c r="Z18" s="480" t="inlineStr">
        <is>
          <t>/</t>
        </is>
      </c>
      <c r="AA18" s="44" t="n">
        <v>350000</v>
      </c>
      <c r="AB18" s="54" t="n">
        <v>0.02</v>
      </c>
      <c r="AC18" s="654" t="inlineStr">
        <is>
          <t>/</t>
        </is>
      </c>
      <c r="AD18" s="48" t="inlineStr">
        <is>
          <t>1、自营未实际经营；</t>
        </is>
      </c>
      <c r="AE18" s="25" t="n"/>
    </row>
    <row r="19" ht="48" customFormat="1" customHeight="1" s="209">
      <c r="A19" s="219" t="n">
        <v>17</v>
      </c>
      <c r="B19" s="14" t="inlineStr">
        <is>
          <t>KQCY0017</t>
        </is>
      </c>
      <c r="C19" s="221" t="inlineStr">
        <is>
          <t>餐饮一分部</t>
        </is>
      </c>
      <c r="D19" s="221" t="inlineStr">
        <is>
          <t>CF272</t>
        </is>
      </c>
      <c r="E19" s="221" t="inlineStr">
        <is>
          <t>苏州工学院南一食堂</t>
        </is>
      </c>
      <c r="F19" s="219" t="inlineStr">
        <is>
          <t>强责</t>
        </is>
      </c>
      <c r="G19" s="222" t="inlineStr">
        <is>
          <t>位军浩</t>
        </is>
      </c>
      <c r="H19" s="503" t="inlineStr">
        <is>
          <t>/</t>
        </is>
      </c>
      <c r="I19" s="237" t="inlineStr">
        <is>
          <t>饼铺</t>
        </is>
      </c>
      <c r="J19" s="503" t="inlineStr">
        <is>
          <t>纪洪强</t>
        </is>
      </c>
      <c r="K19" s="224" t="inlineStr">
        <is>
          <t>/</t>
        </is>
      </c>
      <c r="L19" s="651" t="n">
        <v>460000</v>
      </c>
      <c r="M19" s="22" t="n">
        <v>0.08</v>
      </c>
      <c r="N19" s="224" t="inlineStr">
        <is>
          <t>/</t>
        </is>
      </c>
      <c r="O19" s="349" t="inlineStr">
        <is>
          <t>/</t>
        </is>
      </c>
      <c r="P19" s="22" t="n">
        <v>0.065</v>
      </c>
      <c r="Q19" s="22" t="n">
        <v>0.02</v>
      </c>
      <c r="R19" s="22" t="n">
        <v>0.035</v>
      </c>
      <c r="S19" s="224" t="inlineStr">
        <is>
          <t>/</t>
        </is>
      </c>
      <c r="T19" s="224" t="n">
        <v>0.03</v>
      </c>
      <c r="U19" s="224" t="n">
        <v>0.06</v>
      </c>
      <c r="V19" s="502" t="inlineStr">
        <is>
          <t>/</t>
        </is>
      </c>
      <c r="W19" s="47" t="n"/>
      <c r="X19" s="502" t="inlineStr">
        <is>
          <t>/</t>
        </is>
      </c>
      <c r="Y19" s="502" t="inlineStr">
        <is>
          <t>/</t>
        </is>
      </c>
      <c r="Z19" s="502" t="inlineStr">
        <is>
          <t>/</t>
        </is>
      </c>
      <c r="AA19" s="349" t="inlineStr">
        <is>
          <t>/</t>
        </is>
      </c>
      <c r="AB19" s="22" t="inlineStr">
        <is>
          <t>/</t>
        </is>
      </c>
      <c r="AC19" s="224" t="inlineStr">
        <is>
          <t>/</t>
        </is>
      </c>
      <c r="AD19" s="57" t="inlineStr">
        <is>
          <t>1、甲方捐赠：35万/年，分组作业未分摊，服务费已包含；
2、采购费：1.35万/年，分组作业未分摊，服务费已包含；</t>
        </is>
      </c>
      <c r="AE19" s="25" t="inlineStr">
        <is>
          <t xml:space="preserve">
1、签订期间：2026.2.25-2026.7.19；
2、指标按照全年换算；
</t>
        </is>
      </c>
    </row>
    <row r="20" ht="48" customFormat="1" customHeight="1" s="209">
      <c r="A20" s="219" t="n">
        <v>18</v>
      </c>
      <c r="B20" s="14" t="inlineStr">
        <is>
          <t>KQCY0018</t>
        </is>
      </c>
      <c r="C20" s="221" t="inlineStr">
        <is>
          <t>餐饮一分部</t>
        </is>
      </c>
      <c r="D20" s="221" t="inlineStr">
        <is>
          <t>CF272</t>
        </is>
      </c>
      <c r="E20" s="221" t="inlineStr">
        <is>
          <t>苏州工学院南一食堂</t>
        </is>
      </c>
      <c r="F20" s="219" t="inlineStr">
        <is>
          <t>强责</t>
        </is>
      </c>
      <c r="G20" s="222" t="inlineStr">
        <is>
          <t>位军浩</t>
        </is>
      </c>
      <c r="H20" s="503" t="inlineStr">
        <is>
          <t>/</t>
        </is>
      </c>
      <c r="I20" s="237" t="inlineStr">
        <is>
          <t>粥铺</t>
        </is>
      </c>
      <c r="J20" s="503" t="inlineStr">
        <is>
          <t>贺明</t>
        </is>
      </c>
      <c r="K20" s="224" t="inlineStr">
        <is>
          <t>/</t>
        </is>
      </c>
      <c r="L20" s="651" t="n">
        <v>384000</v>
      </c>
      <c r="M20" s="22" t="n">
        <v>0.08</v>
      </c>
      <c r="N20" s="224" t="inlineStr">
        <is>
          <t>/</t>
        </is>
      </c>
      <c r="O20" s="349" t="inlineStr">
        <is>
          <t>/</t>
        </is>
      </c>
      <c r="P20" s="22" t="n">
        <v>0.065</v>
      </c>
      <c r="Q20" s="22" t="n">
        <v>0.02</v>
      </c>
      <c r="R20" s="22" t="n">
        <v>0.035</v>
      </c>
      <c r="S20" s="224" t="inlineStr">
        <is>
          <t>/</t>
        </is>
      </c>
      <c r="T20" s="224" t="n">
        <v>0.03</v>
      </c>
      <c r="U20" s="224" t="n">
        <v>0.06</v>
      </c>
      <c r="V20" s="502" t="inlineStr">
        <is>
          <t>/</t>
        </is>
      </c>
      <c r="W20" s="47" t="n"/>
      <c r="X20" s="502" t="inlineStr">
        <is>
          <t>/</t>
        </is>
      </c>
      <c r="Y20" s="502" t="inlineStr">
        <is>
          <t>/</t>
        </is>
      </c>
      <c r="Z20" s="502" t="inlineStr">
        <is>
          <t>/</t>
        </is>
      </c>
      <c r="AA20" s="349" t="inlineStr">
        <is>
          <t>/</t>
        </is>
      </c>
      <c r="AB20" s="22" t="inlineStr">
        <is>
          <t>/</t>
        </is>
      </c>
      <c r="AC20" s="224" t="inlineStr">
        <is>
          <t>/</t>
        </is>
      </c>
      <c r="AD20" s="57" t="inlineStr">
        <is>
          <t>1、甲方捐赠：35万/年，分组作业未分摊，服务费已包含；
2、采购费：1.35万/年，分组作业未分摊，服务费已包含；</t>
        </is>
      </c>
      <c r="AE20" s="25" t="inlineStr">
        <is>
          <t xml:space="preserve">
1、签订期间：2026.2.25-2026.7.19；
2、指标按照全年换算；
</t>
        </is>
      </c>
    </row>
    <row r="21" ht="48" customFormat="1" customHeight="1" s="209">
      <c r="A21" s="219" t="n">
        <v>19</v>
      </c>
      <c r="B21" s="14" t="inlineStr">
        <is>
          <t>KQCY0019</t>
        </is>
      </c>
      <c r="C21" s="221" t="inlineStr">
        <is>
          <t>餐饮一分部</t>
        </is>
      </c>
      <c r="D21" s="221" t="inlineStr">
        <is>
          <t>CF272</t>
        </is>
      </c>
      <c r="E21" s="221" t="inlineStr">
        <is>
          <t>苏州工学院南一食堂</t>
        </is>
      </c>
      <c r="F21" s="219" t="inlineStr">
        <is>
          <t>强责</t>
        </is>
      </c>
      <c r="G21" s="222" t="inlineStr">
        <is>
          <t>位军浩</t>
        </is>
      </c>
      <c r="H21" s="503" t="inlineStr">
        <is>
          <t>/</t>
        </is>
      </c>
      <c r="I21" s="237" t="inlineStr">
        <is>
          <t>老乡邨</t>
        </is>
      </c>
      <c r="J21" s="503" t="inlineStr">
        <is>
          <t>刘少军</t>
        </is>
      </c>
      <c r="K21" s="224" t="inlineStr">
        <is>
          <t>/</t>
        </is>
      </c>
      <c r="L21" s="651" t="n">
        <v>930000</v>
      </c>
      <c r="M21" s="22" t="n">
        <v>0.08</v>
      </c>
      <c r="N21" s="224" t="inlineStr">
        <is>
          <t>/</t>
        </is>
      </c>
      <c r="O21" s="349" t="inlineStr">
        <is>
          <t>/</t>
        </is>
      </c>
      <c r="P21" s="22" t="n">
        <v>0.065</v>
      </c>
      <c r="Q21" s="22" t="n">
        <v>0.02</v>
      </c>
      <c r="R21" s="22" t="n">
        <v>0.035</v>
      </c>
      <c r="S21" s="224" t="inlineStr">
        <is>
          <t>/</t>
        </is>
      </c>
      <c r="T21" s="224" t="n">
        <v>0.03</v>
      </c>
      <c r="U21" s="224" t="n">
        <v>0.06</v>
      </c>
      <c r="V21" s="502" t="inlineStr">
        <is>
          <t>/</t>
        </is>
      </c>
      <c r="W21" s="47" t="n"/>
      <c r="X21" s="502" t="inlineStr">
        <is>
          <t>/</t>
        </is>
      </c>
      <c r="Y21" s="502" t="inlineStr">
        <is>
          <t>/</t>
        </is>
      </c>
      <c r="Z21" s="502" t="inlineStr">
        <is>
          <t>/</t>
        </is>
      </c>
      <c r="AA21" s="349" t="inlineStr">
        <is>
          <t>/</t>
        </is>
      </c>
      <c r="AB21" s="22" t="inlineStr">
        <is>
          <t>/</t>
        </is>
      </c>
      <c r="AC21" s="224" t="inlineStr">
        <is>
          <t>/</t>
        </is>
      </c>
      <c r="AD21" s="57" t="inlineStr">
        <is>
          <t>1、甲方捐赠：35万/年，分组作业未分摊，服务费已包含；
2、采购费：1.35万/年，分组作业未分摊，服务费已包含；</t>
        </is>
      </c>
      <c r="AE21" s="25" t="inlineStr">
        <is>
          <t xml:space="preserve">
1、签订期间：2026.2.25-2026.7.19；
2、指标按照全年换算；
</t>
        </is>
      </c>
    </row>
    <row r="22" ht="48" customFormat="1" customHeight="1" s="209">
      <c r="A22" s="219" t="n">
        <v>20</v>
      </c>
      <c r="B22" s="14" t="inlineStr">
        <is>
          <t>KQCY0020</t>
        </is>
      </c>
      <c r="C22" s="221" t="inlineStr">
        <is>
          <t>餐饮一分部</t>
        </is>
      </c>
      <c r="D22" s="221" t="inlineStr">
        <is>
          <t>CF272</t>
        </is>
      </c>
      <c r="E22" s="221" t="inlineStr">
        <is>
          <t>苏州工学院南一食堂</t>
        </is>
      </c>
      <c r="F22" s="219" t="inlineStr">
        <is>
          <t>强责</t>
        </is>
      </c>
      <c r="G22" s="222" t="inlineStr">
        <is>
          <t>位军浩</t>
        </is>
      </c>
      <c r="H22" s="503" t="inlineStr">
        <is>
          <t>/</t>
        </is>
      </c>
      <c r="I22" s="237" t="inlineStr">
        <is>
          <t>科桥小厨</t>
        </is>
      </c>
      <c r="J22" s="503" t="inlineStr">
        <is>
          <t>吴浩</t>
        </is>
      </c>
      <c r="K22" s="224" t="inlineStr">
        <is>
          <t>/</t>
        </is>
      </c>
      <c r="L22" s="651" t="n">
        <v>1280000</v>
      </c>
      <c r="M22" s="22" t="n">
        <v>0.06</v>
      </c>
      <c r="N22" s="224" t="inlineStr">
        <is>
          <t>/</t>
        </is>
      </c>
      <c r="O22" s="349" t="inlineStr">
        <is>
          <t>/</t>
        </is>
      </c>
      <c r="P22" s="22" t="n">
        <v>0.055</v>
      </c>
      <c r="Q22" s="22" t="n">
        <v>0.02</v>
      </c>
      <c r="R22" s="22" t="n">
        <v>0.025</v>
      </c>
      <c r="S22" s="224" t="inlineStr">
        <is>
          <t>/</t>
        </is>
      </c>
      <c r="T22" s="224" t="n">
        <v>0.03</v>
      </c>
      <c r="U22" s="224" t="n">
        <v>0.06</v>
      </c>
      <c r="V22" s="502" t="inlineStr">
        <is>
          <t>/</t>
        </is>
      </c>
      <c r="W22" s="47" t="n"/>
      <c r="X22" s="502" t="inlineStr">
        <is>
          <t>/</t>
        </is>
      </c>
      <c r="Y22" s="502" t="inlineStr">
        <is>
          <t>/</t>
        </is>
      </c>
      <c r="Z22" s="502" t="inlineStr">
        <is>
          <t>/</t>
        </is>
      </c>
      <c r="AA22" s="349" t="inlineStr">
        <is>
          <t>/</t>
        </is>
      </c>
      <c r="AB22" s="22" t="inlineStr">
        <is>
          <t>/</t>
        </is>
      </c>
      <c r="AC22" s="224" t="inlineStr">
        <is>
          <t>/</t>
        </is>
      </c>
      <c r="AD22" s="57" t="inlineStr">
        <is>
          <t>1、甲方捐赠：35万/年，分组作业未分摊，服务费已包含；
2、采购费：1.35万/年，分组作业未分摊，服务费已包含；</t>
        </is>
      </c>
      <c r="AE22" s="25" t="inlineStr">
        <is>
          <t xml:space="preserve">
1、签订期间：2026.2.25-2026.7.19；
2、指标按照全年换算；
</t>
        </is>
      </c>
    </row>
    <row r="23" ht="48" customFormat="1" customHeight="1" s="209">
      <c r="A23" s="219" t="n">
        <v>21</v>
      </c>
      <c r="B23" s="14" t="inlineStr">
        <is>
          <t>KQCY0021</t>
        </is>
      </c>
      <c r="C23" s="221" t="inlineStr">
        <is>
          <t>餐饮一分部</t>
        </is>
      </c>
      <c r="D23" s="221" t="inlineStr">
        <is>
          <t>CF272</t>
        </is>
      </c>
      <c r="E23" s="221" t="inlineStr">
        <is>
          <t>苏州工学院南一食堂</t>
        </is>
      </c>
      <c r="F23" s="219" t="inlineStr">
        <is>
          <t>强责</t>
        </is>
      </c>
      <c r="G23" s="222" t="inlineStr">
        <is>
          <t>位军浩</t>
        </is>
      </c>
      <c r="H23" s="503" t="inlineStr">
        <is>
          <t>/</t>
        </is>
      </c>
      <c r="I23" s="237" t="inlineStr">
        <is>
          <t>清汤米线</t>
        </is>
      </c>
      <c r="J23" s="503" t="inlineStr">
        <is>
          <t>张郁磊</t>
        </is>
      </c>
      <c r="K23" s="224" t="inlineStr">
        <is>
          <t>/</t>
        </is>
      </c>
      <c r="L23" s="651" t="n">
        <v>264000</v>
      </c>
      <c r="M23" s="22" t="n">
        <v>0.08</v>
      </c>
      <c r="N23" s="224" t="inlineStr">
        <is>
          <t>/</t>
        </is>
      </c>
      <c r="O23" s="349" t="inlineStr">
        <is>
          <t>/</t>
        </is>
      </c>
      <c r="P23" s="22" t="n">
        <v>0.065</v>
      </c>
      <c r="Q23" s="22" t="n">
        <v>0.02</v>
      </c>
      <c r="R23" s="22" t="n">
        <v>0.035</v>
      </c>
      <c r="S23" s="224" t="inlineStr">
        <is>
          <t>/</t>
        </is>
      </c>
      <c r="T23" s="224" t="n">
        <v>0.03</v>
      </c>
      <c r="U23" s="224" t="n">
        <v>0.06</v>
      </c>
      <c r="V23" s="502" t="inlineStr">
        <is>
          <t>/</t>
        </is>
      </c>
      <c r="W23" s="47" t="n"/>
      <c r="X23" s="502" t="inlineStr">
        <is>
          <t>/</t>
        </is>
      </c>
      <c r="Y23" s="502" t="inlineStr">
        <is>
          <t>/</t>
        </is>
      </c>
      <c r="Z23" s="502" t="inlineStr">
        <is>
          <t>/</t>
        </is>
      </c>
      <c r="AA23" s="349" t="inlineStr">
        <is>
          <t>/</t>
        </is>
      </c>
      <c r="AB23" s="22" t="inlineStr">
        <is>
          <t>/</t>
        </is>
      </c>
      <c r="AC23" s="224" t="inlineStr">
        <is>
          <t>/</t>
        </is>
      </c>
      <c r="AD23" s="57" t="inlineStr">
        <is>
          <t>1、甲方捐赠：35万/年，分组作业未分摊，服务费已包含；
2、采购费：1.35万/年，分组作业未分摊，服务费已包含；</t>
        </is>
      </c>
      <c r="AE23" s="25" t="inlineStr">
        <is>
          <t xml:space="preserve">
1、签订期间：2026.2.25-2026.7.19；
2、指标按照全年换算；
</t>
        </is>
      </c>
    </row>
    <row r="24" ht="48" customFormat="1" customHeight="1" s="209">
      <c r="A24" s="219" t="n">
        <v>22</v>
      </c>
      <c r="B24" s="14" t="inlineStr">
        <is>
          <t>KQCY0022</t>
        </is>
      </c>
      <c r="C24" s="221" t="inlineStr">
        <is>
          <t>餐饮一分部</t>
        </is>
      </c>
      <c r="D24" s="221" t="inlineStr">
        <is>
          <t>CF272</t>
        </is>
      </c>
      <c r="E24" s="221" t="inlineStr">
        <is>
          <t>苏州工学院南一食堂</t>
        </is>
      </c>
      <c r="F24" s="219" t="inlineStr">
        <is>
          <t>强责</t>
        </is>
      </c>
      <c r="G24" s="222" t="inlineStr">
        <is>
          <t>位军浩</t>
        </is>
      </c>
      <c r="H24" s="503" t="inlineStr">
        <is>
          <t>/</t>
        </is>
      </c>
      <c r="I24" s="237" t="inlineStr">
        <is>
          <t>黑鸭堡</t>
        </is>
      </c>
      <c r="J24" s="503" t="inlineStr">
        <is>
          <t>张郁磊</t>
        </is>
      </c>
      <c r="K24" s="224" t="inlineStr">
        <is>
          <t>/</t>
        </is>
      </c>
      <c r="L24" s="651" t="n">
        <v>290000</v>
      </c>
      <c r="M24" s="22" t="n">
        <v>0.08</v>
      </c>
      <c r="N24" s="224" t="inlineStr">
        <is>
          <t>/</t>
        </is>
      </c>
      <c r="O24" s="349" t="inlineStr">
        <is>
          <t>/</t>
        </is>
      </c>
      <c r="P24" s="22" t="n">
        <v>0.065</v>
      </c>
      <c r="Q24" s="22" t="n">
        <v>0.02</v>
      </c>
      <c r="R24" s="22" t="n">
        <v>0.035</v>
      </c>
      <c r="S24" s="224" t="inlineStr">
        <is>
          <t>/</t>
        </is>
      </c>
      <c r="T24" s="224" t="n">
        <v>0.03</v>
      </c>
      <c r="U24" s="224" t="n">
        <v>0.06</v>
      </c>
      <c r="V24" s="502" t="inlineStr">
        <is>
          <t>/</t>
        </is>
      </c>
      <c r="W24" s="47" t="n"/>
      <c r="X24" s="502" t="inlineStr">
        <is>
          <t>/</t>
        </is>
      </c>
      <c r="Y24" s="502" t="inlineStr">
        <is>
          <t>/</t>
        </is>
      </c>
      <c r="Z24" s="502" t="inlineStr">
        <is>
          <t>/</t>
        </is>
      </c>
      <c r="AA24" s="349" t="inlineStr">
        <is>
          <t>/</t>
        </is>
      </c>
      <c r="AB24" s="22" t="inlineStr">
        <is>
          <t>/</t>
        </is>
      </c>
      <c r="AC24" s="224" t="inlineStr">
        <is>
          <t>/</t>
        </is>
      </c>
      <c r="AD24" s="57" t="inlineStr">
        <is>
          <t>1、甲方捐赠：35万/年，分组作业未分摊，服务费已包含；
2、采购费：1.35万/年，分组作业未分摊，服务费已包含；</t>
        </is>
      </c>
      <c r="AE24" s="25" t="inlineStr">
        <is>
          <t xml:space="preserve">
1、签订期间：2026.2.25-2026.7.19；
2、指标按照全年换算；
</t>
        </is>
      </c>
    </row>
    <row r="25" ht="48" customFormat="1" customHeight="1" s="209">
      <c r="A25" s="219" t="n">
        <v>23</v>
      </c>
      <c r="B25" s="14" t="inlineStr">
        <is>
          <t>KQCY0023</t>
        </is>
      </c>
      <c r="C25" s="221" t="inlineStr">
        <is>
          <t>餐饮一分部</t>
        </is>
      </c>
      <c r="D25" s="221" t="inlineStr">
        <is>
          <t>CF272</t>
        </is>
      </c>
      <c r="E25" s="221" t="inlineStr">
        <is>
          <t>苏州工学院南一食堂</t>
        </is>
      </c>
      <c r="F25" s="219" t="inlineStr">
        <is>
          <t>强责</t>
        </is>
      </c>
      <c r="G25" s="222" t="inlineStr">
        <is>
          <t>位军浩</t>
        </is>
      </c>
      <c r="H25" s="503" t="inlineStr">
        <is>
          <t>/</t>
        </is>
      </c>
      <c r="I25" s="237" t="inlineStr">
        <is>
          <t>7分甜</t>
        </is>
      </c>
      <c r="J25" s="503" t="inlineStr">
        <is>
          <t>纪洪强</t>
        </is>
      </c>
      <c r="K25" s="224" t="inlineStr">
        <is>
          <t>/</t>
        </is>
      </c>
      <c r="L25" s="651" t="n">
        <v>222000</v>
      </c>
      <c r="M25" s="224" t="inlineStr">
        <is>
          <t>/</t>
        </is>
      </c>
      <c r="N25" s="224" t="inlineStr">
        <is>
          <t>/</t>
        </is>
      </c>
      <c r="O25" s="349" t="inlineStr">
        <is>
          <t>/</t>
        </is>
      </c>
      <c r="P25" s="224" t="inlineStr">
        <is>
          <t>/</t>
        </is>
      </c>
      <c r="Q25" s="224" t="inlineStr">
        <is>
          <t>/</t>
        </is>
      </c>
      <c r="R25" s="224" t="inlineStr">
        <is>
          <t>/</t>
        </is>
      </c>
      <c r="S25" s="224" t="inlineStr">
        <is>
          <t>/</t>
        </is>
      </c>
      <c r="T25" s="224" t="inlineStr">
        <is>
          <t>/</t>
        </is>
      </c>
      <c r="U25" s="653" t="n"/>
      <c r="V25" s="502" t="inlineStr">
        <is>
          <t>/</t>
        </is>
      </c>
      <c r="W25" s="47" t="n"/>
      <c r="X25" s="502" t="inlineStr">
        <is>
          <t>/</t>
        </is>
      </c>
      <c r="Y25" s="502" t="inlineStr">
        <is>
          <t>/</t>
        </is>
      </c>
      <c r="Z25" s="502" t="inlineStr">
        <is>
          <t>/</t>
        </is>
      </c>
      <c r="AA25" s="349" t="inlineStr">
        <is>
          <t>/</t>
        </is>
      </c>
      <c r="AB25" s="22" t="inlineStr">
        <is>
          <t>/</t>
        </is>
      </c>
      <c r="AC25" s="224" t="inlineStr">
        <is>
          <t>/</t>
        </is>
      </c>
      <c r="AD25" s="57" t="inlineStr">
        <is>
          <t>1、甲方捐赠：35万/年，分组作业未分摊，服务费已包含；
2、采购费：1.35万/年，分组作业未分摊，服务费已包含；</t>
        </is>
      </c>
      <c r="AE25" s="25" t="inlineStr">
        <is>
          <t xml:space="preserve">
1、签订期间：2026.2.25-2026.7.19；
2、指标按照全年换算；
</t>
        </is>
      </c>
    </row>
    <row r="26" ht="48" customFormat="1" customHeight="1" s="209">
      <c r="A26" s="219" t="n">
        <v>24</v>
      </c>
      <c r="B26" s="14" t="inlineStr">
        <is>
          <t>KQCY0024</t>
        </is>
      </c>
      <c r="C26" s="221" t="inlineStr">
        <is>
          <t>餐饮一分部</t>
        </is>
      </c>
      <c r="D26" s="221" t="inlineStr">
        <is>
          <t>CF272</t>
        </is>
      </c>
      <c r="E26" s="221" t="inlineStr">
        <is>
          <t>苏州工学院南一食堂</t>
        </is>
      </c>
      <c r="F26" s="219" t="inlineStr">
        <is>
          <t>强责</t>
        </is>
      </c>
      <c r="G26" s="222" t="inlineStr">
        <is>
          <t>位军浩</t>
        </is>
      </c>
      <c r="H26" s="503" t="inlineStr">
        <is>
          <t>/</t>
        </is>
      </c>
      <c r="I26" s="237" t="inlineStr">
        <is>
          <t>药膳鸡</t>
        </is>
      </c>
      <c r="J26" s="503" t="inlineStr">
        <is>
          <t>匡正娟</t>
        </is>
      </c>
      <c r="K26" s="224" t="inlineStr">
        <is>
          <t>/</t>
        </is>
      </c>
      <c r="L26" s="651" t="n">
        <v>234000</v>
      </c>
      <c r="M26" s="224" t="inlineStr">
        <is>
          <t>/</t>
        </is>
      </c>
      <c r="N26" s="224" t="inlineStr">
        <is>
          <t>/</t>
        </is>
      </c>
      <c r="O26" s="349" t="inlineStr">
        <is>
          <t>/</t>
        </is>
      </c>
      <c r="P26" s="224" t="inlineStr">
        <is>
          <t>/</t>
        </is>
      </c>
      <c r="Q26" s="224" t="inlineStr">
        <is>
          <t>/</t>
        </is>
      </c>
      <c r="R26" s="224" t="inlineStr">
        <is>
          <t>/</t>
        </is>
      </c>
      <c r="S26" s="224" t="inlineStr">
        <is>
          <t>/</t>
        </is>
      </c>
      <c r="T26" s="655" t="n">
        <v>0.025</v>
      </c>
      <c r="U26" s="655" t="n">
        <v>0.055</v>
      </c>
      <c r="V26" s="502" t="inlineStr">
        <is>
          <t>/</t>
        </is>
      </c>
      <c r="W26" s="47" t="n"/>
      <c r="X26" s="502" t="inlineStr">
        <is>
          <t>/</t>
        </is>
      </c>
      <c r="Y26" s="502" t="inlineStr">
        <is>
          <t>/</t>
        </is>
      </c>
      <c r="Z26" s="502" t="inlineStr">
        <is>
          <t>/</t>
        </is>
      </c>
      <c r="AA26" s="349" t="inlineStr">
        <is>
          <t>/</t>
        </is>
      </c>
      <c r="AB26" s="22" t="inlineStr">
        <is>
          <t>/</t>
        </is>
      </c>
      <c r="AC26" s="224" t="inlineStr">
        <is>
          <t>/</t>
        </is>
      </c>
      <c r="AD26" s="57" t="inlineStr">
        <is>
          <t>1、甲方捐赠：35万/年，分组作业未分摊，服务费已包含；
2、采购费：1.35万/年，分组作业未分摊，服务费已包含；</t>
        </is>
      </c>
      <c r="AE26" s="25" t="inlineStr">
        <is>
          <t xml:space="preserve">
1、签订期间：2026.2.25-2026.7.19；
2、指标按照全年换算；
</t>
        </is>
      </c>
    </row>
    <row r="27" ht="48" customFormat="1" customHeight="1" s="209">
      <c r="A27" s="219" t="n">
        <v>25</v>
      </c>
      <c r="B27" s="14" t="inlineStr">
        <is>
          <t>KQCY0025</t>
        </is>
      </c>
      <c r="C27" s="221" t="inlineStr">
        <is>
          <t>餐饮一分部</t>
        </is>
      </c>
      <c r="D27" s="221" t="inlineStr">
        <is>
          <t>CF272</t>
        </is>
      </c>
      <c r="E27" s="221" t="inlineStr">
        <is>
          <t>苏州工学院南一食堂</t>
        </is>
      </c>
      <c r="F27" s="219" t="inlineStr">
        <is>
          <t>强责</t>
        </is>
      </c>
      <c r="G27" s="222" t="inlineStr">
        <is>
          <t>位军浩</t>
        </is>
      </c>
      <c r="H27" s="503" t="inlineStr">
        <is>
          <t>/</t>
        </is>
      </c>
      <c r="I27" s="237" t="inlineStr">
        <is>
          <t>麻辣香锅</t>
        </is>
      </c>
      <c r="J27" s="503" t="inlineStr">
        <is>
          <t>纪洪强</t>
        </is>
      </c>
      <c r="K27" s="224" t="inlineStr">
        <is>
          <t>/</t>
        </is>
      </c>
      <c r="L27" s="651" t="n">
        <v>514000</v>
      </c>
      <c r="M27" s="22" t="n">
        <v>0.08</v>
      </c>
      <c r="N27" s="224" t="inlineStr">
        <is>
          <t>/</t>
        </is>
      </c>
      <c r="O27" s="349" t="inlineStr">
        <is>
          <t>/</t>
        </is>
      </c>
      <c r="P27" s="22" t="n">
        <v>0.065</v>
      </c>
      <c r="Q27" s="22" t="n">
        <v>0.02</v>
      </c>
      <c r="R27" s="22" t="n">
        <v>0.035</v>
      </c>
      <c r="S27" s="224" t="inlineStr">
        <is>
          <t>/</t>
        </is>
      </c>
      <c r="T27" s="22" t="n">
        <v>0.03</v>
      </c>
      <c r="U27" s="22" t="n">
        <v>0.06</v>
      </c>
      <c r="V27" s="502" t="inlineStr">
        <is>
          <t>/</t>
        </is>
      </c>
      <c r="W27" s="47" t="n"/>
      <c r="X27" s="502" t="inlineStr">
        <is>
          <t>/</t>
        </is>
      </c>
      <c r="Y27" s="502" t="inlineStr">
        <is>
          <t>/</t>
        </is>
      </c>
      <c r="Z27" s="502" t="inlineStr">
        <is>
          <t>/</t>
        </is>
      </c>
      <c r="AA27" s="349" t="inlineStr">
        <is>
          <t>/</t>
        </is>
      </c>
      <c r="AB27" s="22" t="inlineStr">
        <is>
          <t>/</t>
        </is>
      </c>
      <c r="AC27" s="224" t="inlineStr">
        <is>
          <t>/</t>
        </is>
      </c>
      <c r="AD27" s="57" t="inlineStr">
        <is>
          <t>1、甲方捐赠：35万/年，分组作业未分摊，服务费已包含；
2、采购费：1.35万/年，分组作业未分摊，服务费已包含；</t>
        </is>
      </c>
      <c r="AE27" s="25" t="inlineStr">
        <is>
          <t xml:space="preserve">
1、签订期间：2026.2.25-2026.7.19；
2、指标按照全年换算；
</t>
        </is>
      </c>
    </row>
    <row r="28" ht="48" customFormat="1" customHeight="1" s="209">
      <c r="A28" s="219" t="n">
        <v>26</v>
      </c>
      <c r="B28" s="14" t="inlineStr">
        <is>
          <t>KQCY0026</t>
        </is>
      </c>
      <c r="C28" s="221" t="inlineStr">
        <is>
          <t>餐饮一分部</t>
        </is>
      </c>
      <c r="D28" s="221" t="inlineStr">
        <is>
          <t>CF272</t>
        </is>
      </c>
      <c r="E28" s="221" t="inlineStr">
        <is>
          <t>苏州工学院南一食堂</t>
        </is>
      </c>
      <c r="F28" s="219" t="inlineStr">
        <is>
          <t>强责</t>
        </is>
      </c>
      <c r="G28" s="222" t="inlineStr">
        <is>
          <t>位军浩</t>
        </is>
      </c>
      <c r="H28" s="503" t="inlineStr">
        <is>
          <t>/</t>
        </is>
      </c>
      <c r="I28" s="237" t="inlineStr">
        <is>
          <t>生煎牛肉汤</t>
        </is>
      </c>
      <c r="J28" s="503" t="inlineStr">
        <is>
          <t>徐雪晗</t>
        </is>
      </c>
      <c r="K28" s="224" t="inlineStr">
        <is>
          <t>/</t>
        </is>
      </c>
      <c r="L28" s="651" t="n">
        <v>316000</v>
      </c>
      <c r="M28" s="22" t="n">
        <v>0.08</v>
      </c>
      <c r="N28" s="224" t="inlineStr">
        <is>
          <t>/</t>
        </is>
      </c>
      <c r="O28" s="349" t="inlineStr">
        <is>
          <t>/</t>
        </is>
      </c>
      <c r="P28" s="22" t="n">
        <v>0.065</v>
      </c>
      <c r="Q28" s="22" t="n">
        <v>0.02</v>
      </c>
      <c r="R28" s="22" t="n">
        <v>0.035</v>
      </c>
      <c r="S28" s="224" t="inlineStr">
        <is>
          <t>/</t>
        </is>
      </c>
      <c r="T28" s="22" t="n">
        <v>0.03</v>
      </c>
      <c r="U28" s="22" t="n">
        <v>0.06</v>
      </c>
      <c r="V28" s="502" t="inlineStr">
        <is>
          <t>/</t>
        </is>
      </c>
      <c r="W28" s="47" t="n"/>
      <c r="X28" s="502" t="inlineStr">
        <is>
          <t>/</t>
        </is>
      </c>
      <c r="Y28" s="502" t="inlineStr">
        <is>
          <t>/</t>
        </is>
      </c>
      <c r="Z28" s="502" t="inlineStr">
        <is>
          <t>/</t>
        </is>
      </c>
      <c r="AA28" s="349" t="inlineStr">
        <is>
          <t>/</t>
        </is>
      </c>
      <c r="AB28" s="22" t="inlineStr">
        <is>
          <t>/</t>
        </is>
      </c>
      <c r="AC28" s="224" t="inlineStr">
        <is>
          <t>/</t>
        </is>
      </c>
      <c r="AD28" s="57" t="inlineStr">
        <is>
          <t>1、甲方捐赠：35万/年，分组作业未分摊，服务费已包含；
2、采购费：1.35万/年，分组作业未分摊，服务费已包含；</t>
        </is>
      </c>
      <c r="AE28" s="25" t="inlineStr">
        <is>
          <t xml:space="preserve">
1、签订期间：2026.2.25-2026.7.19；
2、指标按照全年换算；
</t>
        </is>
      </c>
    </row>
    <row r="29" ht="48" customFormat="1" customHeight="1" s="209">
      <c r="A29" s="219" t="n">
        <v>27</v>
      </c>
      <c r="B29" s="14" t="inlineStr">
        <is>
          <t>KQCY0027</t>
        </is>
      </c>
      <c r="C29" s="221" t="inlineStr">
        <is>
          <t>餐饮一分部</t>
        </is>
      </c>
      <c r="D29" s="221" t="inlineStr">
        <is>
          <t>CF272</t>
        </is>
      </c>
      <c r="E29" s="221" t="inlineStr">
        <is>
          <t>苏州工学院南一食堂</t>
        </is>
      </c>
      <c r="F29" s="219" t="inlineStr">
        <is>
          <t>强责</t>
        </is>
      </c>
      <c r="G29" s="222" t="inlineStr">
        <is>
          <t>位军浩</t>
        </is>
      </c>
      <c r="H29" s="503" t="inlineStr">
        <is>
          <t>/</t>
        </is>
      </c>
      <c r="I29" s="237" t="inlineStr">
        <is>
          <t>西式简餐</t>
        </is>
      </c>
      <c r="J29" s="503" t="inlineStr">
        <is>
          <t>李明发</t>
        </is>
      </c>
      <c r="K29" s="224" t="inlineStr">
        <is>
          <t>/</t>
        </is>
      </c>
      <c r="L29" s="651" t="n">
        <v>310000</v>
      </c>
      <c r="M29" s="22" t="n">
        <v>0.08</v>
      </c>
      <c r="N29" s="224" t="inlineStr">
        <is>
          <t>/</t>
        </is>
      </c>
      <c r="O29" s="349" t="inlineStr">
        <is>
          <t>/</t>
        </is>
      </c>
      <c r="P29" s="22" t="n">
        <v>0.065</v>
      </c>
      <c r="Q29" s="22" t="n">
        <v>0.02</v>
      </c>
      <c r="R29" s="22" t="n">
        <v>0.035</v>
      </c>
      <c r="S29" s="224" t="inlineStr">
        <is>
          <t>/</t>
        </is>
      </c>
      <c r="T29" s="22" t="n">
        <v>0.03</v>
      </c>
      <c r="U29" s="22" t="n">
        <v>0.06</v>
      </c>
      <c r="V29" s="502" t="inlineStr">
        <is>
          <t>/</t>
        </is>
      </c>
      <c r="W29" s="47" t="n"/>
      <c r="X29" s="502" t="inlineStr">
        <is>
          <t>/</t>
        </is>
      </c>
      <c r="Y29" s="502" t="inlineStr">
        <is>
          <t>/</t>
        </is>
      </c>
      <c r="Z29" s="502" t="inlineStr">
        <is>
          <t>/</t>
        </is>
      </c>
      <c r="AA29" s="349" t="inlineStr">
        <is>
          <t>/</t>
        </is>
      </c>
      <c r="AB29" s="22" t="inlineStr">
        <is>
          <t>/</t>
        </is>
      </c>
      <c r="AC29" s="224" t="inlineStr">
        <is>
          <t>/</t>
        </is>
      </c>
      <c r="AD29" s="57" t="inlineStr">
        <is>
          <t>1、甲方捐赠：35万/年，分组作业未分摊，服务费已包含；
2、采购费：1.35万/年，分组作业未分摊，服务费已包含；</t>
        </is>
      </c>
      <c r="AE29" s="25" t="inlineStr">
        <is>
          <t xml:space="preserve">
1、签订期间：2026.2.25-2026.7.19；
2、指标按照全年换算；
</t>
        </is>
      </c>
    </row>
    <row r="30" ht="48" customFormat="1" customHeight="1" s="209">
      <c r="A30" s="219" t="n">
        <v>28</v>
      </c>
      <c r="B30" s="14" t="inlineStr">
        <is>
          <t>KQCY0028</t>
        </is>
      </c>
      <c r="C30" s="221" t="inlineStr">
        <is>
          <t>餐饮一分部</t>
        </is>
      </c>
      <c r="D30" s="221" t="inlineStr">
        <is>
          <t>CF272</t>
        </is>
      </c>
      <c r="E30" s="221" t="inlineStr">
        <is>
          <t>苏州工学院南一食堂</t>
        </is>
      </c>
      <c r="F30" s="219" t="inlineStr">
        <is>
          <t>强责</t>
        </is>
      </c>
      <c r="G30" s="222" t="inlineStr">
        <is>
          <t>位军浩</t>
        </is>
      </c>
      <c r="H30" s="503" t="inlineStr">
        <is>
          <t>/</t>
        </is>
      </c>
      <c r="I30" s="237" t="inlineStr">
        <is>
          <t>苏式面</t>
        </is>
      </c>
      <c r="J30" s="503" t="inlineStr">
        <is>
          <t>许正芳</t>
        </is>
      </c>
      <c r="K30" s="224" t="inlineStr">
        <is>
          <t>/</t>
        </is>
      </c>
      <c r="L30" s="651" t="n">
        <v>530000</v>
      </c>
      <c r="M30" s="22" t="n">
        <v>0.08</v>
      </c>
      <c r="N30" s="224" t="inlineStr">
        <is>
          <t>/</t>
        </is>
      </c>
      <c r="O30" s="349" t="inlineStr">
        <is>
          <t>/</t>
        </is>
      </c>
      <c r="P30" s="22" t="n">
        <v>0.065</v>
      </c>
      <c r="Q30" s="22" t="n">
        <v>0.02</v>
      </c>
      <c r="R30" s="22" t="n">
        <v>0.035</v>
      </c>
      <c r="S30" s="224" t="inlineStr">
        <is>
          <t>/</t>
        </is>
      </c>
      <c r="T30" s="22" t="n">
        <v>0.03</v>
      </c>
      <c r="U30" s="22" t="n">
        <v>0.06</v>
      </c>
      <c r="V30" s="502" t="inlineStr">
        <is>
          <t>/</t>
        </is>
      </c>
      <c r="W30" s="47" t="n"/>
      <c r="X30" s="502" t="inlineStr">
        <is>
          <t>/</t>
        </is>
      </c>
      <c r="Y30" s="502" t="inlineStr">
        <is>
          <t>/</t>
        </is>
      </c>
      <c r="Z30" s="502" t="inlineStr">
        <is>
          <t>/</t>
        </is>
      </c>
      <c r="AA30" s="349" t="inlineStr">
        <is>
          <t>/</t>
        </is>
      </c>
      <c r="AB30" s="22" t="inlineStr">
        <is>
          <t>/</t>
        </is>
      </c>
      <c r="AC30" s="224" t="inlineStr">
        <is>
          <t>/</t>
        </is>
      </c>
      <c r="AD30" s="57" t="inlineStr">
        <is>
          <t>1、甲方捐赠：35万/年，分组作业未分摊，服务费已包含；
2、采购费：1.35万/年，分组作业未分摊，服务费已包含；</t>
        </is>
      </c>
      <c r="AE30" s="25" t="inlineStr">
        <is>
          <t xml:space="preserve">
1、签订期间：2026.2.25-2026.7.19；
2、指标按照全年换算；
</t>
        </is>
      </c>
    </row>
    <row r="31" ht="48" customFormat="1" customHeight="1" s="209">
      <c r="A31" s="219" t="n">
        <v>29</v>
      </c>
      <c r="B31" s="14" t="inlineStr">
        <is>
          <t>KQCY0029</t>
        </is>
      </c>
      <c r="C31" s="221" t="inlineStr">
        <is>
          <t>餐饮一分部</t>
        </is>
      </c>
      <c r="D31" s="221" t="inlineStr">
        <is>
          <t>CF272</t>
        </is>
      </c>
      <c r="E31" s="221" t="inlineStr">
        <is>
          <t>苏州工学院南一食堂</t>
        </is>
      </c>
      <c r="F31" s="219" t="inlineStr">
        <is>
          <t>强责</t>
        </is>
      </c>
      <c r="G31" s="222" t="inlineStr">
        <is>
          <t>位军浩</t>
        </is>
      </c>
      <c r="H31" s="503" t="inlineStr">
        <is>
          <t>/</t>
        </is>
      </c>
      <c r="I31" s="237" t="inlineStr">
        <is>
          <t>王记炒饭</t>
        </is>
      </c>
      <c r="J31" s="503" t="inlineStr">
        <is>
          <t>王梓骏</t>
        </is>
      </c>
      <c r="K31" s="224" t="inlineStr">
        <is>
          <t>/</t>
        </is>
      </c>
      <c r="L31" s="651" t="n">
        <v>526000</v>
      </c>
      <c r="M31" s="22" t="n">
        <v>0.08</v>
      </c>
      <c r="N31" s="224" t="inlineStr">
        <is>
          <t>/</t>
        </is>
      </c>
      <c r="O31" s="349" t="inlineStr">
        <is>
          <t>/</t>
        </is>
      </c>
      <c r="P31" s="22" t="n">
        <v>0.065</v>
      </c>
      <c r="Q31" s="22" t="n">
        <v>0.02</v>
      </c>
      <c r="R31" s="22" t="n">
        <v>0.035</v>
      </c>
      <c r="S31" s="224" t="inlineStr">
        <is>
          <t>/</t>
        </is>
      </c>
      <c r="T31" s="22" t="n">
        <v>0.03</v>
      </c>
      <c r="U31" s="22" t="n">
        <v>0.06</v>
      </c>
      <c r="V31" s="502" t="inlineStr">
        <is>
          <t>/</t>
        </is>
      </c>
      <c r="W31" s="47" t="n"/>
      <c r="X31" s="502" t="inlineStr">
        <is>
          <t>/</t>
        </is>
      </c>
      <c r="Y31" s="502" t="inlineStr">
        <is>
          <t>/</t>
        </is>
      </c>
      <c r="Z31" s="502" t="inlineStr">
        <is>
          <t>/</t>
        </is>
      </c>
      <c r="AA31" s="349" t="inlineStr">
        <is>
          <t>/</t>
        </is>
      </c>
      <c r="AB31" s="22" t="inlineStr">
        <is>
          <t>/</t>
        </is>
      </c>
      <c r="AC31" s="224" t="inlineStr">
        <is>
          <t>/</t>
        </is>
      </c>
      <c r="AD31" s="57" t="inlineStr">
        <is>
          <t>1、甲方捐赠：35万/年，分组作业未分摊，服务费已包含；
2、采购费：1.35万/年，分组作业未分摊，服务费已包含；</t>
        </is>
      </c>
      <c r="AE31" s="25" t="inlineStr">
        <is>
          <t xml:space="preserve">
1、签订期间：2026.2.25-2026.7.19；
2、指标按照全年换算；
</t>
        </is>
      </c>
    </row>
    <row r="32" ht="48" customFormat="1" customHeight="1" s="209">
      <c r="A32" s="219" t="n">
        <v>30</v>
      </c>
      <c r="B32" s="14" t="inlineStr">
        <is>
          <t>KQCY0030</t>
        </is>
      </c>
      <c r="C32" s="221" t="inlineStr">
        <is>
          <t>餐饮一分部</t>
        </is>
      </c>
      <c r="D32" s="221" t="inlineStr">
        <is>
          <t>CF272</t>
        </is>
      </c>
      <c r="E32" s="221" t="inlineStr">
        <is>
          <t>苏州工学院南一食堂</t>
        </is>
      </c>
      <c r="F32" s="219" t="inlineStr">
        <is>
          <t>强责</t>
        </is>
      </c>
      <c r="G32" s="222" t="inlineStr">
        <is>
          <t>位军浩</t>
        </is>
      </c>
      <c r="H32" s="503" t="inlineStr">
        <is>
          <t>/</t>
        </is>
      </c>
      <c r="I32" s="237" t="inlineStr">
        <is>
          <t>烤鸭</t>
        </is>
      </c>
      <c r="J32" s="503" t="inlineStr">
        <is>
          <t>王鑫</t>
        </is>
      </c>
      <c r="K32" s="224" t="inlineStr">
        <is>
          <t>/</t>
        </is>
      </c>
      <c r="L32" s="651" t="n">
        <v>530000</v>
      </c>
      <c r="M32" s="22" t="n">
        <v>0.08</v>
      </c>
      <c r="N32" s="224" t="inlineStr">
        <is>
          <t>/</t>
        </is>
      </c>
      <c r="O32" s="349" t="inlineStr">
        <is>
          <t>/</t>
        </is>
      </c>
      <c r="P32" s="22" t="n">
        <v>0.065</v>
      </c>
      <c r="Q32" s="22" t="n">
        <v>0.02</v>
      </c>
      <c r="R32" s="22" t="n">
        <v>0.035</v>
      </c>
      <c r="S32" s="224" t="inlineStr">
        <is>
          <t>/</t>
        </is>
      </c>
      <c r="T32" s="22" t="n">
        <v>0.03</v>
      </c>
      <c r="U32" s="22" t="n">
        <v>0.06</v>
      </c>
      <c r="V32" s="502" t="inlineStr">
        <is>
          <t>/</t>
        </is>
      </c>
      <c r="W32" s="47" t="n"/>
      <c r="X32" s="502" t="inlineStr">
        <is>
          <t>/</t>
        </is>
      </c>
      <c r="Y32" s="502" t="inlineStr">
        <is>
          <t>/</t>
        </is>
      </c>
      <c r="Z32" s="502" t="inlineStr">
        <is>
          <t>/</t>
        </is>
      </c>
      <c r="AA32" s="349" t="inlineStr">
        <is>
          <t>/</t>
        </is>
      </c>
      <c r="AB32" s="22" t="inlineStr">
        <is>
          <t>/</t>
        </is>
      </c>
      <c r="AC32" s="224" t="inlineStr">
        <is>
          <t>/</t>
        </is>
      </c>
      <c r="AD32" s="57" t="inlineStr">
        <is>
          <t>1、甲方捐赠：35万/年，分组作业未分摊，服务费已包含；
2、采购费：1.35万/年，分组作业未分摊，服务费已包含；</t>
        </is>
      </c>
      <c r="AE32" s="25" t="inlineStr">
        <is>
          <t xml:space="preserve">
1、签订期间：2026.2.25-2026.7.19；
2、指标按照全年换算；
</t>
        </is>
      </c>
    </row>
    <row r="33" ht="48" customFormat="1" customHeight="1" s="209">
      <c r="A33" s="219" t="n">
        <v>31</v>
      </c>
      <c r="B33" s="14" t="inlineStr">
        <is>
          <t>KQCY0031</t>
        </is>
      </c>
      <c r="C33" s="221" t="inlineStr">
        <is>
          <t>餐饮一分部</t>
        </is>
      </c>
      <c r="D33" s="221" t="inlineStr">
        <is>
          <t>CF272</t>
        </is>
      </c>
      <c r="E33" s="221" t="inlineStr">
        <is>
          <t>苏州工学院南一食堂</t>
        </is>
      </c>
      <c r="F33" s="219" t="inlineStr">
        <is>
          <t>强责</t>
        </is>
      </c>
      <c r="G33" s="222" t="inlineStr">
        <is>
          <t>位军浩</t>
        </is>
      </c>
      <c r="H33" s="503" t="inlineStr">
        <is>
          <t>/</t>
        </is>
      </c>
      <c r="I33" s="237" t="inlineStr">
        <is>
          <t>小街胡同牛杂面</t>
        </is>
      </c>
      <c r="J33" s="503" t="inlineStr">
        <is>
          <t>黄雨</t>
        </is>
      </c>
      <c r="K33" s="224" t="inlineStr">
        <is>
          <t>/</t>
        </is>
      </c>
      <c r="L33" s="651" t="n">
        <v>360000</v>
      </c>
      <c r="M33" s="22" t="n">
        <v>0.08</v>
      </c>
      <c r="N33" s="224" t="inlineStr">
        <is>
          <t>/</t>
        </is>
      </c>
      <c r="O33" s="349" t="inlineStr">
        <is>
          <t>/</t>
        </is>
      </c>
      <c r="P33" s="22" t="n">
        <v>0.065</v>
      </c>
      <c r="Q33" s="22" t="n">
        <v>0.02</v>
      </c>
      <c r="R33" s="22" t="n">
        <v>0.035</v>
      </c>
      <c r="S33" s="224" t="inlineStr">
        <is>
          <t>/</t>
        </is>
      </c>
      <c r="T33" s="22" t="n">
        <v>0.03</v>
      </c>
      <c r="U33" s="22" t="n">
        <v>0.06</v>
      </c>
      <c r="V33" s="502" t="inlineStr">
        <is>
          <t>/</t>
        </is>
      </c>
      <c r="W33" s="47" t="n"/>
      <c r="X33" s="502" t="inlineStr">
        <is>
          <t>/</t>
        </is>
      </c>
      <c r="Y33" s="502" t="inlineStr">
        <is>
          <t>/</t>
        </is>
      </c>
      <c r="Z33" s="502" t="inlineStr">
        <is>
          <t>/</t>
        </is>
      </c>
      <c r="AA33" s="349" t="inlineStr">
        <is>
          <t>/</t>
        </is>
      </c>
      <c r="AB33" s="22" t="inlineStr">
        <is>
          <t>/</t>
        </is>
      </c>
      <c r="AC33" s="224" t="inlineStr">
        <is>
          <t>/</t>
        </is>
      </c>
      <c r="AD33" s="57" t="inlineStr">
        <is>
          <t>1、甲方捐赠：35万/年，分组作业未分摊，服务费已包含；
2、采购费：1.35万/年，分组作业未分摊，服务费已包含；</t>
        </is>
      </c>
      <c r="AE33" s="25" t="inlineStr">
        <is>
          <t xml:space="preserve">
1、签订期间：2026.2.25-2026.7.19；
2、指标按照全年换算；
</t>
        </is>
      </c>
    </row>
    <row r="34" ht="48" customFormat="1" customHeight="1" s="209">
      <c r="A34" s="219" t="n">
        <v>32</v>
      </c>
      <c r="B34" s="14" t="inlineStr">
        <is>
          <t>KQCY0032</t>
        </is>
      </c>
      <c r="C34" s="221" t="inlineStr">
        <is>
          <t>餐饮一分部</t>
        </is>
      </c>
      <c r="D34" s="221" t="inlineStr">
        <is>
          <t>CF272</t>
        </is>
      </c>
      <c r="E34" s="221" t="inlineStr">
        <is>
          <t>苏州工学院南一食堂</t>
        </is>
      </c>
      <c r="F34" s="219" t="inlineStr">
        <is>
          <t>强责</t>
        </is>
      </c>
      <c r="G34" s="222" t="inlineStr">
        <is>
          <t>位军浩</t>
        </is>
      </c>
      <c r="H34" s="503" t="inlineStr">
        <is>
          <t>/</t>
        </is>
      </c>
      <c r="I34" s="237" t="inlineStr">
        <is>
          <t>汉堡炸鸡</t>
        </is>
      </c>
      <c r="J34" s="503" t="inlineStr">
        <is>
          <t>陆林峰</t>
        </is>
      </c>
      <c r="K34" s="224" t="inlineStr">
        <is>
          <t>/</t>
        </is>
      </c>
      <c r="L34" s="651" t="n">
        <v>366000</v>
      </c>
      <c r="M34" s="22" t="n">
        <v>0.08</v>
      </c>
      <c r="N34" s="224" t="inlineStr">
        <is>
          <t>/</t>
        </is>
      </c>
      <c r="O34" s="349" t="inlineStr">
        <is>
          <t>/</t>
        </is>
      </c>
      <c r="P34" s="22" t="n">
        <v>0.065</v>
      </c>
      <c r="Q34" s="22" t="n">
        <v>0.02</v>
      </c>
      <c r="R34" s="22" t="n">
        <v>0.035</v>
      </c>
      <c r="S34" s="224" t="inlineStr">
        <is>
          <t>/</t>
        </is>
      </c>
      <c r="T34" s="22" t="n">
        <v>0.03</v>
      </c>
      <c r="U34" s="22" t="n">
        <v>0.06</v>
      </c>
      <c r="V34" s="502" t="inlineStr">
        <is>
          <t>/</t>
        </is>
      </c>
      <c r="W34" s="47" t="n"/>
      <c r="X34" s="502" t="inlineStr">
        <is>
          <t>/</t>
        </is>
      </c>
      <c r="Y34" s="502" t="inlineStr">
        <is>
          <t>/</t>
        </is>
      </c>
      <c r="Z34" s="502" t="inlineStr">
        <is>
          <t>/</t>
        </is>
      </c>
      <c r="AA34" s="349" t="inlineStr">
        <is>
          <t>/</t>
        </is>
      </c>
      <c r="AB34" s="22" t="inlineStr">
        <is>
          <t>/</t>
        </is>
      </c>
      <c r="AC34" s="224" t="inlineStr">
        <is>
          <t>/</t>
        </is>
      </c>
      <c r="AD34" s="57" t="inlineStr">
        <is>
          <t>1、甲方捐赠：35万/年，分组作业未分摊，服务费已包含；
2、采购费：1.35万/年，分组作业未分摊，服务费已包含；</t>
        </is>
      </c>
      <c r="AE34" s="25" t="inlineStr">
        <is>
          <t xml:space="preserve">
1、签订期间：2026.2.25-2026.7.19；
2、指标按照全年换算；
</t>
        </is>
      </c>
    </row>
    <row r="35" ht="48" customFormat="1" customHeight="1" s="209">
      <c r="A35" s="219" t="n">
        <v>33</v>
      </c>
      <c r="B35" s="14" t="inlineStr">
        <is>
          <t>KQCY0033</t>
        </is>
      </c>
      <c r="C35" s="221" t="inlineStr">
        <is>
          <t>餐饮一分部</t>
        </is>
      </c>
      <c r="D35" s="221" t="inlineStr">
        <is>
          <t>CF272</t>
        </is>
      </c>
      <c r="E35" s="221" t="inlineStr">
        <is>
          <t>苏州工学院南一食堂</t>
        </is>
      </c>
      <c r="F35" s="219" t="inlineStr">
        <is>
          <t>强责</t>
        </is>
      </c>
      <c r="G35" s="222" t="inlineStr">
        <is>
          <t>位军浩</t>
        </is>
      </c>
      <c r="H35" s="503" t="inlineStr">
        <is>
          <t>/</t>
        </is>
      </c>
      <c r="I35" s="237" t="inlineStr">
        <is>
          <t>旋转小火锅</t>
        </is>
      </c>
      <c r="J35" s="503" t="inlineStr">
        <is>
          <t>潘祥</t>
        </is>
      </c>
      <c r="K35" s="224" t="inlineStr">
        <is>
          <t>/</t>
        </is>
      </c>
      <c r="L35" s="651" t="n">
        <v>284000</v>
      </c>
      <c r="M35" s="22" t="n">
        <v>0.06</v>
      </c>
      <c r="N35" s="22" t="inlineStr">
        <is>
          <t>/</t>
        </is>
      </c>
      <c r="O35" s="59" t="inlineStr">
        <is>
          <t>/</t>
        </is>
      </c>
      <c r="P35" s="22" t="n">
        <v>0.065</v>
      </c>
      <c r="Q35" s="22" t="n">
        <v>0.02</v>
      </c>
      <c r="R35" s="22" t="n">
        <v>0.025</v>
      </c>
      <c r="S35" s="22" t="inlineStr">
        <is>
          <t>/</t>
        </is>
      </c>
      <c r="T35" s="22" t="n">
        <v>0.03</v>
      </c>
      <c r="U35" s="22" t="n">
        <v>0.06</v>
      </c>
      <c r="V35" s="502" t="inlineStr">
        <is>
          <t>/</t>
        </is>
      </c>
      <c r="W35" s="47" t="n"/>
      <c r="X35" s="502" t="inlineStr">
        <is>
          <t>/</t>
        </is>
      </c>
      <c r="Y35" s="502" t="inlineStr">
        <is>
          <t>/</t>
        </is>
      </c>
      <c r="Z35" s="502" t="inlineStr">
        <is>
          <t>/</t>
        </is>
      </c>
      <c r="AA35" s="480" t="inlineStr">
        <is>
          <t>/</t>
        </is>
      </c>
      <c r="AB35" s="22" t="inlineStr">
        <is>
          <t>/</t>
        </is>
      </c>
      <c r="AC35" s="224" t="inlineStr">
        <is>
          <t>/</t>
        </is>
      </c>
      <c r="AD35" s="57" t="inlineStr">
        <is>
          <t>1、甲方捐赠：35万/年，分组作业未分摊，服务费已包含；
2、采购费：1.35万/年，分组作业未分摊，服务费已包含；</t>
        </is>
      </c>
      <c r="AE35" s="53" t="inlineStr">
        <is>
          <t>1、签订期间：2026.2.25-2026.7.19；
2、指标按照全年换算；
3、已撤场（2026年3月）；</t>
        </is>
      </c>
    </row>
    <row r="36" ht="12" customFormat="1" customHeight="1" s="209">
      <c r="A36" s="219" t="n">
        <v>34</v>
      </c>
      <c r="B36" s="14" t="inlineStr">
        <is>
          <t>KQCY0034</t>
        </is>
      </c>
      <c r="C36" s="221" t="inlineStr">
        <is>
          <t>餐饮一分部</t>
        </is>
      </c>
      <c r="D36" s="221" t="inlineStr">
        <is>
          <t>CF127-1</t>
        </is>
      </c>
      <c r="E36" s="221" t="inlineStr">
        <is>
          <t>泰科老厂餐厅</t>
        </is>
      </c>
      <c r="F36" s="219" t="inlineStr">
        <is>
          <t>自营</t>
        </is>
      </c>
      <c r="G36" s="222" t="inlineStr">
        <is>
          <t>位军浩</t>
        </is>
      </c>
      <c r="H36" s="222" t="inlineStr">
        <is>
          <t>/</t>
        </is>
      </c>
      <c r="I36" s="237" t="inlineStr">
        <is>
          <t>/</t>
        </is>
      </c>
      <c r="J36" s="503" t="inlineStr">
        <is>
          <t>/</t>
        </is>
      </c>
      <c r="K36" s="224" t="inlineStr">
        <is>
          <t>/</t>
        </is>
      </c>
      <c r="L36" s="651" t="n">
        <v>20350000</v>
      </c>
      <c r="M36" s="655" t="inlineStr">
        <is>
          <t>/</t>
        </is>
      </c>
      <c r="N36" s="224" t="inlineStr">
        <is>
          <t>/</t>
        </is>
      </c>
      <c r="O36" s="23" t="n">
        <v>0.02</v>
      </c>
      <c r="P36" s="224" t="inlineStr">
        <is>
          <t>/</t>
        </is>
      </c>
      <c r="Q36" s="224" t="inlineStr">
        <is>
          <t>/</t>
        </is>
      </c>
      <c r="R36" s="224" t="inlineStr">
        <is>
          <t>/</t>
        </is>
      </c>
      <c r="S36" s="224" t="inlineStr">
        <is>
          <t>/</t>
        </is>
      </c>
      <c r="T36" s="224" t="inlineStr">
        <is>
          <t>/</t>
        </is>
      </c>
      <c r="U36" s="224" t="inlineStr">
        <is>
          <t>/</t>
        </is>
      </c>
      <c r="V36" s="224" t="inlineStr">
        <is>
          <t>/</t>
        </is>
      </c>
      <c r="W36" s="47" t="n"/>
      <c r="X36" s="502" t="inlineStr">
        <is>
          <t>/</t>
        </is>
      </c>
      <c r="Y36" s="502" t="inlineStr">
        <is>
          <t>/</t>
        </is>
      </c>
      <c r="Z36" s="502" t="inlineStr">
        <is>
          <t>/</t>
        </is>
      </c>
      <c r="AA36" s="502" t="inlineStr">
        <is>
          <t>/</t>
        </is>
      </c>
      <c r="AB36" s="46" t="n">
        <v>0.05</v>
      </c>
      <c r="AC36" s="46" t="inlineStr">
        <is>
          <t>/</t>
        </is>
      </c>
      <c r="AD36" s="60" t="n"/>
      <c r="AE36" s="25" t="n"/>
    </row>
    <row r="37" ht="12" customFormat="1" customHeight="1" s="209">
      <c r="A37" s="219" t="n">
        <v>35</v>
      </c>
      <c r="B37" s="14" t="inlineStr">
        <is>
          <t>KQCY0035</t>
        </is>
      </c>
      <c r="C37" s="221" t="inlineStr">
        <is>
          <t>餐饮一分部</t>
        </is>
      </c>
      <c r="D37" s="221" t="inlineStr">
        <is>
          <t>CF127-3</t>
        </is>
      </c>
      <c r="E37" s="221" t="inlineStr">
        <is>
          <t>泰科新厂餐厅</t>
        </is>
      </c>
      <c r="F37" s="219" t="inlineStr">
        <is>
          <t>自营</t>
        </is>
      </c>
      <c r="G37" s="222" t="inlineStr">
        <is>
          <t>位军浩</t>
        </is>
      </c>
      <c r="H37" s="222" t="inlineStr">
        <is>
          <t>/</t>
        </is>
      </c>
      <c r="I37" s="237" t="inlineStr">
        <is>
          <t>/</t>
        </is>
      </c>
      <c r="J37" s="503" t="inlineStr">
        <is>
          <t>/</t>
        </is>
      </c>
      <c r="K37" s="224" t="inlineStr">
        <is>
          <t>/</t>
        </is>
      </c>
      <c r="L37" s="651" t="n">
        <v>25000000</v>
      </c>
      <c r="M37" s="655" t="inlineStr">
        <is>
          <t>/</t>
        </is>
      </c>
      <c r="N37" s="224" t="inlineStr">
        <is>
          <t>/</t>
        </is>
      </c>
      <c r="O37" s="23" t="n">
        <v>0.02</v>
      </c>
      <c r="P37" s="224" t="inlineStr">
        <is>
          <t>/</t>
        </is>
      </c>
      <c r="Q37" s="224" t="inlineStr">
        <is>
          <t>/</t>
        </is>
      </c>
      <c r="R37" s="224" t="inlineStr">
        <is>
          <t>/</t>
        </is>
      </c>
      <c r="S37" s="224" t="inlineStr">
        <is>
          <t>/</t>
        </is>
      </c>
      <c r="T37" s="224" t="inlineStr">
        <is>
          <t>/</t>
        </is>
      </c>
      <c r="U37" s="224" t="inlineStr">
        <is>
          <t>/</t>
        </is>
      </c>
      <c r="V37" s="224" t="inlineStr">
        <is>
          <t>/</t>
        </is>
      </c>
      <c r="W37" s="47" t="n"/>
      <c r="X37" s="502" t="inlineStr">
        <is>
          <t>/</t>
        </is>
      </c>
      <c r="Y37" s="502" t="inlineStr">
        <is>
          <t>/</t>
        </is>
      </c>
      <c r="Z37" s="502" t="inlineStr">
        <is>
          <t>/</t>
        </is>
      </c>
      <c r="AA37" s="502" t="inlineStr">
        <is>
          <t>/</t>
        </is>
      </c>
      <c r="AB37" s="46" t="n">
        <v>0.05</v>
      </c>
      <c r="AC37" s="46" t="inlineStr">
        <is>
          <t>/</t>
        </is>
      </c>
      <c r="AD37" s="60" t="n"/>
      <c r="AE37" s="25" t="n"/>
    </row>
    <row r="38" ht="12" customFormat="1" customHeight="1" s="209">
      <c r="A38" s="219" t="n">
        <v>36</v>
      </c>
      <c r="B38" s="14" t="inlineStr">
        <is>
          <t>KQCY0036</t>
        </is>
      </c>
      <c r="C38" s="221" t="inlineStr">
        <is>
          <t>餐饮一分部</t>
        </is>
      </c>
      <c r="D38" s="221" t="inlineStr">
        <is>
          <t>CF141</t>
        </is>
      </c>
      <c r="E38" s="221" t="inlineStr">
        <is>
          <t>泰科阳澄湖工厂</t>
        </is>
      </c>
      <c r="F38" s="219" t="inlineStr">
        <is>
          <t>自营</t>
        </is>
      </c>
      <c r="G38" s="222" t="inlineStr">
        <is>
          <t>位军浩</t>
        </is>
      </c>
      <c r="H38" s="222" t="inlineStr">
        <is>
          <t>/</t>
        </is>
      </c>
      <c r="I38" s="237" t="inlineStr">
        <is>
          <t>/</t>
        </is>
      </c>
      <c r="J38" s="503" t="inlineStr">
        <is>
          <t>/</t>
        </is>
      </c>
      <c r="K38" s="224" t="inlineStr">
        <is>
          <t>/</t>
        </is>
      </c>
      <c r="L38" s="651" t="n">
        <v>9507000</v>
      </c>
      <c r="M38" s="655" t="inlineStr">
        <is>
          <t>/</t>
        </is>
      </c>
      <c r="N38" s="224" t="inlineStr">
        <is>
          <t>/</t>
        </is>
      </c>
      <c r="O38" s="23" t="n">
        <v>0.02</v>
      </c>
      <c r="P38" s="224" t="inlineStr">
        <is>
          <t>/</t>
        </is>
      </c>
      <c r="Q38" s="224" t="inlineStr">
        <is>
          <t>/</t>
        </is>
      </c>
      <c r="R38" s="224" t="inlineStr">
        <is>
          <t>/</t>
        </is>
      </c>
      <c r="S38" s="224" t="inlineStr">
        <is>
          <t>/</t>
        </is>
      </c>
      <c r="T38" s="224" t="inlineStr">
        <is>
          <t>/</t>
        </is>
      </c>
      <c r="U38" s="224" t="inlineStr">
        <is>
          <t>/</t>
        </is>
      </c>
      <c r="V38" s="224" t="inlineStr">
        <is>
          <t>/</t>
        </is>
      </c>
      <c r="W38" s="47" t="n"/>
      <c r="X38" s="502" t="inlineStr">
        <is>
          <t>/</t>
        </is>
      </c>
      <c r="Y38" s="502" t="inlineStr">
        <is>
          <t>/</t>
        </is>
      </c>
      <c r="Z38" s="502" t="inlineStr">
        <is>
          <t>/</t>
        </is>
      </c>
      <c r="AA38" s="502" t="inlineStr">
        <is>
          <t>/</t>
        </is>
      </c>
      <c r="AB38" s="46" t="n">
        <v>0.05</v>
      </c>
      <c r="AC38" s="46" t="inlineStr">
        <is>
          <t>/</t>
        </is>
      </c>
      <c r="AD38" s="60" t="n"/>
      <c r="AE38" s="25" t="n"/>
    </row>
    <row r="39" ht="12" customFormat="1" customHeight="1" s="209">
      <c r="A39" s="219" t="n">
        <v>37</v>
      </c>
      <c r="B39" s="14" t="inlineStr">
        <is>
          <t>KQCY0037</t>
        </is>
      </c>
      <c r="C39" s="221" t="inlineStr">
        <is>
          <t>餐饮一分部</t>
        </is>
      </c>
      <c r="D39" s="221" t="inlineStr">
        <is>
          <t>CF129-1</t>
        </is>
      </c>
      <c r="E39" s="221" t="inlineStr">
        <is>
          <t>中央厨房（加工服务部）</t>
        </is>
      </c>
      <c r="F39" s="219" t="inlineStr">
        <is>
          <t>自营</t>
        </is>
      </c>
      <c r="G39" s="222" t="inlineStr">
        <is>
          <t>位军浩</t>
        </is>
      </c>
      <c r="H39" s="222" t="inlineStr">
        <is>
          <t>/</t>
        </is>
      </c>
      <c r="I39" s="237" t="inlineStr">
        <is>
          <t>/</t>
        </is>
      </c>
      <c r="J39" s="503" t="inlineStr">
        <is>
          <t>/</t>
        </is>
      </c>
      <c r="K39" s="224" t="inlineStr">
        <is>
          <t>/</t>
        </is>
      </c>
      <c r="L39" s="651" t="inlineStr">
        <is>
          <t>/</t>
        </is>
      </c>
      <c r="M39" s="655" t="inlineStr">
        <is>
          <t>/</t>
        </is>
      </c>
      <c r="N39" s="224" t="inlineStr">
        <is>
          <t>/</t>
        </is>
      </c>
      <c r="O39" s="23" t="n">
        <v>0.02</v>
      </c>
      <c r="P39" s="224" t="inlineStr">
        <is>
          <t>/</t>
        </is>
      </c>
      <c r="Q39" s="224" t="inlineStr">
        <is>
          <t>/</t>
        </is>
      </c>
      <c r="R39" s="224" t="inlineStr">
        <is>
          <t>/</t>
        </is>
      </c>
      <c r="S39" s="224" t="inlineStr">
        <is>
          <t>/</t>
        </is>
      </c>
      <c r="T39" s="224" t="inlineStr">
        <is>
          <t>/</t>
        </is>
      </c>
      <c r="U39" s="224" t="inlineStr">
        <is>
          <t>/</t>
        </is>
      </c>
      <c r="V39" s="224" t="inlineStr">
        <is>
          <t>/</t>
        </is>
      </c>
      <c r="W39" s="47" t="n"/>
      <c r="X39" s="502" t="inlineStr">
        <is>
          <t>/</t>
        </is>
      </c>
      <c r="Y39" s="502" t="inlineStr">
        <is>
          <t>/</t>
        </is>
      </c>
      <c r="Z39" s="502" t="inlineStr">
        <is>
          <t>/</t>
        </is>
      </c>
      <c r="AA39" s="502" t="inlineStr">
        <is>
          <t>/</t>
        </is>
      </c>
      <c r="AB39" s="54" t="inlineStr">
        <is>
          <t>/</t>
        </is>
      </c>
      <c r="AC39" s="46" t="inlineStr">
        <is>
          <t>/</t>
        </is>
      </c>
      <c r="AD39" s="60" t="n"/>
      <c r="AE39" s="25" t="n"/>
    </row>
    <row r="40" ht="12" customFormat="1" customHeight="1" s="209">
      <c r="A40" s="219" t="n">
        <v>38</v>
      </c>
      <c r="B40" s="14" t="inlineStr">
        <is>
          <t>KQCY0038</t>
        </is>
      </c>
      <c r="C40" s="221" t="inlineStr">
        <is>
          <t>餐饮一分部</t>
        </is>
      </c>
      <c r="D40" s="221" t="inlineStr">
        <is>
          <t>CF142</t>
        </is>
      </c>
      <c r="E40" s="221" t="inlineStr">
        <is>
          <t>卡特彼勒（吴江）餐厅</t>
        </is>
      </c>
      <c r="F40" s="219" t="inlineStr">
        <is>
          <t>自营</t>
        </is>
      </c>
      <c r="G40" s="222" t="inlineStr">
        <is>
          <t>位军浩</t>
        </is>
      </c>
      <c r="H40" s="222" t="inlineStr">
        <is>
          <t>/</t>
        </is>
      </c>
      <c r="I40" s="237" t="inlineStr">
        <is>
          <t>/</t>
        </is>
      </c>
      <c r="J40" s="503" t="inlineStr">
        <is>
          <t>/</t>
        </is>
      </c>
      <c r="K40" s="224" t="inlineStr">
        <is>
          <t>/</t>
        </is>
      </c>
      <c r="L40" s="651" t="n">
        <v>3960000</v>
      </c>
      <c r="M40" s="655" t="inlineStr">
        <is>
          <t>/</t>
        </is>
      </c>
      <c r="N40" s="224" t="inlineStr">
        <is>
          <t>/</t>
        </is>
      </c>
      <c r="O40" s="23" t="n">
        <v>0.02</v>
      </c>
      <c r="P40" s="224" t="inlineStr">
        <is>
          <t>/</t>
        </is>
      </c>
      <c r="Q40" s="224" t="inlineStr">
        <is>
          <t>/</t>
        </is>
      </c>
      <c r="R40" s="224" t="inlineStr">
        <is>
          <t>/</t>
        </is>
      </c>
      <c r="S40" s="224" t="inlineStr">
        <is>
          <t>/</t>
        </is>
      </c>
      <c r="T40" s="224" t="inlineStr">
        <is>
          <t>/</t>
        </is>
      </c>
      <c r="U40" s="224" t="inlineStr">
        <is>
          <t>/</t>
        </is>
      </c>
      <c r="V40" s="224" t="inlineStr">
        <is>
          <t>/</t>
        </is>
      </c>
      <c r="W40" s="47" t="n"/>
      <c r="X40" s="502" t="inlineStr">
        <is>
          <t>/</t>
        </is>
      </c>
      <c r="Y40" s="502" t="inlineStr">
        <is>
          <t>/</t>
        </is>
      </c>
      <c r="Z40" s="502" t="inlineStr">
        <is>
          <t>/</t>
        </is>
      </c>
      <c r="AA40" s="502" t="inlineStr">
        <is>
          <t>/</t>
        </is>
      </c>
      <c r="AB40" s="46" t="n">
        <v>0.05</v>
      </c>
      <c r="AC40" s="46" t="inlineStr">
        <is>
          <t>/</t>
        </is>
      </c>
      <c r="AD40" s="60" t="n"/>
      <c r="AE40" s="25" t="n"/>
    </row>
    <row r="41" ht="12" customFormat="1" customHeight="1" s="209">
      <c r="A41" s="219" t="n">
        <v>39</v>
      </c>
      <c r="B41" s="14" t="inlineStr">
        <is>
          <t>KQCY0039</t>
        </is>
      </c>
      <c r="C41" s="221" t="inlineStr">
        <is>
          <t>餐饮一分部</t>
        </is>
      </c>
      <c r="D41" s="221" t="inlineStr">
        <is>
          <t>CF138</t>
        </is>
      </c>
      <c r="E41" s="221" t="inlineStr">
        <is>
          <t>苏州生物产业园三期餐厅</t>
        </is>
      </c>
      <c r="F41" s="219" t="inlineStr">
        <is>
          <t>自营</t>
        </is>
      </c>
      <c r="G41" s="222" t="inlineStr">
        <is>
          <t>位军浩</t>
        </is>
      </c>
      <c r="H41" s="222" t="inlineStr">
        <is>
          <t>/</t>
        </is>
      </c>
      <c r="I41" s="237" t="inlineStr">
        <is>
          <t>/</t>
        </is>
      </c>
      <c r="J41" s="503" t="inlineStr">
        <is>
          <t>/</t>
        </is>
      </c>
      <c r="K41" s="224" t="inlineStr">
        <is>
          <t>/</t>
        </is>
      </c>
      <c r="L41" s="651" t="n">
        <v>2350000</v>
      </c>
      <c r="M41" s="655" t="inlineStr">
        <is>
          <t>/</t>
        </is>
      </c>
      <c r="N41" s="224" t="inlineStr">
        <is>
          <t>/</t>
        </is>
      </c>
      <c r="O41" s="23" t="n">
        <v>0.02</v>
      </c>
      <c r="P41" s="224" t="inlineStr">
        <is>
          <t>/</t>
        </is>
      </c>
      <c r="Q41" s="224" t="inlineStr">
        <is>
          <t>/</t>
        </is>
      </c>
      <c r="R41" s="224" t="inlineStr">
        <is>
          <t>/</t>
        </is>
      </c>
      <c r="S41" s="224" t="inlineStr">
        <is>
          <t>/</t>
        </is>
      </c>
      <c r="T41" s="224" t="inlineStr">
        <is>
          <t>/</t>
        </is>
      </c>
      <c r="U41" s="224" t="inlineStr">
        <is>
          <t>/</t>
        </is>
      </c>
      <c r="V41" s="224" t="inlineStr">
        <is>
          <t>/</t>
        </is>
      </c>
      <c r="W41" s="47" t="n"/>
      <c r="X41" s="502" t="inlineStr">
        <is>
          <t>/</t>
        </is>
      </c>
      <c r="Y41" s="502" t="inlineStr">
        <is>
          <t>/</t>
        </is>
      </c>
      <c r="Z41" s="502" t="inlineStr">
        <is>
          <t>/</t>
        </is>
      </c>
      <c r="AA41" s="502" t="inlineStr">
        <is>
          <t>/</t>
        </is>
      </c>
      <c r="AB41" s="46" t="n">
        <v>0.06</v>
      </c>
      <c r="AC41" s="46" t="inlineStr">
        <is>
          <t>/</t>
        </is>
      </c>
      <c r="AD41" s="60" t="n"/>
      <c r="AE41" s="25" t="n"/>
    </row>
    <row r="42" ht="12" customFormat="1" customHeight="1" s="209">
      <c r="A42" s="219" t="n">
        <v>40</v>
      </c>
      <c r="B42" s="14" t="inlineStr">
        <is>
          <t>KQCY0040</t>
        </is>
      </c>
      <c r="C42" s="221" t="inlineStr">
        <is>
          <t>餐饮二分部</t>
        </is>
      </c>
      <c r="D42" s="221" t="inlineStr">
        <is>
          <t>CF181</t>
        </is>
      </c>
      <c r="E42" s="221" t="inlineStr">
        <is>
          <t>中科大苏州研究院食堂</t>
        </is>
      </c>
      <c r="F42" s="219" t="inlineStr">
        <is>
          <t>自营</t>
        </is>
      </c>
      <c r="G42" s="222" t="inlineStr">
        <is>
          <t>吉沐牛</t>
        </is>
      </c>
      <c r="H42" s="222" t="inlineStr">
        <is>
          <t>/</t>
        </is>
      </c>
      <c r="I42" s="237" t="inlineStr">
        <is>
          <t>/</t>
        </is>
      </c>
      <c r="J42" s="222" t="inlineStr">
        <is>
          <t>/</t>
        </is>
      </c>
      <c r="K42" s="224" t="inlineStr">
        <is>
          <t>/</t>
        </is>
      </c>
      <c r="L42" s="651" t="n">
        <v>1570000</v>
      </c>
      <c r="M42" s="224" t="inlineStr">
        <is>
          <t>/</t>
        </is>
      </c>
      <c r="N42" s="224" t="inlineStr">
        <is>
          <t>/</t>
        </is>
      </c>
      <c r="O42" s="224" t="inlineStr">
        <is>
          <t>/</t>
        </is>
      </c>
      <c r="P42" s="224" t="inlineStr">
        <is>
          <t>/</t>
        </is>
      </c>
      <c r="Q42" s="224" t="inlineStr">
        <is>
          <t>/</t>
        </is>
      </c>
      <c r="R42" s="224" t="inlineStr">
        <is>
          <t>/</t>
        </is>
      </c>
      <c r="S42" s="224" t="inlineStr">
        <is>
          <t>/</t>
        </is>
      </c>
      <c r="T42" s="224" t="inlineStr">
        <is>
          <t>/</t>
        </is>
      </c>
      <c r="U42" s="224" t="inlineStr">
        <is>
          <t>/</t>
        </is>
      </c>
      <c r="V42" s="224" t="inlineStr">
        <is>
          <t>/</t>
        </is>
      </c>
      <c r="W42" s="461" t="inlineStr">
        <is>
          <t>/</t>
        </is>
      </c>
      <c r="X42" s="461" t="inlineStr">
        <is>
          <t>/</t>
        </is>
      </c>
      <c r="Y42" s="461" t="inlineStr">
        <is>
          <t>/</t>
        </is>
      </c>
      <c r="Z42" s="461" t="inlineStr">
        <is>
          <t>/</t>
        </is>
      </c>
      <c r="AA42" s="503" t="inlineStr">
        <is>
          <t>/</t>
        </is>
      </c>
      <c r="AB42" s="51" t="n">
        <v>0.03</v>
      </c>
      <c r="AC42" s="46" t="inlineStr">
        <is>
          <t>/</t>
        </is>
      </c>
      <c r="AD42" s="232" t="n"/>
      <c r="AE42" s="25" t="n"/>
    </row>
    <row r="43" ht="12" customFormat="1" customHeight="1" s="209">
      <c r="A43" s="219" t="n">
        <v>41</v>
      </c>
      <c r="B43" s="14" t="inlineStr">
        <is>
          <t>KQCY0041</t>
        </is>
      </c>
      <c r="C43" s="221" t="inlineStr">
        <is>
          <t>餐饮二分部</t>
        </is>
      </c>
      <c r="D43" s="221" t="inlineStr">
        <is>
          <t>CF124</t>
        </is>
      </c>
      <c r="E43" s="221" t="inlineStr">
        <is>
          <t>苏州评弹学院食堂</t>
        </is>
      </c>
      <c r="F43" s="219" t="inlineStr">
        <is>
          <t>自营</t>
        </is>
      </c>
      <c r="G43" s="222" t="inlineStr">
        <is>
          <t>吉沐牛</t>
        </is>
      </c>
      <c r="H43" s="222" t="inlineStr">
        <is>
          <t>/</t>
        </is>
      </c>
      <c r="I43" s="237" t="inlineStr">
        <is>
          <t>/</t>
        </is>
      </c>
      <c r="J43" s="222" t="inlineStr">
        <is>
          <t>/</t>
        </is>
      </c>
      <c r="K43" s="224" t="inlineStr">
        <is>
          <t>/</t>
        </is>
      </c>
      <c r="L43" s="651" t="n">
        <v>2850000</v>
      </c>
      <c r="M43" s="224" t="inlineStr">
        <is>
          <t>/</t>
        </is>
      </c>
      <c r="N43" s="224" t="inlineStr">
        <is>
          <t>/</t>
        </is>
      </c>
      <c r="O43" s="224" t="inlineStr">
        <is>
          <t>/</t>
        </is>
      </c>
      <c r="P43" s="224" t="inlineStr">
        <is>
          <t>/</t>
        </is>
      </c>
      <c r="Q43" s="224" t="inlineStr">
        <is>
          <t>/</t>
        </is>
      </c>
      <c r="R43" s="224" t="inlineStr">
        <is>
          <t>/</t>
        </is>
      </c>
      <c r="S43" s="224" t="inlineStr">
        <is>
          <t>/</t>
        </is>
      </c>
      <c r="T43" s="224" t="inlineStr">
        <is>
          <t>/</t>
        </is>
      </c>
      <c r="U43" s="224" t="inlineStr">
        <is>
          <t>/</t>
        </is>
      </c>
      <c r="V43" s="224" t="inlineStr">
        <is>
          <t>/</t>
        </is>
      </c>
      <c r="W43" s="461" t="inlineStr">
        <is>
          <t>/</t>
        </is>
      </c>
      <c r="X43" s="461" t="inlineStr">
        <is>
          <t>/</t>
        </is>
      </c>
      <c r="Y43" s="461" t="inlineStr">
        <is>
          <t>/</t>
        </is>
      </c>
      <c r="Z43" s="461" t="inlineStr">
        <is>
          <t>/</t>
        </is>
      </c>
      <c r="AA43" s="503" t="inlineStr">
        <is>
          <t>/</t>
        </is>
      </c>
      <c r="AB43" s="51" t="n">
        <v>0.16</v>
      </c>
      <c r="AC43" s="46" t="inlineStr">
        <is>
          <t>/</t>
        </is>
      </c>
      <c r="AD43" s="232" t="n"/>
      <c r="AE43" s="25" t="n"/>
    </row>
    <row r="44" ht="12" customFormat="1" customHeight="1" s="209">
      <c r="A44" s="219" t="n">
        <v>42</v>
      </c>
      <c r="B44" s="14" t="inlineStr">
        <is>
          <t>KQCY0042</t>
        </is>
      </c>
      <c r="C44" s="221" t="inlineStr">
        <is>
          <t>餐饮二分部</t>
        </is>
      </c>
      <c r="D44" s="221" t="inlineStr">
        <is>
          <t>CF125</t>
        </is>
      </c>
      <c r="E44" s="61" t="inlineStr">
        <is>
          <t>西浦大学宏愿食堂（南）</t>
        </is>
      </c>
      <c r="F44" s="219" t="inlineStr">
        <is>
          <t>自营</t>
        </is>
      </c>
      <c r="G44" s="222" t="inlineStr">
        <is>
          <t>吉沐牛</t>
        </is>
      </c>
      <c r="H44" s="222" t="inlineStr">
        <is>
          <t>/</t>
        </is>
      </c>
      <c r="I44" s="237" t="inlineStr">
        <is>
          <t>/</t>
        </is>
      </c>
      <c r="J44" s="222" t="inlineStr">
        <is>
          <t>/</t>
        </is>
      </c>
      <c r="K44" s="224" t="inlineStr">
        <is>
          <t>/</t>
        </is>
      </c>
      <c r="L44" s="651" t="inlineStr">
        <is>
          <t>/</t>
        </is>
      </c>
      <c r="M44" s="224" t="inlineStr">
        <is>
          <t>/</t>
        </is>
      </c>
      <c r="N44" s="47" t="n"/>
      <c r="O44" s="23" t="n">
        <v>0.02</v>
      </c>
      <c r="P44" s="47" t="n"/>
      <c r="Q44" s="224" t="inlineStr">
        <is>
          <t>/</t>
        </is>
      </c>
      <c r="R44" s="224" t="inlineStr">
        <is>
          <t>/</t>
        </is>
      </c>
      <c r="S44" s="224" t="inlineStr">
        <is>
          <t>/</t>
        </is>
      </c>
      <c r="T44" s="47" t="n"/>
      <c r="U44" s="47" t="n"/>
      <c r="V44" s="224" t="inlineStr">
        <is>
          <t>/</t>
        </is>
      </c>
      <c r="W44" s="44" t="n"/>
      <c r="X44" s="62" t="n">
        <v>0.035</v>
      </c>
      <c r="Y44" s="461" t="inlineStr">
        <is>
          <t>/</t>
        </is>
      </c>
      <c r="Z44" s="461" t="inlineStr">
        <is>
          <t>/</t>
        </is>
      </c>
      <c r="AA44" s="503" t="inlineStr">
        <is>
          <t>/</t>
        </is>
      </c>
      <c r="AB44" s="51" t="n">
        <v>0.08</v>
      </c>
      <c r="AC44" s="46" t="inlineStr">
        <is>
          <t>/</t>
        </is>
      </c>
      <c r="AD44" s="232" t="n"/>
      <c r="AE44" s="25" t="n"/>
    </row>
    <row r="45" ht="24" customFormat="1" customHeight="1" s="209">
      <c r="A45" s="219" t="n">
        <v>43</v>
      </c>
      <c r="B45" s="14" t="inlineStr">
        <is>
          <t>KQCY0043</t>
        </is>
      </c>
      <c r="C45" s="221" t="inlineStr">
        <is>
          <t>餐饮二分部</t>
        </is>
      </c>
      <c r="D45" s="221" t="inlineStr">
        <is>
          <t>CF125</t>
        </is>
      </c>
      <c r="E45" s="61" t="inlineStr">
        <is>
          <t>西浦大学宏愿食堂（南）</t>
        </is>
      </c>
      <c r="F45" s="219" t="inlineStr">
        <is>
          <t>分组作业</t>
        </is>
      </c>
      <c r="G45" s="222" t="inlineStr">
        <is>
          <t>吉沐牛</t>
        </is>
      </c>
      <c r="H45" s="503" t="inlineStr">
        <is>
          <t>/</t>
        </is>
      </c>
      <c r="I45" s="237" t="inlineStr">
        <is>
          <t>麻辣烫</t>
        </is>
      </c>
      <c r="J45" s="222" t="inlineStr">
        <is>
          <t>何军军</t>
        </is>
      </c>
      <c r="K45" s="224" t="inlineStr">
        <is>
          <t>/</t>
        </is>
      </c>
      <c r="L45" s="651" t="n">
        <v>850000</v>
      </c>
      <c r="M45" s="63" t="n">
        <v>0.12</v>
      </c>
      <c r="N45" s="395" t="n"/>
      <c r="O45" s="63" t="n">
        <v>0.02</v>
      </c>
      <c r="P45" s="395" t="inlineStr">
        <is>
          <t>/</t>
        </is>
      </c>
      <c r="Q45" s="395" t="inlineStr">
        <is>
          <t>/</t>
        </is>
      </c>
      <c r="R45" s="395" t="inlineStr">
        <is>
          <t>/</t>
        </is>
      </c>
      <c r="S45" s="395" t="inlineStr">
        <is>
          <t>/</t>
        </is>
      </c>
      <c r="T45" s="397" t="n"/>
      <c r="U45" s="656" t="n"/>
      <c r="V45" s="395" t="inlineStr">
        <is>
          <t>/</t>
        </is>
      </c>
      <c r="W45" s="67" t="n">
        <v>0.2</v>
      </c>
      <c r="X45" s="68" t="n">
        <v>0.035</v>
      </c>
      <c r="Y45" s="397" t="inlineStr">
        <is>
          <t>/</t>
        </is>
      </c>
      <c r="Z45" s="397" t="inlineStr">
        <is>
          <t>/</t>
        </is>
      </c>
      <c r="AA45" s="397" t="inlineStr">
        <is>
          <t>/</t>
        </is>
      </c>
      <c r="AB45" s="51" t="inlineStr">
        <is>
          <t>/</t>
        </is>
      </c>
      <c r="AC45" s="46" t="inlineStr">
        <is>
          <t>/</t>
        </is>
      </c>
      <c r="AD45" s="69" t="inlineStr">
        <is>
          <t>1、装修折旧费：项目反馈不收取，包含在服务费中；</t>
        </is>
      </c>
      <c r="AE45" s="25" t="inlineStr">
        <is>
          <t>1、签订期间：2025.9-2026.8；
2、指标按照全年换算；</t>
        </is>
      </c>
    </row>
    <row r="46" ht="24" customFormat="1" customHeight="1" s="209">
      <c r="A46" s="219" t="n">
        <v>44</v>
      </c>
      <c r="B46" s="14" t="inlineStr">
        <is>
          <t>KQCY0044</t>
        </is>
      </c>
      <c r="C46" s="221" t="inlineStr">
        <is>
          <t>餐饮二分部</t>
        </is>
      </c>
      <c r="D46" s="221" t="inlineStr">
        <is>
          <t>CF125</t>
        </is>
      </c>
      <c r="E46" s="61" t="inlineStr">
        <is>
          <t>西浦大学宏愿食堂（南）</t>
        </is>
      </c>
      <c r="F46" s="219" t="inlineStr">
        <is>
          <t>分组作业</t>
        </is>
      </c>
      <c r="G46" s="222" t="inlineStr">
        <is>
          <t>吉沐牛</t>
        </is>
      </c>
      <c r="H46" s="503" t="inlineStr">
        <is>
          <t>/</t>
        </is>
      </c>
      <c r="I46" s="237" t="inlineStr">
        <is>
          <t>小炒</t>
        </is>
      </c>
      <c r="J46" s="222" t="inlineStr">
        <is>
          <t>王成龙</t>
        </is>
      </c>
      <c r="K46" s="224" t="inlineStr">
        <is>
          <t>/</t>
        </is>
      </c>
      <c r="L46" s="651" t="n">
        <v>1500000</v>
      </c>
      <c r="M46" s="70" t="n">
        <v>0.12</v>
      </c>
      <c r="N46" s="71" t="n"/>
      <c r="O46" s="70" t="n">
        <v>0.02</v>
      </c>
      <c r="P46" s="71" t="inlineStr">
        <is>
          <t>/</t>
        </is>
      </c>
      <c r="Q46" s="71" t="inlineStr">
        <is>
          <t>/</t>
        </is>
      </c>
      <c r="R46" s="71" t="inlineStr">
        <is>
          <t>/</t>
        </is>
      </c>
      <c r="S46" s="71" t="inlineStr">
        <is>
          <t>/</t>
        </is>
      </c>
      <c r="T46" s="72" t="n"/>
      <c r="U46" s="573" t="n"/>
      <c r="V46" s="71" t="inlineStr">
        <is>
          <t>/</t>
        </is>
      </c>
      <c r="W46" s="74" t="n"/>
      <c r="X46" s="75" t="n">
        <v>0.035</v>
      </c>
      <c r="Y46" s="72" t="inlineStr">
        <is>
          <t>/</t>
        </is>
      </c>
      <c r="Z46" s="72" t="inlineStr">
        <is>
          <t>/</t>
        </is>
      </c>
      <c r="AA46" s="72" t="inlineStr">
        <is>
          <t>/</t>
        </is>
      </c>
      <c r="AB46" s="51" t="inlineStr">
        <is>
          <t>/</t>
        </is>
      </c>
      <c r="AC46" s="46" t="inlineStr">
        <is>
          <t>/</t>
        </is>
      </c>
      <c r="AD46" s="76" t="inlineStr">
        <is>
          <t>1、装修折旧费：项目反馈不收取，包含在服务费中；</t>
        </is>
      </c>
      <c r="AE46" s="25" t="inlineStr">
        <is>
          <t>1、签订期间：2025.9-2026.8；
2、指标按照全年换算；</t>
        </is>
      </c>
    </row>
    <row r="47" ht="24" customFormat="1" customHeight="1" s="209">
      <c r="A47" s="219" t="n">
        <v>45</v>
      </c>
      <c r="B47" s="14" t="inlineStr">
        <is>
          <t>KQCY0045</t>
        </is>
      </c>
      <c r="C47" s="221" t="inlineStr">
        <is>
          <t>餐饮二分部</t>
        </is>
      </c>
      <c r="D47" s="221" t="inlineStr">
        <is>
          <t>CF125</t>
        </is>
      </c>
      <c r="E47" s="61" t="inlineStr">
        <is>
          <t>西浦大学宏愿食堂（南）</t>
        </is>
      </c>
      <c r="F47" s="219" t="inlineStr">
        <is>
          <t>分组作业</t>
        </is>
      </c>
      <c r="G47" s="222" t="inlineStr">
        <is>
          <t>吉沐牛</t>
        </is>
      </c>
      <c r="H47" s="503" t="inlineStr">
        <is>
          <t>/</t>
        </is>
      </c>
      <c r="I47" s="237" t="inlineStr">
        <is>
          <t>枣糕</t>
        </is>
      </c>
      <c r="J47" s="222" t="inlineStr">
        <is>
          <t>杜松松</t>
        </is>
      </c>
      <c r="K47" s="224" t="inlineStr">
        <is>
          <t>/</t>
        </is>
      </c>
      <c r="L47" s="651" t="n">
        <v>340000</v>
      </c>
      <c r="M47" s="70" t="n">
        <v>0.12</v>
      </c>
      <c r="N47" s="71" t="n"/>
      <c r="O47" s="70" t="n">
        <v>0.02</v>
      </c>
      <c r="P47" s="71" t="inlineStr">
        <is>
          <t>/</t>
        </is>
      </c>
      <c r="Q47" s="71" t="inlineStr">
        <is>
          <t>/</t>
        </is>
      </c>
      <c r="R47" s="71" t="inlineStr">
        <is>
          <t>/</t>
        </is>
      </c>
      <c r="S47" s="71" t="inlineStr">
        <is>
          <t>/</t>
        </is>
      </c>
      <c r="T47" s="72" t="n"/>
      <c r="U47" s="573" t="n"/>
      <c r="V47" s="71" t="inlineStr">
        <is>
          <t>/</t>
        </is>
      </c>
      <c r="W47" s="77" t="n">
        <v>0.2</v>
      </c>
      <c r="X47" s="75" t="n">
        <v>0.035</v>
      </c>
      <c r="Y47" s="72" t="inlineStr">
        <is>
          <t>/</t>
        </is>
      </c>
      <c r="Z47" s="72" t="inlineStr">
        <is>
          <t>/</t>
        </is>
      </c>
      <c r="AA47" s="72" t="inlineStr">
        <is>
          <t>/</t>
        </is>
      </c>
      <c r="AB47" s="51" t="inlineStr">
        <is>
          <t>/</t>
        </is>
      </c>
      <c r="AC47" s="46" t="inlineStr">
        <is>
          <t>/</t>
        </is>
      </c>
      <c r="AD47" s="76" t="inlineStr">
        <is>
          <t>1、装修折旧费：项目反馈不收取，包含在服务费中；</t>
        </is>
      </c>
      <c r="AE47" s="25" t="inlineStr">
        <is>
          <t>1、签订期间：2025.9-2026.8；
2、指标按照全年换算；</t>
        </is>
      </c>
    </row>
    <row r="48" ht="24" customFormat="1" customHeight="1" s="209">
      <c r="A48" s="219" t="n">
        <v>46</v>
      </c>
      <c r="B48" s="14" t="inlineStr">
        <is>
          <t>KQCY0046</t>
        </is>
      </c>
      <c r="C48" s="221" t="inlineStr">
        <is>
          <t>餐饮二分部</t>
        </is>
      </c>
      <c r="D48" s="221" t="inlineStr">
        <is>
          <t>CF125</t>
        </is>
      </c>
      <c r="E48" s="61" t="inlineStr">
        <is>
          <t>西浦大学宏愿食堂（南）</t>
        </is>
      </c>
      <c r="F48" s="219" t="inlineStr">
        <is>
          <t>分组作业</t>
        </is>
      </c>
      <c r="G48" s="222" t="inlineStr">
        <is>
          <t>吉沐牛</t>
        </is>
      </c>
      <c r="H48" s="503" t="inlineStr">
        <is>
          <t>/</t>
        </is>
      </c>
      <c r="I48" s="237" t="inlineStr">
        <is>
          <t>面条</t>
        </is>
      </c>
      <c r="J48" s="222" t="inlineStr">
        <is>
          <t>葛文静</t>
        </is>
      </c>
      <c r="K48" s="224" t="inlineStr">
        <is>
          <t>/</t>
        </is>
      </c>
      <c r="L48" s="651" t="n">
        <v>365000</v>
      </c>
      <c r="M48" s="70" t="n">
        <v>0.12</v>
      </c>
      <c r="N48" s="71" t="n"/>
      <c r="O48" s="70" t="n">
        <v>0.02</v>
      </c>
      <c r="P48" s="71" t="inlineStr">
        <is>
          <t>/</t>
        </is>
      </c>
      <c r="Q48" s="71" t="inlineStr">
        <is>
          <t>/</t>
        </is>
      </c>
      <c r="R48" s="71" t="inlineStr">
        <is>
          <t>/</t>
        </is>
      </c>
      <c r="S48" s="71" t="inlineStr">
        <is>
          <t>/</t>
        </is>
      </c>
      <c r="T48" s="72" t="n"/>
      <c r="U48" s="573" t="n"/>
      <c r="V48" s="71" t="inlineStr">
        <is>
          <t>/</t>
        </is>
      </c>
      <c r="W48" s="77" t="n">
        <v>0.2</v>
      </c>
      <c r="X48" s="75" t="n">
        <v>0.035</v>
      </c>
      <c r="Y48" s="72" t="inlineStr">
        <is>
          <t>/</t>
        </is>
      </c>
      <c r="Z48" s="72" t="inlineStr">
        <is>
          <t>/</t>
        </is>
      </c>
      <c r="AA48" s="72" t="inlineStr">
        <is>
          <t>/</t>
        </is>
      </c>
      <c r="AB48" s="51" t="inlineStr">
        <is>
          <t>/</t>
        </is>
      </c>
      <c r="AC48" s="46" t="inlineStr">
        <is>
          <t>/</t>
        </is>
      </c>
      <c r="AD48" s="76" t="inlineStr">
        <is>
          <t>1、装修折旧费：项目反馈不收取，包含在服务费中；</t>
        </is>
      </c>
      <c r="AE48" s="25" t="inlineStr">
        <is>
          <t>1、签订期间：2025.9-2026.8；
2、指标按照全年换算；</t>
        </is>
      </c>
    </row>
    <row r="49" ht="24" customFormat="1" customHeight="1" s="209">
      <c r="A49" s="219" t="n">
        <v>47</v>
      </c>
      <c r="B49" s="14" t="inlineStr">
        <is>
          <t>KQCY0047</t>
        </is>
      </c>
      <c r="C49" s="221" t="inlineStr">
        <is>
          <t>餐饮二分部</t>
        </is>
      </c>
      <c r="D49" s="221" t="inlineStr">
        <is>
          <t>CF125</t>
        </is>
      </c>
      <c r="E49" s="61" t="inlineStr">
        <is>
          <t>西浦大学宏愿食堂（南）</t>
        </is>
      </c>
      <c r="F49" s="219" t="inlineStr">
        <is>
          <t>分组作业</t>
        </is>
      </c>
      <c r="G49" s="222" t="inlineStr">
        <is>
          <t>吉沐牛</t>
        </is>
      </c>
      <c r="H49" s="503" t="inlineStr">
        <is>
          <t>/</t>
        </is>
      </c>
      <c r="I49" s="237" t="inlineStr">
        <is>
          <t>烤肉</t>
        </is>
      </c>
      <c r="J49" s="222" t="inlineStr">
        <is>
          <t>杜松松</t>
        </is>
      </c>
      <c r="K49" s="224" t="inlineStr">
        <is>
          <t>/</t>
        </is>
      </c>
      <c r="L49" s="651" t="n">
        <v>370000</v>
      </c>
      <c r="M49" s="70" t="n">
        <v>0.12</v>
      </c>
      <c r="N49" s="71" t="n"/>
      <c r="O49" s="70" t="n">
        <v>0.02</v>
      </c>
      <c r="P49" s="71" t="inlineStr">
        <is>
          <t>/</t>
        </is>
      </c>
      <c r="Q49" s="71" t="inlineStr">
        <is>
          <t>/</t>
        </is>
      </c>
      <c r="R49" s="71" t="inlineStr">
        <is>
          <t>/</t>
        </is>
      </c>
      <c r="S49" s="71" t="inlineStr">
        <is>
          <t>/</t>
        </is>
      </c>
      <c r="T49" s="72" t="n"/>
      <c r="U49" s="573" t="n"/>
      <c r="V49" s="71" t="inlineStr">
        <is>
          <t>/</t>
        </is>
      </c>
      <c r="W49" s="77" t="n">
        <v>0.2</v>
      </c>
      <c r="X49" s="75" t="n">
        <v>0.035</v>
      </c>
      <c r="Y49" s="72" t="inlineStr">
        <is>
          <t>/</t>
        </is>
      </c>
      <c r="Z49" s="72" t="inlineStr">
        <is>
          <t>/</t>
        </is>
      </c>
      <c r="AA49" s="72" t="inlineStr">
        <is>
          <t>/</t>
        </is>
      </c>
      <c r="AB49" s="51" t="inlineStr">
        <is>
          <t>/</t>
        </is>
      </c>
      <c r="AC49" s="46" t="inlineStr">
        <is>
          <t>/</t>
        </is>
      </c>
      <c r="AD49" s="76" t="inlineStr">
        <is>
          <t>1、装修折旧费：项目反馈不收取，包含在服务费中；</t>
        </is>
      </c>
      <c r="AE49" s="25" t="inlineStr">
        <is>
          <t>1、签订期间：2025.9-2026.8；
2、指标按照全年换算；</t>
        </is>
      </c>
    </row>
    <row r="50" ht="24" customFormat="1" customHeight="1" s="209">
      <c r="A50" s="219" t="n">
        <v>48</v>
      </c>
      <c r="B50" s="14" t="inlineStr">
        <is>
          <t>KQCY0048</t>
        </is>
      </c>
      <c r="C50" s="221" t="inlineStr">
        <is>
          <t>餐饮二分部</t>
        </is>
      </c>
      <c r="D50" s="221" t="inlineStr">
        <is>
          <t>CF125</t>
        </is>
      </c>
      <c r="E50" s="61" t="inlineStr">
        <is>
          <t>西浦大学宏愿食堂（南）</t>
        </is>
      </c>
      <c r="F50" s="219" t="inlineStr">
        <is>
          <t>分组作业</t>
        </is>
      </c>
      <c r="G50" s="222" t="inlineStr">
        <is>
          <t>吉沐牛</t>
        </is>
      </c>
      <c r="H50" s="503" t="inlineStr">
        <is>
          <t>/</t>
        </is>
      </c>
      <c r="I50" s="237" t="inlineStr">
        <is>
          <t>粉丝汤</t>
        </is>
      </c>
      <c r="J50" s="222" t="inlineStr">
        <is>
          <t>李鑫</t>
        </is>
      </c>
      <c r="K50" s="224" t="inlineStr">
        <is>
          <t>/</t>
        </is>
      </c>
      <c r="L50" s="651" t="n">
        <v>440000</v>
      </c>
      <c r="M50" s="70" t="n">
        <v>0.12</v>
      </c>
      <c r="N50" s="71" t="n"/>
      <c r="O50" s="70" t="n">
        <v>0.02</v>
      </c>
      <c r="P50" s="71" t="inlineStr">
        <is>
          <t>/</t>
        </is>
      </c>
      <c r="Q50" s="71" t="inlineStr">
        <is>
          <t>/</t>
        </is>
      </c>
      <c r="R50" s="71" t="inlineStr">
        <is>
          <t>/</t>
        </is>
      </c>
      <c r="S50" s="71" t="inlineStr">
        <is>
          <t>/</t>
        </is>
      </c>
      <c r="T50" s="72" t="n"/>
      <c r="U50" s="573" t="n"/>
      <c r="V50" s="71" t="inlineStr">
        <is>
          <t>/</t>
        </is>
      </c>
      <c r="W50" s="77" t="n">
        <v>0.2</v>
      </c>
      <c r="X50" s="75" t="n">
        <v>0.035</v>
      </c>
      <c r="Y50" s="72" t="inlineStr">
        <is>
          <t>/</t>
        </is>
      </c>
      <c r="Z50" s="72" t="inlineStr">
        <is>
          <t>/</t>
        </is>
      </c>
      <c r="AA50" s="72" t="inlineStr">
        <is>
          <t>/</t>
        </is>
      </c>
      <c r="AB50" s="51" t="inlineStr">
        <is>
          <t>/</t>
        </is>
      </c>
      <c r="AC50" s="46" t="inlineStr">
        <is>
          <t>/</t>
        </is>
      </c>
      <c r="AD50" s="76" t="inlineStr">
        <is>
          <t>1、装修折旧费：项目反馈不收取，包含在服务费中；</t>
        </is>
      </c>
      <c r="AE50" s="25" t="inlineStr">
        <is>
          <t>1、签订期间：2025.9-2026.8；
2、指标按照全年换算；</t>
        </is>
      </c>
    </row>
    <row r="51" ht="12" customFormat="1" customHeight="1" s="209">
      <c r="A51" s="219" t="n">
        <v>49</v>
      </c>
      <c r="B51" s="14" t="inlineStr">
        <is>
          <t>KQCY0049</t>
        </is>
      </c>
      <c r="C51" s="221" t="inlineStr">
        <is>
          <t>餐饮二分部</t>
        </is>
      </c>
      <c r="D51" s="221" t="inlineStr">
        <is>
          <t>CF137</t>
        </is>
      </c>
      <c r="E51" s="61" t="inlineStr">
        <is>
          <t>西浦大学宏愿食堂（北）</t>
        </is>
      </c>
      <c r="F51" s="219" t="inlineStr">
        <is>
          <t>自营</t>
        </is>
      </c>
      <c r="G51" s="222" t="inlineStr">
        <is>
          <t>吉沐牛</t>
        </is>
      </c>
      <c r="H51" s="222" t="inlineStr">
        <is>
          <t>/</t>
        </is>
      </c>
      <c r="I51" s="237" t="inlineStr">
        <is>
          <t>/</t>
        </is>
      </c>
      <c r="J51" s="222" t="inlineStr">
        <is>
          <t>/</t>
        </is>
      </c>
      <c r="K51" s="224" t="inlineStr">
        <is>
          <t>/</t>
        </is>
      </c>
      <c r="L51" s="651" t="inlineStr">
        <is>
          <t>/</t>
        </is>
      </c>
      <c r="M51" s="77" t="inlineStr">
        <is>
          <t>/</t>
        </is>
      </c>
      <c r="N51" s="78" t="n"/>
      <c r="O51" s="79" t="n">
        <v>0.02</v>
      </c>
      <c r="P51" s="78" t="n"/>
      <c r="Q51" s="77" t="inlineStr">
        <is>
          <t>/</t>
        </is>
      </c>
      <c r="R51" s="77" t="inlineStr">
        <is>
          <t>/</t>
        </is>
      </c>
      <c r="S51" s="77" t="inlineStr">
        <is>
          <t>/</t>
        </is>
      </c>
      <c r="T51" s="78" t="n"/>
      <c r="U51" s="78" t="n"/>
      <c r="V51" s="77" t="inlineStr">
        <is>
          <t>/</t>
        </is>
      </c>
      <c r="W51" s="80" t="n"/>
      <c r="X51" s="72" t="inlineStr">
        <is>
          <t>/</t>
        </is>
      </c>
      <c r="Y51" s="80" t="n"/>
      <c r="Z51" s="72" t="inlineStr">
        <is>
          <t>/</t>
        </is>
      </c>
      <c r="AA51" s="72" t="inlineStr">
        <is>
          <t>/</t>
        </is>
      </c>
      <c r="AB51" s="51" t="n">
        <v>0.06</v>
      </c>
      <c r="AC51" s="46" t="inlineStr">
        <is>
          <t>/</t>
        </is>
      </c>
      <c r="AD51" s="76" t="n"/>
      <c r="AE51" s="25" t="n"/>
    </row>
    <row r="52" ht="24" customFormat="1" customHeight="1" s="209">
      <c r="A52" s="219" t="n">
        <v>50</v>
      </c>
      <c r="B52" s="14" t="inlineStr">
        <is>
          <t>KQCY0050</t>
        </is>
      </c>
      <c r="C52" s="221" t="inlineStr">
        <is>
          <t>餐饮二分部</t>
        </is>
      </c>
      <c r="D52" s="221" t="inlineStr">
        <is>
          <t>CF137</t>
        </is>
      </c>
      <c r="E52" s="61" t="inlineStr">
        <is>
          <t>西浦大学宏愿食堂（北）</t>
        </is>
      </c>
      <c r="F52" s="219" t="inlineStr">
        <is>
          <t>分组作业</t>
        </is>
      </c>
      <c r="G52" s="222" t="inlineStr">
        <is>
          <t>吉沐牛</t>
        </is>
      </c>
      <c r="H52" s="503" t="inlineStr">
        <is>
          <t>/</t>
        </is>
      </c>
      <c r="I52" s="237" t="inlineStr">
        <is>
          <t>滑蛋饭</t>
        </is>
      </c>
      <c r="J52" s="503" t="inlineStr">
        <is>
          <t>赵广伟</t>
        </is>
      </c>
      <c r="K52" s="224" t="inlineStr">
        <is>
          <t>/</t>
        </is>
      </c>
      <c r="L52" s="651" t="n">
        <v>345000</v>
      </c>
      <c r="M52" s="70" t="n">
        <v>0.14</v>
      </c>
      <c r="N52" s="71" t="inlineStr">
        <is>
          <t>/</t>
        </is>
      </c>
      <c r="O52" s="70" t="n">
        <v>0.02</v>
      </c>
      <c r="P52" s="71" t="inlineStr">
        <is>
          <t>/</t>
        </is>
      </c>
      <c r="Q52" s="71" t="inlineStr">
        <is>
          <t>/</t>
        </is>
      </c>
      <c r="R52" s="71" t="inlineStr">
        <is>
          <t>/</t>
        </is>
      </c>
      <c r="S52" s="71" t="inlineStr">
        <is>
          <t>/</t>
        </is>
      </c>
      <c r="T52" s="81" t="n">
        <v>0.05</v>
      </c>
      <c r="U52" s="70" t="n">
        <v>0.06</v>
      </c>
      <c r="V52" s="70" t="n">
        <v>0.01</v>
      </c>
      <c r="W52" s="77" t="n">
        <v>0.2</v>
      </c>
      <c r="X52" s="77" t="inlineStr">
        <is>
          <t>/</t>
        </is>
      </c>
      <c r="Y52" s="72" t="inlineStr">
        <is>
          <t>/</t>
        </is>
      </c>
      <c r="Z52" s="72" t="inlineStr">
        <is>
          <t>/</t>
        </is>
      </c>
      <c r="AA52" s="72" t="inlineStr">
        <is>
          <t>/</t>
        </is>
      </c>
      <c r="AB52" s="51" t="inlineStr">
        <is>
          <t>/</t>
        </is>
      </c>
      <c r="AC52" s="46" t="inlineStr">
        <is>
          <t>/</t>
        </is>
      </c>
      <c r="AD52" s="82" t="inlineStr">
        <is>
          <t>1、装修折旧费：项目反馈不收取，包含在服务费中；
2、甲方房租：项目反馈不收取，包含在服务费中；</t>
        </is>
      </c>
      <c r="AE52" s="25" t="inlineStr">
        <is>
          <t>1、签订期间：2025.10-2026.9；
2、指标按照全年换算；</t>
        </is>
      </c>
    </row>
    <row r="53" ht="24" customFormat="1" customHeight="1" s="209">
      <c r="A53" s="219" t="n">
        <v>51</v>
      </c>
      <c r="B53" s="14" t="inlineStr">
        <is>
          <t>KQCY0051</t>
        </is>
      </c>
      <c r="C53" s="221" t="inlineStr">
        <is>
          <t>餐饮二分部</t>
        </is>
      </c>
      <c r="D53" s="221" t="inlineStr">
        <is>
          <t>CF137</t>
        </is>
      </c>
      <c r="E53" s="61" t="inlineStr">
        <is>
          <t>西浦大学宏愿食堂（北）</t>
        </is>
      </c>
      <c r="F53" s="219" t="inlineStr">
        <is>
          <t>分组作业</t>
        </is>
      </c>
      <c r="G53" s="222" t="inlineStr">
        <is>
          <t>吉沐牛</t>
        </is>
      </c>
      <c r="H53" s="503" t="inlineStr">
        <is>
          <t>/</t>
        </is>
      </c>
      <c r="I53" s="237" t="inlineStr">
        <is>
          <t>手工水饺</t>
        </is>
      </c>
      <c r="J53" s="503" t="inlineStr">
        <is>
          <t>赵玉才</t>
        </is>
      </c>
      <c r="K53" s="224" t="inlineStr">
        <is>
          <t>/</t>
        </is>
      </c>
      <c r="L53" s="651" t="n">
        <v>475000</v>
      </c>
      <c r="M53" s="70" t="n">
        <v>0.14</v>
      </c>
      <c r="N53" s="71" t="inlineStr">
        <is>
          <t>/</t>
        </is>
      </c>
      <c r="O53" s="70" t="n">
        <v>0.02</v>
      </c>
      <c r="P53" s="71" t="inlineStr">
        <is>
          <t>/</t>
        </is>
      </c>
      <c r="Q53" s="71" t="inlineStr">
        <is>
          <t>/</t>
        </is>
      </c>
      <c r="R53" s="71" t="inlineStr">
        <is>
          <t>/</t>
        </is>
      </c>
      <c r="S53" s="71" t="inlineStr">
        <is>
          <t>/</t>
        </is>
      </c>
      <c r="T53" s="81" t="n">
        <v>0.05</v>
      </c>
      <c r="U53" s="70" t="n">
        <v>0.06</v>
      </c>
      <c r="V53" s="70" t="n">
        <v>0.01</v>
      </c>
      <c r="W53" s="77" t="n">
        <v>0.2</v>
      </c>
      <c r="X53" s="77" t="inlineStr">
        <is>
          <t>/</t>
        </is>
      </c>
      <c r="Y53" s="72" t="inlineStr">
        <is>
          <t>/</t>
        </is>
      </c>
      <c r="Z53" s="72" t="inlineStr">
        <is>
          <t>/</t>
        </is>
      </c>
      <c r="AA53" s="72" t="inlineStr">
        <is>
          <t>/</t>
        </is>
      </c>
      <c r="AB53" s="51" t="inlineStr">
        <is>
          <t>/</t>
        </is>
      </c>
      <c r="AC53" s="46" t="inlineStr">
        <is>
          <t>/</t>
        </is>
      </c>
      <c r="AD53" s="76" t="inlineStr">
        <is>
          <t>1、装修折旧费：项目反馈不收取，包含在服务费中；
2、甲方房租：项目反馈不收取，包含在服务费中；</t>
        </is>
      </c>
      <c r="AE53" s="25" t="inlineStr">
        <is>
          <t>1、签订期间：2025.10-2026.9；
2、指标按照全年换算；</t>
        </is>
      </c>
    </row>
    <row r="54" ht="24" customFormat="1" customHeight="1" s="209">
      <c r="A54" s="219" t="n">
        <v>52</v>
      </c>
      <c r="B54" s="14" t="inlineStr">
        <is>
          <t>KQCY0052</t>
        </is>
      </c>
      <c r="C54" s="221" t="inlineStr">
        <is>
          <t>餐饮二分部</t>
        </is>
      </c>
      <c r="D54" s="221" t="inlineStr">
        <is>
          <t>CF137</t>
        </is>
      </c>
      <c r="E54" s="61" t="inlineStr">
        <is>
          <t>西浦大学宏愿食堂（北）</t>
        </is>
      </c>
      <c r="F54" s="219" t="inlineStr">
        <is>
          <t>分组作业</t>
        </is>
      </c>
      <c r="G54" s="222" t="inlineStr">
        <is>
          <t>吉沐牛</t>
        </is>
      </c>
      <c r="H54" s="503" t="inlineStr">
        <is>
          <t>/</t>
        </is>
      </c>
      <c r="I54" s="237" t="inlineStr">
        <is>
          <t>烤盘饭</t>
        </is>
      </c>
      <c r="J54" s="503" t="inlineStr">
        <is>
          <t>付昌杰</t>
        </is>
      </c>
      <c r="K54" s="224" t="inlineStr">
        <is>
          <t>/</t>
        </is>
      </c>
      <c r="L54" s="651" t="n">
        <v>875000</v>
      </c>
      <c r="M54" s="70" t="n">
        <v>0.14</v>
      </c>
      <c r="N54" s="71" t="inlineStr">
        <is>
          <t>/</t>
        </is>
      </c>
      <c r="O54" s="70" t="n">
        <v>0.02</v>
      </c>
      <c r="P54" s="71" t="inlineStr">
        <is>
          <t>/</t>
        </is>
      </c>
      <c r="Q54" s="71" t="inlineStr">
        <is>
          <t>/</t>
        </is>
      </c>
      <c r="R54" s="71" t="inlineStr">
        <is>
          <t>/</t>
        </is>
      </c>
      <c r="S54" s="71" t="inlineStr">
        <is>
          <t>/</t>
        </is>
      </c>
      <c r="T54" s="81" t="n">
        <v>0.05</v>
      </c>
      <c r="U54" s="70" t="n">
        <v>0.06</v>
      </c>
      <c r="V54" s="70" t="n">
        <v>0.01</v>
      </c>
      <c r="W54" s="77" t="n">
        <v>0.2</v>
      </c>
      <c r="X54" s="77" t="inlineStr">
        <is>
          <t>/</t>
        </is>
      </c>
      <c r="Y54" s="72" t="inlineStr">
        <is>
          <t>/</t>
        </is>
      </c>
      <c r="Z54" s="72" t="inlineStr">
        <is>
          <t>/</t>
        </is>
      </c>
      <c r="AA54" s="72" t="inlineStr">
        <is>
          <t>/</t>
        </is>
      </c>
      <c r="AB54" s="51" t="inlineStr">
        <is>
          <t>/</t>
        </is>
      </c>
      <c r="AC54" s="46" t="inlineStr">
        <is>
          <t>/</t>
        </is>
      </c>
      <c r="AD54" s="76" t="inlineStr">
        <is>
          <t>1、装修折旧费：项目反馈不收取，包含在服务费中；
2、甲方房租：项目反馈不收取，包含在服务费中；</t>
        </is>
      </c>
      <c r="AE54" s="25" t="inlineStr">
        <is>
          <t>1、签订期间：2025.10-2026.9；
2、指标按照全年换算；</t>
        </is>
      </c>
    </row>
    <row r="55" ht="24" customFormat="1" customHeight="1" s="209">
      <c r="A55" s="219" t="n">
        <v>53</v>
      </c>
      <c r="B55" s="14" t="inlineStr">
        <is>
          <t>KQCY0053</t>
        </is>
      </c>
      <c r="C55" s="221" t="inlineStr">
        <is>
          <t>餐饮二分部</t>
        </is>
      </c>
      <c r="D55" s="221" t="inlineStr">
        <is>
          <t>CF137</t>
        </is>
      </c>
      <c r="E55" s="61" t="inlineStr">
        <is>
          <t>西浦大学宏愿食堂（北）</t>
        </is>
      </c>
      <c r="F55" s="219" t="inlineStr">
        <is>
          <t>分组作业</t>
        </is>
      </c>
      <c r="G55" s="222" t="inlineStr">
        <is>
          <t>吉沐牛</t>
        </is>
      </c>
      <c r="H55" s="503" t="inlineStr">
        <is>
          <t>/</t>
        </is>
      </c>
      <c r="I55" s="237" t="inlineStr">
        <is>
          <t>大花米线</t>
        </is>
      </c>
      <c r="J55" s="503" t="inlineStr">
        <is>
          <t>钱卫军</t>
        </is>
      </c>
      <c r="K55" s="224" t="inlineStr">
        <is>
          <t>/</t>
        </is>
      </c>
      <c r="L55" s="651" t="n">
        <v>485000</v>
      </c>
      <c r="M55" s="70" t="n">
        <v>0.14</v>
      </c>
      <c r="N55" s="71" t="inlineStr">
        <is>
          <t>/</t>
        </is>
      </c>
      <c r="O55" s="70" t="n">
        <v>0.02</v>
      </c>
      <c r="P55" s="71" t="inlineStr">
        <is>
          <t>/</t>
        </is>
      </c>
      <c r="Q55" s="71" t="inlineStr">
        <is>
          <t>/</t>
        </is>
      </c>
      <c r="R55" s="71" t="inlineStr">
        <is>
          <t>/</t>
        </is>
      </c>
      <c r="S55" s="71" t="inlineStr">
        <is>
          <t>/</t>
        </is>
      </c>
      <c r="T55" s="81" t="n">
        <v>0.05</v>
      </c>
      <c r="U55" s="70" t="n">
        <v>0.06</v>
      </c>
      <c r="V55" s="70" t="n">
        <v>0.01</v>
      </c>
      <c r="W55" s="77" t="n">
        <v>0.2</v>
      </c>
      <c r="X55" s="77" t="inlineStr">
        <is>
          <t>/</t>
        </is>
      </c>
      <c r="Y55" s="72" t="inlineStr">
        <is>
          <t>/</t>
        </is>
      </c>
      <c r="Z55" s="72" t="inlineStr">
        <is>
          <t>/</t>
        </is>
      </c>
      <c r="AA55" s="72" t="inlineStr">
        <is>
          <t>/</t>
        </is>
      </c>
      <c r="AB55" s="51" t="inlineStr">
        <is>
          <t>/</t>
        </is>
      </c>
      <c r="AC55" s="46" t="inlineStr">
        <is>
          <t>/</t>
        </is>
      </c>
      <c r="AD55" s="76" t="inlineStr">
        <is>
          <t>1、装修折旧费：项目反馈不收取，包含在服务费中；
2、甲方房租：项目反馈不收取，包含在服务费中；</t>
        </is>
      </c>
      <c r="AE55" s="25" t="inlineStr">
        <is>
          <t>1、签订期间：2025.10-2026.9；
2、指标按照全年换算；</t>
        </is>
      </c>
    </row>
    <row r="56" ht="24" customFormat="1" customHeight="1" s="209">
      <c r="A56" s="219" t="n">
        <v>54</v>
      </c>
      <c r="B56" s="14" t="inlineStr">
        <is>
          <t>KQCY0054</t>
        </is>
      </c>
      <c r="C56" s="221" t="inlineStr">
        <is>
          <t>餐饮二分部</t>
        </is>
      </c>
      <c r="D56" s="221" t="inlineStr">
        <is>
          <t>CF137</t>
        </is>
      </c>
      <c r="E56" s="61" t="inlineStr">
        <is>
          <t>西浦大学宏愿食堂（北）</t>
        </is>
      </c>
      <c r="F56" s="219" t="inlineStr">
        <is>
          <t>分组作业</t>
        </is>
      </c>
      <c r="G56" s="222" t="inlineStr">
        <is>
          <t>吉沐牛</t>
        </is>
      </c>
      <c r="H56" s="503" t="inlineStr">
        <is>
          <t>/</t>
        </is>
      </c>
      <c r="I56" s="237" t="inlineStr">
        <is>
          <t>石锅饭</t>
        </is>
      </c>
      <c r="J56" s="503" t="inlineStr">
        <is>
          <t>葛颖</t>
        </is>
      </c>
      <c r="K56" s="224" t="inlineStr">
        <is>
          <t>/</t>
        </is>
      </c>
      <c r="L56" s="651" t="n">
        <v>600000</v>
      </c>
      <c r="M56" s="70" t="n">
        <v>0.14</v>
      </c>
      <c r="N56" s="71" t="inlineStr">
        <is>
          <t>/</t>
        </is>
      </c>
      <c r="O56" s="70" t="n">
        <v>0.02</v>
      </c>
      <c r="P56" s="71" t="inlineStr">
        <is>
          <t>/</t>
        </is>
      </c>
      <c r="Q56" s="71" t="inlineStr">
        <is>
          <t>/</t>
        </is>
      </c>
      <c r="R56" s="71" t="inlineStr">
        <is>
          <t>/</t>
        </is>
      </c>
      <c r="S56" s="71" t="inlineStr">
        <is>
          <t>/</t>
        </is>
      </c>
      <c r="T56" s="81" t="n">
        <v>0.05</v>
      </c>
      <c r="U56" s="70" t="n">
        <v>0.06</v>
      </c>
      <c r="V56" s="70" t="n">
        <v>0.01</v>
      </c>
      <c r="W56" s="77" t="n">
        <v>0.2</v>
      </c>
      <c r="X56" s="77" t="inlineStr">
        <is>
          <t>/</t>
        </is>
      </c>
      <c r="Y56" s="72" t="inlineStr">
        <is>
          <t>/</t>
        </is>
      </c>
      <c r="Z56" s="72" t="inlineStr">
        <is>
          <t>/</t>
        </is>
      </c>
      <c r="AA56" s="72" t="inlineStr">
        <is>
          <t>/</t>
        </is>
      </c>
      <c r="AB56" s="51" t="inlineStr">
        <is>
          <t>/</t>
        </is>
      </c>
      <c r="AC56" s="46" t="inlineStr">
        <is>
          <t>/</t>
        </is>
      </c>
      <c r="AD56" s="76" t="inlineStr">
        <is>
          <t>1、装修折旧费：项目反馈不收取，包含在服务费中；
2、甲方房租：项目反馈不收取，包含在服务费中；</t>
        </is>
      </c>
      <c r="AE56" s="25" t="inlineStr">
        <is>
          <t>1、签订期间：2025.10-2026.9；
2、指标按照全年换算；</t>
        </is>
      </c>
    </row>
    <row r="57" ht="48" customFormat="1" customHeight="1" s="209">
      <c r="A57" s="219" t="n">
        <v>55</v>
      </c>
      <c r="B57" s="14" t="inlineStr">
        <is>
          <t>KQCY0055</t>
        </is>
      </c>
      <c r="C57" s="221" t="inlineStr">
        <is>
          <t>餐饮二分部</t>
        </is>
      </c>
      <c r="D57" s="221" t="inlineStr">
        <is>
          <t>CF137</t>
        </is>
      </c>
      <c r="E57" s="61" t="inlineStr">
        <is>
          <t>西浦大学宏愿食堂（北）</t>
        </is>
      </c>
      <c r="F57" s="219" t="inlineStr">
        <is>
          <t>分组作业</t>
        </is>
      </c>
      <c r="G57" s="222" t="inlineStr">
        <is>
          <t>吉沐牛</t>
        </is>
      </c>
      <c r="H57" s="503" t="inlineStr">
        <is>
          <t>/</t>
        </is>
      </c>
      <c r="I57" s="237" t="inlineStr">
        <is>
          <t>一鸣鲜奶吧</t>
        </is>
      </c>
      <c r="J57" s="503" t="inlineStr">
        <is>
          <t>黎欢</t>
        </is>
      </c>
      <c r="K57" s="224" t="inlineStr">
        <is>
          <t>/</t>
        </is>
      </c>
      <c r="L57" s="651" t="n">
        <v>615000</v>
      </c>
      <c r="M57" s="71" t="n">
        <v>120000</v>
      </c>
      <c r="N57" s="71" t="inlineStr">
        <is>
          <t>/</t>
        </is>
      </c>
      <c r="O57" s="70" t="inlineStr">
        <is>
          <t>/</t>
        </is>
      </c>
      <c r="P57" s="71" t="inlineStr">
        <is>
          <t>/</t>
        </is>
      </c>
      <c r="Q57" s="71" t="inlineStr">
        <is>
          <t>/</t>
        </is>
      </c>
      <c r="R57" s="71" t="inlineStr">
        <is>
          <t>/</t>
        </is>
      </c>
      <c r="S57" s="71" t="inlineStr">
        <is>
          <t>/</t>
        </is>
      </c>
      <c r="T57" s="81" t="n">
        <v>0.03</v>
      </c>
      <c r="U57" s="70" t="n">
        <v>0.05</v>
      </c>
      <c r="V57" s="70" t="n">
        <v>0.005</v>
      </c>
      <c r="W57" s="74" t="n"/>
      <c r="X57" s="72" t="inlineStr">
        <is>
          <t>/</t>
        </is>
      </c>
      <c r="Y57" s="72" t="inlineStr">
        <is>
          <t>/</t>
        </is>
      </c>
      <c r="Z57" s="72" t="inlineStr">
        <is>
          <t>/</t>
        </is>
      </c>
      <c r="AA57" s="72" t="inlineStr">
        <is>
          <t>/</t>
        </is>
      </c>
      <c r="AB57" s="51" t="inlineStr">
        <is>
          <t>/</t>
        </is>
      </c>
      <c r="AC57" s="46" t="inlineStr">
        <is>
          <t>/</t>
        </is>
      </c>
      <c r="AD57" s="76" t="inlineStr">
        <is>
          <t>1、服务费：12万/年；
2、采购费：项目反馈不收取，包含在服务费中；
3、装修折旧费：项目反馈不收取，包含在服务费中；
4、甲方房租：项目反馈不收取，包含在服务费中；</t>
        </is>
      </c>
      <c r="AE57" s="25" t="inlineStr">
        <is>
          <t>1、签订期间：2025.10-2026.9；
2、指标按照全年换算；</t>
        </is>
      </c>
    </row>
    <row r="58" ht="12" customFormat="1" customHeight="1" s="209">
      <c r="A58" s="219" t="n">
        <v>56</v>
      </c>
      <c r="B58" s="14" t="inlineStr">
        <is>
          <t>KQCY0056</t>
        </is>
      </c>
      <c r="C58" s="221" t="inlineStr">
        <is>
          <t>餐饮二分部</t>
        </is>
      </c>
      <c r="D58" s="221" t="inlineStr">
        <is>
          <t>CF140</t>
        </is>
      </c>
      <c r="E58" s="61" t="inlineStr">
        <is>
          <t>西浦大学太仓校区食堂</t>
        </is>
      </c>
      <c r="F58" s="219" t="inlineStr">
        <is>
          <t>自营</t>
        </is>
      </c>
      <c r="G58" s="222" t="inlineStr">
        <is>
          <t>吉沐牛</t>
        </is>
      </c>
      <c r="H58" s="222" t="inlineStr">
        <is>
          <t>/</t>
        </is>
      </c>
      <c r="I58" s="237" t="inlineStr">
        <is>
          <t>/</t>
        </is>
      </c>
      <c r="J58" s="222" t="inlineStr">
        <is>
          <t>/</t>
        </is>
      </c>
      <c r="K58" s="224" t="inlineStr">
        <is>
          <t>/</t>
        </is>
      </c>
      <c r="L58" s="651" t="inlineStr">
        <is>
          <t>/</t>
        </is>
      </c>
      <c r="M58" s="77" t="inlineStr">
        <is>
          <t>/</t>
        </is>
      </c>
      <c r="N58" s="78" t="n"/>
      <c r="O58" s="83" t="n">
        <v>0.02</v>
      </c>
      <c r="P58" s="77" t="inlineStr">
        <is>
          <t>/</t>
        </is>
      </c>
      <c r="Q58" s="77" t="inlineStr">
        <is>
          <t>/</t>
        </is>
      </c>
      <c r="R58" s="77" t="inlineStr">
        <is>
          <t>/</t>
        </is>
      </c>
      <c r="S58" s="77" t="inlineStr">
        <is>
          <t>/</t>
        </is>
      </c>
      <c r="T58" s="78" t="n"/>
      <c r="U58" s="77" t="inlineStr">
        <is>
          <t>/</t>
        </is>
      </c>
      <c r="V58" s="77" t="inlineStr">
        <is>
          <t>/</t>
        </is>
      </c>
      <c r="W58" s="80" t="n"/>
      <c r="X58" s="72" t="inlineStr">
        <is>
          <t>/</t>
        </is>
      </c>
      <c r="Y58" s="72" t="inlineStr">
        <is>
          <t>/</t>
        </is>
      </c>
      <c r="Z58" s="72" t="inlineStr">
        <is>
          <t>/</t>
        </is>
      </c>
      <c r="AA58" s="72" t="inlineStr">
        <is>
          <t>/</t>
        </is>
      </c>
      <c r="AB58" s="51" t="n">
        <v>0.04</v>
      </c>
      <c r="AC58" s="46" t="inlineStr">
        <is>
          <t>/</t>
        </is>
      </c>
      <c r="AD58" s="82" t="n"/>
      <c r="AE58" s="25" t="n"/>
    </row>
    <row r="59" ht="24" customFormat="1" customHeight="1" s="209">
      <c r="A59" s="219" t="n">
        <v>57</v>
      </c>
      <c r="B59" s="14" t="inlineStr">
        <is>
          <t>KQCY0057</t>
        </is>
      </c>
      <c r="C59" s="221" t="inlineStr">
        <is>
          <t>餐饮二分部</t>
        </is>
      </c>
      <c r="D59" s="221" t="inlineStr">
        <is>
          <t>CF140</t>
        </is>
      </c>
      <c r="E59" s="61" t="inlineStr">
        <is>
          <t>西浦大学太仓校区食堂</t>
        </is>
      </c>
      <c r="F59" s="219" t="inlineStr">
        <is>
          <t>分组作业</t>
        </is>
      </c>
      <c r="G59" s="222" t="inlineStr">
        <is>
          <t>吉沐牛</t>
        </is>
      </c>
      <c r="H59" s="222" t="inlineStr">
        <is>
          <t>第一班组</t>
        </is>
      </c>
      <c r="I59" s="232" t="inlineStr">
        <is>
          <t>蛋包饭(肥牛米线、水饺、烤盘饭)</t>
        </is>
      </c>
      <c r="J59" s="502" t="inlineStr">
        <is>
          <t>赵广伟</t>
        </is>
      </c>
      <c r="K59" s="224" t="inlineStr">
        <is>
          <t>/</t>
        </is>
      </c>
      <c r="L59" s="651" t="n">
        <v>450000</v>
      </c>
      <c r="M59" s="70" t="n">
        <v>0.03</v>
      </c>
      <c r="N59" s="71" t="inlineStr">
        <is>
          <t>/</t>
        </is>
      </c>
      <c r="O59" s="63" t="n">
        <v>0.02</v>
      </c>
      <c r="P59" s="71" t="inlineStr">
        <is>
          <t>/</t>
        </is>
      </c>
      <c r="Q59" s="84" t="n">
        <v>0.03</v>
      </c>
      <c r="R59" s="71" t="inlineStr">
        <is>
          <t>/</t>
        </is>
      </c>
      <c r="S59" s="71" t="inlineStr">
        <is>
          <t>/</t>
        </is>
      </c>
      <c r="T59" s="81" t="inlineStr">
        <is>
          <t>/</t>
        </is>
      </c>
      <c r="U59" s="70" t="inlineStr">
        <is>
          <t>/</t>
        </is>
      </c>
      <c r="V59" s="70" t="inlineStr">
        <is>
          <t>/</t>
        </is>
      </c>
      <c r="W59" s="79" t="n">
        <v>0.2</v>
      </c>
      <c r="X59" s="72" t="inlineStr">
        <is>
          <t>/</t>
        </is>
      </c>
      <c r="Y59" s="72" t="inlineStr">
        <is>
          <t>/</t>
        </is>
      </c>
      <c r="Z59" s="72" t="inlineStr">
        <is>
          <t>/</t>
        </is>
      </c>
      <c r="AA59" s="72" t="inlineStr">
        <is>
          <t>/</t>
        </is>
      </c>
      <c r="AB59" s="51" t="inlineStr">
        <is>
          <t>/</t>
        </is>
      </c>
      <c r="AC59" s="46" t="inlineStr">
        <is>
          <t>/</t>
        </is>
      </c>
      <c r="AD59" s="82" t="inlineStr">
        <is>
          <t>1、虫害消杀：项目反馈不收取，包含在服务费中；
2、卫生费：项目反馈不收取，包含在服务费中；</t>
        </is>
      </c>
      <c r="AE59" s="25" t="inlineStr">
        <is>
          <t>1、签订期间：2025.9-2026.8；
2、指标按照全年换算；</t>
        </is>
      </c>
    </row>
    <row r="60" ht="24" customFormat="1" customHeight="1" s="209">
      <c r="A60" s="219" t="n">
        <v>58</v>
      </c>
      <c r="B60" s="14" t="inlineStr">
        <is>
          <t>KQCY0058</t>
        </is>
      </c>
      <c r="C60" s="221" t="inlineStr">
        <is>
          <t>餐饮二分部</t>
        </is>
      </c>
      <c r="D60" s="221" t="inlineStr">
        <is>
          <t>CF140</t>
        </is>
      </c>
      <c r="E60" s="61" t="inlineStr">
        <is>
          <t>西浦大学太仓校区食堂</t>
        </is>
      </c>
      <c r="F60" s="219" t="inlineStr">
        <is>
          <t>分组作业</t>
        </is>
      </c>
      <c r="G60" s="222" t="inlineStr">
        <is>
          <t>吉沐牛</t>
        </is>
      </c>
      <c r="H60" s="222" t="inlineStr">
        <is>
          <t>第二班组</t>
        </is>
      </c>
      <c r="I60" s="232" t="inlineStr">
        <is>
          <t>枣糕&amp;热饮(韩式拌饭)</t>
        </is>
      </c>
      <c r="J60" s="512" t="inlineStr">
        <is>
          <t>杜松松</t>
        </is>
      </c>
      <c r="K60" s="224" t="inlineStr">
        <is>
          <t>/</t>
        </is>
      </c>
      <c r="L60" s="651" t="n">
        <v>145000</v>
      </c>
      <c r="M60" s="70" t="n">
        <v>0.03</v>
      </c>
      <c r="N60" s="71" t="inlineStr">
        <is>
          <t>/</t>
        </is>
      </c>
      <c r="O60" s="70" t="n">
        <v>0.02</v>
      </c>
      <c r="P60" s="71" t="inlineStr">
        <is>
          <t>/</t>
        </is>
      </c>
      <c r="Q60" s="84" t="n">
        <v>0.03</v>
      </c>
      <c r="R60" s="71" t="inlineStr">
        <is>
          <t>/</t>
        </is>
      </c>
      <c r="S60" s="71" t="inlineStr">
        <is>
          <t>/</t>
        </is>
      </c>
      <c r="T60" s="81" t="inlineStr">
        <is>
          <t>/</t>
        </is>
      </c>
      <c r="U60" s="70" t="inlineStr">
        <is>
          <t>/</t>
        </is>
      </c>
      <c r="V60" s="70" t="inlineStr">
        <is>
          <t>/</t>
        </is>
      </c>
      <c r="W60" s="79" t="n">
        <v>0.2</v>
      </c>
      <c r="X60" s="72" t="inlineStr">
        <is>
          <t>/</t>
        </is>
      </c>
      <c r="Y60" s="72" t="inlineStr">
        <is>
          <t>/</t>
        </is>
      </c>
      <c r="Z60" s="72" t="inlineStr">
        <is>
          <t>/</t>
        </is>
      </c>
      <c r="AA60" s="72" t="inlineStr">
        <is>
          <t>/</t>
        </is>
      </c>
      <c r="AB60" s="51" t="inlineStr">
        <is>
          <t>/</t>
        </is>
      </c>
      <c r="AC60" s="46" t="inlineStr">
        <is>
          <t>/</t>
        </is>
      </c>
      <c r="AD60" s="82" t="inlineStr">
        <is>
          <t>1、虫害消杀：项目反馈不收取，包含在服务费中；
2、卫生费：项目反馈不收取，包含在服务费中；</t>
        </is>
      </c>
      <c r="AE60" s="25" t="inlineStr">
        <is>
          <t>1、签订期间：2025.9-2026.8；
2、指标按照全年换算；</t>
        </is>
      </c>
    </row>
    <row r="61" ht="12" customFormat="1" customHeight="1" s="209">
      <c r="A61" s="219" t="n">
        <v>59</v>
      </c>
      <c r="B61" s="14" t="inlineStr">
        <is>
          <t>KQCY0059</t>
        </is>
      </c>
      <c r="C61" s="86" t="inlineStr">
        <is>
          <t>餐饮二分部</t>
        </is>
      </c>
      <c r="D61" s="86" t="inlineStr">
        <is>
          <t>CF182</t>
        </is>
      </c>
      <c r="E61" s="87" t="inlineStr">
        <is>
          <t>无锡工艺第二食堂</t>
        </is>
      </c>
      <c r="F61" s="335" t="inlineStr">
        <is>
          <t>自营</t>
        </is>
      </c>
      <c r="G61" s="243" t="inlineStr">
        <is>
          <t>吉沐牛</t>
        </is>
      </c>
      <c r="H61" s="243" t="inlineStr">
        <is>
          <t>/</t>
        </is>
      </c>
      <c r="I61" s="480" t="inlineStr">
        <is>
          <t>/</t>
        </is>
      </c>
      <c r="J61" s="462" t="inlineStr">
        <is>
          <t>/</t>
        </is>
      </c>
      <c r="K61" s="349" t="inlineStr">
        <is>
          <t>/</t>
        </is>
      </c>
      <c r="L61" s="651" t="inlineStr">
        <is>
          <t>/</t>
        </is>
      </c>
      <c r="M61" s="91" t="inlineStr">
        <is>
          <t>/</t>
        </is>
      </c>
      <c r="N61" s="462" t="inlineStr">
        <is>
          <t>/</t>
        </is>
      </c>
      <c r="O61" s="91" t="inlineStr">
        <is>
          <t>/</t>
        </is>
      </c>
      <c r="P61" s="462" t="inlineStr">
        <is>
          <t>/</t>
        </is>
      </c>
      <c r="Q61" s="92" t="inlineStr">
        <is>
          <t>/</t>
        </is>
      </c>
      <c r="R61" s="462" t="inlineStr">
        <is>
          <t>/</t>
        </is>
      </c>
      <c r="S61" s="462" t="inlineStr">
        <is>
          <t>/</t>
        </is>
      </c>
      <c r="T61" s="59" t="inlineStr">
        <is>
          <t>/</t>
        </is>
      </c>
      <c r="U61" s="91" t="inlineStr">
        <is>
          <t>/</t>
        </is>
      </c>
      <c r="V61" s="91" t="inlineStr">
        <is>
          <t>/</t>
        </is>
      </c>
      <c r="W61" s="480" t="inlineStr">
        <is>
          <t>/</t>
        </is>
      </c>
      <c r="X61" s="480" t="inlineStr">
        <is>
          <t>/</t>
        </is>
      </c>
      <c r="Y61" s="480" t="inlineStr">
        <is>
          <t>/</t>
        </is>
      </c>
      <c r="Z61" s="480" t="inlineStr">
        <is>
          <t>/</t>
        </is>
      </c>
      <c r="AA61" s="480" t="inlineStr">
        <is>
          <t>/</t>
        </is>
      </c>
      <c r="AB61" s="46" t="n">
        <v>0.035</v>
      </c>
      <c r="AC61" s="46" t="n">
        <v>0.005</v>
      </c>
      <c r="AD61" s="48" t="inlineStr">
        <is>
          <t>1、自营未实际经营；</t>
        </is>
      </c>
      <c r="AE61" s="25" t="n"/>
    </row>
    <row r="62" ht="24" customFormat="1" customHeight="1" s="209">
      <c r="A62" s="219" t="n">
        <v>60</v>
      </c>
      <c r="B62" s="14" t="inlineStr">
        <is>
          <t>KQCY0060</t>
        </is>
      </c>
      <c r="C62" s="221" t="inlineStr">
        <is>
          <t>餐饮二分部</t>
        </is>
      </c>
      <c r="D62" s="221" t="inlineStr">
        <is>
          <t>CF182</t>
        </is>
      </c>
      <c r="E62" s="61" t="inlineStr">
        <is>
          <t>无锡工艺第二食堂</t>
        </is>
      </c>
      <c r="F62" s="219" t="inlineStr">
        <is>
          <t>分组作业</t>
        </is>
      </c>
      <c r="G62" s="222" t="inlineStr">
        <is>
          <t>吉沐牛</t>
        </is>
      </c>
      <c r="H62" s="503" t="inlineStr">
        <is>
          <t>/</t>
        </is>
      </c>
      <c r="I62" s="232" t="inlineStr">
        <is>
          <t>快餐</t>
        </is>
      </c>
      <c r="J62" s="494" t="inlineStr">
        <is>
          <t>林建峰</t>
        </is>
      </c>
      <c r="K62" s="224" t="inlineStr">
        <is>
          <t>/</t>
        </is>
      </c>
      <c r="L62" s="651" t="n">
        <v>6000000</v>
      </c>
      <c r="M62" s="70" t="n">
        <v>0.035</v>
      </c>
      <c r="N62" s="79" t="n"/>
      <c r="O62" s="70" t="inlineStr">
        <is>
          <t>/</t>
        </is>
      </c>
      <c r="P62" s="94" t="n"/>
      <c r="Q62" s="71" t="inlineStr">
        <is>
          <t>/</t>
        </is>
      </c>
      <c r="R62" s="71" t="inlineStr">
        <is>
          <t>/</t>
        </is>
      </c>
      <c r="S62" s="71" t="inlineStr">
        <is>
          <t>/</t>
        </is>
      </c>
      <c r="T62" s="75" t="n"/>
      <c r="U62" s="95" t="n"/>
      <c r="V62" s="70" t="inlineStr">
        <is>
          <t>/</t>
        </is>
      </c>
      <c r="W62" s="72" t="inlineStr">
        <is>
          <t>47-53%</t>
        </is>
      </c>
      <c r="X62" s="573" t="inlineStr">
        <is>
          <t>/</t>
        </is>
      </c>
      <c r="Y62" s="72" t="inlineStr">
        <is>
          <t>/</t>
        </is>
      </c>
      <c r="Z62" s="72" t="inlineStr">
        <is>
          <t>/</t>
        </is>
      </c>
      <c r="AA62" s="72" t="inlineStr">
        <is>
          <t>/</t>
        </is>
      </c>
      <c r="AB62" s="46" t="inlineStr">
        <is>
          <t>/</t>
        </is>
      </c>
      <c r="AC62" s="46" t="inlineStr">
        <is>
          <t>/</t>
        </is>
      </c>
      <c r="AD62" s="82" t="inlineStr">
        <is>
          <t>1、装修折旧费：按165万，分三年期限分摊，多退少补</t>
        </is>
      </c>
      <c r="AE62" s="25" t="inlineStr">
        <is>
          <t>1、签订期间：2026.1-2026.12；
2、指标按照全年换算；</t>
        </is>
      </c>
    </row>
    <row r="63" ht="18.75" customFormat="1" customHeight="1" s="209">
      <c r="A63" s="219" t="n">
        <v>61</v>
      </c>
      <c r="B63" s="14" t="inlineStr">
        <is>
          <t>KQCY0061</t>
        </is>
      </c>
      <c r="C63" s="221" t="n"/>
      <c r="D63" s="221" t="n"/>
      <c r="E63" s="61" t="inlineStr">
        <is>
          <t>无锡工艺第二食堂</t>
        </is>
      </c>
      <c r="F63" s="335" t="inlineStr">
        <is>
          <t>分组作业</t>
        </is>
      </c>
      <c r="G63" s="222" t="inlineStr">
        <is>
          <t>吉沐牛</t>
        </is>
      </c>
      <c r="H63" s="222" t="inlineStr">
        <is>
          <t>第二班组</t>
        </is>
      </c>
      <c r="I63" s="96" t="inlineStr">
        <is>
          <t>烤鸭饭</t>
        </is>
      </c>
      <c r="J63" s="96" t="inlineStr">
        <is>
          <t>徐其国</t>
        </is>
      </c>
      <c r="K63" s="224" t="n"/>
      <c r="L63" s="651" t="n"/>
      <c r="M63" s="97" t="n"/>
      <c r="N63" s="97" t="n"/>
      <c r="O63" s="97" t="n"/>
      <c r="P63" s="97" t="n"/>
      <c r="Q63" s="97" t="n"/>
      <c r="R63" s="97" t="n"/>
      <c r="S63" s="97" t="n"/>
      <c r="T63" s="97" t="n"/>
      <c r="U63" s="97" t="n"/>
      <c r="V63" s="97" t="n"/>
      <c r="W63" s="78" t="n"/>
      <c r="X63" s="512" t="n"/>
      <c r="Y63" s="512" t="n"/>
      <c r="Z63" s="512" t="n"/>
      <c r="AA63" s="512" t="n"/>
      <c r="AB63" s="22" t="n"/>
      <c r="AC63" s="224" t="n"/>
      <c r="AD63" s="98" t="n"/>
      <c r="AE63" s="25" t="n"/>
    </row>
    <row r="64" ht="37.5" customFormat="1" customHeight="1" s="209">
      <c r="A64" s="219" t="n">
        <v>62</v>
      </c>
      <c r="B64" s="14" t="inlineStr">
        <is>
          <t>KQCY0062</t>
        </is>
      </c>
      <c r="C64" s="221" t="n"/>
      <c r="D64" s="221" t="n"/>
      <c r="E64" s="61" t="inlineStr">
        <is>
          <t>无锡工艺第二食堂</t>
        </is>
      </c>
      <c r="F64" s="335" t="inlineStr">
        <is>
          <t>分组作业</t>
        </is>
      </c>
      <c r="G64" s="222" t="inlineStr">
        <is>
          <t>吉沐牛</t>
        </is>
      </c>
      <c r="H64" s="222" t="inlineStr">
        <is>
          <t>第三班组</t>
        </is>
      </c>
      <c r="I64" s="99" t="inlineStr">
        <is>
          <t>营养粥、小笼包</t>
        </is>
      </c>
      <c r="J64" s="96" t="inlineStr">
        <is>
          <t>朱德保</t>
        </is>
      </c>
      <c r="K64" s="224" t="n"/>
      <c r="L64" s="651" t="n"/>
      <c r="M64" s="97" t="n"/>
      <c r="N64" s="97" t="n"/>
      <c r="O64" s="97" t="n"/>
      <c r="P64" s="97" t="n"/>
      <c r="Q64" s="97" t="n"/>
      <c r="R64" s="97" t="n"/>
      <c r="S64" s="97" t="n"/>
      <c r="T64" s="97" t="n"/>
      <c r="U64" s="97" t="n"/>
      <c r="V64" s="97" t="n"/>
      <c r="W64" s="78" t="n"/>
      <c r="X64" s="512" t="n"/>
      <c r="Y64" s="512" t="n"/>
      <c r="Z64" s="512" t="n"/>
      <c r="AA64" s="512" t="n"/>
      <c r="AB64" s="22" t="n"/>
      <c r="AC64" s="224" t="n"/>
      <c r="AD64" s="98" t="n"/>
      <c r="AE64" s="25" t="n"/>
    </row>
    <row r="65" ht="56.25" customFormat="1" customHeight="1" s="209">
      <c r="A65" s="219" t="n">
        <v>63</v>
      </c>
      <c r="B65" s="14" t="inlineStr">
        <is>
          <t>KQCY0063</t>
        </is>
      </c>
      <c r="C65" s="221" t="n"/>
      <c r="D65" s="221" t="n"/>
      <c r="E65" s="61" t="inlineStr">
        <is>
          <t>无锡工艺第二食堂</t>
        </is>
      </c>
      <c r="F65" s="335" t="inlineStr">
        <is>
          <t>分组作业</t>
        </is>
      </c>
      <c r="G65" s="222" t="inlineStr">
        <is>
          <t>吉沐牛</t>
        </is>
      </c>
      <c r="H65" s="222" t="inlineStr">
        <is>
          <t>第四班组</t>
        </is>
      </c>
      <c r="I65" s="100" t="inlineStr">
        <is>
          <t>武汉热干面、隆江猪脚饭</t>
        </is>
      </c>
      <c r="J65" s="101" t="inlineStr">
        <is>
          <t>田振</t>
        </is>
      </c>
      <c r="K65" s="224" t="n"/>
      <c r="L65" s="651" t="n"/>
      <c r="M65" s="97" t="n"/>
      <c r="N65" s="97" t="n"/>
      <c r="O65" s="97" t="n"/>
      <c r="P65" s="97" t="n"/>
      <c r="Q65" s="97" t="n"/>
      <c r="R65" s="97" t="n"/>
      <c r="S65" s="97" t="n"/>
      <c r="T65" s="97" t="n"/>
      <c r="U65" s="97" t="n"/>
      <c r="V65" s="97" t="n"/>
      <c r="W65" s="78" t="n"/>
      <c r="X65" s="512" t="n"/>
      <c r="Y65" s="512" t="n"/>
      <c r="Z65" s="512" t="n"/>
      <c r="AA65" s="512" t="n"/>
      <c r="AB65" s="22" t="n"/>
      <c r="AC65" s="224" t="n"/>
      <c r="AD65" s="98" t="n"/>
      <c r="AE65" s="25" t="n"/>
    </row>
    <row r="66" ht="37.5" customFormat="1" customHeight="1" s="209">
      <c r="A66" s="219" t="n">
        <v>64</v>
      </c>
      <c r="B66" s="14" t="inlineStr">
        <is>
          <t>KQCY0064</t>
        </is>
      </c>
      <c r="C66" s="221" t="n"/>
      <c r="D66" s="221" t="n"/>
      <c r="E66" s="61" t="inlineStr">
        <is>
          <t>无锡工艺第二食堂</t>
        </is>
      </c>
      <c r="F66" s="335" t="inlineStr">
        <is>
          <t>分组作业</t>
        </is>
      </c>
      <c r="G66" s="222" t="inlineStr">
        <is>
          <t>吉沐牛</t>
        </is>
      </c>
      <c r="H66" s="222" t="inlineStr">
        <is>
          <t>第六班组</t>
        </is>
      </c>
      <c r="I66" s="100" t="inlineStr">
        <is>
          <t>称重水饺、馄饨</t>
        </is>
      </c>
      <c r="J66" s="101" t="inlineStr">
        <is>
          <t>张宜轩</t>
        </is>
      </c>
      <c r="K66" s="224" t="n"/>
      <c r="L66" s="651" t="n"/>
      <c r="M66" s="97" t="n"/>
      <c r="N66" s="97" t="n"/>
      <c r="O66" s="97" t="n"/>
      <c r="P66" s="97" t="n"/>
      <c r="Q66" s="97" t="n"/>
      <c r="R66" s="97" t="n"/>
      <c r="S66" s="97" t="n"/>
      <c r="T66" s="97" t="n"/>
      <c r="U66" s="97" t="n"/>
      <c r="V66" s="97" t="n"/>
      <c r="W66" s="78" t="n"/>
      <c r="X66" s="512" t="n"/>
      <c r="Y66" s="512" t="n"/>
      <c r="Z66" s="512" t="n"/>
      <c r="AA66" s="512" t="n"/>
      <c r="AB66" s="22" t="n"/>
      <c r="AC66" s="224" t="n"/>
      <c r="AD66" s="98" t="n"/>
      <c r="AE66" s="25" t="n"/>
    </row>
    <row r="67" ht="56.25" customFormat="1" customHeight="1" s="209">
      <c r="A67" s="219" t="n">
        <v>65</v>
      </c>
      <c r="B67" s="14" t="inlineStr">
        <is>
          <t>KQCY0065</t>
        </is>
      </c>
      <c r="C67" s="221" t="n"/>
      <c r="D67" s="221" t="n"/>
      <c r="E67" s="61" t="inlineStr">
        <is>
          <t>无锡工艺第二食堂</t>
        </is>
      </c>
      <c r="F67" s="335" t="inlineStr">
        <is>
          <t>分组作业</t>
        </is>
      </c>
      <c r="G67" s="222" t="inlineStr">
        <is>
          <t>吉沐牛</t>
        </is>
      </c>
      <c r="H67" s="222" t="inlineStr">
        <is>
          <t>第七班组</t>
        </is>
      </c>
      <c r="I67" s="100" t="inlineStr">
        <is>
          <t>掉渣饼、徐州米线、鸡汤饭</t>
        </is>
      </c>
      <c r="J67" s="101" t="inlineStr">
        <is>
          <t>武玉柳</t>
        </is>
      </c>
      <c r="K67" s="224" t="n"/>
      <c r="L67" s="651" t="n"/>
      <c r="M67" s="97" t="n"/>
      <c r="N67" s="97" t="n"/>
      <c r="O67" s="97" t="n"/>
      <c r="P67" s="97" t="n"/>
      <c r="Q67" s="97" t="n"/>
      <c r="R67" s="97" t="n"/>
      <c r="S67" s="97" t="n"/>
      <c r="T67" s="97" t="n"/>
      <c r="U67" s="97" t="n"/>
      <c r="V67" s="97" t="n"/>
      <c r="W67" s="78" t="n"/>
      <c r="X67" s="512" t="n"/>
      <c r="Y67" s="512" t="n"/>
      <c r="Z67" s="512" t="n"/>
      <c r="AA67" s="512" t="n"/>
      <c r="AB67" s="22" t="n"/>
      <c r="AC67" s="224" t="n"/>
      <c r="AD67" s="98" t="n"/>
      <c r="AE67" s="25" t="n"/>
    </row>
    <row r="68" ht="37.5" customFormat="1" customHeight="1" s="209">
      <c r="A68" s="219" t="n">
        <v>66</v>
      </c>
      <c r="B68" s="14" t="inlineStr">
        <is>
          <t>KQCY0066</t>
        </is>
      </c>
      <c r="C68" s="221" t="n"/>
      <c r="D68" s="221" t="n"/>
      <c r="E68" s="61" t="inlineStr">
        <is>
          <t>无锡工艺第二食堂</t>
        </is>
      </c>
      <c r="F68" s="335" t="inlineStr">
        <is>
          <t>分组作业</t>
        </is>
      </c>
      <c r="G68" s="222" t="inlineStr">
        <is>
          <t>吉沐牛</t>
        </is>
      </c>
      <c r="H68" s="222" t="inlineStr">
        <is>
          <t>第八班组</t>
        </is>
      </c>
      <c r="I68" s="100" t="inlineStr">
        <is>
          <t>爆炒盖浇饭、套餐饭</t>
        </is>
      </c>
      <c r="J68" s="101" t="inlineStr">
        <is>
          <t>赵裕旭</t>
        </is>
      </c>
      <c r="K68" s="224" t="n"/>
      <c r="L68" s="651" t="n"/>
      <c r="M68" s="97" t="n"/>
      <c r="N68" s="97" t="n"/>
      <c r="O68" s="97" t="n"/>
      <c r="P68" s="97" t="n"/>
      <c r="Q68" s="97" t="n"/>
      <c r="R68" s="97" t="n"/>
      <c r="S68" s="97" t="n"/>
      <c r="T68" s="97" t="n"/>
      <c r="U68" s="97" t="n"/>
      <c r="V68" s="97" t="n"/>
      <c r="W68" s="78" t="n"/>
      <c r="X68" s="512" t="n"/>
      <c r="Y68" s="512" t="n"/>
      <c r="Z68" s="512" t="n"/>
      <c r="AA68" s="512" t="n"/>
      <c r="AB68" s="22" t="n"/>
      <c r="AC68" s="224" t="n"/>
      <c r="AD68" s="98" t="n"/>
      <c r="AE68" s="25" t="n"/>
    </row>
    <row r="69" ht="37.5" customFormat="1" customHeight="1" s="209">
      <c r="A69" s="219" t="n">
        <v>67</v>
      </c>
      <c r="B69" s="14" t="inlineStr">
        <is>
          <t>KQCY0067</t>
        </is>
      </c>
      <c r="C69" s="221" t="n"/>
      <c r="D69" s="221" t="n"/>
      <c r="E69" s="61" t="inlineStr">
        <is>
          <t>无锡工艺第二食堂</t>
        </is>
      </c>
      <c r="F69" s="335" t="inlineStr">
        <is>
          <t>分组作业</t>
        </is>
      </c>
      <c r="G69" s="222" t="inlineStr">
        <is>
          <t>吉沐牛</t>
        </is>
      </c>
      <c r="H69" s="222" t="inlineStr">
        <is>
          <t>第九班组</t>
        </is>
      </c>
      <c r="I69" s="100" t="inlineStr">
        <is>
          <t>休闲水吧、水果</t>
        </is>
      </c>
      <c r="J69" s="101" t="inlineStr">
        <is>
          <t>党玉真</t>
        </is>
      </c>
      <c r="K69" s="224" t="n"/>
      <c r="L69" s="651" t="n"/>
      <c r="M69" s="97" t="n"/>
      <c r="N69" s="97" t="n"/>
      <c r="O69" s="97" t="n"/>
      <c r="P69" s="97" t="n"/>
      <c r="Q69" s="97" t="n"/>
      <c r="R69" s="97" t="n"/>
      <c r="S69" s="97" t="n"/>
      <c r="T69" s="97" t="n"/>
      <c r="U69" s="97" t="n"/>
      <c r="V69" s="97" t="n"/>
      <c r="W69" s="78" t="n"/>
      <c r="X69" s="512" t="n"/>
      <c r="Y69" s="512" t="n"/>
      <c r="Z69" s="512" t="n"/>
      <c r="AA69" s="512" t="n"/>
      <c r="AB69" s="22" t="n"/>
      <c r="AC69" s="224" t="n"/>
      <c r="AD69" s="98" t="n"/>
      <c r="AE69" s="25" t="n"/>
    </row>
    <row r="70" ht="112.5" customFormat="1" customHeight="1" s="209">
      <c r="A70" s="219" t="n">
        <v>68</v>
      </c>
      <c r="B70" s="14" t="inlineStr">
        <is>
          <t>KQCY0068</t>
        </is>
      </c>
      <c r="C70" s="221" t="n"/>
      <c r="D70" s="221" t="n"/>
      <c r="E70" s="61" t="inlineStr">
        <is>
          <t>无锡工艺第二食堂</t>
        </is>
      </c>
      <c r="F70" s="335" t="inlineStr">
        <is>
          <t>分组作业</t>
        </is>
      </c>
      <c r="G70" s="222" t="inlineStr">
        <is>
          <t>吉沐牛</t>
        </is>
      </c>
      <c r="H70" s="222" t="inlineStr">
        <is>
          <t>第十一班组</t>
        </is>
      </c>
      <c r="I70" s="100" t="inlineStr">
        <is>
          <t>（二楼特色小吃）汉堡、炸鸡、自主称重快餐、千里香馄饨、手擀面</t>
        </is>
      </c>
      <c r="J70" s="101" t="inlineStr">
        <is>
          <t>常霞</t>
        </is>
      </c>
      <c r="K70" s="224" t="n"/>
      <c r="L70" s="651" t="n"/>
      <c r="M70" s="97" t="n"/>
      <c r="N70" s="97" t="n"/>
      <c r="O70" s="97" t="n"/>
      <c r="P70" s="97" t="n"/>
      <c r="Q70" s="97" t="n"/>
      <c r="R70" s="97" t="n"/>
      <c r="S70" s="97" t="n"/>
      <c r="T70" s="97" t="n"/>
      <c r="U70" s="97" t="n"/>
      <c r="V70" s="97" t="n"/>
      <c r="W70" s="78" t="n"/>
      <c r="X70" s="512" t="n"/>
      <c r="Y70" s="512" t="n"/>
      <c r="Z70" s="512" t="n"/>
      <c r="AA70" s="512" t="n"/>
      <c r="AB70" s="22" t="n"/>
      <c r="AC70" s="224" t="n"/>
      <c r="AD70" s="98" t="n"/>
      <c r="AE70" s="25" t="n"/>
    </row>
    <row r="71" ht="12" customFormat="1" customHeight="1" s="209">
      <c r="A71" s="219" t="n">
        <v>69</v>
      </c>
      <c r="B71" s="14" t="inlineStr">
        <is>
          <t>KQCY0069</t>
        </is>
      </c>
      <c r="C71" s="221" t="inlineStr">
        <is>
          <t>餐饮二分部</t>
        </is>
      </c>
      <c r="D71" s="221" t="inlineStr">
        <is>
          <t>CF360</t>
        </is>
      </c>
      <c r="E71" s="221" t="inlineStr">
        <is>
          <t>南通师专新校区食堂</t>
        </is>
      </c>
      <c r="F71" s="219" t="inlineStr">
        <is>
          <t>自营</t>
        </is>
      </c>
      <c r="G71" s="222" t="inlineStr">
        <is>
          <t>位军浩</t>
        </is>
      </c>
      <c r="H71" s="222" t="inlineStr">
        <is>
          <t>/</t>
        </is>
      </c>
      <c r="I71" s="237" t="inlineStr">
        <is>
          <t>/</t>
        </is>
      </c>
      <c r="J71" s="222" t="inlineStr">
        <is>
          <t>/</t>
        </is>
      </c>
      <c r="K71" s="224" t="inlineStr">
        <is>
          <t>/</t>
        </is>
      </c>
      <c r="L71" s="651" t="inlineStr">
        <is>
          <t>/</t>
        </is>
      </c>
      <c r="M71" s="97" t="inlineStr">
        <is>
          <t>/</t>
        </is>
      </c>
      <c r="N71" s="97" t="inlineStr">
        <is>
          <t>/</t>
        </is>
      </c>
      <c r="O71" s="97" t="inlineStr">
        <is>
          <t>/</t>
        </is>
      </c>
      <c r="P71" s="97" t="inlineStr">
        <is>
          <t>/</t>
        </is>
      </c>
      <c r="Q71" s="97" t="inlineStr">
        <is>
          <t>/</t>
        </is>
      </c>
      <c r="R71" s="97" t="inlineStr">
        <is>
          <t>/</t>
        </is>
      </c>
      <c r="S71" s="97" t="inlineStr">
        <is>
          <t>/</t>
        </is>
      </c>
      <c r="T71" s="97" t="inlineStr">
        <is>
          <t>/</t>
        </is>
      </c>
      <c r="U71" s="97" t="inlineStr">
        <is>
          <t>/</t>
        </is>
      </c>
      <c r="V71" s="97" t="inlineStr">
        <is>
          <t>/</t>
        </is>
      </c>
      <c r="W71" s="78" t="n"/>
      <c r="X71" s="512" t="inlineStr">
        <is>
          <t>/</t>
        </is>
      </c>
      <c r="Y71" s="512" t="inlineStr">
        <is>
          <t>/</t>
        </is>
      </c>
      <c r="Z71" s="512" t="inlineStr">
        <is>
          <t>/</t>
        </is>
      </c>
      <c r="AA71" s="512" t="inlineStr">
        <is>
          <t>/</t>
        </is>
      </c>
      <c r="AB71" s="22" t="n">
        <v>0.1</v>
      </c>
      <c r="AC71" s="224" t="inlineStr">
        <is>
          <t>/</t>
        </is>
      </c>
      <c r="AD71" s="98" t="n"/>
      <c r="AE71" s="25" t="n"/>
    </row>
    <row r="72" ht="36" customFormat="1" customHeight="1" s="209">
      <c r="A72" s="219" t="n">
        <v>70</v>
      </c>
      <c r="B72" s="14" t="inlineStr">
        <is>
          <t>KQCY0070</t>
        </is>
      </c>
      <c r="C72" s="221" t="inlineStr">
        <is>
          <t>餐饮二分部</t>
        </is>
      </c>
      <c r="D72" s="221" t="inlineStr">
        <is>
          <t>CF360</t>
        </is>
      </c>
      <c r="E72" s="221" t="inlineStr">
        <is>
          <t>南通师专新校区食堂</t>
        </is>
      </c>
      <c r="F72" s="219" t="inlineStr">
        <is>
          <t>分组作业</t>
        </is>
      </c>
      <c r="G72" s="222" t="inlineStr">
        <is>
          <t>位军浩</t>
        </is>
      </c>
      <c r="H72" s="222" t="inlineStr">
        <is>
          <t>第一班组</t>
        </is>
      </c>
      <c r="I72" s="232" t="inlineStr">
        <is>
          <t>琳榆炸鸡腿</t>
        </is>
      </c>
      <c r="J72" s="503" t="inlineStr">
        <is>
          <t>王友强</t>
        </is>
      </c>
      <c r="K72" s="224" t="inlineStr">
        <is>
          <t>/</t>
        </is>
      </c>
      <c r="L72" s="651" t="n">
        <v>800000</v>
      </c>
      <c r="M72" s="102" t="n">
        <v>0.2</v>
      </c>
      <c r="N72" s="97" t="inlineStr">
        <is>
          <t>/</t>
        </is>
      </c>
      <c r="O72" s="97" t="inlineStr">
        <is>
          <t>/</t>
        </is>
      </c>
      <c r="P72" s="103" t="inlineStr">
        <is>
          <t>/</t>
        </is>
      </c>
      <c r="Q72" s="102" t="inlineStr">
        <is>
          <t>/</t>
        </is>
      </c>
      <c r="R72" s="102" t="inlineStr">
        <is>
          <t>/</t>
        </is>
      </c>
      <c r="S72" s="97" t="inlineStr">
        <is>
          <t>/</t>
        </is>
      </c>
      <c r="T72" s="102" t="n">
        <v>0.03</v>
      </c>
      <c r="U72" s="102" t="n">
        <v>0.04</v>
      </c>
      <c r="V72" s="512" t="inlineStr">
        <is>
          <t>/</t>
        </is>
      </c>
      <c r="W72" s="97" t="inlineStr">
        <is>
          <t>50%±3%</t>
        </is>
      </c>
      <c r="X72" s="512" t="inlineStr">
        <is>
          <t>/</t>
        </is>
      </c>
      <c r="Y72" s="512" t="inlineStr">
        <is>
          <t>/</t>
        </is>
      </c>
      <c r="Z72" s="512" t="inlineStr">
        <is>
          <t>/</t>
        </is>
      </c>
      <c r="AA72" s="512" t="inlineStr">
        <is>
          <t>/</t>
        </is>
      </c>
      <c r="AB72" s="22" t="inlineStr">
        <is>
          <t>/</t>
        </is>
      </c>
      <c r="AC72" s="224" t="inlineStr">
        <is>
          <t>/</t>
        </is>
      </c>
      <c r="AD72" s="104" t="inlineStr">
        <is>
          <t>1、装修折旧费：25万/年，分组作业未分摊，服务费已包含</t>
        </is>
      </c>
      <c r="AE72" s="25" t="inlineStr">
        <is>
          <t xml:space="preserve">1、签订期间：2026.3.1-2026.7.31；
2、指标按照全年换算；
</t>
        </is>
      </c>
    </row>
    <row r="73" ht="36" customFormat="1" customHeight="1" s="209">
      <c r="A73" s="219" t="n">
        <v>71</v>
      </c>
      <c r="B73" s="14" t="inlineStr">
        <is>
          <t>KQCY0071</t>
        </is>
      </c>
      <c r="C73" s="221" t="inlineStr">
        <is>
          <t>餐饮二分部</t>
        </is>
      </c>
      <c r="D73" s="221" t="inlineStr">
        <is>
          <t>CF360</t>
        </is>
      </c>
      <c r="E73" s="221" t="inlineStr">
        <is>
          <t>南通师专新校区食堂</t>
        </is>
      </c>
      <c r="F73" s="219" t="inlineStr">
        <is>
          <t>分组作业</t>
        </is>
      </c>
      <c r="G73" s="222" t="inlineStr">
        <is>
          <t>位军浩</t>
        </is>
      </c>
      <c r="H73" s="222" t="inlineStr">
        <is>
          <t>第二班组</t>
        </is>
      </c>
      <c r="I73" s="232" t="inlineStr">
        <is>
          <t>中式早点</t>
        </is>
      </c>
      <c r="J73" s="503" t="inlineStr">
        <is>
          <t>何小杏</t>
        </is>
      </c>
      <c r="K73" s="224" t="inlineStr">
        <is>
          <t>/</t>
        </is>
      </c>
      <c r="L73" s="651" t="n">
        <v>880000</v>
      </c>
      <c r="M73" s="22" t="n">
        <v>0.18</v>
      </c>
      <c r="N73" s="224" t="inlineStr">
        <is>
          <t>/</t>
        </is>
      </c>
      <c r="O73" s="224" t="inlineStr">
        <is>
          <t>/</t>
        </is>
      </c>
      <c r="P73" s="59" t="inlineStr">
        <is>
          <t>/</t>
        </is>
      </c>
      <c r="Q73" s="22" t="inlineStr">
        <is>
          <t>/</t>
        </is>
      </c>
      <c r="R73" s="22" t="inlineStr">
        <is>
          <t>/</t>
        </is>
      </c>
      <c r="S73" s="224" t="inlineStr">
        <is>
          <t>/</t>
        </is>
      </c>
      <c r="T73" s="22" t="n">
        <v>0.02</v>
      </c>
      <c r="U73" s="22" t="n">
        <v>0.03</v>
      </c>
      <c r="V73" s="502" t="inlineStr">
        <is>
          <t>/</t>
        </is>
      </c>
      <c r="W73" s="224" t="inlineStr">
        <is>
          <t>50%±3%</t>
        </is>
      </c>
      <c r="X73" s="502" t="inlineStr">
        <is>
          <t>/</t>
        </is>
      </c>
      <c r="Y73" s="502" t="inlineStr">
        <is>
          <t>/</t>
        </is>
      </c>
      <c r="Z73" s="502" t="inlineStr">
        <is>
          <t>/</t>
        </is>
      </c>
      <c r="AA73" s="502" t="inlineStr">
        <is>
          <t>/</t>
        </is>
      </c>
      <c r="AB73" s="22" t="inlineStr">
        <is>
          <t>/</t>
        </is>
      </c>
      <c r="AC73" s="224" t="inlineStr">
        <is>
          <t>/</t>
        </is>
      </c>
      <c r="AD73" s="57" t="inlineStr">
        <is>
          <t>1、装修折旧费：25万/年，分组作业未分摊，服务费已包含</t>
        </is>
      </c>
      <c r="AE73" s="25" t="inlineStr">
        <is>
          <t xml:space="preserve">1、签订期间：2026.3.1-2026.7.31；
2、指标按照全年换算；
</t>
        </is>
      </c>
    </row>
    <row r="74" ht="36" customFormat="1" customHeight="1" s="209">
      <c r="A74" s="219" t="n">
        <v>72</v>
      </c>
      <c r="B74" s="14" t="inlineStr">
        <is>
          <t>KQCY0072</t>
        </is>
      </c>
      <c r="C74" s="221" t="inlineStr">
        <is>
          <t>餐饮二分部</t>
        </is>
      </c>
      <c r="D74" s="221" t="inlineStr">
        <is>
          <t>CF360</t>
        </is>
      </c>
      <c r="E74" s="221" t="inlineStr">
        <is>
          <t>南通师专新校区食堂</t>
        </is>
      </c>
      <c r="F74" s="219" t="inlineStr">
        <is>
          <t>分组作业</t>
        </is>
      </c>
      <c r="G74" s="222" t="inlineStr">
        <is>
          <t>位军浩</t>
        </is>
      </c>
      <c r="H74" s="222" t="inlineStr">
        <is>
          <t>第三班组</t>
        </is>
      </c>
      <c r="I74" s="232" t="inlineStr">
        <is>
          <t>土耳其烤肉饭</t>
        </is>
      </c>
      <c r="J74" s="503" t="inlineStr">
        <is>
          <t>薛小勇</t>
        </is>
      </c>
      <c r="K74" s="224" t="inlineStr">
        <is>
          <t>/</t>
        </is>
      </c>
      <c r="L74" s="651" t="n">
        <v>800000</v>
      </c>
      <c r="M74" s="22" t="n">
        <v>0.18</v>
      </c>
      <c r="N74" s="224" t="inlineStr">
        <is>
          <t>/</t>
        </is>
      </c>
      <c r="O74" s="224" t="inlineStr">
        <is>
          <t>/</t>
        </is>
      </c>
      <c r="P74" s="59" t="inlineStr">
        <is>
          <t>/</t>
        </is>
      </c>
      <c r="Q74" s="22" t="inlineStr">
        <is>
          <t>/</t>
        </is>
      </c>
      <c r="R74" s="22" t="inlineStr">
        <is>
          <t>/</t>
        </is>
      </c>
      <c r="S74" s="224" t="inlineStr">
        <is>
          <t>/</t>
        </is>
      </c>
      <c r="T74" s="22" t="n">
        <v>0.03</v>
      </c>
      <c r="U74" s="22" t="n">
        <v>0.03</v>
      </c>
      <c r="V74" s="502" t="inlineStr">
        <is>
          <t>/</t>
        </is>
      </c>
      <c r="W74" s="224" t="inlineStr">
        <is>
          <t>50%±3%</t>
        </is>
      </c>
      <c r="X74" s="502" t="inlineStr">
        <is>
          <t>/</t>
        </is>
      </c>
      <c r="Y74" s="502" t="inlineStr">
        <is>
          <t>/</t>
        </is>
      </c>
      <c r="Z74" s="502" t="inlineStr">
        <is>
          <t>/</t>
        </is>
      </c>
      <c r="AA74" s="502" t="inlineStr">
        <is>
          <t>/</t>
        </is>
      </c>
      <c r="AB74" s="22" t="inlineStr">
        <is>
          <t>/</t>
        </is>
      </c>
      <c r="AC74" s="224" t="inlineStr">
        <is>
          <t>/</t>
        </is>
      </c>
      <c r="AD74" s="57" t="inlineStr">
        <is>
          <t>1、装修折旧费：25万/年，分组作业未分摊，服务费已包含</t>
        </is>
      </c>
      <c r="AE74" s="25" t="inlineStr">
        <is>
          <t xml:space="preserve">1、签订期间：2026.3.1-2026.7.31；
2、指标按照全年换算；
</t>
        </is>
      </c>
    </row>
    <row r="75" ht="36" customFormat="1" customHeight="1" s="209">
      <c r="A75" s="219" t="n">
        <v>73</v>
      </c>
      <c r="B75" s="14" t="inlineStr">
        <is>
          <t>KQCY0073</t>
        </is>
      </c>
      <c r="C75" s="221" t="inlineStr">
        <is>
          <t>餐饮二分部</t>
        </is>
      </c>
      <c r="D75" s="221" t="inlineStr">
        <is>
          <t>CF360</t>
        </is>
      </c>
      <c r="E75" s="221" t="inlineStr">
        <is>
          <t>南通师专新校区食堂</t>
        </is>
      </c>
      <c r="F75" s="219" t="inlineStr">
        <is>
          <t>分组作业</t>
        </is>
      </c>
      <c r="G75" s="222" t="inlineStr">
        <is>
          <t>位军浩</t>
        </is>
      </c>
      <c r="H75" s="222" t="inlineStr">
        <is>
          <t>第四班组</t>
        </is>
      </c>
      <c r="I75" s="232" t="inlineStr">
        <is>
          <t>营养粥小笼包</t>
        </is>
      </c>
      <c r="J75" s="503" t="inlineStr">
        <is>
          <t>沈玲</t>
        </is>
      </c>
      <c r="K75" s="224" t="inlineStr">
        <is>
          <t>/</t>
        </is>
      </c>
      <c r="L75" s="651" t="n">
        <v>800000</v>
      </c>
      <c r="M75" s="22" t="n">
        <v>0.2</v>
      </c>
      <c r="N75" s="224" t="inlineStr">
        <is>
          <t>/</t>
        </is>
      </c>
      <c r="O75" s="224" t="inlineStr">
        <is>
          <t>/</t>
        </is>
      </c>
      <c r="P75" s="59" t="inlineStr">
        <is>
          <t>/</t>
        </is>
      </c>
      <c r="Q75" s="22" t="inlineStr">
        <is>
          <t>/</t>
        </is>
      </c>
      <c r="R75" s="22" t="inlineStr">
        <is>
          <t>/</t>
        </is>
      </c>
      <c r="S75" s="224" t="inlineStr">
        <is>
          <t>/</t>
        </is>
      </c>
      <c r="T75" s="22" t="n">
        <v>0.03</v>
      </c>
      <c r="U75" s="22" t="n">
        <v>0.04</v>
      </c>
      <c r="V75" s="502" t="inlineStr">
        <is>
          <t>/</t>
        </is>
      </c>
      <c r="W75" s="224" t="inlineStr">
        <is>
          <t>50%±3%</t>
        </is>
      </c>
      <c r="X75" s="502" t="inlineStr">
        <is>
          <t>/</t>
        </is>
      </c>
      <c r="Y75" s="502" t="inlineStr">
        <is>
          <t>/</t>
        </is>
      </c>
      <c r="Z75" s="502" t="inlineStr">
        <is>
          <t>/</t>
        </is>
      </c>
      <c r="AA75" s="502" t="inlineStr">
        <is>
          <t>/</t>
        </is>
      </c>
      <c r="AB75" s="22" t="inlineStr">
        <is>
          <t>/</t>
        </is>
      </c>
      <c r="AC75" s="224" t="inlineStr">
        <is>
          <t>/</t>
        </is>
      </c>
      <c r="AD75" s="57" t="inlineStr">
        <is>
          <t>1、装修折旧费：25万/年，分组作业未分摊，服务费已包含</t>
        </is>
      </c>
      <c r="AE75" s="25" t="inlineStr">
        <is>
          <t xml:space="preserve">1、签订期间：2026.3.1-2026.7.31；
2、指标按照全年换算；
</t>
        </is>
      </c>
    </row>
    <row r="76" ht="36" customFormat="1" customHeight="1" s="209">
      <c r="A76" s="219" t="n">
        <v>74</v>
      </c>
      <c r="B76" s="14" t="inlineStr">
        <is>
          <t>KQCY0074</t>
        </is>
      </c>
      <c r="C76" s="221" t="inlineStr">
        <is>
          <t>餐饮二分部</t>
        </is>
      </c>
      <c r="D76" s="221" t="inlineStr">
        <is>
          <t>CF360</t>
        </is>
      </c>
      <c r="E76" s="221" t="inlineStr">
        <is>
          <t>南通师专新校区食堂</t>
        </is>
      </c>
      <c r="F76" s="219" t="inlineStr">
        <is>
          <t>分组作业</t>
        </is>
      </c>
      <c r="G76" s="222" t="inlineStr">
        <is>
          <t>位军浩</t>
        </is>
      </c>
      <c r="H76" s="222" t="inlineStr">
        <is>
          <t>第五班组</t>
        </is>
      </c>
      <c r="I76" s="232" t="inlineStr">
        <is>
          <t>生烫牛肉米线</t>
        </is>
      </c>
      <c r="J76" s="503" t="inlineStr">
        <is>
          <t>刘海霞</t>
        </is>
      </c>
      <c r="K76" s="224" t="inlineStr">
        <is>
          <t>/</t>
        </is>
      </c>
      <c r="L76" s="651" t="n">
        <v>800000</v>
      </c>
      <c r="M76" s="22" t="n">
        <v>0.2</v>
      </c>
      <c r="N76" s="224" t="inlineStr">
        <is>
          <t>/</t>
        </is>
      </c>
      <c r="O76" s="224" t="inlineStr">
        <is>
          <t>/</t>
        </is>
      </c>
      <c r="P76" s="59" t="inlineStr">
        <is>
          <t>/</t>
        </is>
      </c>
      <c r="Q76" s="22" t="inlineStr">
        <is>
          <t>/</t>
        </is>
      </c>
      <c r="R76" s="22" t="inlineStr">
        <is>
          <t>/</t>
        </is>
      </c>
      <c r="S76" s="224" t="inlineStr">
        <is>
          <t>/</t>
        </is>
      </c>
      <c r="T76" s="22" t="n">
        <v>0.03</v>
      </c>
      <c r="U76" s="22" t="n">
        <v>0.04</v>
      </c>
      <c r="V76" s="502" t="inlineStr">
        <is>
          <t>/</t>
        </is>
      </c>
      <c r="W76" s="224" t="inlineStr">
        <is>
          <t>50%±3%</t>
        </is>
      </c>
      <c r="X76" s="502" t="inlineStr">
        <is>
          <t>/</t>
        </is>
      </c>
      <c r="Y76" s="502" t="inlineStr">
        <is>
          <t>/</t>
        </is>
      </c>
      <c r="Z76" s="502" t="inlineStr">
        <is>
          <t>/</t>
        </is>
      </c>
      <c r="AA76" s="502" t="inlineStr">
        <is>
          <t>/</t>
        </is>
      </c>
      <c r="AB76" s="22" t="inlineStr">
        <is>
          <t>/</t>
        </is>
      </c>
      <c r="AC76" s="224" t="inlineStr">
        <is>
          <t>/</t>
        </is>
      </c>
      <c r="AD76" s="57" t="inlineStr">
        <is>
          <t>1、装修折旧费：25万/年，分组作业未分摊，服务费已包含</t>
        </is>
      </c>
      <c r="AE76" s="25" t="inlineStr">
        <is>
          <t xml:space="preserve">1、签订期间：2026.3.1-2026.7.31；
2、指标按照全年换算；
</t>
        </is>
      </c>
    </row>
    <row r="77" ht="36" customFormat="1" customHeight="1" s="209">
      <c r="A77" s="219" t="n">
        <v>75</v>
      </c>
      <c r="B77" s="14" t="inlineStr">
        <is>
          <t>KQCY0075</t>
        </is>
      </c>
      <c r="C77" s="221" t="inlineStr">
        <is>
          <t>餐饮二分部</t>
        </is>
      </c>
      <c r="D77" s="221" t="inlineStr">
        <is>
          <t>CF360</t>
        </is>
      </c>
      <c r="E77" s="221" t="inlineStr">
        <is>
          <t>南通师专新校区食堂</t>
        </is>
      </c>
      <c r="F77" s="219" t="inlineStr">
        <is>
          <t>分组作业</t>
        </is>
      </c>
      <c r="G77" s="222" t="inlineStr">
        <is>
          <t>位军浩</t>
        </is>
      </c>
      <c r="H77" s="222" t="inlineStr">
        <is>
          <t>第六班组</t>
        </is>
      </c>
      <c r="I77" s="232" t="inlineStr">
        <is>
          <t>咖喱蛋包饭</t>
        </is>
      </c>
      <c r="J77" s="503" t="inlineStr">
        <is>
          <t>余娇</t>
        </is>
      </c>
      <c r="K77" s="224" t="inlineStr">
        <is>
          <t>/</t>
        </is>
      </c>
      <c r="L77" s="651" t="n">
        <v>800000</v>
      </c>
      <c r="M77" s="22" t="n">
        <v>0.2</v>
      </c>
      <c r="N77" s="224" t="inlineStr">
        <is>
          <t>/</t>
        </is>
      </c>
      <c r="O77" s="224" t="inlineStr">
        <is>
          <t>/</t>
        </is>
      </c>
      <c r="P77" s="59" t="inlineStr">
        <is>
          <t>/</t>
        </is>
      </c>
      <c r="Q77" s="22" t="inlineStr">
        <is>
          <t>/</t>
        </is>
      </c>
      <c r="R77" s="22" t="inlineStr">
        <is>
          <t>/</t>
        </is>
      </c>
      <c r="S77" s="224" t="inlineStr">
        <is>
          <t>/</t>
        </is>
      </c>
      <c r="T77" s="22" t="n">
        <v>0.03</v>
      </c>
      <c r="U77" s="22" t="n">
        <v>0.04</v>
      </c>
      <c r="V77" s="502" t="inlineStr">
        <is>
          <t>/</t>
        </is>
      </c>
      <c r="W77" s="224" t="inlineStr">
        <is>
          <t>50%±3%</t>
        </is>
      </c>
      <c r="X77" s="502" t="inlineStr">
        <is>
          <t>/</t>
        </is>
      </c>
      <c r="Y77" s="502" t="inlineStr">
        <is>
          <t>/</t>
        </is>
      </c>
      <c r="Z77" s="502" t="inlineStr">
        <is>
          <t>/</t>
        </is>
      </c>
      <c r="AA77" s="502" t="inlineStr">
        <is>
          <t>/</t>
        </is>
      </c>
      <c r="AB77" s="22" t="inlineStr">
        <is>
          <t>/</t>
        </is>
      </c>
      <c r="AC77" s="224" t="inlineStr">
        <is>
          <t>/</t>
        </is>
      </c>
      <c r="AD77" s="57" t="inlineStr">
        <is>
          <t>1、装修折旧费：25万/年，分组作业未分摊，服务费已包含</t>
        </is>
      </c>
      <c r="AE77" s="25" t="inlineStr">
        <is>
          <t xml:space="preserve">1、签订期间：2026.3.1-2026.7.31；
2、指标按照全年换算；
</t>
        </is>
      </c>
    </row>
    <row r="78" ht="36" customFormat="1" customHeight="1" s="209">
      <c r="A78" s="219" t="n">
        <v>76</v>
      </c>
      <c r="B78" s="14" t="inlineStr">
        <is>
          <t>KQCY0076</t>
        </is>
      </c>
      <c r="C78" s="221" t="inlineStr">
        <is>
          <t>餐饮二分部</t>
        </is>
      </c>
      <c r="D78" s="221" t="inlineStr">
        <is>
          <t>CF360</t>
        </is>
      </c>
      <c r="E78" s="221" t="inlineStr">
        <is>
          <t>南通师专新校区食堂</t>
        </is>
      </c>
      <c r="F78" s="219" t="inlineStr">
        <is>
          <t>分组作业</t>
        </is>
      </c>
      <c r="G78" s="222" t="inlineStr">
        <is>
          <t>位军浩</t>
        </is>
      </c>
      <c r="H78" s="222" t="inlineStr">
        <is>
          <t>第七班组</t>
        </is>
      </c>
      <c r="I78" s="232" t="inlineStr">
        <is>
          <t>麻辣烫麻辣拌</t>
        </is>
      </c>
      <c r="J78" s="503" t="inlineStr">
        <is>
          <t>虞冬梅</t>
        </is>
      </c>
      <c r="K78" s="224" t="inlineStr">
        <is>
          <t>/</t>
        </is>
      </c>
      <c r="L78" s="651" t="n">
        <v>800000</v>
      </c>
      <c r="M78" s="22" t="n">
        <v>0.18</v>
      </c>
      <c r="N78" s="224" t="inlineStr">
        <is>
          <t>/</t>
        </is>
      </c>
      <c r="O78" s="224" t="inlineStr">
        <is>
          <t>/</t>
        </is>
      </c>
      <c r="P78" s="59" t="inlineStr">
        <is>
          <t>/</t>
        </is>
      </c>
      <c r="Q78" s="22" t="inlineStr">
        <is>
          <t>/</t>
        </is>
      </c>
      <c r="R78" s="22" t="inlineStr">
        <is>
          <t>/</t>
        </is>
      </c>
      <c r="S78" s="224" t="inlineStr">
        <is>
          <t>/</t>
        </is>
      </c>
      <c r="T78" s="22" t="n">
        <v>0.03</v>
      </c>
      <c r="U78" s="22" t="n">
        <v>0.03</v>
      </c>
      <c r="V78" s="502" t="inlineStr">
        <is>
          <t>/</t>
        </is>
      </c>
      <c r="W78" s="224" t="inlineStr">
        <is>
          <t>50%±3%</t>
        </is>
      </c>
      <c r="X78" s="502" t="inlineStr">
        <is>
          <t>/</t>
        </is>
      </c>
      <c r="Y78" s="502" t="inlineStr">
        <is>
          <t>/</t>
        </is>
      </c>
      <c r="Z78" s="502" t="inlineStr">
        <is>
          <t>/</t>
        </is>
      </c>
      <c r="AA78" s="502" t="inlineStr">
        <is>
          <t>/</t>
        </is>
      </c>
      <c r="AB78" s="22" t="inlineStr">
        <is>
          <t>/</t>
        </is>
      </c>
      <c r="AC78" s="224" t="inlineStr">
        <is>
          <t>/</t>
        </is>
      </c>
      <c r="AD78" s="57" t="inlineStr">
        <is>
          <t>1、装修折旧费：25万/年，分组作业未分摊，服务费已包含</t>
        </is>
      </c>
      <c r="AE78" s="25" t="inlineStr">
        <is>
          <t xml:space="preserve">1、签订期间：2026.3.1-2026.7.31；
2、指标按照全年换算；
</t>
        </is>
      </c>
    </row>
    <row r="79" ht="36" customFormat="1" customHeight="1" s="209">
      <c r="A79" s="219" t="n">
        <v>77</v>
      </c>
      <c r="B79" s="14" t="inlineStr">
        <is>
          <t>KQCY0077</t>
        </is>
      </c>
      <c r="C79" s="221" t="inlineStr">
        <is>
          <t>餐饮二分部</t>
        </is>
      </c>
      <c r="D79" s="221" t="inlineStr">
        <is>
          <t>CF360</t>
        </is>
      </c>
      <c r="E79" s="221" t="inlineStr">
        <is>
          <t>南通师专新校区食堂</t>
        </is>
      </c>
      <c r="F79" s="219" t="inlineStr">
        <is>
          <t>分组作业</t>
        </is>
      </c>
      <c r="G79" s="222" t="inlineStr">
        <is>
          <t>位军浩</t>
        </is>
      </c>
      <c r="H79" s="222" t="inlineStr">
        <is>
          <t>第八班组</t>
        </is>
      </c>
      <c r="I79" s="232" t="inlineStr">
        <is>
          <t>真老大手工云吞</t>
        </is>
      </c>
      <c r="J79" s="503" t="inlineStr">
        <is>
          <t>彭晴</t>
        </is>
      </c>
      <c r="K79" s="224" t="inlineStr">
        <is>
          <t>/</t>
        </is>
      </c>
      <c r="L79" s="651" t="n">
        <v>800000</v>
      </c>
      <c r="M79" s="22" t="n">
        <v>0.2</v>
      </c>
      <c r="N79" s="224" t="inlineStr">
        <is>
          <t>/</t>
        </is>
      </c>
      <c r="O79" s="224" t="inlineStr">
        <is>
          <t>/</t>
        </is>
      </c>
      <c r="P79" s="59" t="inlineStr">
        <is>
          <t>/</t>
        </is>
      </c>
      <c r="Q79" s="22" t="inlineStr">
        <is>
          <t>/</t>
        </is>
      </c>
      <c r="R79" s="22" t="inlineStr">
        <is>
          <t>/</t>
        </is>
      </c>
      <c r="S79" s="224" t="inlineStr">
        <is>
          <t>/</t>
        </is>
      </c>
      <c r="T79" s="22" t="n">
        <v>0.03</v>
      </c>
      <c r="U79" s="22" t="n">
        <v>0.04</v>
      </c>
      <c r="V79" s="502" t="inlineStr">
        <is>
          <t>/</t>
        </is>
      </c>
      <c r="W79" s="224" t="inlineStr">
        <is>
          <t>50%±3%</t>
        </is>
      </c>
      <c r="X79" s="502" t="inlineStr">
        <is>
          <t>/</t>
        </is>
      </c>
      <c r="Y79" s="502" t="inlineStr">
        <is>
          <t>/</t>
        </is>
      </c>
      <c r="Z79" s="502" t="inlineStr">
        <is>
          <t>/</t>
        </is>
      </c>
      <c r="AA79" s="502" t="inlineStr">
        <is>
          <t>/</t>
        </is>
      </c>
      <c r="AB79" s="22" t="inlineStr">
        <is>
          <t>/</t>
        </is>
      </c>
      <c r="AC79" s="224" t="inlineStr">
        <is>
          <t>/</t>
        </is>
      </c>
      <c r="AD79" s="57" t="inlineStr">
        <is>
          <t>1、装修折旧费：25万/年，分组作业未分摊，服务费已包含</t>
        </is>
      </c>
      <c r="AE79" s="25" t="inlineStr">
        <is>
          <t xml:space="preserve">1、签订期间：2026.3.1-2026.7.31；
2、指标按照全年换算；
</t>
        </is>
      </c>
    </row>
    <row r="80" ht="36" customFormat="1" customHeight="1" s="209">
      <c r="A80" s="219" t="n">
        <v>78</v>
      </c>
      <c r="B80" s="14" t="inlineStr">
        <is>
          <t>KQCY0078</t>
        </is>
      </c>
      <c r="C80" s="221" t="inlineStr">
        <is>
          <t>餐饮二分部</t>
        </is>
      </c>
      <c r="D80" s="221" t="inlineStr">
        <is>
          <t>CF360</t>
        </is>
      </c>
      <c r="E80" s="221" t="inlineStr">
        <is>
          <t>南通师专新校区食堂</t>
        </is>
      </c>
      <c r="F80" s="219" t="inlineStr">
        <is>
          <t>分组作业</t>
        </is>
      </c>
      <c r="G80" s="222" t="inlineStr">
        <is>
          <t>位军浩</t>
        </is>
      </c>
      <c r="H80" s="222" t="inlineStr">
        <is>
          <t>第九班组</t>
        </is>
      </c>
      <c r="I80" s="232" t="inlineStr">
        <is>
          <t>朱家小馆羊杂面</t>
        </is>
      </c>
      <c r="J80" s="503" t="inlineStr">
        <is>
          <t>薛桂中</t>
        </is>
      </c>
      <c r="K80" s="224" t="inlineStr">
        <is>
          <t>/</t>
        </is>
      </c>
      <c r="L80" s="651" t="n">
        <v>960000</v>
      </c>
      <c r="M80" s="22" t="n">
        <v>0.2</v>
      </c>
      <c r="N80" s="224" t="inlineStr">
        <is>
          <t>/</t>
        </is>
      </c>
      <c r="O80" s="224" t="inlineStr">
        <is>
          <t>/</t>
        </is>
      </c>
      <c r="P80" s="59" t="inlineStr">
        <is>
          <t>/</t>
        </is>
      </c>
      <c r="Q80" s="22" t="inlineStr">
        <is>
          <t>/</t>
        </is>
      </c>
      <c r="R80" s="22" t="inlineStr">
        <is>
          <t>/</t>
        </is>
      </c>
      <c r="S80" s="224" t="inlineStr">
        <is>
          <t>/</t>
        </is>
      </c>
      <c r="T80" s="22" t="n">
        <v>0.03</v>
      </c>
      <c r="U80" s="22" t="n">
        <v>0.04</v>
      </c>
      <c r="V80" s="502" t="inlineStr">
        <is>
          <t>/</t>
        </is>
      </c>
      <c r="W80" s="224" t="inlineStr">
        <is>
          <t>50%±3%</t>
        </is>
      </c>
      <c r="X80" s="502" t="inlineStr">
        <is>
          <t>/</t>
        </is>
      </c>
      <c r="Y80" s="502" t="inlineStr">
        <is>
          <t>/</t>
        </is>
      </c>
      <c r="Z80" s="502" t="inlineStr">
        <is>
          <t>/</t>
        </is>
      </c>
      <c r="AA80" s="502" t="inlineStr">
        <is>
          <t>/</t>
        </is>
      </c>
      <c r="AB80" s="22" t="inlineStr">
        <is>
          <t>/</t>
        </is>
      </c>
      <c r="AC80" s="224" t="inlineStr">
        <is>
          <t>/</t>
        </is>
      </c>
      <c r="AD80" s="57" t="inlineStr">
        <is>
          <t>1、装修折旧费：25万/年，分组作业未分摊，服务费已包含</t>
        </is>
      </c>
      <c r="AE80" s="25" t="inlineStr">
        <is>
          <t xml:space="preserve">1、签订期间：2026.3.1-2026.7.31；
2、指标按照全年换算；
</t>
        </is>
      </c>
    </row>
    <row r="81" ht="48" customFormat="1" customHeight="1" s="209">
      <c r="A81" s="219" t="n">
        <v>79</v>
      </c>
      <c r="B81" s="14" t="inlineStr">
        <is>
          <t>KQCY0079</t>
        </is>
      </c>
      <c r="C81" s="221" t="inlineStr">
        <is>
          <t>餐饮二分部</t>
        </is>
      </c>
      <c r="D81" s="221" t="inlineStr">
        <is>
          <t>CF360</t>
        </is>
      </c>
      <c r="E81" s="221" t="inlineStr">
        <is>
          <t>南通师专新校区食堂</t>
        </is>
      </c>
      <c r="F81" s="219" t="inlineStr">
        <is>
          <t>分组作业</t>
        </is>
      </c>
      <c r="G81" s="222" t="inlineStr">
        <is>
          <t>位军浩</t>
        </is>
      </c>
      <c r="H81" s="222" t="inlineStr">
        <is>
          <t>第十班组</t>
        </is>
      </c>
      <c r="I81" s="232" t="inlineStr">
        <is>
          <t>奶茶</t>
        </is>
      </c>
      <c r="J81" s="503" t="inlineStr">
        <is>
          <t>王艳</t>
        </is>
      </c>
      <c r="K81" s="224" t="inlineStr">
        <is>
          <t>/</t>
        </is>
      </c>
      <c r="L81" s="651" t="n">
        <v>480000</v>
      </c>
      <c r="M81" s="22" t="n">
        <v>0.18</v>
      </c>
      <c r="N81" s="224" t="inlineStr">
        <is>
          <t>/</t>
        </is>
      </c>
      <c r="O81" s="224" t="inlineStr">
        <is>
          <t>/</t>
        </is>
      </c>
      <c r="P81" s="59" t="inlineStr">
        <is>
          <t>/</t>
        </is>
      </c>
      <c r="Q81" s="22" t="inlineStr">
        <is>
          <t>/</t>
        </is>
      </c>
      <c r="R81" s="22" t="inlineStr">
        <is>
          <t>/</t>
        </is>
      </c>
      <c r="S81" s="224" t="inlineStr">
        <is>
          <t>/</t>
        </is>
      </c>
      <c r="T81" s="59" t="inlineStr">
        <is>
          <t>/</t>
        </is>
      </c>
      <c r="U81" s="653" t="n"/>
      <c r="V81" s="502" t="inlineStr">
        <is>
          <t>/</t>
        </is>
      </c>
      <c r="W81" s="224" t="inlineStr">
        <is>
          <t>50%±3%</t>
        </is>
      </c>
      <c r="X81" s="502" t="inlineStr">
        <is>
          <t>/</t>
        </is>
      </c>
      <c r="Y81" s="502" t="inlineStr">
        <is>
          <t>/</t>
        </is>
      </c>
      <c r="Z81" s="502" t="inlineStr">
        <is>
          <t>/</t>
        </is>
      </c>
      <c r="AA81" s="502" t="inlineStr">
        <is>
          <t>/</t>
        </is>
      </c>
      <c r="AB81" s="22" t="inlineStr">
        <is>
          <t>/</t>
        </is>
      </c>
      <c r="AC81" s="224" t="inlineStr">
        <is>
          <t>/</t>
        </is>
      </c>
      <c r="AD81" s="57" t="inlineStr">
        <is>
          <t>1、装修折旧费：25万/年，分组作业未分摊，服务费已包含；
2、卫生费：分组作业不在食堂内，未分摊，服务费已包含；</t>
        </is>
      </c>
      <c r="AE81" s="25" t="inlineStr">
        <is>
          <t>1、签订期间：2026.3.1-2026.7.31；
2、指标按照全年换算；</t>
        </is>
      </c>
    </row>
    <row r="82" ht="12" customFormat="1" customHeight="1" s="209">
      <c r="A82" s="219" t="n">
        <v>80</v>
      </c>
      <c r="B82" s="14" t="inlineStr">
        <is>
          <t>KQCY0080</t>
        </is>
      </c>
      <c r="C82" s="221" t="inlineStr">
        <is>
          <t>餐饮二分部</t>
        </is>
      </c>
      <c r="D82" s="221" t="inlineStr">
        <is>
          <t>CF364</t>
        </is>
      </c>
      <c r="E82" s="221" t="inlineStr">
        <is>
          <t>江苏航运思本轩食堂</t>
        </is>
      </c>
      <c r="F82" s="219" t="inlineStr">
        <is>
          <t>自营</t>
        </is>
      </c>
      <c r="G82" s="222" t="inlineStr">
        <is>
          <t>位军浩</t>
        </is>
      </c>
      <c r="H82" s="222" t="inlineStr">
        <is>
          <t>/</t>
        </is>
      </c>
      <c r="I82" s="237" t="inlineStr">
        <is>
          <t>/</t>
        </is>
      </c>
      <c r="J82" s="222" t="inlineStr">
        <is>
          <t>/</t>
        </is>
      </c>
      <c r="K82" s="224" t="inlineStr">
        <is>
          <t>/</t>
        </is>
      </c>
      <c r="L82" s="651" t="inlineStr">
        <is>
          <t>/</t>
        </is>
      </c>
      <c r="M82" s="224" t="inlineStr">
        <is>
          <t>/</t>
        </is>
      </c>
      <c r="N82" s="224" t="inlineStr">
        <is>
          <t>/</t>
        </is>
      </c>
      <c r="O82" s="224" t="inlineStr">
        <is>
          <t>/</t>
        </is>
      </c>
      <c r="P82" s="224" t="inlineStr">
        <is>
          <t>/</t>
        </is>
      </c>
      <c r="Q82" s="224" t="inlineStr">
        <is>
          <t>/</t>
        </is>
      </c>
      <c r="R82" s="224" t="inlineStr">
        <is>
          <t>/</t>
        </is>
      </c>
      <c r="S82" s="224" t="inlineStr">
        <is>
          <t>/</t>
        </is>
      </c>
      <c r="T82" s="224" t="inlineStr">
        <is>
          <t>/</t>
        </is>
      </c>
      <c r="U82" s="224" t="inlineStr">
        <is>
          <t>/</t>
        </is>
      </c>
      <c r="V82" s="224" t="inlineStr">
        <is>
          <t>/</t>
        </is>
      </c>
      <c r="W82" s="44" t="n"/>
      <c r="X82" s="502" t="inlineStr">
        <is>
          <t>/</t>
        </is>
      </c>
      <c r="Y82" s="502" t="inlineStr">
        <is>
          <t>/</t>
        </is>
      </c>
      <c r="Z82" s="502" t="inlineStr">
        <is>
          <t>/</t>
        </is>
      </c>
      <c r="AA82" s="502" t="inlineStr">
        <is>
          <t>/</t>
        </is>
      </c>
      <c r="AB82" s="22" t="n">
        <v>0.05</v>
      </c>
      <c r="AC82" s="224" t="inlineStr">
        <is>
          <t>/</t>
        </is>
      </c>
      <c r="AD82" s="232" t="n"/>
      <c r="AE82" s="25" t="n"/>
    </row>
    <row r="83" ht="60" customFormat="1" customHeight="1" s="209">
      <c r="A83" s="219" t="n">
        <v>82</v>
      </c>
      <c r="B83" s="14" t="inlineStr">
        <is>
          <t>KQCY0082</t>
        </is>
      </c>
      <c r="C83" s="221" t="inlineStr">
        <is>
          <t>餐饮二分部</t>
        </is>
      </c>
      <c r="D83" s="221" t="inlineStr">
        <is>
          <t>CF364</t>
        </is>
      </c>
      <c r="E83" s="221" t="inlineStr">
        <is>
          <t>江苏航运思本轩食堂</t>
        </is>
      </c>
      <c r="F83" s="219" t="inlineStr">
        <is>
          <t>分组作业</t>
        </is>
      </c>
      <c r="G83" s="222" t="inlineStr">
        <is>
          <t>位军浩</t>
        </is>
      </c>
      <c r="H83" s="222" t="inlineStr">
        <is>
          <t>第二班组</t>
        </is>
      </c>
      <c r="I83" s="232" t="inlineStr">
        <is>
          <t>粉丝汤（牛肉、老母鸡、牛杂、拆骨）</t>
        </is>
      </c>
      <c r="J83" s="503" t="inlineStr">
        <is>
          <t>满超</t>
        </is>
      </c>
      <c r="K83" s="224" t="inlineStr">
        <is>
          <t>/</t>
        </is>
      </c>
      <c r="L83" s="651" t="n">
        <v>590000</v>
      </c>
      <c r="M83" s="22" t="n">
        <v>0.12</v>
      </c>
      <c r="N83" s="22" t="n">
        <v>0.01</v>
      </c>
      <c r="O83" s="22" t="n"/>
      <c r="P83" s="22" t="n">
        <v>0.01</v>
      </c>
      <c r="Q83" s="22" t="n">
        <v>0.01</v>
      </c>
      <c r="R83" s="22" t="n">
        <v>0.01</v>
      </c>
      <c r="S83" s="22" t="n">
        <v>0.02</v>
      </c>
      <c r="T83" s="22" t="n"/>
      <c r="U83" s="653" t="n"/>
      <c r="V83" s="224" t="inlineStr">
        <is>
          <t>/</t>
        </is>
      </c>
      <c r="W83" s="224" t="n"/>
      <c r="X83" s="23" t="n">
        <v>0.03</v>
      </c>
      <c r="Y83" s="502" t="inlineStr">
        <is>
          <t>/</t>
        </is>
      </c>
      <c r="Z83" s="224" t="n"/>
      <c r="AA83" s="349" t="inlineStr">
        <is>
          <t>/</t>
        </is>
      </c>
      <c r="AB83" s="22" t="inlineStr">
        <is>
          <t>/</t>
        </is>
      </c>
      <c r="AC83" s="224" t="inlineStr">
        <is>
          <t>/</t>
        </is>
      </c>
      <c r="AD83" s="57"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3" s="25" t="inlineStr">
        <is>
          <t>1、签订期间：2025.9.1-2026.8.31；
2、指标按照全年换算；</t>
        </is>
      </c>
    </row>
    <row r="84" ht="60" customFormat="1" customHeight="1" s="209">
      <c r="A84" s="219" t="n">
        <v>83</v>
      </c>
      <c r="B84" s="14" t="inlineStr">
        <is>
          <t>KQCY0083</t>
        </is>
      </c>
      <c r="C84" s="221" t="inlineStr">
        <is>
          <t>餐饮二分部</t>
        </is>
      </c>
      <c r="D84" s="221" t="inlineStr">
        <is>
          <t>CF364</t>
        </is>
      </c>
      <c r="E84" s="221" t="inlineStr">
        <is>
          <t>江苏航运思本轩食堂</t>
        </is>
      </c>
      <c r="F84" s="219" t="inlineStr">
        <is>
          <t>分组作业</t>
        </is>
      </c>
      <c r="G84" s="222" t="inlineStr">
        <is>
          <t>位军浩</t>
        </is>
      </c>
      <c r="H84" s="222" t="inlineStr">
        <is>
          <t>第三班组</t>
        </is>
      </c>
      <c r="I84" s="232" t="inlineStr">
        <is>
          <t>拌饭（鸡腿饭、酸梅鸭饭）</t>
        </is>
      </c>
      <c r="J84" s="503" t="inlineStr">
        <is>
          <t>唐德生</t>
        </is>
      </c>
      <c r="K84" s="224" t="inlineStr">
        <is>
          <t>/</t>
        </is>
      </c>
      <c r="L84" s="651" t="n">
        <v>400000</v>
      </c>
      <c r="M84" s="22" t="n">
        <v>0.12</v>
      </c>
      <c r="N84" s="22" t="n">
        <v>0.01</v>
      </c>
      <c r="O84" s="22" t="n"/>
      <c r="P84" s="22" t="n">
        <v>0.01</v>
      </c>
      <c r="Q84" s="22" t="n">
        <v>0.01</v>
      </c>
      <c r="R84" s="22" t="n">
        <v>0.01</v>
      </c>
      <c r="S84" s="22" t="n">
        <v>0.02</v>
      </c>
      <c r="T84" s="22" t="n">
        <v>0.03</v>
      </c>
      <c r="U84" s="22" t="n">
        <v>0.03</v>
      </c>
      <c r="V84" s="224" t="inlineStr">
        <is>
          <t>/</t>
        </is>
      </c>
      <c r="W84" s="224" t="n"/>
      <c r="X84" s="23" t="n">
        <v>0.03</v>
      </c>
      <c r="Y84" s="502" t="inlineStr">
        <is>
          <t>/</t>
        </is>
      </c>
      <c r="Z84" s="224" t="n"/>
      <c r="AA84" s="349" t="inlineStr">
        <is>
          <t>/</t>
        </is>
      </c>
      <c r="AB84" s="22" t="inlineStr">
        <is>
          <t>/</t>
        </is>
      </c>
      <c r="AC84" s="224" t="inlineStr">
        <is>
          <t>/</t>
        </is>
      </c>
      <c r="AD84"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4" s="25" t="inlineStr">
        <is>
          <t>1、签订期间：2025.9.1-2026.8.31；
2、指标按照全年换算；</t>
        </is>
      </c>
    </row>
    <row r="85" ht="60" customFormat="1" customHeight="1" s="209">
      <c r="A85" s="219" t="n">
        <v>84</v>
      </c>
      <c r="B85" s="14" t="inlineStr">
        <is>
          <t>KQCY0084</t>
        </is>
      </c>
      <c r="C85" s="221" t="inlineStr">
        <is>
          <t>餐饮二分部</t>
        </is>
      </c>
      <c r="D85" s="221" t="inlineStr">
        <is>
          <t>CF364</t>
        </is>
      </c>
      <c r="E85" s="221" t="inlineStr">
        <is>
          <t>江苏航运思本轩食堂</t>
        </is>
      </c>
      <c r="F85" s="219" t="inlineStr">
        <is>
          <t>分组作业</t>
        </is>
      </c>
      <c r="G85" s="222" t="inlineStr">
        <is>
          <t>位军浩</t>
        </is>
      </c>
      <c r="H85" s="222" t="inlineStr">
        <is>
          <t>第五班组</t>
        </is>
      </c>
      <c r="I85" s="232" t="inlineStr">
        <is>
          <t>早餐</t>
        </is>
      </c>
      <c r="J85" s="503" t="inlineStr">
        <is>
          <t>潘捷</t>
        </is>
      </c>
      <c r="K85" s="224" t="inlineStr">
        <is>
          <t>/</t>
        </is>
      </c>
      <c r="L85" s="651" t="n">
        <v>240000</v>
      </c>
      <c r="M85" s="22" t="n">
        <v>0.05</v>
      </c>
      <c r="N85" s="22" t="n">
        <v>0.01</v>
      </c>
      <c r="O85" s="22" t="n"/>
      <c r="P85" s="22" t="n">
        <v>0.01</v>
      </c>
      <c r="Q85" s="22" t="n">
        <v>0.01</v>
      </c>
      <c r="R85" s="22" t="n">
        <v>0.01</v>
      </c>
      <c r="S85" s="22" t="n">
        <v>0.01</v>
      </c>
      <c r="T85" s="22" t="n"/>
      <c r="U85" s="653" t="n"/>
      <c r="V85" s="224" t="inlineStr">
        <is>
          <t>/</t>
        </is>
      </c>
      <c r="W85" s="224" t="n"/>
      <c r="X85" s="23" t="n">
        <v>0.03</v>
      </c>
      <c r="Y85" s="502" t="inlineStr">
        <is>
          <t>/</t>
        </is>
      </c>
      <c r="Z85" s="224" t="n"/>
      <c r="AA85" s="349" t="inlineStr">
        <is>
          <t>/</t>
        </is>
      </c>
      <c r="AB85" s="22" t="inlineStr">
        <is>
          <t>/</t>
        </is>
      </c>
      <c r="AC85" s="224" t="inlineStr">
        <is>
          <t>/</t>
        </is>
      </c>
      <c r="AD85"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5" s="25" t="inlineStr">
        <is>
          <t>1、签订期间：2025.9.1-2026.8.31；
2、指标按照全年换算；</t>
        </is>
      </c>
    </row>
    <row r="86" ht="60" customFormat="1" customHeight="1" s="209">
      <c r="A86" s="219" t="n">
        <v>86</v>
      </c>
      <c r="B86" s="14" t="inlineStr">
        <is>
          <t>KQCY0086</t>
        </is>
      </c>
      <c r="C86" s="221" t="inlineStr">
        <is>
          <t>餐饮二分部</t>
        </is>
      </c>
      <c r="D86" s="221" t="inlineStr">
        <is>
          <t>CF364</t>
        </is>
      </c>
      <c r="E86" s="221" t="inlineStr">
        <is>
          <t>江苏航运思本轩食堂</t>
        </is>
      </c>
      <c r="F86" s="219" t="inlineStr">
        <is>
          <t>分组作业</t>
        </is>
      </c>
      <c r="G86" s="222" t="inlineStr">
        <is>
          <t>位军浩</t>
        </is>
      </c>
      <c r="H86" s="222" t="inlineStr">
        <is>
          <t>第七班组</t>
        </is>
      </c>
      <c r="I86" s="232" t="inlineStr">
        <is>
          <t>锡纸饭</t>
        </is>
      </c>
      <c r="J86" s="503" t="inlineStr">
        <is>
          <t>陈芳</t>
        </is>
      </c>
      <c r="K86" s="224" t="inlineStr">
        <is>
          <t>/</t>
        </is>
      </c>
      <c r="L86" s="651" t="n">
        <v>365000</v>
      </c>
      <c r="M86" s="22" t="n">
        <v>0.12</v>
      </c>
      <c r="N86" s="22" t="n">
        <v>0.01</v>
      </c>
      <c r="O86" s="22" t="n"/>
      <c r="P86" s="22" t="n">
        <v>0.01</v>
      </c>
      <c r="Q86" s="22" t="n">
        <v>0.01</v>
      </c>
      <c r="R86" s="22" t="n">
        <v>0.01</v>
      </c>
      <c r="S86" s="22" t="n">
        <v>0.02</v>
      </c>
      <c r="T86" s="22" t="n"/>
      <c r="U86" s="653" t="n"/>
      <c r="V86" s="224" t="inlineStr">
        <is>
          <t>/</t>
        </is>
      </c>
      <c r="W86" s="224" t="n"/>
      <c r="X86" s="23" t="n">
        <v>0.03</v>
      </c>
      <c r="Y86" s="502" t="inlineStr">
        <is>
          <t>/</t>
        </is>
      </c>
      <c r="Z86" s="224" t="n"/>
      <c r="AA86" s="349" t="inlineStr">
        <is>
          <t>/</t>
        </is>
      </c>
      <c r="AB86" s="22" t="inlineStr">
        <is>
          <t>/</t>
        </is>
      </c>
      <c r="AC86" s="224" t="inlineStr">
        <is>
          <t>/</t>
        </is>
      </c>
      <c r="AD86"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6" s="25" t="inlineStr">
        <is>
          <t>1、签订期间：2025.9.1-2026.8.31；
2、指标按照全年换算；</t>
        </is>
      </c>
    </row>
    <row r="87" ht="60" customFormat="1" customHeight="1" s="209">
      <c r="A87" s="219" t="n">
        <v>89</v>
      </c>
      <c r="B87" s="14" t="inlineStr">
        <is>
          <t>KQCY0089</t>
        </is>
      </c>
      <c r="C87" s="221" t="inlineStr">
        <is>
          <t>餐饮二分部</t>
        </is>
      </c>
      <c r="D87" s="221" t="inlineStr">
        <is>
          <t>CF364</t>
        </is>
      </c>
      <c r="E87" s="221" t="inlineStr">
        <is>
          <t>江苏航运思本轩食堂</t>
        </is>
      </c>
      <c r="F87" s="219" t="inlineStr">
        <is>
          <t>分组作业</t>
        </is>
      </c>
      <c r="G87" s="222" t="inlineStr">
        <is>
          <t>位军浩</t>
        </is>
      </c>
      <c r="H87" s="222" t="inlineStr">
        <is>
          <t>第十班组</t>
        </is>
      </c>
      <c r="I87" s="232" t="inlineStr">
        <is>
          <t>烤鸭饭</t>
        </is>
      </c>
      <c r="J87" s="503" t="inlineStr">
        <is>
          <t>蒋继承</t>
        </is>
      </c>
      <c r="K87" s="224" t="inlineStr">
        <is>
          <t>/</t>
        </is>
      </c>
      <c r="L87" s="651" t="n">
        <v>1440000</v>
      </c>
      <c r="M87" s="22" t="n">
        <v>0.12</v>
      </c>
      <c r="N87" s="22" t="n">
        <v>0.01</v>
      </c>
      <c r="O87" s="22" t="n"/>
      <c r="P87" s="22" t="n">
        <v>0.01</v>
      </c>
      <c r="Q87" s="22" t="n">
        <v>0.01</v>
      </c>
      <c r="R87" s="22" t="n">
        <v>0.01</v>
      </c>
      <c r="S87" s="22" t="n">
        <v>0.02</v>
      </c>
      <c r="T87" s="22" t="n">
        <v>0.03</v>
      </c>
      <c r="U87" s="22" t="n">
        <v>0.02</v>
      </c>
      <c r="V87" s="224" t="inlineStr">
        <is>
          <t>/</t>
        </is>
      </c>
      <c r="W87" s="224" t="n"/>
      <c r="X87" s="23" t="n">
        <v>0.03</v>
      </c>
      <c r="Y87" s="502" t="inlineStr">
        <is>
          <t>/</t>
        </is>
      </c>
      <c r="Z87" s="224" t="n"/>
      <c r="AA87" s="349" t="inlineStr">
        <is>
          <t>/</t>
        </is>
      </c>
      <c r="AB87" s="22" t="inlineStr">
        <is>
          <t>/</t>
        </is>
      </c>
      <c r="AC87" s="224" t="inlineStr">
        <is>
          <t>/</t>
        </is>
      </c>
      <c r="AD87"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7" s="25" t="inlineStr">
        <is>
          <t>1、签订期间：2025.9.1-2026.8.31；
2、指标按照全年换算；</t>
        </is>
      </c>
    </row>
    <row r="88" ht="60" customFormat="1" customHeight="1" s="209">
      <c r="A88" s="219" t="n">
        <v>90</v>
      </c>
      <c r="B88" s="14" t="inlineStr">
        <is>
          <t>KQCY0090</t>
        </is>
      </c>
      <c r="C88" s="221" t="inlineStr">
        <is>
          <t>餐饮二分部</t>
        </is>
      </c>
      <c r="D88" s="221" t="inlineStr">
        <is>
          <t>CF364</t>
        </is>
      </c>
      <c r="E88" s="221" t="inlineStr">
        <is>
          <t>江苏航运思本轩食堂</t>
        </is>
      </c>
      <c r="F88" s="219" t="inlineStr">
        <is>
          <t>分组作业</t>
        </is>
      </c>
      <c r="G88" s="222" t="inlineStr">
        <is>
          <t>位军浩</t>
        </is>
      </c>
      <c r="H88" s="222" t="inlineStr">
        <is>
          <t>第十一班组</t>
        </is>
      </c>
      <c r="I88" s="232" t="inlineStr">
        <is>
          <t>朱家小馆</t>
        </is>
      </c>
      <c r="J88" s="503" t="inlineStr">
        <is>
          <t>张慧南</t>
        </is>
      </c>
      <c r="K88" s="224" t="inlineStr">
        <is>
          <t>/</t>
        </is>
      </c>
      <c r="L88" s="651" t="n">
        <v>560000</v>
      </c>
      <c r="M88" s="22" t="n">
        <v>0.12</v>
      </c>
      <c r="N88" s="22" t="n">
        <v>0.01</v>
      </c>
      <c r="O88" s="22" t="n"/>
      <c r="P88" s="22" t="n">
        <v>0.01</v>
      </c>
      <c r="Q88" s="22" t="n">
        <v>0.01</v>
      </c>
      <c r="R88" s="22" t="n">
        <v>0.01</v>
      </c>
      <c r="S88" s="22" t="n">
        <v>0.02</v>
      </c>
      <c r="T88" s="22" t="n">
        <v>0.04</v>
      </c>
      <c r="U88" s="22" t="n">
        <v>0.04</v>
      </c>
      <c r="V88" s="224" t="inlineStr">
        <is>
          <t>/</t>
        </is>
      </c>
      <c r="W88" s="224" t="n"/>
      <c r="X88" s="23" t="n">
        <v>0.03</v>
      </c>
      <c r="Y88" s="502" t="inlineStr">
        <is>
          <t>/</t>
        </is>
      </c>
      <c r="Z88" s="224" t="n"/>
      <c r="AA88" s="349" t="inlineStr">
        <is>
          <t>/</t>
        </is>
      </c>
      <c r="AB88" s="22" t="inlineStr">
        <is>
          <t>/</t>
        </is>
      </c>
      <c r="AC88" s="224" t="inlineStr">
        <is>
          <t>/</t>
        </is>
      </c>
      <c r="AD88"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8" s="25" t="inlineStr">
        <is>
          <t>1、签订期间：2025.9.1-2026.8.31；
2、指标按照全年换算；</t>
        </is>
      </c>
    </row>
    <row r="89" ht="12" customFormat="1" customHeight="1" s="209">
      <c r="A89" s="219" t="n">
        <v>94</v>
      </c>
      <c r="B89" s="14" t="inlineStr">
        <is>
          <t>KQCY0094</t>
        </is>
      </c>
      <c r="C89" s="221" t="inlineStr">
        <is>
          <t>餐饮二分部</t>
        </is>
      </c>
      <c r="D89" s="221" t="inlineStr">
        <is>
          <t>CF363</t>
        </is>
      </c>
      <c r="E89" s="221" t="inlineStr">
        <is>
          <t>南通大学启东校区</t>
        </is>
      </c>
      <c r="F89" s="335" t="inlineStr">
        <is>
          <t>自营</t>
        </is>
      </c>
      <c r="G89" s="222" t="inlineStr">
        <is>
          <t>位军浩</t>
        </is>
      </c>
      <c r="H89" s="243" t="inlineStr">
        <is>
          <t>/</t>
        </is>
      </c>
      <c r="I89" s="335" t="inlineStr">
        <is>
          <t>/</t>
        </is>
      </c>
      <c r="J89" s="243" t="inlineStr">
        <is>
          <t>/</t>
        </is>
      </c>
      <c r="K89" s="349" t="inlineStr">
        <is>
          <t>/</t>
        </is>
      </c>
      <c r="L89" s="651" t="inlineStr">
        <is>
          <t>/</t>
        </is>
      </c>
      <c r="M89" s="657" t="inlineStr">
        <is>
          <t>/</t>
        </is>
      </c>
      <c r="N89" s="47" t="n"/>
      <c r="O89" s="349" t="inlineStr">
        <is>
          <t>/</t>
        </is>
      </c>
      <c r="P89" s="349" t="inlineStr">
        <is>
          <t>/</t>
        </is>
      </c>
      <c r="Q89" s="349" t="inlineStr">
        <is>
          <t>/</t>
        </is>
      </c>
      <c r="R89" s="47" t="n"/>
      <c r="S89" s="47" t="n"/>
      <c r="T89" s="47" t="n"/>
      <c r="U89" s="47" t="n"/>
      <c r="V89" s="47" t="n"/>
      <c r="W89" s="47" t="n"/>
      <c r="X89" s="23" t="n">
        <v>0.13</v>
      </c>
      <c r="Y89" s="106" t="n"/>
      <c r="Z89" s="349" t="inlineStr">
        <is>
          <t>/</t>
        </is>
      </c>
      <c r="AA89" s="349" t="inlineStr">
        <is>
          <t>/</t>
        </is>
      </c>
      <c r="AB89" s="107" t="n">
        <v>0.05</v>
      </c>
      <c r="AC89" s="349" t="inlineStr">
        <is>
          <t>/</t>
        </is>
      </c>
      <c r="AD89" s="57" t="inlineStr">
        <is>
          <t>1、自营未实际经营；</t>
        </is>
      </c>
      <c r="AE89" s="25" t="n"/>
    </row>
    <row r="90" ht="24" customFormat="1" customHeight="1" s="209">
      <c r="A90" s="219" t="n">
        <v>95</v>
      </c>
      <c r="B90" s="14" t="inlineStr">
        <is>
          <t>KQCY0095</t>
        </is>
      </c>
      <c r="C90" s="221" t="inlineStr">
        <is>
          <t>餐饮二分部</t>
        </is>
      </c>
      <c r="D90" s="221" t="inlineStr">
        <is>
          <t>CF363</t>
        </is>
      </c>
      <c r="E90" s="221" t="inlineStr">
        <is>
          <t>南通大学启东校区</t>
        </is>
      </c>
      <c r="F90" s="219" t="inlineStr">
        <is>
          <t>分组作业</t>
        </is>
      </c>
      <c r="G90" s="222" t="inlineStr">
        <is>
          <t>位军浩</t>
        </is>
      </c>
      <c r="H90" s="222" t="inlineStr">
        <is>
          <t>第一班组</t>
        </is>
      </c>
      <c r="I90" s="237" t="inlineStr">
        <is>
          <t>基本大伙</t>
        </is>
      </c>
      <c r="J90" s="503" t="inlineStr">
        <is>
          <t>朱寿凤</t>
        </is>
      </c>
      <c r="K90" s="224" t="inlineStr">
        <is>
          <t>/</t>
        </is>
      </c>
      <c r="L90" s="651" t="n">
        <v>2400000</v>
      </c>
      <c r="M90" s="22" t="n">
        <v>0.18</v>
      </c>
      <c r="N90" s="224" t="inlineStr">
        <is>
          <t>/</t>
        </is>
      </c>
      <c r="O90" s="224" t="inlineStr">
        <is>
          <t>/</t>
        </is>
      </c>
      <c r="P90" s="22" t="inlineStr">
        <is>
          <t>/</t>
        </is>
      </c>
      <c r="Q90" s="22" t="inlineStr">
        <is>
          <t>/</t>
        </is>
      </c>
      <c r="R90" s="22" t="n"/>
      <c r="S90" s="658" t="n">
        <v>500</v>
      </c>
      <c r="T90" s="22" t="n">
        <v>0.03</v>
      </c>
      <c r="U90" s="22" t="n">
        <v>0.04</v>
      </c>
      <c r="V90" s="224" t="inlineStr">
        <is>
          <t>/</t>
        </is>
      </c>
      <c r="W90" s="224" t="n">
        <v>0.5</v>
      </c>
      <c r="X90" s="23" t="n">
        <v>0.13</v>
      </c>
      <c r="Y90" s="502" t="inlineStr">
        <is>
          <t>/</t>
        </is>
      </c>
      <c r="Z90" s="502" t="inlineStr">
        <is>
          <t>/</t>
        </is>
      </c>
      <c r="AA90" s="502" t="inlineStr">
        <is>
          <t>/</t>
        </is>
      </c>
      <c r="AB90" s="22" t="inlineStr">
        <is>
          <t>/</t>
        </is>
      </c>
      <c r="AC90" s="224" t="inlineStr">
        <is>
          <t>/</t>
        </is>
      </c>
      <c r="AD90" s="104" t="inlineStr">
        <is>
          <t>1、甲方管理费：校方按营业额比例13%收取，分组作业应分摊未分摊，已补分摊，服务费比例应做相应调整；</t>
        </is>
      </c>
      <c r="AE90" s="25" t="inlineStr">
        <is>
          <t>1、签订期间：2025.9.1-2026.8.31；
2、指标按照全年换算；</t>
        </is>
      </c>
    </row>
    <row r="91" ht="24" customFormat="1" customHeight="1" s="209">
      <c r="A91" s="219" t="n">
        <v>96</v>
      </c>
      <c r="B91" s="14" t="inlineStr">
        <is>
          <t>KQCY0096</t>
        </is>
      </c>
      <c r="C91" s="221" t="inlineStr">
        <is>
          <t>餐饮二分部</t>
        </is>
      </c>
      <c r="D91" s="221" t="inlineStr">
        <is>
          <t>CF363</t>
        </is>
      </c>
      <c r="E91" s="221" t="inlineStr">
        <is>
          <t>南通大学启东校区</t>
        </is>
      </c>
      <c r="F91" s="219" t="inlineStr">
        <is>
          <t>分组作业</t>
        </is>
      </c>
      <c r="G91" s="222" t="inlineStr">
        <is>
          <t>位军浩</t>
        </is>
      </c>
      <c r="H91" s="222" t="inlineStr">
        <is>
          <t>第二班组</t>
        </is>
      </c>
      <c r="I91" s="237" t="inlineStr">
        <is>
          <t>自选称重</t>
        </is>
      </c>
      <c r="J91" s="503" t="inlineStr">
        <is>
          <t>朱寿凤</t>
        </is>
      </c>
      <c r="K91" s="224" t="inlineStr">
        <is>
          <t>/</t>
        </is>
      </c>
      <c r="L91" s="651" t="n">
        <v>1400000</v>
      </c>
      <c r="M91" s="22" t="n">
        <v>0.19</v>
      </c>
      <c r="N91" s="224" t="inlineStr">
        <is>
          <t>/</t>
        </is>
      </c>
      <c r="O91" s="224" t="inlineStr">
        <is>
          <t>/</t>
        </is>
      </c>
      <c r="P91" s="22" t="inlineStr">
        <is>
          <t>/</t>
        </is>
      </c>
      <c r="Q91" s="22" t="inlineStr">
        <is>
          <t>/</t>
        </is>
      </c>
      <c r="R91" s="22" t="n"/>
      <c r="S91" s="658" t="n">
        <v>500</v>
      </c>
      <c r="T91" s="22" t="n">
        <v>0.03</v>
      </c>
      <c r="U91" s="22" t="n">
        <v>0.04</v>
      </c>
      <c r="V91" s="224" t="inlineStr">
        <is>
          <t>/</t>
        </is>
      </c>
      <c r="W91" s="224" t="n">
        <v>0.5</v>
      </c>
      <c r="X91" s="23" t="n">
        <v>0.13</v>
      </c>
      <c r="Y91" s="502" t="inlineStr">
        <is>
          <t>/</t>
        </is>
      </c>
      <c r="Z91" s="502" t="inlineStr">
        <is>
          <t>/</t>
        </is>
      </c>
      <c r="AA91" s="502" t="inlineStr">
        <is>
          <t>/</t>
        </is>
      </c>
      <c r="AB91" s="109" t="inlineStr">
        <is>
          <t>/</t>
        </is>
      </c>
      <c r="AC91" s="224" t="inlineStr">
        <is>
          <t>/</t>
        </is>
      </c>
      <c r="AD91" s="104" t="inlineStr">
        <is>
          <t>1、甲方管理费：校方按营业额比例13%收取，分组作业应分摊未分摊，已补分摊，服务费比例应做相应调整；</t>
        </is>
      </c>
      <c r="AE91" s="25" t="inlineStr">
        <is>
          <t>1、签订期间：2025.9.1-2026.8.31；
2、指标按照全年换算；</t>
        </is>
      </c>
    </row>
    <row r="92" ht="24" customFormat="1" customHeight="1" s="209">
      <c r="A92" s="219" t="n">
        <v>97</v>
      </c>
      <c r="B92" s="14" t="inlineStr">
        <is>
          <t>KQCY0097</t>
        </is>
      </c>
      <c r="C92" s="221" t="inlineStr">
        <is>
          <t>餐饮二分部</t>
        </is>
      </c>
      <c r="D92" s="221" t="inlineStr">
        <is>
          <t>CF363</t>
        </is>
      </c>
      <c r="E92" s="221" t="inlineStr">
        <is>
          <t>南通大学启东校区</t>
        </is>
      </c>
      <c r="F92" s="219" t="inlineStr">
        <is>
          <t>分组作业</t>
        </is>
      </c>
      <c r="G92" s="222" t="inlineStr">
        <is>
          <t>位军浩</t>
        </is>
      </c>
      <c r="H92" s="222" t="inlineStr">
        <is>
          <t>第三班组</t>
        </is>
      </c>
      <c r="I92" s="237" t="inlineStr">
        <is>
          <t>中式早点</t>
        </is>
      </c>
      <c r="J92" s="503" t="inlineStr">
        <is>
          <t>王正明</t>
        </is>
      </c>
      <c r="K92" s="224" t="inlineStr">
        <is>
          <t>/</t>
        </is>
      </c>
      <c r="L92" s="651" t="n">
        <v>2000000</v>
      </c>
      <c r="M92" s="22" t="n">
        <v>0.21</v>
      </c>
      <c r="N92" s="224" t="inlineStr">
        <is>
          <t>/</t>
        </is>
      </c>
      <c r="O92" s="224" t="inlineStr">
        <is>
          <t>/</t>
        </is>
      </c>
      <c r="P92" s="22" t="inlineStr">
        <is>
          <t>/</t>
        </is>
      </c>
      <c r="Q92" s="22" t="inlineStr">
        <is>
          <t>/</t>
        </is>
      </c>
      <c r="R92" s="22" t="n"/>
      <c r="S92" s="658" t="n">
        <v>500</v>
      </c>
      <c r="T92" s="22" t="n">
        <v>0.03</v>
      </c>
      <c r="U92" s="22" t="n">
        <v>0.04</v>
      </c>
      <c r="V92" s="224" t="inlineStr">
        <is>
          <t>/</t>
        </is>
      </c>
      <c r="W92" s="224" t="n">
        <v>0.5</v>
      </c>
      <c r="X92" s="23" t="n">
        <v>0.13</v>
      </c>
      <c r="Y92" s="502" t="inlineStr">
        <is>
          <t>/</t>
        </is>
      </c>
      <c r="Z92" s="502" t="inlineStr">
        <is>
          <t>/</t>
        </is>
      </c>
      <c r="AA92" s="492" t="inlineStr">
        <is>
          <t>/</t>
        </is>
      </c>
      <c r="AB92" s="102" t="inlineStr">
        <is>
          <t>/</t>
        </is>
      </c>
      <c r="AC92" s="111" t="inlineStr">
        <is>
          <t>/</t>
        </is>
      </c>
      <c r="AD92" s="57" t="inlineStr">
        <is>
          <t>1、甲方管理费：校方按营业额比例13%收取，分组作业应分摊未分摊，已补分摊，服务费比例应做相应调整；</t>
        </is>
      </c>
      <c r="AE92" s="25" t="inlineStr">
        <is>
          <t>1、签订期间：2025.9.1-2026.8.31；
2、指标按照全年换算；</t>
        </is>
      </c>
    </row>
    <row r="93" ht="24" customFormat="1" customHeight="1" s="209">
      <c r="A93" s="219" t="n">
        <v>98</v>
      </c>
      <c r="B93" s="14" t="inlineStr">
        <is>
          <t>KQCY0098</t>
        </is>
      </c>
      <c r="C93" s="221" t="inlineStr">
        <is>
          <t>餐饮二分部</t>
        </is>
      </c>
      <c r="D93" s="221" t="inlineStr">
        <is>
          <t>CF363</t>
        </is>
      </c>
      <c r="E93" s="221" t="inlineStr">
        <is>
          <t>南通大学启东校区</t>
        </is>
      </c>
      <c r="F93" s="219" t="inlineStr">
        <is>
          <t>分组作业</t>
        </is>
      </c>
      <c r="G93" s="222" t="inlineStr">
        <is>
          <t>位军浩</t>
        </is>
      </c>
      <c r="H93" s="222" t="inlineStr">
        <is>
          <t>第四班组</t>
        </is>
      </c>
      <c r="I93" s="237" t="inlineStr">
        <is>
          <t>黄焖鸡酸菜鱼</t>
        </is>
      </c>
      <c r="J93" s="503" t="inlineStr">
        <is>
          <t>金健华</t>
        </is>
      </c>
      <c r="K93" s="224" t="inlineStr">
        <is>
          <t>/</t>
        </is>
      </c>
      <c r="L93" s="651" t="n">
        <v>1080000</v>
      </c>
      <c r="M93" s="22" t="n">
        <v>0.2</v>
      </c>
      <c r="N93" s="224" t="inlineStr">
        <is>
          <t>/</t>
        </is>
      </c>
      <c r="O93" s="224" t="inlineStr">
        <is>
          <t>/</t>
        </is>
      </c>
      <c r="P93" s="22" t="inlineStr">
        <is>
          <t>/</t>
        </is>
      </c>
      <c r="Q93" s="22" t="inlineStr">
        <is>
          <t>/</t>
        </is>
      </c>
      <c r="R93" s="22" t="n"/>
      <c r="S93" s="658" t="n">
        <v>500</v>
      </c>
      <c r="T93" s="22" t="n">
        <v>0.03</v>
      </c>
      <c r="U93" s="22" t="n">
        <v>0.04</v>
      </c>
      <c r="V93" s="224" t="inlineStr">
        <is>
          <t>/</t>
        </is>
      </c>
      <c r="W93" s="224" t="n">
        <v>0.5</v>
      </c>
      <c r="X93" s="23" t="n">
        <v>0.13</v>
      </c>
      <c r="Y93" s="502" t="inlineStr">
        <is>
          <t>/</t>
        </is>
      </c>
      <c r="Z93" s="502" t="inlineStr">
        <is>
          <t>/</t>
        </is>
      </c>
      <c r="AA93" s="502" t="inlineStr">
        <is>
          <t>/</t>
        </is>
      </c>
      <c r="AB93" s="112" t="inlineStr">
        <is>
          <t>/</t>
        </is>
      </c>
      <c r="AC93" s="224" t="inlineStr">
        <is>
          <t>/</t>
        </is>
      </c>
      <c r="AD93" s="57" t="inlineStr">
        <is>
          <t>1、甲方管理费：校方按营业额比例13%收取，分组作业应分摊未分摊，已补分摊，服务费比例应做相应调整；</t>
        </is>
      </c>
      <c r="AE93" s="25" t="inlineStr">
        <is>
          <t>1、签订期间：2025.9.1-2026.8.31；
2、指标按照全年换算；</t>
        </is>
      </c>
    </row>
    <row r="94" ht="24" customFormat="1" customHeight="1" s="209">
      <c r="A94" s="219" t="n">
        <v>99</v>
      </c>
      <c r="B94" s="14" t="inlineStr">
        <is>
          <t>KQCY0099</t>
        </is>
      </c>
      <c r="C94" s="221" t="inlineStr">
        <is>
          <t>餐饮二分部</t>
        </is>
      </c>
      <c r="D94" s="221" t="inlineStr">
        <is>
          <t>CF363</t>
        </is>
      </c>
      <c r="E94" s="221" t="inlineStr">
        <is>
          <t>南通大学启东校区</t>
        </is>
      </c>
      <c r="F94" s="219" t="inlineStr">
        <is>
          <t>分组作业</t>
        </is>
      </c>
      <c r="G94" s="222" t="inlineStr">
        <is>
          <t>位军浩</t>
        </is>
      </c>
      <c r="H94" s="222" t="inlineStr">
        <is>
          <t>第五班组</t>
        </is>
      </c>
      <c r="I94" s="237" t="inlineStr">
        <is>
          <t>卤肉饭套餐</t>
        </is>
      </c>
      <c r="J94" s="503" t="inlineStr">
        <is>
          <t>金健华</t>
        </is>
      </c>
      <c r="K94" s="224" t="inlineStr">
        <is>
          <t>/</t>
        </is>
      </c>
      <c r="L94" s="651" t="n">
        <v>920000</v>
      </c>
      <c r="M94" s="22" t="n">
        <v>0.2</v>
      </c>
      <c r="N94" s="224" t="inlineStr">
        <is>
          <t>/</t>
        </is>
      </c>
      <c r="O94" s="224" t="inlineStr">
        <is>
          <t>/</t>
        </is>
      </c>
      <c r="P94" s="22" t="inlineStr">
        <is>
          <t>/</t>
        </is>
      </c>
      <c r="Q94" s="22" t="inlineStr">
        <is>
          <t>/</t>
        </is>
      </c>
      <c r="R94" s="22" t="n"/>
      <c r="S94" s="658" t="n">
        <v>500</v>
      </c>
      <c r="T94" s="22" t="n">
        <v>0.03</v>
      </c>
      <c r="U94" s="22" t="n">
        <v>0.04</v>
      </c>
      <c r="V94" s="224" t="inlineStr">
        <is>
          <t>/</t>
        </is>
      </c>
      <c r="W94" s="224" t="n">
        <v>0.5</v>
      </c>
      <c r="X94" s="23" t="n">
        <v>0.13</v>
      </c>
      <c r="Y94" s="502" t="inlineStr">
        <is>
          <t>/</t>
        </is>
      </c>
      <c r="Z94" s="502" t="inlineStr">
        <is>
          <t>/</t>
        </is>
      </c>
      <c r="AA94" s="502" t="inlineStr">
        <is>
          <t>/</t>
        </is>
      </c>
      <c r="AB94" s="22" t="inlineStr">
        <is>
          <t>/</t>
        </is>
      </c>
      <c r="AC94" s="224" t="inlineStr">
        <is>
          <t>/</t>
        </is>
      </c>
      <c r="AD94" s="57" t="inlineStr">
        <is>
          <t>1、甲方管理费：校方按营业额比例13%收取，分组作业应分摊未分摊，已补分摊，服务费比例应做相应调整；</t>
        </is>
      </c>
      <c r="AE94" s="25" t="inlineStr">
        <is>
          <t>1、签订期间：2025.9.1-2026.8.31；
2、指标按照全年换算；</t>
        </is>
      </c>
    </row>
    <row r="95" ht="24" customFormat="1" customHeight="1" s="209">
      <c r="A95" s="219" t="n">
        <v>100</v>
      </c>
      <c r="B95" s="14" t="inlineStr">
        <is>
          <t>KQCY0100</t>
        </is>
      </c>
      <c r="C95" s="221" t="inlineStr">
        <is>
          <t>餐饮二分部</t>
        </is>
      </c>
      <c r="D95" s="221" t="inlineStr">
        <is>
          <t>CF363</t>
        </is>
      </c>
      <c r="E95" s="221" t="inlineStr">
        <is>
          <t>南通大学启东校区</t>
        </is>
      </c>
      <c r="F95" s="219" t="inlineStr">
        <is>
          <t>分组作业</t>
        </is>
      </c>
      <c r="G95" s="222" t="inlineStr">
        <is>
          <t>位军浩</t>
        </is>
      </c>
      <c r="H95" s="222" t="inlineStr">
        <is>
          <t>第六班组</t>
        </is>
      </c>
      <c r="I95" s="237" t="inlineStr">
        <is>
          <t>营养粥杂粮煎饼</t>
        </is>
      </c>
      <c r="J95" s="503" t="inlineStr">
        <is>
          <t>邵国才</t>
        </is>
      </c>
      <c r="K95" s="224" t="inlineStr">
        <is>
          <t>/</t>
        </is>
      </c>
      <c r="L95" s="651" t="n">
        <v>720000</v>
      </c>
      <c r="M95" s="22" t="n">
        <v>0.23</v>
      </c>
      <c r="N95" s="224" t="inlineStr">
        <is>
          <t>/</t>
        </is>
      </c>
      <c r="O95" s="224" t="inlineStr">
        <is>
          <t>/</t>
        </is>
      </c>
      <c r="P95" s="22" t="inlineStr">
        <is>
          <t>/</t>
        </is>
      </c>
      <c r="Q95" s="22" t="inlineStr">
        <is>
          <t>/</t>
        </is>
      </c>
      <c r="R95" s="22" t="n"/>
      <c r="S95" s="658" t="n">
        <v>500</v>
      </c>
      <c r="T95" s="22" t="n">
        <v>0.03</v>
      </c>
      <c r="U95" s="22" t="n">
        <v>0.04</v>
      </c>
      <c r="V95" s="224" t="inlineStr">
        <is>
          <t>/</t>
        </is>
      </c>
      <c r="W95" s="224" t="n">
        <v>0.5</v>
      </c>
      <c r="X95" s="23" t="n">
        <v>0.13</v>
      </c>
      <c r="Y95" s="502" t="inlineStr">
        <is>
          <t>/</t>
        </is>
      </c>
      <c r="Z95" s="502" t="inlineStr">
        <is>
          <t>/</t>
        </is>
      </c>
      <c r="AA95" s="502" t="inlineStr">
        <is>
          <t>/</t>
        </is>
      </c>
      <c r="AB95" s="22" t="inlineStr">
        <is>
          <t>/</t>
        </is>
      </c>
      <c r="AC95" s="224" t="inlineStr">
        <is>
          <t>/</t>
        </is>
      </c>
      <c r="AD95" s="57" t="inlineStr">
        <is>
          <t>1、甲方管理费：校方按营业额比例13%收取，分组作业应分摊未分摊，已补分摊，服务费比例应做相应调整；</t>
        </is>
      </c>
      <c r="AE95" s="25" t="inlineStr">
        <is>
          <t>1、签订期间：2025.9.1-2026.8.31；
2、指标按照全年换算；</t>
        </is>
      </c>
    </row>
    <row r="96" ht="24" customFormat="1" customHeight="1" s="209">
      <c r="A96" s="219" t="n">
        <v>101</v>
      </c>
      <c r="B96" s="14" t="inlineStr">
        <is>
          <t>KQCY0101</t>
        </is>
      </c>
      <c r="C96" s="221" t="inlineStr">
        <is>
          <t>餐饮二分部</t>
        </is>
      </c>
      <c r="D96" s="221" t="inlineStr">
        <is>
          <t>CF363</t>
        </is>
      </c>
      <c r="E96" s="221" t="inlineStr">
        <is>
          <t>南通大学启东校区</t>
        </is>
      </c>
      <c r="F96" s="219" t="inlineStr">
        <is>
          <t>分组作业</t>
        </is>
      </c>
      <c r="G96" s="222" t="inlineStr">
        <is>
          <t>位军浩</t>
        </is>
      </c>
      <c r="H96" s="222" t="inlineStr">
        <is>
          <t>第七班组</t>
        </is>
      </c>
      <c r="I96" s="237" t="inlineStr">
        <is>
          <t>面条馄饨</t>
        </is>
      </c>
      <c r="J96" s="503" t="inlineStr">
        <is>
          <t>邵国才</t>
        </is>
      </c>
      <c r="K96" s="224" t="inlineStr">
        <is>
          <t>/</t>
        </is>
      </c>
      <c r="L96" s="651" t="n">
        <v>1080000</v>
      </c>
      <c r="M96" s="22" t="n">
        <v>0.23</v>
      </c>
      <c r="N96" s="224" t="inlineStr">
        <is>
          <t>/</t>
        </is>
      </c>
      <c r="O96" s="224" t="inlineStr">
        <is>
          <t>/</t>
        </is>
      </c>
      <c r="P96" s="22" t="inlineStr">
        <is>
          <t>/</t>
        </is>
      </c>
      <c r="Q96" s="22" t="inlineStr">
        <is>
          <t>/</t>
        </is>
      </c>
      <c r="R96" s="22" t="n"/>
      <c r="S96" s="658" t="n">
        <v>500</v>
      </c>
      <c r="T96" s="22" t="n">
        <v>0.03</v>
      </c>
      <c r="U96" s="22" t="n">
        <v>0.04</v>
      </c>
      <c r="V96" s="224" t="inlineStr">
        <is>
          <t>/</t>
        </is>
      </c>
      <c r="W96" s="224" t="n">
        <v>0.5</v>
      </c>
      <c r="X96" s="23" t="n">
        <v>0.13</v>
      </c>
      <c r="Y96" s="502" t="inlineStr">
        <is>
          <t>/</t>
        </is>
      </c>
      <c r="Z96" s="502" t="inlineStr">
        <is>
          <t>/</t>
        </is>
      </c>
      <c r="AA96" s="502" t="inlineStr">
        <is>
          <t>/</t>
        </is>
      </c>
      <c r="AB96" s="22" t="inlineStr">
        <is>
          <t>/</t>
        </is>
      </c>
      <c r="AC96" s="224" t="inlineStr">
        <is>
          <t>/</t>
        </is>
      </c>
      <c r="AD96" s="57" t="inlineStr">
        <is>
          <t>1、甲方管理费：校方按营业额比例13%收取，分组作业应分摊未分摊，已补分摊，服务费比例应做相应调整；</t>
        </is>
      </c>
      <c r="AE96" s="25" t="inlineStr">
        <is>
          <t>1、签订期间：2025.9.1-2026.8.31；
2、指标按照全年换算；</t>
        </is>
      </c>
    </row>
    <row r="97" ht="24" customFormat="1" customHeight="1" s="209">
      <c r="A97" s="219" t="n">
        <v>102</v>
      </c>
      <c r="B97" s="14" t="inlineStr">
        <is>
          <t>KQCY0102</t>
        </is>
      </c>
      <c r="C97" s="221" t="inlineStr">
        <is>
          <t>餐饮二分部</t>
        </is>
      </c>
      <c r="D97" s="221" t="inlineStr">
        <is>
          <t>CF363</t>
        </is>
      </c>
      <c r="E97" s="221" t="inlineStr">
        <is>
          <t>南通大学启东校区</t>
        </is>
      </c>
      <c r="F97" s="219" t="inlineStr">
        <is>
          <t>分组作业</t>
        </is>
      </c>
      <c r="G97" s="222" t="inlineStr">
        <is>
          <t>位军浩</t>
        </is>
      </c>
      <c r="H97" s="222" t="inlineStr">
        <is>
          <t>第八班组</t>
        </is>
      </c>
      <c r="I97" s="237" t="inlineStr">
        <is>
          <t>米线汤包</t>
        </is>
      </c>
      <c r="J97" s="503" t="inlineStr">
        <is>
          <t>王友强</t>
        </is>
      </c>
      <c r="K97" s="224" t="inlineStr">
        <is>
          <t>/</t>
        </is>
      </c>
      <c r="L97" s="651" t="n">
        <v>880000</v>
      </c>
      <c r="M97" s="22" t="n">
        <v>0.23</v>
      </c>
      <c r="N97" s="224" t="inlineStr">
        <is>
          <t>/</t>
        </is>
      </c>
      <c r="O97" s="224" t="inlineStr">
        <is>
          <t>/</t>
        </is>
      </c>
      <c r="P97" s="22" t="inlineStr">
        <is>
          <t>/</t>
        </is>
      </c>
      <c r="Q97" s="22" t="inlineStr">
        <is>
          <t>/</t>
        </is>
      </c>
      <c r="R97" s="22" t="n"/>
      <c r="S97" s="658" t="n">
        <v>500</v>
      </c>
      <c r="T97" s="22" t="n">
        <v>0.03</v>
      </c>
      <c r="U97" s="22" t="n">
        <v>0.04</v>
      </c>
      <c r="V97" s="224" t="inlineStr">
        <is>
          <t>/</t>
        </is>
      </c>
      <c r="W97" s="224" t="n">
        <v>0.5</v>
      </c>
      <c r="X97" s="23" t="n">
        <v>0.13</v>
      </c>
      <c r="Y97" s="502" t="inlineStr">
        <is>
          <t>/</t>
        </is>
      </c>
      <c r="Z97" s="502" t="inlineStr">
        <is>
          <t>/</t>
        </is>
      </c>
      <c r="AA97" s="502" t="inlineStr">
        <is>
          <t>/</t>
        </is>
      </c>
      <c r="AB97" s="22" t="inlineStr">
        <is>
          <t>/</t>
        </is>
      </c>
      <c r="AC97" s="224" t="inlineStr">
        <is>
          <t>/</t>
        </is>
      </c>
      <c r="AD97" s="57" t="inlineStr">
        <is>
          <t>1、甲方管理费：校方按营业额比例13%收取，分组作业应分摊未分摊，已补分摊，服务费比例应做相应调整；</t>
        </is>
      </c>
      <c r="AE97" s="25" t="inlineStr">
        <is>
          <t>1、签订期间：2025.9.1-2026.8.31；
2、指标按照全年换算；</t>
        </is>
      </c>
    </row>
    <row r="98" ht="24" customFormat="1" customHeight="1" s="209">
      <c r="A98" s="219" t="n">
        <v>103</v>
      </c>
      <c r="B98" s="14" t="inlineStr">
        <is>
          <t>KQCY0103</t>
        </is>
      </c>
      <c r="C98" s="221" t="inlineStr">
        <is>
          <t>餐饮二分部</t>
        </is>
      </c>
      <c r="D98" s="221" t="inlineStr">
        <is>
          <t>CF363</t>
        </is>
      </c>
      <c r="E98" s="221" t="inlineStr">
        <is>
          <t>南通大学启东校区</t>
        </is>
      </c>
      <c r="F98" s="219" t="inlineStr">
        <is>
          <t>分组作业</t>
        </is>
      </c>
      <c r="G98" s="222" t="inlineStr">
        <is>
          <t>位军浩</t>
        </is>
      </c>
      <c r="H98" s="222" t="inlineStr">
        <is>
          <t>第九班组</t>
        </is>
      </c>
      <c r="I98" s="237" t="inlineStr">
        <is>
          <t>香锅焖面</t>
        </is>
      </c>
      <c r="J98" s="503" t="inlineStr">
        <is>
          <t>王正明</t>
        </is>
      </c>
      <c r="K98" s="224" t="inlineStr">
        <is>
          <t>/</t>
        </is>
      </c>
      <c r="L98" s="651" t="n">
        <v>880000</v>
      </c>
      <c r="M98" s="22" t="n">
        <v>0.23</v>
      </c>
      <c r="N98" s="224" t="inlineStr">
        <is>
          <t>/</t>
        </is>
      </c>
      <c r="O98" s="224" t="inlineStr">
        <is>
          <t>/</t>
        </is>
      </c>
      <c r="P98" s="22" t="inlineStr">
        <is>
          <t>/</t>
        </is>
      </c>
      <c r="Q98" s="22" t="inlineStr">
        <is>
          <t>/</t>
        </is>
      </c>
      <c r="R98" s="22" t="n"/>
      <c r="S98" s="658" t="n">
        <v>500</v>
      </c>
      <c r="T98" s="22" t="n">
        <v>0.03</v>
      </c>
      <c r="U98" s="22" t="n">
        <v>0.04</v>
      </c>
      <c r="V98" s="224" t="inlineStr">
        <is>
          <t>/</t>
        </is>
      </c>
      <c r="W98" s="224" t="n">
        <v>0.5</v>
      </c>
      <c r="X98" s="23" t="n">
        <v>0.13</v>
      </c>
      <c r="Y98" s="502" t="inlineStr">
        <is>
          <t>/</t>
        </is>
      </c>
      <c r="Z98" s="502" t="inlineStr">
        <is>
          <t>/</t>
        </is>
      </c>
      <c r="AA98" s="502" t="inlineStr">
        <is>
          <t>/</t>
        </is>
      </c>
      <c r="AB98" s="22" t="inlineStr">
        <is>
          <t>/</t>
        </is>
      </c>
      <c r="AC98" s="224" t="inlineStr">
        <is>
          <t>/</t>
        </is>
      </c>
      <c r="AD98" s="57" t="inlineStr">
        <is>
          <t>1、甲方管理费：校方按营业额比例13%收取，分组作业应分摊未分摊，已补分摊，服务费比例应做相应调整；</t>
        </is>
      </c>
      <c r="AE98" s="25" t="inlineStr">
        <is>
          <t>1、签订期间：2025.9.1-2026.8.31；
2、指标按照全年换算；</t>
        </is>
      </c>
    </row>
    <row r="99" ht="36" customFormat="1" customHeight="1" s="209">
      <c r="A99" s="219" t="n">
        <v>104</v>
      </c>
      <c r="B99" s="14" t="inlineStr">
        <is>
          <t>KQCY0104</t>
        </is>
      </c>
      <c r="C99" s="221" t="inlineStr">
        <is>
          <t>餐饮二分部</t>
        </is>
      </c>
      <c r="D99" s="221" t="inlineStr">
        <is>
          <t>CF363</t>
        </is>
      </c>
      <c r="E99" s="221" t="inlineStr">
        <is>
          <t>南通大学启东校区</t>
        </is>
      </c>
      <c r="F99" s="219" t="inlineStr">
        <is>
          <t>分组作业</t>
        </is>
      </c>
      <c r="G99" s="222" t="inlineStr">
        <is>
          <t>位军浩</t>
        </is>
      </c>
      <c r="H99" s="222" t="inlineStr">
        <is>
          <t>第十班组</t>
        </is>
      </c>
      <c r="I99" s="237" t="inlineStr">
        <is>
          <t>猪肚鸡瓦罐汤套餐</t>
        </is>
      </c>
      <c r="J99" s="503" t="inlineStr">
        <is>
          <t>翟林璐</t>
        </is>
      </c>
      <c r="K99" s="224" t="inlineStr">
        <is>
          <t>/</t>
        </is>
      </c>
      <c r="L99" s="651" t="n">
        <v>1520000</v>
      </c>
      <c r="M99" s="22" t="n">
        <v>0.21</v>
      </c>
      <c r="N99" s="224" t="inlineStr">
        <is>
          <t>/</t>
        </is>
      </c>
      <c r="O99" s="224" t="inlineStr">
        <is>
          <t>/</t>
        </is>
      </c>
      <c r="P99" s="22" t="inlineStr">
        <is>
          <t>/</t>
        </is>
      </c>
      <c r="Q99" s="22" t="inlineStr">
        <is>
          <t>/</t>
        </is>
      </c>
      <c r="R99" s="22" t="n"/>
      <c r="S99" s="658" t="n">
        <v>500</v>
      </c>
      <c r="T99" s="22" t="n">
        <v>0.03</v>
      </c>
      <c r="U99" s="22" t="n">
        <v>0.04</v>
      </c>
      <c r="V99" s="224" t="inlineStr">
        <is>
          <t>/</t>
        </is>
      </c>
      <c r="W99" s="224" t="n">
        <v>0.5</v>
      </c>
      <c r="X99" s="23" t="n">
        <v>0.13</v>
      </c>
      <c r="Y99" s="502" t="inlineStr">
        <is>
          <t>/</t>
        </is>
      </c>
      <c r="Z99" s="502" t="inlineStr">
        <is>
          <t>/</t>
        </is>
      </c>
      <c r="AA99" s="502" t="inlineStr">
        <is>
          <t>/</t>
        </is>
      </c>
      <c r="AB99" s="22" t="inlineStr">
        <is>
          <t>/</t>
        </is>
      </c>
      <c r="AC99" s="224" t="inlineStr">
        <is>
          <t>/</t>
        </is>
      </c>
      <c r="AD99" s="57" t="inlineStr">
        <is>
          <t>1、甲方管理费：校方按营业额比例13%收取，分组作业应分摊未分摊，已补分摊，服务费比例应做相应调整；</t>
        </is>
      </c>
      <c r="AE99" s="25" t="inlineStr">
        <is>
          <t xml:space="preserve">1、签订期间：2025.9.1-2026.8.31；
2、指标按照全年换算；
</t>
        </is>
      </c>
    </row>
    <row r="100" ht="36" customFormat="1" customHeight="1" s="209">
      <c r="A100" s="219" t="n">
        <v>105</v>
      </c>
      <c r="B100" s="14" t="inlineStr">
        <is>
          <t>KQCY0105</t>
        </is>
      </c>
      <c r="C100" s="221" t="inlineStr">
        <is>
          <t>餐饮二分部</t>
        </is>
      </c>
      <c r="D100" s="221" t="inlineStr">
        <is>
          <t>CF363</t>
        </is>
      </c>
      <c r="E100" s="221" t="inlineStr">
        <is>
          <t>南通大学启东校区</t>
        </is>
      </c>
      <c r="F100" s="219" t="inlineStr">
        <is>
          <t>分组作业</t>
        </is>
      </c>
      <c r="G100" s="222" t="inlineStr">
        <is>
          <t>位军浩</t>
        </is>
      </c>
      <c r="H100" s="222" t="inlineStr">
        <is>
          <t>第十一班组</t>
        </is>
      </c>
      <c r="I100" s="237" t="inlineStr">
        <is>
          <t>汉堡小锅现炒</t>
        </is>
      </c>
      <c r="J100" s="503" t="inlineStr">
        <is>
          <t>韩荣荣</t>
        </is>
      </c>
      <c r="K100" s="224" t="inlineStr">
        <is>
          <t>/</t>
        </is>
      </c>
      <c r="L100" s="651" t="n">
        <v>1080000</v>
      </c>
      <c r="M100" s="22" t="n">
        <v>0.22</v>
      </c>
      <c r="N100" s="224" t="inlineStr">
        <is>
          <t>/</t>
        </is>
      </c>
      <c r="O100" s="224" t="inlineStr">
        <is>
          <t>/</t>
        </is>
      </c>
      <c r="P100" s="22" t="inlineStr">
        <is>
          <t>/</t>
        </is>
      </c>
      <c r="Q100" s="22" t="inlineStr">
        <is>
          <t>/</t>
        </is>
      </c>
      <c r="R100" s="22" t="n"/>
      <c r="S100" s="658" t="n">
        <v>500</v>
      </c>
      <c r="T100" s="22" t="n">
        <v>0.03</v>
      </c>
      <c r="U100" s="22" t="n">
        <v>0.04</v>
      </c>
      <c r="V100" s="224" t="inlineStr">
        <is>
          <t>/</t>
        </is>
      </c>
      <c r="W100" s="224" t="n">
        <v>0.5</v>
      </c>
      <c r="X100" s="23" t="n">
        <v>0.13</v>
      </c>
      <c r="Y100" s="502" t="inlineStr">
        <is>
          <t>/</t>
        </is>
      </c>
      <c r="Z100" s="502" t="inlineStr">
        <is>
          <t>/</t>
        </is>
      </c>
      <c r="AA100" s="502" t="inlineStr">
        <is>
          <t>/</t>
        </is>
      </c>
      <c r="AB100" s="22" t="inlineStr">
        <is>
          <t>/</t>
        </is>
      </c>
      <c r="AC100" s="224" t="inlineStr">
        <is>
          <t>/</t>
        </is>
      </c>
      <c r="AD100" s="57" t="inlineStr">
        <is>
          <t>1、甲方管理费：校方按营业额比例13%收取，分组作业应分摊未分摊，已补分摊，服务费比例应做相应调整；</t>
        </is>
      </c>
      <c r="AE100" s="25" t="inlineStr">
        <is>
          <t xml:space="preserve">1、签订期间：2025.9.1-2026.8.31；
2、指标按照全年换算；
</t>
        </is>
      </c>
    </row>
    <row r="101" ht="36" customFormat="1" customHeight="1" s="209">
      <c r="A101" s="219" t="n">
        <v>106</v>
      </c>
      <c r="B101" s="14" t="inlineStr">
        <is>
          <t>KQCY0106</t>
        </is>
      </c>
      <c r="C101" s="221" t="inlineStr">
        <is>
          <t>餐饮二分部</t>
        </is>
      </c>
      <c r="D101" s="221" t="inlineStr">
        <is>
          <t>CF363</t>
        </is>
      </c>
      <c r="E101" s="221" t="inlineStr">
        <is>
          <t>南通大学启东校区</t>
        </is>
      </c>
      <c r="F101" s="219" t="inlineStr">
        <is>
          <t>分组作业</t>
        </is>
      </c>
      <c r="G101" s="222" t="inlineStr">
        <is>
          <t>位军浩</t>
        </is>
      </c>
      <c r="H101" s="222" t="inlineStr">
        <is>
          <t>第十二班组</t>
        </is>
      </c>
      <c r="I101" s="237" t="inlineStr">
        <is>
          <t>铁板炒饭</t>
        </is>
      </c>
      <c r="J101" s="503" t="inlineStr">
        <is>
          <t>王志河</t>
        </is>
      </c>
      <c r="K101" s="224" t="inlineStr">
        <is>
          <t>/</t>
        </is>
      </c>
      <c r="L101" s="651" t="n">
        <v>880000</v>
      </c>
      <c r="M101" s="22" t="n">
        <v>0.23</v>
      </c>
      <c r="N101" s="224" t="inlineStr">
        <is>
          <t>/</t>
        </is>
      </c>
      <c r="O101" s="224" t="inlineStr">
        <is>
          <t>/</t>
        </is>
      </c>
      <c r="P101" s="22" t="inlineStr">
        <is>
          <t>/</t>
        </is>
      </c>
      <c r="Q101" s="22" t="inlineStr">
        <is>
          <t>/</t>
        </is>
      </c>
      <c r="R101" s="22" t="n"/>
      <c r="S101" s="658" t="n">
        <v>500</v>
      </c>
      <c r="T101" s="22" t="n">
        <v>0.03</v>
      </c>
      <c r="U101" s="22" t="n">
        <v>0.04</v>
      </c>
      <c r="V101" s="224" t="inlineStr">
        <is>
          <t>/</t>
        </is>
      </c>
      <c r="W101" s="224" t="n">
        <v>0.5</v>
      </c>
      <c r="X101" s="23" t="n">
        <v>0.13</v>
      </c>
      <c r="Y101" s="502" t="inlineStr">
        <is>
          <t>/</t>
        </is>
      </c>
      <c r="Z101" s="502" t="inlineStr">
        <is>
          <t>/</t>
        </is>
      </c>
      <c r="AA101" s="502" t="inlineStr">
        <is>
          <t>/</t>
        </is>
      </c>
      <c r="AB101" s="22" t="inlineStr">
        <is>
          <t>/</t>
        </is>
      </c>
      <c r="AC101" s="224" t="inlineStr">
        <is>
          <t>/</t>
        </is>
      </c>
      <c r="AD101" s="57" t="inlineStr">
        <is>
          <t>1、甲方管理费：校方按营业额比例13%收取，分组作业应分摊未分摊，已补分摊，服务费比例应做相应调整；</t>
        </is>
      </c>
      <c r="AE101" s="25" t="inlineStr">
        <is>
          <t xml:space="preserve">1、签订期间：2025.9.1-2026.8.31；
2、指标按照全年换算；
</t>
        </is>
      </c>
    </row>
    <row r="102" ht="12" customFormat="1" customHeight="1" s="209">
      <c r="A102" s="219" t="n">
        <v>107</v>
      </c>
      <c r="B102" s="14" t="inlineStr">
        <is>
          <t>KQCY0107</t>
        </is>
      </c>
      <c r="C102" s="221" t="inlineStr">
        <is>
          <t>餐饮二分部</t>
        </is>
      </c>
      <c r="D102" s="221" t="inlineStr">
        <is>
          <t>CF160</t>
        </is>
      </c>
      <c r="E102" s="221" t="inlineStr">
        <is>
          <t>高新区实验高中食堂(金山路校区)</t>
        </is>
      </c>
      <c r="F102" s="219" t="inlineStr">
        <is>
          <t>人员服务外包</t>
        </is>
      </c>
      <c r="G102" s="222" t="inlineStr">
        <is>
          <t>徐敏捷</t>
        </is>
      </c>
      <c r="H102" s="222" t="inlineStr">
        <is>
          <t>/</t>
        </is>
      </c>
      <c r="I102" s="232" t="inlineStr">
        <is>
          <t>/</t>
        </is>
      </c>
      <c r="J102" s="503" t="inlineStr">
        <is>
          <t>/</t>
        </is>
      </c>
      <c r="K102" s="224" t="inlineStr">
        <is>
          <t>/</t>
        </is>
      </c>
      <c r="L102" s="651" t="n">
        <v>2462000</v>
      </c>
      <c r="M102" s="655" t="inlineStr">
        <is>
          <t>/</t>
        </is>
      </c>
      <c r="N102" s="502" t="inlineStr">
        <is>
          <t>/</t>
        </is>
      </c>
      <c r="O102" s="502" t="inlineStr">
        <is>
          <t>/</t>
        </is>
      </c>
      <c r="P102" s="502" t="inlineStr">
        <is>
          <t>/</t>
        </is>
      </c>
      <c r="Q102" s="502" t="inlineStr">
        <is>
          <t>/</t>
        </is>
      </c>
      <c r="R102" s="224" t="inlineStr">
        <is>
          <t>/</t>
        </is>
      </c>
      <c r="S102" s="224" t="inlineStr">
        <is>
          <t>/</t>
        </is>
      </c>
      <c r="T102" s="224" t="inlineStr">
        <is>
          <t>/</t>
        </is>
      </c>
      <c r="U102" s="224" t="inlineStr">
        <is>
          <t>/</t>
        </is>
      </c>
      <c r="V102" s="224" t="inlineStr">
        <is>
          <t>/</t>
        </is>
      </c>
      <c r="W102" s="503" t="inlineStr">
        <is>
          <t>/</t>
        </is>
      </c>
      <c r="X102" s="51" t="inlineStr">
        <is>
          <t>/</t>
        </is>
      </c>
      <c r="Y102" s="51" t="inlineStr">
        <is>
          <t>/</t>
        </is>
      </c>
      <c r="Z102" s="51" t="inlineStr">
        <is>
          <t>/</t>
        </is>
      </c>
      <c r="AA102" s="51" t="inlineStr">
        <is>
          <t>/</t>
        </is>
      </c>
      <c r="AB102" s="243" t="n"/>
      <c r="AC102" s="46" t="inlineStr">
        <is>
          <t>/</t>
        </is>
      </c>
      <c r="AD102" s="48" t="inlineStr">
        <is>
          <t>1、分部管理费：卡机营业额的3%，最高限额20万元</t>
        </is>
      </c>
      <c r="AE102" s="25" t="n"/>
    </row>
    <row r="103" ht="12" customFormat="1" customHeight="1" s="209">
      <c r="A103" s="219" t="n">
        <v>108</v>
      </c>
      <c r="B103" s="14" t="inlineStr">
        <is>
          <t>KQCY0108</t>
        </is>
      </c>
      <c r="C103" s="221" t="inlineStr">
        <is>
          <t>餐饮二分部</t>
        </is>
      </c>
      <c r="D103" s="221" t="inlineStr">
        <is>
          <t>CF174</t>
        </is>
      </c>
      <c r="E103" s="221" t="inlineStr">
        <is>
          <t>高新区实验高中食堂(科技城校区)</t>
        </is>
      </c>
      <c r="F103" s="219" t="inlineStr">
        <is>
          <t>人员服务外包</t>
        </is>
      </c>
      <c r="G103" s="222" t="inlineStr">
        <is>
          <t>徐敏捷</t>
        </is>
      </c>
      <c r="H103" s="222" t="inlineStr">
        <is>
          <t>/</t>
        </is>
      </c>
      <c r="I103" s="232" t="inlineStr">
        <is>
          <t>/</t>
        </is>
      </c>
      <c r="J103" s="503" t="inlineStr">
        <is>
          <t>/</t>
        </is>
      </c>
      <c r="K103" s="224" t="inlineStr">
        <is>
          <t>/</t>
        </is>
      </c>
      <c r="L103" s="651" t="n">
        <v>2465000</v>
      </c>
      <c r="M103" s="655" t="inlineStr">
        <is>
          <t>/</t>
        </is>
      </c>
      <c r="N103" s="502" t="inlineStr">
        <is>
          <t>/</t>
        </is>
      </c>
      <c r="O103" s="502" t="inlineStr">
        <is>
          <t>/</t>
        </is>
      </c>
      <c r="P103" s="502" t="inlineStr">
        <is>
          <t>/</t>
        </is>
      </c>
      <c r="Q103" s="502" t="inlineStr">
        <is>
          <t>/</t>
        </is>
      </c>
      <c r="R103" s="224" t="inlineStr">
        <is>
          <t>/</t>
        </is>
      </c>
      <c r="S103" s="224" t="inlineStr">
        <is>
          <t>/</t>
        </is>
      </c>
      <c r="T103" s="224" t="inlineStr">
        <is>
          <t>/</t>
        </is>
      </c>
      <c r="U103" s="224" t="inlineStr">
        <is>
          <t>/</t>
        </is>
      </c>
      <c r="V103" s="224" t="inlineStr">
        <is>
          <t>/</t>
        </is>
      </c>
      <c r="W103" s="503" t="inlineStr">
        <is>
          <t>/</t>
        </is>
      </c>
      <c r="X103" s="51" t="inlineStr">
        <is>
          <t>/</t>
        </is>
      </c>
      <c r="Y103" s="51" t="inlineStr">
        <is>
          <t>/</t>
        </is>
      </c>
      <c r="Z103" s="51" t="inlineStr">
        <is>
          <t>/</t>
        </is>
      </c>
      <c r="AA103" s="51" t="inlineStr">
        <is>
          <t>/</t>
        </is>
      </c>
      <c r="AB103" s="243" t="n"/>
      <c r="AC103" s="46" t="inlineStr">
        <is>
          <t>/</t>
        </is>
      </c>
      <c r="AD103" s="48" t="inlineStr">
        <is>
          <t>1、分部管理费：卡机营业额的3%，最高限额20万元</t>
        </is>
      </c>
      <c r="AE103" s="25" t="n"/>
    </row>
    <row r="104" ht="12" customFormat="1" customHeight="1" s="209">
      <c r="A104" s="219" t="n">
        <v>109</v>
      </c>
      <c r="B104" s="14" t="inlineStr">
        <is>
          <t>KQCY0109</t>
        </is>
      </c>
      <c r="C104" s="221" t="inlineStr">
        <is>
          <t>餐饮二分部</t>
        </is>
      </c>
      <c r="D104" s="221" t="inlineStr">
        <is>
          <t>CF175</t>
        </is>
      </c>
      <c r="E104" s="221" t="inlineStr">
        <is>
          <t>高新区实验初中食堂(金山路校区)</t>
        </is>
      </c>
      <c r="F104" s="219" t="inlineStr">
        <is>
          <t>人员服务外包</t>
        </is>
      </c>
      <c r="G104" s="222" t="inlineStr">
        <is>
          <t>徐敏捷</t>
        </is>
      </c>
      <c r="H104" s="222" t="inlineStr">
        <is>
          <t>/</t>
        </is>
      </c>
      <c r="I104" s="232" t="inlineStr">
        <is>
          <t>/</t>
        </is>
      </c>
      <c r="J104" s="503" t="inlineStr">
        <is>
          <t>/</t>
        </is>
      </c>
      <c r="K104" s="224" t="inlineStr">
        <is>
          <t>/</t>
        </is>
      </c>
      <c r="L104" s="651" t="n">
        <v>2650000</v>
      </c>
      <c r="M104" s="655" t="inlineStr">
        <is>
          <t>/</t>
        </is>
      </c>
      <c r="N104" s="502" t="inlineStr">
        <is>
          <t>/</t>
        </is>
      </c>
      <c r="O104" s="502" t="inlineStr">
        <is>
          <t>/</t>
        </is>
      </c>
      <c r="P104" s="502" t="inlineStr">
        <is>
          <t>/</t>
        </is>
      </c>
      <c r="Q104" s="502" t="inlineStr">
        <is>
          <t>/</t>
        </is>
      </c>
      <c r="R104" s="224" t="inlineStr">
        <is>
          <t>/</t>
        </is>
      </c>
      <c r="S104" s="224" t="inlineStr">
        <is>
          <t>/</t>
        </is>
      </c>
      <c r="T104" s="224" t="inlineStr">
        <is>
          <t>/</t>
        </is>
      </c>
      <c r="U104" s="224" t="inlineStr">
        <is>
          <t>/</t>
        </is>
      </c>
      <c r="V104" s="224" t="inlineStr">
        <is>
          <t>/</t>
        </is>
      </c>
      <c r="W104" s="503" t="inlineStr">
        <is>
          <t>/</t>
        </is>
      </c>
      <c r="X104" s="51" t="inlineStr">
        <is>
          <t>/</t>
        </is>
      </c>
      <c r="Y104" s="51" t="inlineStr">
        <is>
          <t>/</t>
        </is>
      </c>
      <c r="Z104" s="51" t="inlineStr">
        <is>
          <t>/</t>
        </is>
      </c>
      <c r="AA104" s="51" t="inlineStr">
        <is>
          <t>/</t>
        </is>
      </c>
      <c r="AB104" s="243" t="n"/>
      <c r="AC104" s="46" t="inlineStr">
        <is>
          <t>/</t>
        </is>
      </c>
      <c r="AD104" s="48" t="inlineStr">
        <is>
          <t>1、分部管理费：卡机营业额的3%，最高限额20万元</t>
        </is>
      </c>
      <c r="AE104" s="25" t="n"/>
    </row>
    <row r="105" ht="12" customFormat="1" customHeight="1" s="209">
      <c r="A105" s="219" t="n">
        <v>110</v>
      </c>
      <c r="B105" s="14" t="inlineStr">
        <is>
          <t>KQCY0110</t>
        </is>
      </c>
      <c r="C105" s="221" t="inlineStr">
        <is>
          <t>餐饮二分部</t>
        </is>
      </c>
      <c r="D105" s="221" t="inlineStr">
        <is>
          <t>CF177</t>
        </is>
      </c>
      <c r="E105" s="221" t="inlineStr">
        <is>
          <t>高新区实验初中食堂(锦峰路校区)</t>
        </is>
      </c>
      <c r="F105" s="219" t="inlineStr">
        <is>
          <t>人员服务外包</t>
        </is>
      </c>
      <c r="G105" s="222" t="inlineStr">
        <is>
          <t>徐敏捷</t>
        </is>
      </c>
      <c r="H105" s="222" t="inlineStr">
        <is>
          <t>/</t>
        </is>
      </c>
      <c r="I105" s="232" t="inlineStr">
        <is>
          <t>/</t>
        </is>
      </c>
      <c r="J105" s="503" t="inlineStr">
        <is>
          <t>/</t>
        </is>
      </c>
      <c r="K105" s="224" t="inlineStr">
        <is>
          <t>/</t>
        </is>
      </c>
      <c r="L105" s="651" t="n">
        <v>1574000</v>
      </c>
      <c r="M105" s="655" t="inlineStr">
        <is>
          <t>/</t>
        </is>
      </c>
      <c r="N105" s="502" t="inlineStr">
        <is>
          <t>/</t>
        </is>
      </c>
      <c r="O105" s="502" t="inlineStr">
        <is>
          <t>/</t>
        </is>
      </c>
      <c r="P105" s="502" t="inlineStr">
        <is>
          <t>/</t>
        </is>
      </c>
      <c r="Q105" s="502" t="inlineStr">
        <is>
          <t>/</t>
        </is>
      </c>
      <c r="R105" s="224" t="inlineStr">
        <is>
          <t>/</t>
        </is>
      </c>
      <c r="S105" s="224" t="inlineStr">
        <is>
          <t>/</t>
        </is>
      </c>
      <c r="T105" s="224" t="inlineStr">
        <is>
          <t>/</t>
        </is>
      </c>
      <c r="U105" s="224" t="inlineStr">
        <is>
          <t>/</t>
        </is>
      </c>
      <c r="V105" s="224" t="inlineStr">
        <is>
          <t>/</t>
        </is>
      </c>
      <c r="W105" s="503" t="inlineStr">
        <is>
          <t>/</t>
        </is>
      </c>
      <c r="X105" s="51" t="inlineStr">
        <is>
          <t>/</t>
        </is>
      </c>
      <c r="Y105" s="51" t="inlineStr">
        <is>
          <t>/</t>
        </is>
      </c>
      <c r="Z105" s="51" t="inlineStr">
        <is>
          <t>/</t>
        </is>
      </c>
      <c r="AA105" s="51" t="inlineStr">
        <is>
          <t>/</t>
        </is>
      </c>
      <c r="AB105" s="243" t="n"/>
      <c r="AC105" s="46" t="inlineStr">
        <is>
          <t>/</t>
        </is>
      </c>
      <c r="AD105" s="48" t="inlineStr">
        <is>
          <t>1、分部管理费：卡机营业额的3%，最高限额20万元</t>
        </is>
      </c>
      <c r="AE105" s="25" t="n"/>
    </row>
    <row r="106" ht="12" customFormat="1" customHeight="1" s="209">
      <c r="A106" s="219" t="n">
        <v>111</v>
      </c>
      <c r="B106" s="14" t="inlineStr">
        <is>
          <t>KQCY0111</t>
        </is>
      </c>
      <c r="C106" s="221" t="inlineStr">
        <is>
          <t>餐饮二分部</t>
        </is>
      </c>
      <c r="D106" s="221" t="inlineStr">
        <is>
          <t>CF173</t>
        </is>
      </c>
      <c r="E106" s="221" t="inlineStr">
        <is>
          <t>高新区一中食堂（汾湖路校区）</t>
        </is>
      </c>
      <c r="F106" s="219" t="inlineStr">
        <is>
          <t>人员服务外包</t>
        </is>
      </c>
      <c r="G106" s="222" t="inlineStr">
        <is>
          <t>徐敏捷</t>
        </is>
      </c>
      <c r="H106" s="222" t="inlineStr">
        <is>
          <t>/</t>
        </is>
      </c>
      <c r="I106" s="232" t="inlineStr">
        <is>
          <t>/</t>
        </is>
      </c>
      <c r="J106" s="503" t="inlineStr">
        <is>
          <t>/</t>
        </is>
      </c>
      <c r="K106" s="224" t="inlineStr">
        <is>
          <t>/</t>
        </is>
      </c>
      <c r="L106" s="651" t="n">
        <v>3130000</v>
      </c>
      <c r="M106" s="655" t="inlineStr">
        <is>
          <t>/</t>
        </is>
      </c>
      <c r="N106" s="502" t="inlineStr">
        <is>
          <t>/</t>
        </is>
      </c>
      <c r="O106" s="502" t="inlineStr">
        <is>
          <t>/</t>
        </is>
      </c>
      <c r="P106" s="502" t="inlineStr">
        <is>
          <t>/</t>
        </is>
      </c>
      <c r="Q106" s="502" t="inlineStr">
        <is>
          <t>/</t>
        </is>
      </c>
      <c r="R106" s="224" t="inlineStr">
        <is>
          <t>/</t>
        </is>
      </c>
      <c r="S106" s="224" t="inlineStr">
        <is>
          <t>/</t>
        </is>
      </c>
      <c r="T106" s="224" t="inlineStr">
        <is>
          <t>/</t>
        </is>
      </c>
      <c r="U106" s="224" t="inlineStr">
        <is>
          <t>/</t>
        </is>
      </c>
      <c r="V106" s="224" t="inlineStr">
        <is>
          <t>/</t>
        </is>
      </c>
      <c r="W106" s="503" t="inlineStr">
        <is>
          <t>/</t>
        </is>
      </c>
      <c r="X106" s="51" t="inlineStr">
        <is>
          <t>/</t>
        </is>
      </c>
      <c r="Y106" s="51" t="inlineStr">
        <is>
          <t>/</t>
        </is>
      </c>
      <c r="Z106" s="51" t="inlineStr">
        <is>
          <t>/</t>
        </is>
      </c>
      <c r="AA106" s="51" t="inlineStr">
        <is>
          <t>/</t>
        </is>
      </c>
      <c r="AB106" s="243" t="n"/>
      <c r="AC106" s="46" t="inlineStr">
        <is>
          <t>/</t>
        </is>
      </c>
      <c r="AD106" s="48" t="inlineStr">
        <is>
          <t>1、分部管理费：卡机营业额的3%，最高限额20万元</t>
        </is>
      </c>
      <c r="AE106" s="25" t="n"/>
    </row>
    <row r="107" ht="12" customFormat="1" customHeight="1" s="209">
      <c r="A107" s="219" t="n">
        <v>112</v>
      </c>
      <c r="B107" s="14" t="inlineStr">
        <is>
          <t>KQCY0112</t>
        </is>
      </c>
      <c r="C107" s="221" t="inlineStr">
        <is>
          <t>餐饮二分部</t>
        </is>
      </c>
      <c r="D107" s="221" t="inlineStr">
        <is>
          <t>CF179</t>
        </is>
      </c>
      <c r="E107" s="221" t="inlineStr">
        <is>
          <t>高新区一中食堂（科技城校区）</t>
        </is>
      </c>
      <c r="F107" s="219" t="inlineStr">
        <is>
          <t>人员服务外包</t>
        </is>
      </c>
      <c r="G107" s="222" t="inlineStr">
        <is>
          <t>徐敏捷</t>
        </is>
      </c>
      <c r="H107" s="222" t="inlineStr">
        <is>
          <t>/</t>
        </is>
      </c>
      <c r="I107" s="232" t="inlineStr">
        <is>
          <t>/</t>
        </is>
      </c>
      <c r="J107" s="503" t="inlineStr">
        <is>
          <t>/</t>
        </is>
      </c>
      <c r="K107" s="224" t="inlineStr">
        <is>
          <t>/</t>
        </is>
      </c>
      <c r="L107" s="651" t="n">
        <v>2588000</v>
      </c>
      <c r="M107" s="655" t="inlineStr">
        <is>
          <t>/</t>
        </is>
      </c>
      <c r="N107" s="502" t="inlineStr">
        <is>
          <t>/</t>
        </is>
      </c>
      <c r="O107" s="502" t="inlineStr">
        <is>
          <t>/</t>
        </is>
      </c>
      <c r="P107" s="502" t="inlineStr">
        <is>
          <t>/</t>
        </is>
      </c>
      <c r="Q107" s="502" t="inlineStr">
        <is>
          <t>/</t>
        </is>
      </c>
      <c r="R107" s="224" t="inlineStr">
        <is>
          <t>/</t>
        </is>
      </c>
      <c r="S107" s="224" t="inlineStr">
        <is>
          <t>/</t>
        </is>
      </c>
      <c r="T107" s="224" t="inlineStr">
        <is>
          <t>/</t>
        </is>
      </c>
      <c r="U107" s="224" t="inlineStr">
        <is>
          <t>/</t>
        </is>
      </c>
      <c r="V107" s="224" t="inlineStr">
        <is>
          <t>/</t>
        </is>
      </c>
      <c r="W107" s="503" t="inlineStr">
        <is>
          <t>/</t>
        </is>
      </c>
      <c r="X107" s="51" t="inlineStr">
        <is>
          <t>/</t>
        </is>
      </c>
      <c r="Y107" s="51" t="inlineStr">
        <is>
          <t>/</t>
        </is>
      </c>
      <c r="Z107" s="51" t="inlineStr">
        <is>
          <t>/</t>
        </is>
      </c>
      <c r="AA107" s="51" t="inlineStr">
        <is>
          <t>/</t>
        </is>
      </c>
      <c r="AB107" s="243" t="n"/>
      <c r="AC107" s="46" t="inlineStr">
        <is>
          <t>/</t>
        </is>
      </c>
      <c r="AD107" s="48" t="inlineStr">
        <is>
          <t>1、分部管理费：卡机营业额的3%，最高限额20万元</t>
        </is>
      </c>
      <c r="AE107" s="25" t="n"/>
    </row>
    <row r="108" ht="12" customFormat="1" customHeight="1" s="209">
      <c r="A108" s="219" t="n">
        <v>113</v>
      </c>
      <c r="B108" s="14" t="inlineStr">
        <is>
          <t>KQCY0113</t>
        </is>
      </c>
      <c r="C108" s="221" t="inlineStr">
        <is>
          <t>餐饮二分部</t>
        </is>
      </c>
      <c r="D108" s="221" t="inlineStr">
        <is>
          <t>CF180</t>
        </is>
      </c>
      <c r="E108" s="221" t="inlineStr">
        <is>
          <t>高新区一初中食堂（珠江路校区）</t>
        </is>
      </c>
      <c r="F108" s="219" t="inlineStr">
        <is>
          <t>人员服务外包</t>
        </is>
      </c>
      <c r="G108" s="222" t="inlineStr">
        <is>
          <t>徐敏捷</t>
        </is>
      </c>
      <c r="H108" s="222" t="inlineStr">
        <is>
          <t>/</t>
        </is>
      </c>
      <c r="I108" s="232" t="inlineStr">
        <is>
          <t>/</t>
        </is>
      </c>
      <c r="J108" s="503" t="inlineStr">
        <is>
          <t>/</t>
        </is>
      </c>
      <c r="K108" s="224" t="inlineStr">
        <is>
          <t>/</t>
        </is>
      </c>
      <c r="L108" s="651" t="n">
        <v>1249000</v>
      </c>
      <c r="M108" s="655" t="inlineStr">
        <is>
          <t>/</t>
        </is>
      </c>
      <c r="N108" s="502" t="inlineStr">
        <is>
          <t>/</t>
        </is>
      </c>
      <c r="O108" s="502" t="inlineStr">
        <is>
          <t>/</t>
        </is>
      </c>
      <c r="P108" s="502" t="inlineStr">
        <is>
          <t>/</t>
        </is>
      </c>
      <c r="Q108" s="502" t="inlineStr">
        <is>
          <t>/</t>
        </is>
      </c>
      <c r="R108" s="224" t="inlineStr">
        <is>
          <t>/</t>
        </is>
      </c>
      <c r="S108" s="224" t="inlineStr">
        <is>
          <t>/</t>
        </is>
      </c>
      <c r="T108" s="224" t="inlineStr">
        <is>
          <t>/</t>
        </is>
      </c>
      <c r="U108" s="224" t="inlineStr">
        <is>
          <t>/</t>
        </is>
      </c>
      <c r="V108" s="224" t="inlineStr">
        <is>
          <t>/</t>
        </is>
      </c>
      <c r="W108" s="503" t="inlineStr">
        <is>
          <t>/</t>
        </is>
      </c>
      <c r="X108" s="51" t="inlineStr">
        <is>
          <t>/</t>
        </is>
      </c>
      <c r="Y108" s="51" t="inlineStr">
        <is>
          <t>/</t>
        </is>
      </c>
      <c r="Z108" s="51" t="inlineStr">
        <is>
          <t>/</t>
        </is>
      </c>
      <c r="AA108" s="51" t="inlineStr">
        <is>
          <t>/</t>
        </is>
      </c>
      <c r="AB108" s="243" t="n"/>
      <c r="AC108" s="46" t="inlineStr">
        <is>
          <t>/</t>
        </is>
      </c>
      <c r="AD108" s="48" t="inlineStr">
        <is>
          <t>1、分部管理费：卡机营业额的3%，最高限额20万元</t>
        </is>
      </c>
      <c r="AE108" s="25" t="n"/>
    </row>
    <row r="109" ht="12" customFormat="1" customHeight="1" s="209">
      <c r="A109" s="219" t="n">
        <v>114</v>
      </c>
      <c r="B109" s="14" t="inlineStr">
        <is>
          <t>KQCY0114</t>
        </is>
      </c>
      <c r="C109" s="221" t="inlineStr">
        <is>
          <t>餐饮二分部</t>
        </is>
      </c>
      <c r="D109" s="221" t="inlineStr">
        <is>
          <t>CF183</t>
        </is>
      </c>
      <c r="E109" s="221" t="inlineStr">
        <is>
          <t>中医科苏州新校区食堂</t>
        </is>
      </c>
      <c r="F109" s="219" t="inlineStr">
        <is>
          <t>人员服务外包</t>
        </is>
      </c>
      <c r="G109" s="222" t="inlineStr">
        <is>
          <t>陆琪</t>
        </is>
      </c>
      <c r="H109" s="222" t="inlineStr">
        <is>
          <t>/</t>
        </is>
      </c>
      <c r="I109" s="232" t="inlineStr">
        <is>
          <t>/</t>
        </is>
      </c>
      <c r="J109" s="503" t="inlineStr">
        <is>
          <t>/</t>
        </is>
      </c>
      <c r="K109" s="224" t="inlineStr">
        <is>
          <t>/</t>
        </is>
      </c>
      <c r="L109" s="651" t="inlineStr">
        <is>
          <t>/</t>
        </is>
      </c>
      <c r="M109" s="502" t="inlineStr">
        <is>
          <t>/</t>
        </is>
      </c>
      <c r="N109" s="502" t="inlineStr">
        <is>
          <t>/</t>
        </is>
      </c>
      <c r="O109" s="502" t="inlineStr">
        <is>
          <t>/</t>
        </is>
      </c>
      <c r="P109" s="502" t="inlineStr">
        <is>
          <t>/</t>
        </is>
      </c>
      <c r="Q109" s="502" t="inlineStr">
        <is>
          <t>/</t>
        </is>
      </c>
      <c r="R109" s="502" t="inlineStr">
        <is>
          <t>/</t>
        </is>
      </c>
      <c r="S109" s="502" t="inlineStr">
        <is>
          <t>/</t>
        </is>
      </c>
      <c r="T109" s="503" t="inlineStr">
        <is>
          <t>/</t>
        </is>
      </c>
      <c r="U109" s="502" t="inlineStr">
        <is>
          <t>/</t>
        </is>
      </c>
      <c r="V109" s="502" t="inlineStr">
        <is>
          <t>/</t>
        </is>
      </c>
      <c r="W109" s="503" t="inlineStr">
        <is>
          <t>/</t>
        </is>
      </c>
      <c r="X109" s="51" t="inlineStr">
        <is>
          <t>/</t>
        </is>
      </c>
      <c r="Y109" s="51" t="inlineStr">
        <is>
          <t>/</t>
        </is>
      </c>
      <c r="Z109" s="51" t="inlineStr">
        <is>
          <t>/</t>
        </is>
      </c>
      <c r="AA109" s="51" t="inlineStr">
        <is>
          <t>/</t>
        </is>
      </c>
      <c r="AB109" s="51" t="n">
        <v>0.08</v>
      </c>
      <c r="AC109" s="46" t="n">
        <v>0.015</v>
      </c>
      <c r="AD109" s="232" t="n"/>
      <c r="AE109" s="25" t="n"/>
    </row>
    <row r="110" ht="12" customFormat="1" customHeight="1" s="209">
      <c r="A110" s="219" t="n">
        <v>115</v>
      </c>
      <c r="B110" s="14" t="inlineStr">
        <is>
          <t>KQCY0115</t>
        </is>
      </c>
      <c r="C110" s="221" t="inlineStr">
        <is>
          <t>餐饮二分部</t>
        </is>
      </c>
      <c r="D110" s="221" t="inlineStr">
        <is>
          <t>CF183</t>
        </is>
      </c>
      <c r="E110" s="221" t="inlineStr">
        <is>
          <t>中医科苏州新校区食堂</t>
        </is>
      </c>
      <c r="F110" s="219" t="inlineStr">
        <is>
          <t>自营</t>
        </is>
      </c>
      <c r="G110" s="222" t="inlineStr">
        <is>
          <t>陆琪</t>
        </is>
      </c>
      <c r="H110" s="222" t="inlineStr">
        <is>
          <t>/</t>
        </is>
      </c>
      <c r="I110" s="237" t="inlineStr">
        <is>
          <t>/</t>
        </is>
      </c>
      <c r="J110" s="222" t="inlineStr">
        <is>
          <t>/</t>
        </is>
      </c>
      <c r="K110" s="224" t="inlineStr">
        <is>
          <t>/</t>
        </is>
      </c>
      <c r="L110" s="651" t="inlineStr">
        <is>
          <t>/</t>
        </is>
      </c>
      <c r="M110" s="224" t="inlineStr">
        <is>
          <t>/</t>
        </is>
      </c>
      <c r="N110" s="224" t="inlineStr">
        <is>
          <t>/</t>
        </is>
      </c>
      <c r="O110" s="23" t="n">
        <v>0.02</v>
      </c>
      <c r="P110" s="224" t="inlineStr">
        <is>
          <t>/</t>
        </is>
      </c>
      <c r="Q110" s="224" t="inlineStr">
        <is>
          <t>/</t>
        </is>
      </c>
      <c r="R110" s="224" t="inlineStr">
        <is>
          <t>/</t>
        </is>
      </c>
      <c r="S110" s="224" t="inlineStr">
        <is>
          <t>/</t>
        </is>
      </c>
      <c r="T110" s="224" t="inlineStr">
        <is>
          <t>/</t>
        </is>
      </c>
      <c r="U110" s="224" t="inlineStr">
        <is>
          <t>/</t>
        </is>
      </c>
      <c r="V110" s="224" t="inlineStr">
        <is>
          <t>/</t>
        </is>
      </c>
      <c r="W110" s="480" t="inlineStr">
        <is>
          <t>/</t>
        </is>
      </c>
      <c r="X110" s="51" t="inlineStr">
        <is>
          <t>/</t>
        </is>
      </c>
      <c r="Y110" s="51" t="inlineStr">
        <is>
          <t>/</t>
        </is>
      </c>
      <c r="Z110" s="51" t="inlineStr">
        <is>
          <t>/</t>
        </is>
      </c>
      <c r="AA110" s="51" t="inlineStr">
        <is>
          <t>/</t>
        </is>
      </c>
      <c r="AB110" s="51" t="n">
        <v>0.08</v>
      </c>
      <c r="AC110" s="46" t="n">
        <v>0.015</v>
      </c>
      <c r="AD110" s="232" t="n"/>
      <c r="AE110" s="25" t="n"/>
    </row>
    <row r="111" ht="12" customFormat="1" customHeight="1" s="209">
      <c r="A111" s="219" t="n">
        <v>116</v>
      </c>
      <c r="B111" s="14" t="inlineStr">
        <is>
          <t>KQCY0116</t>
        </is>
      </c>
      <c r="C111" s="221" t="inlineStr">
        <is>
          <t>餐饮二分部</t>
        </is>
      </c>
      <c r="D111" s="221" t="inlineStr">
        <is>
          <t>CF450</t>
        </is>
      </c>
      <c r="E111" s="221" t="inlineStr">
        <is>
          <t>天津大学学二食堂</t>
        </is>
      </c>
      <c r="F111" s="219" t="inlineStr">
        <is>
          <t>强责</t>
        </is>
      </c>
      <c r="G111" s="222" t="inlineStr">
        <is>
          <t>陆琪</t>
        </is>
      </c>
      <c r="H111" s="222" t="inlineStr">
        <is>
          <t>/</t>
        </is>
      </c>
      <c r="I111" s="232" t="inlineStr">
        <is>
          <t>/</t>
        </is>
      </c>
      <c r="J111" s="503" t="inlineStr">
        <is>
          <t>张宪</t>
        </is>
      </c>
      <c r="K111" s="224" t="inlineStr">
        <is>
          <t>/</t>
        </is>
      </c>
      <c r="L111" s="651" t="inlineStr">
        <is>
          <t>/</t>
        </is>
      </c>
      <c r="M111" s="502" t="inlineStr">
        <is>
          <t>/</t>
        </is>
      </c>
      <c r="N111" s="502" t="inlineStr">
        <is>
          <t>/</t>
        </is>
      </c>
      <c r="O111" s="502" t="inlineStr">
        <is>
          <t>/</t>
        </is>
      </c>
      <c r="P111" s="502" t="inlineStr">
        <is>
          <t>/</t>
        </is>
      </c>
      <c r="Q111" s="502" t="inlineStr">
        <is>
          <t>/</t>
        </is>
      </c>
      <c r="R111" s="502" t="inlineStr">
        <is>
          <t>/</t>
        </is>
      </c>
      <c r="S111" s="502" t="inlineStr">
        <is>
          <t>/</t>
        </is>
      </c>
      <c r="T111" s="503" t="inlineStr">
        <is>
          <t>/</t>
        </is>
      </c>
      <c r="U111" s="502" t="inlineStr">
        <is>
          <t>/</t>
        </is>
      </c>
      <c r="V111" s="502" t="inlineStr">
        <is>
          <t>/</t>
        </is>
      </c>
      <c r="W111" s="44" t="n"/>
      <c r="X111" s="51" t="inlineStr">
        <is>
          <t>/</t>
        </is>
      </c>
      <c r="Y111" s="51" t="inlineStr">
        <is>
          <t>/</t>
        </is>
      </c>
      <c r="Z111" s="51" t="inlineStr">
        <is>
          <t>/</t>
        </is>
      </c>
      <c r="AA111" s="51" t="inlineStr">
        <is>
          <t>/</t>
        </is>
      </c>
      <c r="AB111" s="113" t="n">
        <v>0.03</v>
      </c>
      <c r="AC111" s="502" t="inlineStr">
        <is>
          <t>/</t>
        </is>
      </c>
      <c r="AD111" s="232" t="n"/>
      <c r="AE111" s="25" t="n"/>
    </row>
    <row r="112" ht="36" customFormat="1" customHeight="1" s="209">
      <c r="A112" s="219" t="n">
        <v>117</v>
      </c>
      <c r="B112" s="14" t="inlineStr">
        <is>
          <t>KQCY0117</t>
        </is>
      </c>
      <c r="C112" s="221" t="inlineStr">
        <is>
          <t>餐饮二分部</t>
        </is>
      </c>
      <c r="D112" s="221" t="inlineStr">
        <is>
          <t>CF450</t>
        </is>
      </c>
      <c r="E112" s="221" t="inlineStr">
        <is>
          <t>天津大学学二食堂</t>
        </is>
      </c>
      <c r="F112" s="219" t="inlineStr">
        <is>
          <t>强责</t>
        </is>
      </c>
      <c r="G112" s="222" t="inlineStr">
        <is>
          <t>陆琪</t>
        </is>
      </c>
      <c r="H112" s="503" t="inlineStr">
        <is>
          <t>/</t>
        </is>
      </c>
      <c r="I112" s="232" t="inlineStr">
        <is>
          <t>馄饨（轻食）</t>
        </is>
      </c>
      <c r="J112" s="503" t="inlineStr">
        <is>
          <t>李佳玉</t>
        </is>
      </c>
      <c r="K112" s="224" t="inlineStr">
        <is>
          <t>/</t>
        </is>
      </c>
      <c r="L112" s="651" t="n">
        <v>400000</v>
      </c>
      <c r="M112" s="113" t="n">
        <v>0.17</v>
      </c>
      <c r="N112" s="502" t="inlineStr">
        <is>
          <t>/</t>
        </is>
      </c>
      <c r="O112" s="113" t="n">
        <v>0.02</v>
      </c>
      <c r="P112" s="502" t="inlineStr">
        <is>
          <t>/</t>
        </is>
      </c>
      <c r="Q112" s="502" t="inlineStr">
        <is>
          <t>/</t>
        </is>
      </c>
      <c r="R112" s="502" t="inlineStr">
        <is>
          <t>/</t>
        </is>
      </c>
      <c r="S112" s="502" t="inlineStr">
        <is>
          <t>/</t>
        </is>
      </c>
      <c r="T112" s="224" t="n">
        <v>0.04</v>
      </c>
      <c r="U112" s="224" t="n">
        <v>0.04</v>
      </c>
      <c r="V112" s="502" t="inlineStr">
        <is>
          <t>/</t>
        </is>
      </c>
      <c r="W112" s="114" t="n">
        <v>0.5</v>
      </c>
      <c r="X112" s="51" t="inlineStr">
        <is>
          <t>/</t>
        </is>
      </c>
      <c r="Y112" s="51" t="inlineStr">
        <is>
          <t>/</t>
        </is>
      </c>
      <c r="Z112" s="51" t="inlineStr">
        <is>
          <t>/</t>
        </is>
      </c>
      <c r="AA112" s="51" t="inlineStr">
        <is>
          <t>/</t>
        </is>
      </c>
      <c r="AB112" s="502" t="inlineStr">
        <is>
          <t>/</t>
        </is>
      </c>
      <c r="AC112" s="502" t="inlineStr">
        <is>
          <t>/</t>
        </is>
      </c>
      <c r="AD112" s="232" t="n"/>
      <c r="AE112" s="25" t="inlineStr">
        <is>
          <t xml:space="preserve">
1、签订期间：2026.1.1-2026.8.1；
2、指标按照全年换算；</t>
        </is>
      </c>
    </row>
    <row r="113" ht="36" customFormat="1" customHeight="1" s="209">
      <c r="A113" s="219" t="n">
        <v>118</v>
      </c>
      <c r="B113" s="14" t="inlineStr">
        <is>
          <t>KQCY0118</t>
        </is>
      </c>
      <c r="C113" s="221" t="inlineStr">
        <is>
          <t>餐饮二分部</t>
        </is>
      </c>
      <c r="D113" s="221" t="inlineStr">
        <is>
          <t>CF450</t>
        </is>
      </c>
      <c r="E113" s="221" t="inlineStr">
        <is>
          <t>天津大学学二食堂</t>
        </is>
      </c>
      <c r="F113" s="219" t="inlineStr">
        <is>
          <t>强责</t>
        </is>
      </c>
      <c r="G113" s="222" t="inlineStr">
        <is>
          <t>陆琪</t>
        </is>
      </c>
      <c r="H113" s="503" t="inlineStr">
        <is>
          <t>/</t>
        </is>
      </c>
      <c r="I113" s="237" t="inlineStr">
        <is>
          <t>面夫子</t>
        </is>
      </c>
      <c r="J113" s="480" t="inlineStr">
        <is>
          <t>刘魁</t>
        </is>
      </c>
      <c r="K113" s="224" t="inlineStr">
        <is>
          <t>/</t>
        </is>
      </c>
      <c r="L113" s="651" t="n">
        <v>380000</v>
      </c>
      <c r="M113" s="113" t="n">
        <v>0.15</v>
      </c>
      <c r="N113" s="502" t="inlineStr">
        <is>
          <t>/</t>
        </is>
      </c>
      <c r="O113" s="113" t="n">
        <v>0.02</v>
      </c>
      <c r="P113" s="502" t="inlineStr">
        <is>
          <t>/</t>
        </is>
      </c>
      <c r="Q113" s="502" t="inlineStr">
        <is>
          <t>/</t>
        </is>
      </c>
      <c r="R113" s="502" t="inlineStr">
        <is>
          <t>/</t>
        </is>
      </c>
      <c r="S113" s="502" t="inlineStr">
        <is>
          <t>/</t>
        </is>
      </c>
      <c r="T113" s="224" t="n">
        <v>0.04</v>
      </c>
      <c r="U113" s="224" t="n">
        <v>0.04</v>
      </c>
      <c r="V113" s="502" t="inlineStr">
        <is>
          <t>/</t>
        </is>
      </c>
      <c r="W113" s="114" t="n">
        <v>0.5</v>
      </c>
      <c r="X113" s="51" t="inlineStr">
        <is>
          <t>/</t>
        </is>
      </c>
      <c r="Y113" s="51" t="inlineStr">
        <is>
          <t>/</t>
        </is>
      </c>
      <c r="Z113" s="51" t="inlineStr">
        <is>
          <t>/</t>
        </is>
      </c>
      <c r="AA113" s="51" t="inlineStr">
        <is>
          <t>/</t>
        </is>
      </c>
      <c r="AB113" s="502" t="inlineStr">
        <is>
          <t>/</t>
        </is>
      </c>
      <c r="AC113" s="502" t="inlineStr">
        <is>
          <t>/</t>
        </is>
      </c>
      <c r="AD113" s="232" t="n"/>
      <c r="AE113" s="25" t="inlineStr">
        <is>
          <t xml:space="preserve">
1、签订期间：2026.1.1-2026.8.1；
2、指标按照全年换算；</t>
        </is>
      </c>
    </row>
    <row r="114" ht="36" customFormat="1" customHeight="1" s="209">
      <c r="A114" s="219" t="n">
        <v>119</v>
      </c>
      <c r="B114" s="14" t="inlineStr">
        <is>
          <t>KQCY0119</t>
        </is>
      </c>
      <c r="C114" s="221" t="inlineStr">
        <is>
          <t>餐饮二分部</t>
        </is>
      </c>
      <c r="D114" s="221" t="inlineStr">
        <is>
          <t>CF450</t>
        </is>
      </c>
      <c r="E114" s="221" t="inlineStr">
        <is>
          <t>天津大学学二食堂</t>
        </is>
      </c>
      <c r="F114" s="219" t="inlineStr">
        <is>
          <t>强责</t>
        </is>
      </c>
      <c r="G114" s="222" t="inlineStr">
        <is>
          <t>陆琪</t>
        </is>
      </c>
      <c r="H114" s="503" t="inlineStr">
        <is>
          <t>/</t>
        </is>
      </c>
      <c r="I114" s="237" t="inlineStr">
        <is>
          <t>滑蛋饭</t>
        </is>
      </c>
      <c r="J114" s="503" t="inlineStr">
        <is>
          <t>李保</t>
        </is>
      </c>
      <c r="K114" s="224" t="inlineStr">
        <is>
          <t>/</t>
        </is>
      </c>
      <c r="L114" s="651" t="n">
        <v>500000</v>
      </c>
      <c r="M114" s="113" t="n">
        <v>0.18</v>
      </c>
      <c r="N114" s="502" t="inlineStr">
        <is>
          <t>/</t>
        </is>
      </c>
      <c r="O114" s="113" t="n">
        <v>0.02</v>
      </c>
      <c r="P114" s="502" t="inlineStr">
        <is>
          <t>/</t>
        </is>
      </c>
      <c r="Q114" s="502" t="inlineStr">
        <is>
          <t>/</t>
        </is>
      </c>
      <c r="R114" s="502" t="inlineStr">
        <is>
          <t>/</t>
        </is>
      </c>
      <c r="S114" s="502" t="inlineStr">
        <is>
          <t>/</t>
        </is>
      </c>
      <c r="T114" s="224" t="n">
        <v>0.04</v>
      </c>
      <c r="U114" s="224" t="n">
        <v>0.04</v>
      </c>
      <c r="V114" s="502" t="inlineStr">
        <is>
          <t>/</t>
        </is>
      </c>
      <c r="W114" s="114" t="n">
        <v>0.5</v>
      </c>
      <c r="X114" s="51" t="inlineStr">
        <is>
          <t>/</t>
        </is>
      </c>
      <c r="Y114" s="51" t="inlineStr">
        <is>
          <t>/</t>
        </is>
      </c>
      <c r="Z114" s="51" t="inlineStr">
        <is>
          <t>/</t>
        </is>
      </c>
      <c r="AA114" s="51" t="inlineStr">
        <is>
          <t>/</t>
        </is>
      </c>
      <c r="AB114" s="502" t="inlineStr">
        <is>
          <t>/</t>
        </is>
      </c>
      <c r="AC114" s="502" t="inlineStr">
        <is>
          <t>/</t>
        </is>
      </c>
      <c r="AD114" s="232" t="n"/>
      <c r="AE114" s="25" t="inlineStr">
        <is>
          <t xml:space="preserve">
1、签订期间：2026.1.1-2026.8.1；
2、指标按照全年换算；</t>
        </is>
      </c>
    </row>
    <row r="115" ht="36" customFormat="1" customHeight="1" s="209">
      <c r="A115" s="219" t="n">
        <v>120</v>
      </c>
      <c r="B115" s="14" t="inlineStr">
        <is>
          <t>KQCY0120</t>
        </is>
      </c>
      <c r="C115" s="221" t="inlineStr">
        <is>
          <t>餐饮二分部</t>
        </is>
      </c>
      <c r="D115" s="221" t="inlineStr">
        <is>
          <t>CF450</t>
        </is>
      </c>
      <c r="E115" s="221" t="inlineStr">
        <is>
          <t>天津大学学二食堂</t>
        </is>
      </c>
      <c r="F115" s="219" t="inlineStr">
        <is>
          <t>强责</t>
        </is>
      </c>
      <c r="G115" s="222" t="inlineStr">
        <is>
          <t>陆琪</t>
        </is>
      </c>
      <c r="H115" s="503" t="inlineStr">
        <is>
          <t>/</t>
        </is>
      </c>
      <c r="I115" s="237" t="inlineStr">
        <is>
          <t>基本伙窗口</t>
        </is>
      </c>
      <c r="J115" s="503" t="inlineStr">
        <is>
          <t>孟祥东</t>
        </is>
      </c>
      <c r="K115" s="224" t="inlineStr">
        <is>
          <t>/</t>
        </is>
      </c>
      <c r="L115" s="651" t="n">
        <v>800000</v>
      </c>
      <c r="M115" s="113" t="n">
        <v>0.1</v>
      </c>
      <c r="N115" s="502" t="inlineStr">
        <is>
          <t>/</t>
        </is>
      </c>
      <c r="O115" s="502" t="inlineStr">
        <is>
          <t>/</t>
        </is>
      </c>
      <c r="P115" s="502" t="inlineStr">
        <is>
          <t>/</t>
        </is>
      </c>
      <c r="Q115" s="502" t="inlineStr">
        <is>
          <t>/</t>
        </is>
      </c>
      <c r="R115" s="502" t="inlineStr">
        <is>
          <t>/</t>
        </is>
      </c>
      <c r="S115" s="502" t="inlineStr">
        <is>
          <t>/</t>
        </is>
      </c>
      <c r="T115" s="224" t="n">
        <v>0.04</v>
      </c>
      <c r="U115" s="224" t="n">
        <v>0.04</v>
      </c>
      <c r="V115" s="502" t="inlineStr">
        <is>
          <t>/</t>
        </is>
      </c>
      <c r="W115" s="114" t="n">
        <v>0.5</v>
      </c>
      <c r="X115" s="51" t="inlineStr">
        <is>
          <t>/</t>
        </is>
      </c>
      <c r="Y115" s="51" t="inlineStr">
        <is>
          <t>/</t>
        </is>
      </c>
      <c r="Z115" s="51" t="inlineStr">
        <is>
          <t>/</t>
        </is>
      </c>
      <c r="AA115" s="51" t="inlineStr">
        <is>
          <t>/</t>
        </is>
      </c>
      <c r="AB115" s="502" t="inlineStr">
        <is>
          <t>/</t>
        </is>
      </c>
      <c r="AC115" s="502" t="inlineStr">
        <is>
          <t>/</t>
        </is>
      </c>
      <c r="AD115" s="232" t="n"/>
      <c r="AE115" s="25" t="inlineStr">
        <is>
          <t xml:space="preserve">
1、签订期间：2026.1.1-2026.8.1；
2、指标按照全年换算；</t>
        </is>
      </c>
    </row>
    <row r="116" ht="36" customFormat="1" customHeight="1" s="209">
      <c r="A116" s="219" t="n">
        <v>121</v>
      </c>
      <c r="B116" s="14" t="inlineStr">
        <is>
          <t>KQCY0121</t>
        </is>
      </c>
      <c r="C116" s="221" t="inlineStr">
        <is>
          <t>餐饮二分部</t>
        </is>
      </c>
      <c r="D116" s="221" t="inlineStr">
        <is>
          <t>CF450</t>
        </is>
      </c>
      <c r="E116" s="221" t="inlineStr">
        <is>
          <t>天津大学学二食堂</t>
        </is>
      </c>
      <c r="F116" s="219" t="inlineStr">
        <is>
          <t>强责</t>
        </is>
      </c>
      <c r="G116" s="222" t="inlineStr">
        <is>
          <t>陆琪</t>
        </is>
      </c>
      <c r="H116" s="503" t="inlineStr">
        <is>
          <t>/</t>
        </is>
      </c>
      <c r="I116" s="237" t="inlineStr">
        <is>
          <t>小卖部</t>
        </is>
      </c>
      <c r="J116" s="503" t="inlineStr">
        <is>
          <t>张玉珠</t>
        </is>
      </c>
      <c r="K116" s="224" t="inlineStr">
        <is>
          <t>/</t>
        </is>
      </c>
      <c r="L116" s="651" t="n">
        <v>240000</v>
      </c>
      <c r="M116" s="113" t="n">
        <v>0.02</v>
      </c>
      <c r="N116" s="502" t="inlineStr">
        <is>
          <t>/</t>
        </is>
      </c>
      <c r="O116" s="113" t="n">
        <v>0.02</v>
      </c>
      <c r="P116" s="502" t="inlineStr">
        <is>
          <t>/</t>
        </is>
      </c>
      <c r="Q116" s="502" t="inlineStr">
        <is>
          <t>/</t>
        </is>
      </c>
      <c r="R116" s="502" t="inlineStr">
        <is>
          <t>/</t>
        </is>
      </c>
      <c r="S116" s="502" t="inlineStr">
        <is>
          <t>/</t>
        </is>
      </c>
      <c r="T116" s="224" t="n">
        <v>0.04</v>
      </c>
      <c r="U116" s="113" t="n">
        <v>0.01</v>
      </c>
      <c r="V116" s="502" t="inlineStr">
        <is>
          <t>/</t>
        </is>
      </c>
      <c r="W116" s="114" t="n">
        <v>0.5</v>
      </c>
      <c r="X116" s="51" t="inlineStr">
        <is>
          <t>/</t>
        </is>
      </c>
      <c r="Y116" s="51" t="inlineStr">
        <is>
          <t>/</t>
        </is>
      </c>
      <c r="Z116" s="51" t="inlineStr">
        <is>
          <t>/</t>
        </is>
      </c>
      <c r="AA116" s="51" t="inlineStr">
        <is>
          <t>/</t>
        </is>
      </c>
      <c r="AB116" s="502" t="inlineStr">
        <is>
          <t>/</t>
        </is>
      </c>
      <c r="AC116" s="502" t="inlineStr">
        <is>
          <t>/</t>
        </is>
      </c>
      <c r="AD116" s="232" t="n"/>
      <c r="AE116" s="25" t="inlineStr">
        <is>
          <t xml:space="preserve">
1、签订期间：2026.1.1-2026.8.1；
2、指标按照全年换算；</t>
        </is>
      </c>
    </row>
    <row r="117" ht="36" customFormat="1" customHeight="1" s="209">
      <c r="A117" s="219" t="n">
        <v>122</v>
      </c>
      <c r="B117" s="14" t="inlineStr">
        <is>
          <t>KQCY0122</t>
        </is>
      </c>
      <c r="C117" s="221" t="inlineStr">
        <is>
          <t>餐饮二分部</t>
        </is>
      </c>
      <c r="D117" s="221" t="inlineStr">
        <is>
          <t>CF450</t>
        </is>
      </c>
      <c r="E117" s="221" t="inlineStr">
        <is>
          <t>天津大学学二食堂</t>
        </is>
      </c>
      <c r="F117" s="219" t="inlineStr">
        <is>
          <t>强责</t>
        </is>
      </c>
      <c r="G117" s="222" t="inlineStr">
        <is>
          <t>陆琪</t>
        </is>
      </c>
      <c r="H117" s="503" t="inlineStr">
        <is>
          <t>/</t>
        </is>
      </c>
      <c r="I117" s="237" t="inlineStr">
        <is>
          <t>黄焖鸡</t>
        </is>
      </c>
      <c r="J117" s="503" t="inlineStr">
        <is>
          <t>蒋彩云</t>
        </is>
      </c>
      <c r="K117" s="224" t="inlineStr">
        <is>
          <t>/</t>
        </is>
      </c>
      <c r="L117" s="651" t="n">
        <v>480000</v>
      </c>
      <c r="M117" s="113" t="n">
        <v>0.18</v>
      </c>
      <c r="N117" s="502" t="inlineStr">
        <is>
          <t>/</t>
        </is>
      </c>
      <c r="O117" s="113" t="n">
        <v>0.02</v>
      </c>
      <c r="P117" s="502" t="inlineStr">
        <is>
          <t>/</t>
        </is>
      </c>
      <c r="Q117" s="502" t="inlineStr">
        <is>
          <t>/</t>
        </is>
      </c>
      <c r="R117" s="502" t="inlineStr">
        <is>
          <t>/</t>
        </is>
      </c>
      <c r="S117" s="502" t="inlineStr">
        <is>
          <t>/</t>
        </is>
      </c>
      <c r="T117" s="224" t="n">
        <v>0.04</v>
      </c>
      <c r="U117" s="224" t="n">
        <v>0.04</v>
      </c>
      <c r="V117" s="502" t="inlineStr">
        <is>
          <t>/</t>
        </is>
      </c>
      <c r="W117" s="114" t="n">
        <v>0.5</v>
      </c>
      <c r="X117" s="51" t="inlineStr">
        <is>
          <t>/</t>
        </is>
      </c>
      <c r="Y117" s="51" t="inlineStr">
        <is>
          <t>/</t>
        </is>
      </c>
      <c r="Z117" s="51" t="inlineStr">
        <is>
          <t>/</t>
        </is>
      </c>
      <c r="AA117" s="51" t="inlineStr">
        <is>
          <t>/</t>
        </is>
      </c>
      <c r="AB117" s="502" t="inlineStr">
        <is>
          <t>/</t>
        </is>
      </c>
      <c r="AC117" s="502" t="inlineStr">
        <is>
          <t>/</t>
        </is>
      </c>
      <c r="AD117" s="232" t="n"/>
      <c r="AE117" s="25" t="inlineStr">
        <is>
          <t xml:space="preserve">
1、签订期间：2026.1.1-2026.8.1；
2、指标按照全年换算；</t>
        </is>
      </c>
    </row>
    <row r="118" ht="36" customFormat="1" customHeight="1" s="209">
      <c r="A118" s="219" t="n">
        <v>123</v>
      </c>
      <c r="B118" s="14" t="inlineStr">
        <is>
          <t>KQCY0123</t>
        </is>
      </c>
      <c r="C118" s="221" t="inlineStr">
        <is>
          <t>餐饮二分部</t>
        </is>
      </c>
      <c r="D118" s="221" t="inlineStr">
        <is>
          <t>CF450</t>
        </is>
      </c>
      <c r="E118" s="221" t="inlineStr">
        <is>
          <t>天津大学学二食堂</t>
        </is>
      </c>
      <c r="F118" s="219" t="inlineStr">
        <is>
          <t>强责</t>
        </is>
      </c>
      <c r="G118" s="222" t="inlineStr">
        <is>
          <t>陆琪</t>
        </is>
      </c>
      <c r="H118" s="503" t="inlineStr">
        <is>
          <t>/</t>
        </is>
      </c>
      <c r="I118" s="237" t="inlineStr">
        <is>
          <t>南方面条</t>
        </is>
      </c>
      <c r="J118" s="503" t="inlineStr">
        <is>
          <t>孟祥东</t>
        </is>
      </c>
      <c r="K118" s="224" t="inlineStr">
        <is>
          <t>/</t>
        </is>
      </c>
      <c r="L118" s="651" t="n">
        <v>240000</v>
      </c>
      <c r="M118" s="113" t="n">
        <v>0.18</v>
      </c>
      <c r="N118" s="502" t="inlineStr">
        <is>
          <t>/</t>
        </is>
      </c>
      <c r="O118" s="113" t="n">
        <v>0.02</v>
      </c>
      <c r="P118" s="502" t="inlineStr">
        <is>
          <t>/</t>
        </is>
      </c>
      <c r="Q118" s="502" t="inlineStr">
        <is>
          <t>/</t>
        </is>
      </c>
      <c r="R118" s="502" t="inlineStr">
        <is>
          <t>/</t>
        </is>
      </c>
      <c r="S118" s="502" t="inlineStr">
        <is>
          <t>/</t>
        </is>
      </c>
      <c r="T118" s="224" t="n">
        <v>0.04</v>
      </c>
      <c r="U118" s="224" t="n">
        <v>0.04</v>
      </c>
      <c r="V118" s="502" t="inlineStr">
        <is>
          <t>/</t>
        </is>
      </c>
      <c r="W118" s="114" t="n">
        <v>0.5</v>
      </c>
      <c r="X118" s="51" t="inlineStr">
        <is>
          <t>/</t>
        </is>
      </c>
      <c r="Y118" s="51" t="inlineStr">
        <is>
          <t>/</t>
        </is>
      </c>
      <c r="Z118" s="51" t="inlineStr">
        <is>
          <t>/</t>
        </is>
      </c>
      <c r="AA118" s="51" t="inlineStr">
        <is>
          <t>/</t>
        </is>
      </c>
      <c r="AB118" s="502" t="inlineStr">
        <is>
          <t>/</t>
        </is>
      </c>
      <c r="AC118" s="502" t="inlineStr">
        <is>
          <t>/</t>
        </is>
      </c>
      <c r="AD118" s="232" t="n"/>
      <c r="AE118" s="25" t="inlineStr">
        <is>
          <t xml:space="preserve">
1、签订期间：2026.1.1-2026.8.1；
2、指标按照全年换算；</t>
        </is>
      </c>
    </row>
    <row r="119" ht="36" customFormat="1" customHeight="1" s="209">
      <c r="A119" s="219" t="n">
        <v>124</v>
      </c>
      <c r="B119" s="14" t="inlineStr">
        <is>
          <t>KQCY0124</t>
        </is>
      </c>
      <c r="C119" s="221" t="inlineStr">
        <is>
          <t>餐饮二分部</t>
        </is>
      </c>
      <c r="D119" s="221" t="inlineStr">
        <is>
          <t>CF450</t>
        </is>
      </c>
      <c r="E119" s="221" t="inlineStr">
        <is>
          <t>天津大学学二食堂</t>
        </is>
      </c>
      <c r="F119" s="219" t="inlineStr">
        <is>
          <t>强责</t>
        </is>
      </c>
      <c r="G119" s="222" t="inlineStr">
        <is>
          <t>陆琪</t>
        </is>
      </c>
      <c r="H119" s="503" t="inlineStr">
        <is>
          <t>/</t>
        </is>
      </c>
      <c r="I119" s="237" t="inlineStr">
        <is>
          <t>饸饹面</t>
        </is>
      </c>
      <c r="J119" s="503" t="inlineStr">
        <is>
          <t>要志远</t>
        </is>
      </c>
      <c r="K119" s="224" t="inlineStr">
        <is>
          <t>/</t>
        </is>
      </c>
      <c r="L119" s="651" t="n">
        <v>220000</v>
      </c>
      <c r="M119" s="113" t="n">
        <v>0.18</v>
      </c>
      <c r="N119" s="502" t="inlineStr">
        <is>
          <t>/</t>
        </is>
      </c>
      <c r="O119" s="113" t="n">
        <v>0.02</v>
      </c>
      <c r="P119" s="502" t="inlineStr">
        <is>
          <t>/</t>
        </is>
      </c>
      <c r="Q119" s="502" t="inlineStr">
        <is>
          <t>/</t>
        </is>
      </c>
      <c r="R119" s="502" t="inlineStr">
        <is>
          <t>/</t>
        </is>
      </c>
      <c r="S119" s="502" t="inlineStr">
        <is>
          <t>/</t>
        </is>
      </c>
      <c r="T119" s="224" t="n">
        <v>0.04</v>
      </c>
      <c r="U119" s="224" t="n">
        <v>0.04</v>
      </c>
      <c r="V119" s="502" t="inlineStr">
        <is>
          <t>/</t>
        </is>
      </c>
      <c r="W119" s="114" t="n">
        <v>0.5</v>
      </c>
      <c r="X119" s="51" t="inlineStr">
        <is>
          <t>/</t>
        </is>
      </c>
      <c r="Y119" s="51" t="inlineStr">
        <is>
          <t>/</t>
        </is>
      </c>
      <c r="Z119" s="51" t="inlineStr">
        <is>
          <t>/</t>
        </is>
      </c>
      <c r="AA119" s="51" t="inlineStr">
        <is>
          <t>/</t>
        </is>
      </c>
      <c r="AB119" s="502" t="inlineStr">
        <is>
          <t>/</t>
        </is>
      </c>
      <c r="AC119" s="502" t="inlineStr">
        <is>
          <t>/</t>
        </is>
      </c>
      <c r="AD119" s="232" t="n"/>
      <c r="AE119" s="25" t="inlineStr">
        <is>
          <t xml:space="preserve">
1、签订期间：2026.1.1-2026.8.1；
2、指标按照全年换算；</t>
        </is>
      </c>
    </row>
    <row r="120" ht="36" customFormat="1" customHeight="1" s="209">
      <c r="A120" s="219" t="n">
        <v>125</v>
      </c>
      <c r="B120" s="14" t="inlineStr">
        <is>
          <t>KQCY0125</t>
        </is>
      </c>
      <c r="C120" s="221" t="inlineStr">
        <is>
          <t>餐饮二分部</t>
        </is>
      </c>
      <c r="D120" s="221" t="inlineStr">
        <is>
          <t>CF450</t>
        </is>
      </c>
      <c r="E120" s="221" t="inlineStr">
        <is>
          <t>天津大学学二食堂</t>
        </is>
      </c>
      <c r="F120" s="219" t="inlineStr">
        <is>
          <t>强责</t>
        </is>
      </c>
      <c r="G120" s="222" t="inlineStr">
        <is>
          <t>陆琪</t>
        </is>
      </c>
      <c r="H120" s="503" t="inlineStr">
        <is>
          <t>/</t>
        </is>
      </c>
      <c r="I120" s="237" t="inlineStr">
        <is>
          <t>麻辣烫</t>
        </is>
      </c>
      <c r="J120" s="503" t="inlineStr">
        <is>
          <t>孟迪</t>
        </is>
      </c>
      <c r="K120" s="224" t="inlineStr">
        <is>
          <t>/</t>
        </is>
      </c>
      <c r="L120" s="651" t="n">
        <v>300000</v>
      </c>
      <c r="M120" s="113" t="n">
        <v>0.18</v>
      </c>
      <c r="N120" s="502" t="inlineStr">
        <is>
          <t>/</t>
        </is>
      </c>
      <c r="O120" s="113" t="n">
        <v>0.02</v>
      </c>
      <c r="P120" s="502" t="inlineStr">
        <is>
          <t>/</t>
        </is>
      </c>
      <c r="Q120" s="502" t="inlineStr">
        <is>
          <t>/</t>
        </is>
      </c>
      <c r="R120" s="502" t="inlineStr">
        <is>
          <t>/</t>
        </is>
      </c>
      <c r="S120" s="502" t="inlineStr">
        <is>
          <t>/</t>
        </is>
      </c>
      <c r="T120" s="224" t="n">
        <v>0.04</v>
      </c>
      <c r="U120" s="224" t="n">
        <v>0.04</v>
      </c>
      <c r="V120" s="502" t="inlineStr">
        <is>
          <t>/</t>
        </is>
      </c>
      <c r="W120" s="114" t="n">
        <v>0.5</v>
      </c>
      <c r="X120" s="51" t="inlineStr">
        <is>
          <t>/</t>
        </is>
      </c>
      <c r="Y120" s="51" t="inlineStr">
        <is>
          <t>/</t>
        </is>
      </c>
      <c r="Z120" s="51" t="inlineStr">
        <is>
          <t>/</t>
        </is>
      </c>
      <c r="AA120" s="51" t="inlineStr">
        <is>
          <t>/</t>
        </is>
      </c>
      <c r="AB120" s="502" t="inlineStr">
        <is>
          <t>/</t>
        </is>
      </c>
      <c r="AC120" s="502" t="inlineStr">
        <is>
          <t>/</t>
        </is>
      </c>
      <c r="AD120" s="232" t="n"/>
      <c r="AE120" s="25" t="inlineStr">
        <is>
          <t xml:space="preserve">
1、签订期间：2026.1.1-2026.8.1；
2、指标按照全年换算；</t>
        </is>
      </c>
    </row>
    <row r="121" ht="36" customFormat="1" customHeight="1" s="209">
      <c r="A121" s="219" t="n">
        <v>126</v>
      </c>
      <c r="B121" s="14" t="inlineStr">
        <is>
          <t>KQCY0126</t>
        </is>
      </c>
      <c r="C121" s="221" t="inlineStr">
        <is>
          <t>餐饮二分部</t>
        </is>
      </c>
      <c r="D121" s="221" t="inlineStr">
        <is>
          <t>CF450</t>
        </is>
      </c>
      <c r="E121" s="221" t="inlineStr">
        <is>
          <t>天津大学学二食堂</t>
        </is>
      </c>
      <c r="F121" s="219" t="inlineStr">
        <is>
          <t>强责</t>
        </is>
      </c>
      <c r="G121" s="222" t="inlineStr">
        <is>
          <t>陆琪</t>
        </is>
      </c>
      <c r="H121" s="503" t="inlineStr">
        <is>
          <t>/</t>
        </is>
      </c>
      <c r="I121" s="237" t="inlineStr">
        <is>
          <t>烤鸭饭</t>
        </is>
      </c>
      <c r="J121" s="503" t="inlineStr">
        <is>
          <t>董子帅</t>
        </is>
      </c>
      <c r="K121" s="224" t="inlineStr">
        <is>
          <t>/</t>
        </is>
      </c>
      <c r="L121" s="651" t="n">
        <v>400000</v>
      </c>
      <c r="M121" s="113" t="n">
        <v>0.18</v>
      </c>
      <c r="N121" s="502" t="inlineStr">
        <is>
          <t>/</t>
        </is>
      </c>
      <c r="O121" s="113" t="n">
        <v>0.02</v>
      </c>
      <c r="P121" s="502" t="inlineStr">
        <is>
          <t>/</t>
        </is>
      </c>
      <c r="Q121" s="502" t="inlineStr">
        <is>
          <t>/</t>
        </is>
      </c>
      <c r="R121" s="502" t="inlineStr">
        <is>
          <t>/</t>
        </is>
      </c>
      <c r="S121" s="502" t="inlineStr">
        <is>
          <t>/</t>
        </is>
      </c>
      <c r="T121" s="224" t="n">
        <v>0.04</v>
      </c>
      <c r="U121" s="224" t="n">
        <v>0.04</v>
      </c>
      <c r="V121" s="502" t="inlineStr">
        <is>
          <t>/</t>
        </is>
      </c>
      <c r="W121" s="114" t="n">
        <v>0.5</v>
      </c>
      <c r="X121" s="51" t="inlineStr">
        <is>
          <t>/</t>
        </is>
      </c>
      <c r="Y121" s="51" t="inlineStr">
        <is>
          <t>/</t>
        </is>
      </c>
      <c r="Z121" s="51" t="inlineStr">
        <is>
          <t>/</t>
        </is>
      </c>
      <c r="AA121" s="51" t="inlineStr">
        <is>
          <t>/</t>
        </is>
      </c>
      <c r="AB121" s="502" t="inlineStr">
        <is>
          <t>/</t>
        </is>
      </c>
      <c r="AC121" s="502" t="inlineStr">
        <is>
          <t>/</t>
        </is>
      </c>
      <c r="AD121" s="232" t="n"/>
      <c r="AE121" s="25" t="inlineStr">
        <is>
          <t xml:space="preserve">
1、签订期间：2026.1.1-2026.8.1；
2、指标按照全年换算；</t>
        </is>
      </c>
    </row>
    <row r="122" ht="36" customFormat="1" customHeight="1" s="209">
      <c r="A122" s="219" t="n">
        <v>127</v>
      </c>
      <c r="B122" s="14" t="inlineStr">
        <is>
          <t>KQCY0127</t>
        </is>
      </c>
      <c r="C122" s="221" t="inlineStr">
        <is>
          <t>餐饮二分部</t>
        </is>
      </c>
      <c r="D122" s="221" t="inlineStr">
        <is>
          <t>CF450</t>
        </is>
      </c>
      <c r="E122" s="221" t="inlineStr">
        <is>
          <t>天津大学学二食堂</t>
        </is>
      </c>
      <c r="F122" s="219" t="inlineStr">
        <is>
          <t>强责</t>
        </is>
      </c>
      <c r="G122" s="222" t="inlineStr">
        <is>
          <t>陆琪</t>
        </is>
      </c>
      <c r="H122" s="503" t="inlineStr">
        <is>
          <t>/</t>
        </is>
      </c>
      <c r="I122" s="237" t="inlineStr">
        <is>
          <t>真有面</t>
        </is>
      </c>
      <c r="J122" s="480" t="inlineStr">
        <is>
          <t>尹细老</t>
        </is>
      </c>
      <c r="K122" s="224" t="inlineStr">
        <is>
          <t>/</t>
        </is>
      </c>
      <c r="L122" s="651" t="n">
        <v>300000</v>
      </c>
      <c r="M122" s="113" t="n">
        <v>0.18</v>
      </c>
      <c r="N122" s="502" t="inlineStr">
        <is>
          <t>/</t>
        </is>
      </c>
      <c r="O122" s="113" t="n">
        <v>0.02</v>
      </c>
      <c r="P122" s="502" t="inlineStr">
        <is>
          <t>/</t>
        </is>
      </c>
      <c r="Q122" s="502" t="inlineStr">
        <is>
          <t>/</t>
        </is>
      </c>
      <c r="R122" s="502" t="inlineStr">
        <is>
          <t>/</t>
        </is>
      </c>
      <c r="S122" s="502" t="inlineStr">
        <is>
          <t>/</t>
        </is>
      </c>
      <c r="T122" s="224" t="n">
        <v>0.04</v>
      </c>
      <c r="U122" s="224" t="n">
        <v>0.04</v>
      </c>
      <c r="V122" s="502" t="inlineStr">
        <is>
          <t>/</t>
        </is>
      </c>
      <c r="W122" s="114" t="n">
        <v>0.5</v>
      </c>
      <c r="X122" s="51" t="inlineStr">
        <is>
          <t>/</t>
        </is>
      </c>
      <c r="Y122" s="51" t="inlineStr">
        <is>
          <t>/</t>
        </is>
      </c>
      <c r="Z122" s="51" t="inlineStr">
        <is>
          <t>/</t>
        </is>
      </c>
      <c r="AA122" s="51" t="inlineStr">
        <is>
          <t>/</t>
        </is>
      </c>
      <c r="AB122" s="502" t="inlineStr">
        <is>
          <t>/</t>
        </is>
      </c>
      <c r="AC122" s="502" t="inlineStr">
        <is>
          <t>/</t>
        </is>
      </c>
      <c r="AD122" s="232" t="n"/>
      <c r="AE122" s="25" t="inlineStr">
        <is>
          <t xml:space="preserve">
1、签订期间：2026.1.1-2026.8.1；
2、指标按照全年换算；</t>
        </is>
      </c>
    </row>
    <row r="123" ht="36" customFormat="1" customHeight="1" s="209">
      <c r="A123" s="219" t="n">
        <v>128</v>
      </c>
      <c r="B123" s="14" t="inlineStr">
        <is>
          <t>KQCY0128</t>
        </is>
      </c>
      <c r="C123" s="221" t="inlineStr">
        <is>
          <t>餐饮二分部</t>
        </is>
      </c>
      <c r="D123" s="221" t="inlineStr">
        <is>
          <t>CF450</t>
        </is>
      </c>
      <c r="E123" s="221" t="inlineStr">
        <is>
          <t>天津大学学二食堂</t>
        </is>
      </c>
      <c r="F123" s="219" t="inlineStr">
        <is>
          <t>强责</t>
        </is>
      </c>
      <c r="G123" s="222" t="inlineStr">
        <is>
          <t>陆琪</t>
        </is>
      </c>
      <c r="H123" s="503" t="inlineStr">
        <is>
          <t>/</t>
        </is>
      </c>
      <c r="I123" s="237" t="inlineStr">
        <is>
          <t>云南生烫米线</t>
        </is>
      </c>
      <c r="J123" s="503" t="inlineStr">
        <is>
          <t>由俊楠</t>
        </is>
      </c>
      <c r="K123" s="224" t="inlineStr">
        <is>
          <t>/</t>
        </is>
      </c>
      <c r="L123" s="651" t="n">
        <v>220000</v>
      </c>
      <c r="M123" s="113" t="n">
        <v>0.18</v>
      </c>
      <c r="N123" s="502" t="inlineStr">
        <is>
          <t>/</t>
        </is>
      </c>
      <c r="O123" s="113" t="n">
        <v>0.02</v>
      </c>
      <c r="P123" s="502" t="inlineStr">
        <is>
          <t>/</t>
        </is>
      </c>
      <c r="Q123" s="502" t="inlineStr">
        <is>
          <t>/</t>
        </is>
      </c>
      <c r="R123" s="502" t="inlineStr">
        <is>
          <t>/</t>
        </is>
      </c>
      <c r="S123" s="502" t="inlineStr">
        <is>
          <t>/</t>
        </is>
      </c>
      <c r="T123" s="224" t="n">
        <v>0.04</v>
      </c>
      <c r="U123" s="224" t="n">
        <v>0.04</v>
      </c>
      <c r="V123" s="502" t="inlineStr">
        <is>
          <t>/</t>
        </is>
      </c>
      <c r="W123" s="114" t="n">
        <v>0.5</v>
      </c>
      <c r="X123" s="51" t="inlineStr">
        <is>
          <t>/</t>
        </is>
      </c>
      <c r="Y123" s="51" t="inlineStr">
        <is>
          <t>/</t>
        </is>
      </c>
      <c r="Z123" s="51" t="inlineStr">
        <is>
          <t>/</t>
        </is>
      </c>
      <c r="AA123" s="51" t="inlineStr">
        <is>
          <t>/</t>
        </is>
      </c>
      <c r="AB123" s="502" t="inlineStr">
        <is>
          <t>/</t>
        </is>
      </c>
      <c r="AC123" s="502" t="inlineStr">
        <is>
          <t>/</t>
        </is>
      </c>
      <c r="AD123" s="232" t="n"/>
      <c r="AE123" s="25" t="inlineStr">
        <is>
          <t xml:space="preserve">
1、签订期间：2026.1.1-2026.8.1；
2、指标按照全年换算；</t>
        </is>
      </c>
    </row>
    <row r="124" ht="12" customFormat="1" customHeight="1" s="209">
      <c r="A124" s="219" t="n">
        <v>129</v>
      </c>
      <c r="B124" s="14" t="inlineStr">
        <is>
          <t>KQCY0129</t>
        </is>
      </c>
      <c r="C124" s="221" t="inlineStr">
        <is>
          <t>餐饮二分部</t>
        </is>
      </c>
      <c r="D124" s="221" t="inlineStr">
        <is>
          <t>CF513</t>
        </is>
      </c>
      <c r="E124" s="221" t="inlineStr">
        <is>
          <t>天津大学学三食堂</t>
        </is>
      </c>
      <c r="F124" s="219" t="inlineStr">
        <is>
          <t>人员服务外包</t>
        </is>
      </c>
      <c r="G124" s="222" t="inlineStr">
        <is>
          <t>陆琪</t>
        </is>
      </c>
      <c r="H124" s="222" t="inlineStr">
        <is>
          <t>/</t>
        </is>
      </c>
      <c r="I124" s="232" t="inlineStr">
        <is>
          <t>/</t>
        </is>
      </c>
      <c r="J124" s="503" t="inlineStr">
        <is>
          <t>/</t>
        </is>
      </c>
      <c r="K124" s="224" t="inlineStr">
        <is>
          <t>/</t>
        </is>
      </c>
      <c r="L124" s="651" t="n">
        <v>566000</v>
      </c>
      <c r="M124" s="502" t="inlineStr">
        <is>
          <t>/</t>
        </is>
      </c>
      <c r="N124" s="502" t="inlineStr">
        <is>
          <t>/</t>
        </is>
      </c>
      <c r="O124" s="502" t="inlineStr">
        <is>
          <t>/</t>
        </is>
      </c>
      <c r="P124" s="502" t="inlineStr">
        <is>
          <t>/</t>
        </is>
      </c>
      <c r="Q124" s="502" t="inlineStr">
        <is>
          <t>/</t>
        </is>
      </c>
      <c r="R124" s="502" t="inlineStr">
        <is>
          <t>/</t>
        </is>
      </c>
      <c r="S124" s="502" t="inlineStr">
        <is>
          <t>/</t>
        </is>
      </c>
      <c r="T124" s="503" t="inlineStr">
        <is>
          <t>/</t>
        </is>
      </c>
      <c r="U124" s="502" t="inlineStr">
        <is>
          <t>/</t>
        </is>
      </c>
      <c r="V124" s="502" t="inlineStr">
        <is>
          <t>/</t>
        </is>
      </c>
      <c r="W124" s="503" t="inlineStr">
        <is>
          <t>/</t>
        </is>
      </c>
      <c r="X124" s="51" t="inlineStr">
        <is>
          <t>/</t>
        </is>
      </c>
      <c r="Y124" s="51" t="inlineStr">
        <is>
          <t>/</t>
        </is>
      </c>
      <c r="Z124" s="51" t="inlineStr">
        <is>
          <t>/</t>
        </is>
      </c>
      <c r="AA124" s="51" t="inlineStr">
        <is>
          <t>/</t>
        </is>
      </c>
      <c r="AB124" s="222" t="n">
        <v>100000</v>
      </c>
      <c r="AC124" s="46" t="inlineStr">
        <is>
          <t>/</t>
        </is>
      </c>
      <c r="AD124" s="232" t="inlineStr">
        <is>
          <t>1、分部管理费：10万元</t>
        </is>
      </c>
      <c r="AE124" s="25" t="n"/>
    </row>
    <row r="125" ht="12" customFormat="1" customHeight="1" s="209">
      <c r="A125" s="219" t="n">
        <v>130</v>
      </c>
      <c r="B125" s="14" t="inlineStr">
        <is>
          <t>KQCY0130</t>
        </is>
      </c>
      <c r="C125" s="221" t="inlineStr">
        <is>
          <t>餐饮二分部</t>
        </is>
      </c>
      <c r="D125" s="221" t="inlineStr">
        <is>
          <t>CF453</t>
        </is>
      </c>
      <c r="E125" s="221" t="inlineStr">
        <is>
          <t>天津大学学四食堂</t>
        </is>
      </c>
      <c r="F125" s="219" t="inlineStr">
        <is>
          <t>人员服务外包</t>
        </is>
      </c>
      <c r="G125" s="222" t="inlineStr">
        <is>
          <t>陆琪</t>
        </is>
      </c>
      <c r="H125" s="222" t="inlineStr">
        <is>
          <t>/</t>
        </is>
      </c>
      <c r="I125" s="232" t="inlineStr">
        <is>
          <t>/</t>
        </is>
      </c>
      <c r="J125" s="503" t="inlineStr">
        <is>
          <t>/</t>
        </is>
      </c>
      <c r="K125" s="224" t="inlineStr">
        <is>
          <t>/</t>
        </is>
      </c>
      <c r="L125" s="651" t="n">
        <v>710000</v>
      </c>
      <c r="M125" s="502" t="inlineStr">
        <is>
          <t>/</t>
        </is>
      </c>
      <c r="N125" s="502" t="inlineStr">
        <is>
          <t>/</t>
        </is>
      </c>
      <c r="O125" s="502" t="inlineStr">
        <is>
          <t>/</t>
        </is>
      </c>
      <c r="P125" s="502" t="inlineStr">
        <is>
          <t>/</t>
        </is>
      </c>
      <c r="Q125" s="502" t="inlineStr">
        <is>
          <t>/</t>
        </is>
      </c>
      <c r="R125" s="502" t="inlineStr">
        <is>
          <t>/</t>
        </is>
      </c>
      <c r="S125" s="502" t="inlineStr">
        <is>
          <t>/</t>
        </is>
      </c>
      <c r="T125" s="503" t="inlineStr">
        <is>
          <t>/</t>
        </is>
      </c>
      <c r="U125" s="502" t="inlineStr">
        <is>
          <t>/</t>
        </is>
      </c>
      <c r="V125" s="502" t="inlineStr">
        <is>
          <t>/</t>
        </is>
      </c>
      <c r="W125" s="503" t="inlineStr">
        <is>
          <t>/</t>
        </is>
      </c>
      <c r="X125" s="51" t="inlineStr">
        <is>
          <t>/</t>
        </is>
      </c>
      <c r="Y125" s="51" t="inlineStr">
        <is>
          <t>/</t>
        </is>
      </c>
      <c r="Z125" s="51" t="inlineStr">
        <is>
          <t>/</t>
        </is>
      </c>
      <c r="AA125" s="51" t="inlineStr">
        <is>
          <t>/</t>
        </is>
      </c>
      <c r="AB125" s="222" t="n">
        <v>100000</v>
      </c>
      <c r="AC125" s="46" t="inlineStr">
        <is>
          <t>/</t>
        </is>
      </c>
      <c r="AD125" s="232" t="inlineStr">
        <is>
          <t>1、分部管理费：10万元</t>
        </is>
      </c>
      <c r="AE125" s="25" t="n"/>
    </row>
    <row r="126" ht="24" customFormat="1" customHeight="1" s="209">
      <c r="A126" s="219" t="n">
        <v>131</v>
      </c>
      <c r="B126" s="14" t="inlineStr">
        <is>
          <t>KQCY0131</t>
        </is>
      </c>
      <c r="C126" s="221" t="inlineStr">
        <is>
          <t>餐饮三分部</t>
        </is>
      </c>
      <c r="D126" s="221" t="inlineStr">
        <is>
          <t>CF190</t>
        </is>
      </c>
      <c r="E126" s="221" t="inlineStr">
        <is>
          <t>苏旅财食堂</t>
        </is>
      </c>
      <c r="F126" s="221" t="inlineStr">
        <is>
          <t>人员服务外包</t>
        </is>
      </c>
      <c r="G126" s="243" t="inlineStr">
        <is>
          <t>位军浩</t>
        </is>
      </c>
      <c r="H126" s="243" t="inlineStr">
        <is>
          <t>/</t>
        </is>
      </c>
      <c r="I126" s="335" t="inlineStr">
        <is>
          <t>/</t>
        </is>
      </c>
      <c r="J126" s="243" t="inlineStr">
        <is>
          <t>/</t>
        </is>
      </c>
      <c r="K126" s="349" t="inlineStr">
        <is>
          <t>/</t>
        </is>
      </c>
      <c r="L126" s="651" t="inlineStr">
        <is>
          <t>/</t>
        </is>
      </c>
      <c r="M126" s="462" t="inlineStr">
        <is>
          <t>/</t>
        </is>
      </c>
      <c r="N126" s="47" t="n"/>
      <c r="O126" s="106" t="n"/>
      <c r="P126" s="106" t="n"/>
      <c r="Q126" s="462" t="inlineStr">
        <is>
          <t>/</t>
        </is>
      </c>
      <c r="R126" s="462" t="inlineStr">
        <is>
          <t>/</t>
        </is>
      </c>
      <c r="S126" s="462" t="inlineStr">
        <is>
          <t>/</t>
        </is>
      </c>
      <c r="T126" s="480" t="inlineStr">
        <is>
          <t>/</t>
        </is>
      </c>
      <c r="U126" s="462" t="inlineStr">
        <is>
          <t>/</t>
        </is>
      </c>
      <c r="V126" s="462" t="inlineStr">
        <is>
          <t>/</t>
        </is>
      </c>
      <c r="W126" s="480" t="inlineStr">
        <is>
          <t>/</t>
        </is>
      </c>
      <c r="X126" s="115" t="inlineStr">
        <is>
          <t>/</t>
        </is>
      </c>
      <c r="Y126" s="115" t="inlineStr">
        <is>
          <t>/</t>
        </is>
      </c>
      <c r="Z126" s="115" t="inlineStr">
        <is>
          <t>/</t>
        </is>
      </c>
      <c r="AA126" s="115" t="inlineStr">
        <is>
          <t>/</t>
        </is>
      </c>
      <c r="AB126" s="243" t="n"/>
      <c r="AC126" s="224" t="inlineStr">
        <is>
          <t>/</t>
        </is>
      </c>
      <c r="AD126" s="48" t="inlineStr">
        <is>
          <t>1、自营未实际经营；
2、分部管理费：100000/年+1%营业额</t>
        </is>
      </c>
      <c r="AE126" s="25" t="n"/>
    </row>
    <row r="127" ht="24" customFormat="1" customHeight="1" s="209">
      <c r="A127" s="219" t="n">
        <v>132</v>
      </c>
      <c r="B127" s="14" t="inlineStr">
        <is>
          <t>KQCY0132</t>
        </is>
      </c>
      <c r="C127" s="221" t="inlineStr">
        <is>
          <t>餐饮三分部</t>
        </is>
      </c>
      <c r="D127" s="221" t="inlineStr">
        <is>
          <t>CF190</t>
        </is>
      </c>
      <c r="E127" s="221" t="inlineStr">
        <is>
          <t>苏旅财食堂</t>
        </is>
      </c>
      <c r="F127" s="221" t="inlineStr">
        <is>
          <t>人员服务外包</t>
        </is>
      </c>
      <c r="G127" s="222" t="inlineStr">
        <is>
          <t>位军浩</t>
        </is>
      </c>
      <c r="H127" s="222" t="inlineStr">
        <is>
          <t>第一班组</t>
        </is>
      </c>
      <c r="I127" s="232" t="inlineStr">
        <is>
          <t>苏式汤面</t>
        </is>
      </c>
      <c r="J127" s="503" t="inlineStr">
        <is>
          <t>闵晓均</t>
        </is>
      </c>
      <c r="K127" s="224" t="inlineStr">
        <is>
          <t>/</t>
        </is>
      </c>
      <c r="L127" s="651" t="n">
        <v>280000</v>
      </c>
      <c r="M127" s="22" t="n">
        <v>0.09</v>
      </c>
      <c r="N127" s="224" t="inlineStr">
        <is>
          <t>/</t>
        </is>
      </c>
      <c r="O127" s="224" t="inlineStr">
        <is>
          <t>/</t>
        </is>
      </c>
      <c r="P127" s="502" t="n">
        <v>137.45</v>
      </c>
      <c r="Q127" s="113" t="n">
        <v>0.02</v>
      </c>
      <c r="R127" s="22" t="inlineStr">
        <is>
          <t>/</t>
        </is>
      </c>
      <c r="S127" s="224" t="inlineStr">
        <is>
          <t>/</t>
        </is>
      </c>
      <c r="T127" s="22" t="n"/>
      <c r="U127" s="116" t="inlineStr">
        <is>
          <t>/</t>
        </is>
      </c>
      <c r="V127" s="224" t="n">
        <v>0.04</v>
      </c>
      <c r="W127" s="224" t="n">
        <v>0.54</v>
      </c>
      <c r="X127" s="502" t="inlineStr">
        <is>
          <t>/</t>
        </is>
      </c>
      <c r="Y127" s="502" t="inlineStr">
        <is>
          <t>/</t>
        </is>
      </c>
      <c r="Z127" s="502" t="inlineStr">
        <is>
          <t>/</t>
        </is>
      </c>
      <c r="AA127" s="502" t="inlineStr">
        <is>
          <t>/</t>
        </is>
      </c>
      <c r="AB127" s="22" t="inlineStr">
        <is>
          <t>/</t>
        </is>
      </c>
      <c r="AC127" s="503" t="inlineStr">
        <is>
          <t>/</t>
        </is>
      </c>
      <c r="AD127" s="232" t="inlineStr">
        <is>
          <t>1、其他：外卖人员服务费按照实际外卖营业额4%收取</t>
        </is>
      </c>
      <c r="AE127" s="25" t="inlineStr">
        <is>
          <t>1、签订期间：2026.3.1-2026.8.30；
2、指标按照全年换算；</t>
        </is>
      </c>
    </row>
    <row r="128" ht="24" customFormat="1" customHeight="1" s="209">
      <c r="A128" s="219" t="n">
        <v>133</v>
      </c>
      <c r="B128" s="14" t="inlineStr">
        <is>
          <t>KQCY0133</t>
        </is>
      </c>
      <c r="C128" s="221" t="inlineStr">
        <is>
          <t>餐饮三分部</t>
        </is>
      </c>
      <c r="D128" s="221" t="inlineStr">
        <is>
          <t>CF190</t>
        </is>
      </c>
      <c r="E128" s="221" t="inlineStr">
        <is>
          <t>苏旅财食堂</t>
        </is>
      </c>
      <c r="F128" s="221" t="inlineStr">
        <is>
          <t>人员服务外包</t>
        </is>
      </c>
      <c r="G128" s="222" t="inlineStr">
        <is>
          <t>位军浩</t>
        </is>
      </c>
      <c r="H128" s="222" t="inlineStr">
        <is>
          <t>第二班组</t>
        </is>
      </c>
      <c r="I128" s="232" t="inlineStr">
        <is>
          <t>铁板砂锅</t>
        </is>
      </c>
      <c r="J128" s="503" t="inlineStr">
        <is>
          <t>付鹏亮</t>
        </is>
      </c>
      <c r="K128" s="224" t="inlineStr">
        <is>
          <t>/</t>
        </is>
      </c>
      <c r="L128" s="651" t="n">
        <v>560000</v>
      </c>
      <c r="M128" s="22" t="n">
        <v>0.1</v>
      </c>
      <c r="N128" s="224" t="inlineStr">
        <is>
          <t>/</t>
        </is>
      </c>
      <c r="O128" s="224" t="inlineStr">
        <is>
          <t>/</t>
        </is>
      </c>
      <c r="P128" s="502" t="n">
        <v>308.9</v>
      </c>
      <c r="Q128" s="113" t="n">
        <v>0.02</v>
      </c>
      <c r="R128" s="22" t="inlineStr">
        <is>
          <t>/</t>
        </is>
      </c>
      <c r="S128" s="224" t="inlineStr">
        <is>
          <t>/</t>
        </is>
      </c>
      <c r="T128" s="22" t="n"/>
      <c r="U128" s="116" t="inlineStr">
        <is>
          <t>/</t>
        </is>
      </c>
      <c r="V128" s="224" t="n">
        <v>0.04</v>
      </c>
      <c r="W128" s="224" t="n">
        <v>0.52</v>
      </c>
      <c r="X128" s="502" t="inlineStr">
        <is>
          <t>/</t>
        </is>
      </c>
      <c r="Y128" s="502" t="inlineStr">
        <is>
          <t>/</t>
        </is>
      </c>
      <c r="Z128" s="502" t="inlineStr">
        <is>
          <t>/</t>
        </is>
      </c>
      <c r="AA128" s="502" t="inlineStr">
        <is>
          <t>/</t>
        </is>
      </c>
      <c r="AB128" s="22" t="inlineStr">
        <is>
          <t>/</t>
        </is>
      </c>
      <c r="AC128" s="503" t="inlineStr">
        <is>
          <t>/</t>
        </is>
      </c>
      <c r="AD128" s="232" t="inlineStr">
        <is>
          <t>1、其他：外卖人员服务费按照实际外卖营业额4%收取</t>
        </is>
      </c>
      <c r="AE128" s="25" t="inlineStr">
        <is>
          <t>1、签订期间：2026.3.1-2026.8.30；
2、指标按照全年换算；</t>
        </is>
      </c>
    </row>
    <row r="129" ht="24" customFormat="1" customHeight="1" s="209">
      <c r="A129" s="219" t="n">
        <v>134</v>
      </c>
      <c r="B129" s="14" t="inlineStr">
        <is>
          <t>KQCY0134</t>
        </is>
      </c>
      <c r="C129" s="221" t="inlineStr">
        <is>
          <t>餐饮三分部</t>
        </is>
      </c>
      <c r="D129" s="221" t="inlineStr">
        <is>
          <t>CF190</t>
        </is>
      </c>
      <c r="E129" s="221" t="inlineStr">
        <is>
          <t>苏旅财食堂</t>
        </is>
      </c>
      <c r="F129" s="221" t="inlineStr">
        <is>
          <t>人员服务外包</t>
        </is>
      </c>
      <c r="G129" s="222" t="inlineStr">
        <is>
          <t>位军浩</t>
        </is>
      </c>
      <c r="H129" s="222" t="inlineStr">
        <is>
          <t>第三班组</t>
        </is>
      </c>
      <c r="I129" s="232" t="inlineStr">
        <is>
          <t>石锅拌饭</t>
        </is>
      </c>
      <c r="J129" s="503" t="inlineStr">
        <is>
          <t>于红艳</t>
        </is>
      </c>
      <c r="K129" s="224" t="inlineStr">
        <is>
          <t>/</t>
        </is>
      </c>
      <c r="L129" s="651" t="n">
        <v>420000</v>
      </c>
      <c r="M129" s="22" t="n">
        <v>0.1</v>
      </c>
      <c r="N129" s="224" t="inlineStr">
        <is>
          <t>/</t>
        </is>
      </c>
      <c r="O129" s="224" t="inlineStr">
        <is>
          <t>/</t>
        </is>
      </c>
      <c r="P129" s="502" t="n">
        <v>217.9</v>
      </c>
      <c r="Q129" s="113" t="n">
        <v>0.02</v>
      </c>
      <c r="R129" s="22" t="inlineStr">
        <is>
          <t>/</t>
        </is>
      </c>
      <c r="S129" s="224" t="inlineStr">
        <is>
          <t>/</t>
        </is>
      </c>
      <c r="T129" s="22" t="n"/>
      <c r="U129" s="116" t="inlineStr">
        <is>
          <t>/</t>
        </is>
      </c>
      <c r="V129" s="224" t="n">
        <v>0.04</v>
      </c>
      <c r="W129" s="224" t="n">
        <v>0.52</v>
      </c>
      <c r="X129" s="502" t="inlineStr">
        <is>
          <t>/</t>
        </is>
      </c>
      <c r="Y129" s="502" t="inlineStr">
        <is>
          <t>/</t>
        </is>
      </c>
      <c r="Z129" s="502" t="inlineStr">
        <is>
          <t>/</t>
        </is>
      </c>
      <c r="AA129" s="502" t="inlineStr">
        <is>
          <t>/</t>
        </is>
      </c>
      <c r="AB129" s="22" t="inlineStr">
        <is>
          <t>/</t>
        </is>
      </c>
      <c r="AC129" s="503" t="inlineStr">
        <is>
          <t>/</t>
        </is>
      </c>
      <c r="AD129" s="232" t="inlineStr">
        <is>
          <t>1、其他：外卖人员服务费按照实际外卖营业额4%收取</t>
        </is>
      </c>
      <c r="AE129" s="25" t="inlineStr">
        <is>
          <t>1、签订期间：2026.3.1-2026.8.30；
2、指标按照全年换算；</t>
        </is>
      </c>
    </row>
    <row r="130" ht="24" customFormat="1" customHeight="1" s="209">
      <c r="A130" s="219" t="n">
        <v>135</v>
      </c>
      <c r="B130" s="14" t="inlineStr">
        <is>
          <t>KQCY0135</t>
        </is>
      </c>
      <c r="C130" s="221" t="inlineStr">
        <is>
          <t>餐饮三分部</t>
        </is>
      </c>
      <c r="D130" s="221" t="inlineStr">
        <is>
          <t>CF190</t>
        </is>
      </c>
      <c r="E130" s="221" t="inlineStr">
        <is>
          <t>苏旅财食堂</t>
        </is>
      </c>
      <c r="F130" s="221" t="inlineStr">
        <is>
          <t>人员服务外包</t>
        </is>
      </c>
      <c r="G130" s="222" t="inlineStr">
        <is>
          <t>位军浩</t>
        </is>
      </c>
      <c r="H130" s="222" t="inlineStr">
        <is>
          <t>第四班组</t>
        </is>
      </c>
      <c r="I130" s="232" t="inlineStr">
        <is>
          <t>杂粮煎饼</t>
        </is>
      </c>
      <c r="J130" s="503" t="inlineStr">
        <is>
          <t>李右华</t>
        </is>
      </c>
      <c r="K130" s="224" t="inlineStr">
        <is>
          <t>/</t>
        </is>
      </c>
      <c r="L130" s="651" t="n">
        <v>210000</v>
      </c>
      <c r="M130" s="22" t="n">
        <v>0.1</v>
      </c>
      <c r="N130" s="224" t="inlineStr">
        <is>
          <t>/</t>
        </is>
      </c>
      <c r="O130" s="224" t="inlineStr">
        <is>
          <t>/</t>
        </is>
      </c>
      <c r="P130" s="502" t="n">
        <v>175.4</v>
      </c>
      <c r="Q130" s="113" t="n">
        <v>0.02</v>
      </c>
      <c r="R130" s="22" t="inlineStr">
        <is>
          <t>/</t>
        </is>
      </c>
      <c r="S130" s="224" t="inlineStr">
        <is>
          <t>/</t>
        </is>
      </c>
      <c r="T130" s="22" t="n"/>
      <c r="U130" s="116" t="inlineStr">
        <is>
          <t>/</t>
        </is>
      </c>
      <c r="V130" s="224" t="n">
        <v>0.04</v>
      </c>
      <c r="W130" s="224" t="n">
        <v>0.52</v>
      </c>
      <c r="X130" s="502" t="inlineStr">
        <is>
          <t>/</t>
        </is>
      </c>
      <c r="Y130" s="502" t="inlineStr">
        <is>
          <t>/</t>
        </is>
      </c>
      <c r="Z130" s="502" t="inlineStr">
        <is>
          <t>/</t>
        </is>
      </c>
      <c r="AA130" s="502" t="inlineStr">
        <is>
          <t>/</t>
        </is>
      </c>
      <c r="AB130" s="22" t="inlineStr">
        <is>
          <t>/</t>
        </is>
      </c>
      <c r="AC130" s="503" t="inlineStr">
        <is>
          <t>/</t>
        </is>
      </c>
      <c r="AD130" s="232" t="inlineStr">
        <is>
          <t>1、其他：外卖人员服务费按照实际外卖营业额4%收取</t>
        </is>
      </c>
      <c r="AE130" s="25" t="inlineStr">
        <is>
          <t>1、签订期间：2026.3.1-2026.8.30；
2、指标按照全年换算；</t>
        </is>
      </c>
    </row>
    <row r="131" ht="24" customFormat="1" customHeight="1" s="209">
      <c r="A131" s="219" t="n">
        <v>136</v>
      </c>
      <c r="B131" s="14" t="inlineStr">
        <is>
          <t>KQCY0136</t>
        </is>
      </c>
      <c r="C131" s="221" t="inlineStr">
        <is>
          <t>餐饮三分部</t>
        </is>
      </c>
      <c r="D131" s="221" t="inlineStr">
        <is>
          <t>CF190</t>
        </is>
      </c>
      <c r="E131" s="221" t="inlineStr">
        <is>
          <t>苏旅财食堂</t>
        </is>
      </c>
      <c r="F131" s="221" t="inlineStr">
        <is>
          <t>人员服务外包</t>
        </is>
      </c>
      <c r="G131" s="222" t="inlineStr">
        <is>
          <t>位军浩</t>
        </is>
      </c>
      <c r="H131" s="222" t="inlineStr">
        <is>
          <t>第五班组</t>
        </is>
      </c>
      <c r="I131" s="232" t="inlineStr">
        <is>
          <t>水饺</t>
        </is>
      </c>
      <c r="J131" s="503" t="inlineStr">
        <is>
          <t>汪于超</t>
        </is>
      </c>
      <c r="K131" s="224" t="inlineStr">
        <is>
          <t>/</t>
        </is>
      </c>
      <c r="L131" s="651" t="n">
        <v>490000</v>
      </c>
      <c r="M131" s="22" t="n">
        <v>0.1</v>
      </c>
      <c r="N131" s="224" t="inlineStr">
        <is>
          <t>/</t>
        </is>
      </c>
      <c r="O131" s="224" t="inlineStr">
        <is>
          <t>/</t>
        </is>
      </c>
      <c r="P131" s="502" t="n">
        <v>268.7</v>
      </c>
      <c r="Q131" s="113" t="n">
        <v>0.02</v>
      </c>
      <c r="R131" s="22" t="inlineStr">
        <is>
          <t>/</t>
        </is>
      </c>
      <c r="S131" s="224" t="inlineStr">
        <is>
          <t>/</t>
        </is>
      </c>
      <c r="T131" s="22" t="n"/>
      <c r="U131" s="116" t="inlineStr">
        <is>
          <t>/</t>
        </is>
      </c>
      <c r="V131" s="224" t="n">
        <v>0.04</v>
      </c>
      <c r="W131" s="224" t="n">
        <v>0.52</v>
      </c>
      <c r="X131" s="502" t="inlineStr">
        <is>
          <t>/</t>
        </is>
      </c>
      <c r="Y131" s="502" t="inlineStr">
        <is>
          <t>/</t>
        </is>
      </c>
      <c r="Z131" s="502" t="inlineStr">
        <is>
          <t>/</t>
        </is>
      </c>
      <c r="AA131" s="502" t="inlineStr">
        <is>
          <t>/</t>
        </is>
      </c>
      <c r="AB131" s="22" t="inlineStr">
        <is>
          <t>/</t>
        </is>
      </c>
      <c r="AC131" s="503" t="inlineStr">
        <is>
          <t>/</t>
        </is>
      </c>
      <c r="AD131" s="232" t="inlineStr">
        <is>
          <t>1、其他：外卖人员服务费按照实际外卖营业额4%收取</t>
        </is>
      </c>
      <c r="AE131" s="25" t="inlineStr">
        <is>
          <t>1、签订期间：2026.3.1-2026.8.30；
2、指标按照全年换算；</t>
        </is>
      </c>
    </row>
    <row r="132" ht="24" customFormat="1" customHeight="1" s="209">
      <c r="A132" s="219" t="n">
        <v>137</v>
      </c>
      <c r="B132" s="14" t="inlineStr">
        <is>
          <t>KQCY0137</t>
        </is>
      </c>
      <c r="C132" s="221" t="inlineStr">
        <is>
          <t>餐饮三分部</t>
        </is>
      </c>
      <c r="D132" s="221" t="inlineStr">
        <is>
          <t>CF190</t>
        </is>
      </c>
      <c r="E132" s="221" t="inlineStr">
        <is>
          <t>苏旅财食堂</t>
        </is>
      </c>
      <c r="F132" s="221" t="inlineStr">
        <is>
          <t>人员服务外包</t>
        </is>
      </c>
      <c r="G132" s="222" t="inlineStr">
        <is>
          <t>位军浩</t>
        </is>
      </c>
      <c r="H132" s="222" t="inlineStr">
        <is>
          <t>第六班组</t>
        </is>
      </c>
      <c r="I132" s="232" t="inlineStr">
        <is>
          <t>奶茶汉堡</t>
        </is>
      </c>
      <c r="J132" s="503" t="inlineStr">
        <is>
          <t>吕鹏飞</t>
        </is>
      </c>
      <c r="K132" s="224" t="inlineStr">
        <is>
          <t>/</t>
        </is>
      </c>
      <c r="L132" s="651" t="n">
        <v>560000</v>
      </c>
      <c r="M132" s="22" t="n">
        <v>0.09</v>
      </c>
      <c r="N132" s="224" t="inlineStr">
        <is>
          <t>/</t>
        </is>
      </c>
      <c r="O132" s="224" t="inlineStr">
        <is>
          <t>/</t>
        </is>
      </c>
      <c r="P132" s="502" t="n">
        <v>139.2</v>
      </c>
      <c r="Q132" s="113" t="n">
        <v>0.02</v>
      </c>
      <c r="R132" s="22" t="inlineStr">
        <is>
          <t>/</t>
        </is>
      </c>
      <c r="S132" s="224" t="inlineStr">
        <is>
          <t>/</t>
        </is>
      </c>
      <c r="T132" s="22" t="n"/>
      <c r="U132" s="116" t="inlineStr">
        <is>
          <t>/</t>
        </is>
      </c>
      <c r="V132" s="224" t="n">
        <v>0.04</v>
      </c>
      <c r="W132" s="224" t="n">
        <v>0.54</v>
      </c>
      <c r="X132" s="502" t="inlineStr">
        <is>
          <t>/</t>
        </is>
      </c>
      <c r="Y132" s="502" t="inlineStr">
        <is>
          <t>/</t>
        </is>
      </c>
      <c r="Z132" s="502" t="inlineStr">
        <is>
          <t>/</t>
        </is>
      </c>
      <c r="AA132" s="502" t="inlineStr">
        <is>
          <t>/</t>
        </is>
      </c>
      <c r="AB132" s="22" t="inlineStr">
        <is>
          <t>/</t>
        </is>
      </c>
      <c r="AC132" s="503" t="inlineStr">
        <is>
          <t>/</t>
        </is>
      </c>
      <c r="AD132" s="232" t="inlineStr">
        <is>
          <t>1、其他：外卖人员服务费按照实际外卖营业额4%收取</t>
        </is>
      </c>
      <c r="AE132" s="25" t="inlineStr">
        <is>
          <t>1、签订期间：2026.3.1-2026.8.30；
2、指标按照全年换算；</t>
        </is>
      </c>
    </row>
    <row r="133" ht="24" customFormat="1" customHeight="1" s="209">
      <c r="A133" s="219" t="n">
        <v>138</v>
      </c>
      <c r="B133" s="14" t="inlineStr">
        <is>
          <t>KQCY0138</t>
        </is>
      </c>
      <c r="C133" s="221" t="inlineStr">
        <is>
          <t>餐饮三分部</t>
        </is>
      </c>
      <c r="D133" s="221" t="inlineStr">
        <is>
          <t>CF190</t>
        </is>
      </c>
      <c r="E133" s="221" t="inlineStr">
        <is>
          <t>苏旅财食堂</t>
        </is>
      </c>
      <c r="F133" s="221" t="inlineStr">
        <is>
          <t>人员服务外包</t>
        </is>
      </c>
      <c r="G133" s="222" t="inlineStr">
        <is>
          <t>位军浩</t>
        </is>
      </c>
      <c r="H133" s="222" t="inlineStr">
        <is>
          <t>第七班组</t>
        </is>
      </c>
      <c r="I133" s="232" t="inlineStr">
        <is>
          <t>麻辣烫</t>
        </is>
      </c>
      <c r="J133" s="503" t="inlineStr">
        <is>
          <t>袁吉</t>
        </is>
      </c>
      <c r="K133" s="224" t="inlineStr">
        <is>
          <t>/</t>
        </is>
      </c>
      <c r="L133" s="651" t="n">
        <v>210000</v>
      </c>
      <c r="M133" s="22" t="n">
        <v>0.09</v>
      </c>
      <c r="N133" s="224" t="inlineStr">
        <is>
          <t>/</t>
        </is>
      </c>
      <c r="O133" s="224" t="inlineStr">
        <is>
          <t>/</t>
        </is>
      </c>
      <c r="P133" s="502" t="n">
        <v>137.45</v>
      </c>
      <c r="Q133" s="113" t="n">
        <v>0.02</v>
      </c>
      <c r="R133" s="22" t="inlineStr">
        <is>
          <t>/</t>
        </is>
      </c>
      <c r="S133" s="224" t="inlineStr">
        <is>
          <t>/</t>
        </is>
      </c>
      <c r="T133" s="22" t="n"/>
      <c r="U133" s="116" t="inlineStr">
        <is>
          <t>/</t>
        </is>
      </c>
      <c r="V133" s="224" t="n">
        <v>0.04</v>
      </c>
      <c r="W133" s="224" t="n">
        <v>0.54</v>
      </c>
      <c r="X133" s="502" t="inlineStr">
        <is>
          <t>/</t>
        </is>
      </c>
      <c r="Y133" s="502" t="inlineStr">
        <is>
          <t>/</t>
        </is>
      </c>
      <c r="Z133" s="502" t="inlineStr">
        <is>
          <t>/</t>
        </is>
      </c>
      <c r="AA133" s="502" t="inlineStr">
        <is>
          <t>/</t>
        </is>
      </c>
      <c r="AB133" s="22" t="inlineStr">
        <is>
          <t>/</t>
        </is>
      </c>
      <c r="AC133" s="503" t="inlineStr">
        <is>
          <t>/</t>
        </is>
      </c>
      <c r="AD133" s="232" t="inlineStr">
        <is>
          <t>1、其他：外卖人员服务费按照实际外卖营业额4%收取</t>
        </is>
      </c>
      <c r="AE133" s="25" t="inlineStr">
        <is>
          <t>1、签订期间：2026.3.1-2026.8.30；
2、指标按照全年换算；</t>
        </is>
      </c>
    </row>
    <row r="134" ht="12" customFormat="1" customHeight="1" s="209">
      <c r="A134" s="219" t="n">
        <v>139</v>
      </c>
      <c r="B134" s="14" t="inlineStr">
        <is>
          <t>KQCY0139</t>
        </is>
      </c>
      <c r="C134" s="221" t="inlineStr">
        <is>
          <t>餐饮三分部</t>
        </is>
      </c>
      <c r="D134" s="221" t="inlineStr">
        <is>
          <t>CF276</t>
        </is>
      </c>
      <c r="E134" s="221" t="inlineStr">
        <is>
          <t>苏州经贸二食堂</t>
        </is>
      </c>
      <c r="F134" s="219" t="inlineStr">
        <is>
          <t>自营</t>
        </is>
      </c>
      <c r="G134" s="222" t="inlineStr">
        <is>
          <t>位军浩</t>
        </is>
      </c>
      <c r="H134" s="222" t="inlineStr">
        <is>
          <t>/</t>
        </is>
      </c>
      <c r="I134" s="237" t="inlineStr">
        <is>
          <t>/</t>
        </is>
      </c>
      <c r="J134" s="222" t="inlineStr">
        <is>
          <t>/</t>
        </is>
      </c>
      <c r="K134" s="224" t="inlineStr">
        <is>
          <t>/</t>
        </is>
      </c>
      <c r="L134" s="651" t="inlineStr">
        <is>
          <t>/</t>
        </is>
      </c>
      <c r="M134" s="224" t="inlineStr">
        <is>
          <t>/</t>
        </is>
      </c>
      <c r="N134" s="349" t="n"/>
      <c r="O134" s="47" t="n">
        <v>0.05</v>
      </c>
      <c r="P134" s="349" t="n"/>
      <c r="Q134" s="224" t="inlineStr">
        <is>
          <t>/</t>
        </is>
      </c>
      <c r="R134" s="224" t="inlineStr">
        <is>
          <t>/</t>
        </is>
      </c>
      <c r="S134" s="224" t="inlineStr">
        <is>
          <t>/</t>
        </is>
      </c>
      <c r="T134" s="224" t="inlineStr">
        <is>
          <t>/</t>
        </is>
      </c>
      <c r="U134" s="224" t="inlineStr">
        <is>
          <t>/</t>
        </is>
      </c>
      <c r="V134" s="224" t="inlineStr">
        <is>
          <t>/</t>
        </is>
      </c>
      <c r="W134" s="47" t="n"/>
      <c r="X134" s="502" t="inlineStr">
        <is>
          <t>/</t>
        </is>
      </c>
      <c r="Y134" s="502" t="inlineStr">
        <is>
          <t>/</t>
        </is>
      </c>
      <c r="Z134" s="502" t="inlineStr">
        <is>
          <t>/</t>
        </is>
      </c>
      <c r="AA134" s="502" t="inlineStr">
        <is>
          <t>/</t>
        </is>
      </c>
      <c r="AB134" s="22" t="n">
        <v>0.05</v>
      </c>
      <c r="AC134" s="503" t="inlineStr">
        <is>
          <t>/</t>
        </is>
      </c>
      <c r="AD134" s="232" t="inlineStr">
        <is>
          <t>1、采购费：采购额的5%</t>
        </is>
      </c>
      <c r="AE134" s="25" t="n"/>
    </row>
    <row r="135" ht="36" customFormat="1" customHeight="1" s="209">
      <c r="A135" s="219" t="n">
        <v>140</v>
      </c>
      <c r="B135" s="14" t="inlineStr">
        <is>
          <t>KQCY0140</t>
        </is>
      </c>
      <c r="C135" s="221" t="inlineStr">
        <is>
          <t>餐饮三分部</t>
        </is>
      </c>
      <c r="D135" s="221" t="inlineStr">
        <is>
          <t>CF276</t>
        </is>
      </c>
      <c r="E135" s="221" t="inlineStr">
        <is>
          <t>苏州经贸二食堂</t>
        </is>
      </c>
      <c r="F135" s="219" t="inlineStr">
        <is>
          <t>分组作业</t>
        </is>
      </c>
      <c r="G135" s="222" t="inlineStr">
        <is>
          <t>位军浩</t>
        </is>
      </c>
      <c r="H135" s="222" t="inlineStr">
        <is>
          <t>第一班组</t>
        </is>
      </c>
      <c r="I135" s="232" t="inlineStr">
        <is>
          <t>卤烤套餐饭</t>
        </is>
      </c>
      <c r="J135" s="503" t="inlineStr">
        <is>
          <t>康小伟</t>
        </is>
      </c>
      <c r="K135" s="224" t="inlineStr">
        <is>
          <t>/</t>
        </is>
      </c>
      <c r="L135" s="651" t="inlineStr">
        <is>
          <t>/</t>
        </is>
      </c>
      <c r="M135" s="22" t="n">
        <v>0.035</v>
      </c>
      <c r="N135" s="224" t="inlineStr">
        <is>
          <t>/</t>
        </is>
      </c>
      <c r="O135" s="224" t="inlineStr">
        <is>
          <t>/</t>
        </is>
      </c>
      <c r="P135" s="59" t="inlineStr">
        <is>
          <t>/</t>
        </is>
      </c>
      <c r="Q135" s="22" t="inlineStr">
        <is>
          <t>/</t>
        </is>
      </c>
      <c r="R135" s="22" t="inlineStr">
        <is>
          <t>/</t>
        </is>
      </c>
      <c r="S135" s="224" t="inlineStr">
        <is>
          <t>/</t>
        </is>
      </c>
      <c r="T135" s="22" t="n">
        <v>0.035</v>
      </c>
      <c r="U135" s="22" t="n">
        <v>0.06</v>
      </c>
      <c r="V135" s="653" t="n">
        <v>20000</v>
      </c>
      <c r="W135" s="47" t="n"/>
      <c r="X135" s="502" t="inlineStr">
        <is>
          <t>/</t>
        </is>
      </c>
      <c r="Y135" s="502" t="inlineStr">
        <is>
          <t>/</t>
        </is>
      </c>
      <c r="Z135" s="502" t="inlineStr">
        <is>
          <t>/</t>
        </is>
      </c>
      <c r="AA135" s="502" t="inlineStr">
        <is>
          <t>/</t>
        </is>
      </c>
      <c r="AB135" s="22" t="inlineStr">
        <is>
          <t>/</t>
        </is>
      </c>
      <c r="AC135" s="503" t="inlineStr">
        <is>
          <t>/</t>
        </is>
      </c>
      <c r="AD135" s="48" t="inlineStr">
        <is>
          <t>1、其他：固定资金2万元/学期，作为折旧费
2、采购费：采购额的5%，分组作业未分摊，服务费已包含；</t>
        </is>
      </c>
      <c r="AE135" s="25" t="inlineStr">
        <is>
          <t>1、签订期间：2026.3.1-2026.7.31；
2、指标按照全年换算；</t>
        </is>
      </c>
    </row>
    <row r="136" ht="36" customFormat="1" customHeight="1" s="209">
      <c r="A136" s="219" t="n">
        <v>141</v>
      </c>
      <c r="B136" s="14" t="inlineStr">
        <is>
          <t>KQCY0141</t>
        </is>
      </c>
      <c r="C136" s="221" t="inlineStr">
        <is>
          <t>餐饮三分部</t>
        </is>
      </c>
      <c r="D136" s="221" t="inlineStr">
        <is>
          <t>CF276</t>
        </is>
      </c>
      <c r="E136" s="221" t="inlineStr">
        <is>
          <t>苏州经贸二食堂</t>
        </is>
      </c>
      <c r="F136" s="219" t="inlineStr">
        <is>
          <t>分组作业</t>
        </is>
      </c>
      <c r="G136" s="222" t="inlineStr">
        <is>
          <t>位军浩</t>
        </is>
      </c>
      <c r="H136" s="222" t="inlineStr">
        <is>
          <t>第二班组</t>
        </is>
      </c>
      <c r="I136" s="232" t="inlineStr">
        <is>
          <t>阿满烤鸭</t>
        </is>
      </c>
      <c r="J136" s="503" t="inlineStr">
        <is>
          <t>李嘉康</t>
        </is>
      </c>
      <c r="K136" s="224" t="inlineStr">
        <is>
          <t>/</t>
        </is>
      </c>
      <c r="L136" s="651" t="inlineStr">
        <is>
          <t>/</t>
        </is>
      </c>
      <c r="M136" s="22" t="n">
        <v>0.025</v>
      </c>
      <c r="N136" s="224" t="inlineStr">
        <is>
          <t>/</t>
        </is>
      </c>
      <c r="O136" s="224" t="inlineStr">
        <is>
          <t>/</t>
        </is>
      </c>
      <c r="P136" s="59" t="inlineStr">
        <is>
          <t>/</t>
        </is>
      </c>
      <c r="Q136" s="22" t="inlineStr">
        <is>
          <t>/</t>
        </is>
      </c>
      <c r="R136" s="22" t="inlineStr">
        <is>
          <t>/</t>
        </is>
      </c>
      <c r="S136" s="224" t="inlineStr">
        <is>
          <t>/</t>
        </is>
      </c>
      <c r="T136" s="22" t="n">
        <v>0.035</v>
      </c>
      <c r="U136" s="22" t="n">
        <v>0.07000000000000001</v>
      </c>
      <c r="V136" s="653" t="n">
        <v>20000</v>
      </c>
      <c r="W136" s="47" t="n"/>
      <c r="X136" s="502" t="inlineStr">
        <is>
          <t>/</t>
        </is>
      </c>
      <c r="Y136" s="502" t="inlineStr">
        <is>
          <t>/</t>
        </is>
      </c>
      <c r="Z136" s="502" t="inlineStr">
        <is>
          <t>/</t>
        </is>
      </c>
      <c r="AA136" s="502" t="inlineStr">
        <is>
          <t>/</t>
        </is>
      </c>
      <c r="AB136" s="22" t="inlineStr">
        <is>
          <t>/</t>
        </is>
      </c>
      <c r="AC136" s="503" t="inlineStr">
        <is>
          <t>/</t>
        </is>
      </c>
      <c r="AD136" s="48" t="inlineStr">
        <is>
          <t>1、其他：固定资金2万元/学期，作为折旧费
2、采购费：采购额的5%，分组作业未分摊，服务费已包含；</t>
        </is>
      </c>
      <c r="AE136" s="25" t="inlineStr">
        <is>
          <t>1、签订期间：2026.3.1-2026.7.31；
2、指标按照全年换算；</t>
        </is>
      </c>
    </row>
    <row r="137" ht="36" customFormat="1" customHeight="1" s="209">
      <c r="A137" s="219" t="n">
        <v>142</v>
      </c>
      <c r="B137" s="14" t="inlineStr">
        <is>
          <t>KQCY0142</t>
        </is>
      </c>
      <c r="C137" s="221" t="inlineStr">
        <is>
          <t>餐饮三分部</t>
        </is>
      </c>
      <c r="D137" s="221" t="inlineStr">
        <is>
          <t>CF276</t>
        </is>
      </c>
      <c r="E137" s="221" t="inlineStr">
        <is>
          <t>苏州经贸二食堂</t>
        </is>
      </c>
      <c r="F137" s="219" t="inlineStr">
        <is>
          <t>分组作业</t>
        </is>
      </c>
      <c r="G137" s="222" t="inlineStr">
        <is>
          <t>位军浩</t>
        </is>
      </c>
      <c r="H137" s="222" t="inlineStr">
        <is>
          <t>第三班组</t>
        </is>
      </c>
      <c r="I137" s="237" t="inlineStr">
        <is>
          <t>鸡公煲</t>
        </is>
      </c>
      <c r="J137" s="503" t="inlineStr">
        <is>
          <t>陈洋</t>
        </is>
      </c>
      <c r="K137" s="224" t="inlineStr">
        <is>
          <t>/</t>
        </is>
      </c>
      <c r="L137" s="651" t="inlineStr">
        <is>
          <t>/</t>
        </is>
      </c>
      <c r="M137" s="22" t="n">
        <v>0.025</v>
      </c>
      <c r="N137" s="224" t="inlineStr">
        <is>
          <t>/</t>
        </is>
      </c>
      <c r="O137" s="224" t="inlineStr">
        <is>
          <t>/</t>
        </is>
      </c>
      <c r="P137" s="59" t="inlineStr">
        <is>
          <t>/</t>
        </is>
      </c>
      <c r="Q137" s="22" t="inlineStr">
        <is>
          <t>/</t>
        </is>
      </c>
      <c r="R137" s="22" t="inlineStr">
        <is>
          <t>/</t>
        </is>
      </c>
      <c r="S137" s="224" t="inlineStr">
        <is>
          <t>/</t>
        </is>
      </c>
      <c r="T137" s="22" t="n">
        <v>0.035</v>
      </c>
      <c r="U137" s="22" t="n">
        <v>0.07000000000000001</v>
      </c>
      <c r="V137" s="653" t="n">
        <v>15000</v>
      </c>
      <c r="W137" s="47" t="n"/>
      <c r="X137" s="502" t="inlineStr">
        <is>
          <t>/</t>
        </is>
      </c>
      <c r="Y137" s="502" t="inlineStr">
        <is>
          <t>/</t>
        </is>
      </c>
      <c r="Z137" s="502" t="inlineStr">
        <is>
          <t>/</t>
        </is>
      </c>
      <c r="AA137" s="502" t="inlineStr">
        <is>
          <t>/</t>
        </is>
      </c>
      <c r="AB137" s="22" t="inlineStr">
        <is>
          <t>/</t>
        </is>
      </c>
      <c r="AC137" s="503" t="inlineStr">
        <is>
          <t>/</t>
        </is>
      </c>
      <c r="AD137" s="48" t="inlineStr">
        <is>
          <t>1、其他：固定资金1、5万元/学期，作为折旧费
2、采购费：采购额的5%，分组作业未分摊，服务费已包含；</t>
        </is>
      </c>
      <c r="AE137" s="25" t="inlineStr">
        <is>
          <t>1、签订期间：2026.3.1-2026.7.31；
2、指标按照全年换算；</t>
        </is>
      </c>
    </row>
    <row r="138" ht="36" customFormat="1" customHeight="1" s="209">
      <c r="A138" s="219" t="n">
        <v>143</v>
      </c>
      <c r="B138" s="14" t="inlineStr">
        <is>
          <t>KQCY0143</t>
        </is>
      </c>
      <c r="C138" s="221" t="inlineStr">
        <is>
          <t>餐饮三分部</t>
        </is>
      </c>
      <c r="D138" s="221" t="inlineStr">
        <is>
          <t>CF276</t>
        </is>
      </c>
      <c r="E138" s="221" t="inlineStr">
        <is>
          <t>苏州经贸二食堂</t>
        </is>
      </c>
      <c r="F138" s="219" t="inlineStr">
        <is>
          <t>分组作业</t>
        </is>
      </c>
      <c r="G138" s="222" t="inlineStr">
        <is>
          <t>位军浩</t>
        </is>
      </c>
      <c r="H138" s="222" t="inlineStr">
        <is>
          <t>第四班组</t>
        </is>
      </c>
      <c r="I138" s="237" t="inlineStr">
        <is>
          <t>羊杂面</t>
        </is>
      </c>
      <c r="J138" s="503" t="inlineStr">
        <is>
          <t>赵连财</t>
        </is>
      </c>
      <c r="K138" s="224" t="inlineStr">
        <is>
          <t>/</t>
        </is>
      </c>
      <c r="L138" s="651" t="inlineStr">
        <is>
          <t>/</t>
        </is>
      </c>
      <c r="M138" s="22" t="n">
        <v>0.025</v>
      </c>
      <c r="N138" s="224" t="inlineStr">
        <is>
          <t>/</t>
        </is>
      </c>
      <c r="O138" s="224" t="inlineStr">
        <is>
          <t>/</t>
        </is>
      </c>
      <c r="P138" s="59" t="inlineStr">
        <is>
          <t>/</t>
        </is>
      </c>
      <c r="Q138" s="22" t="inlineStr">
        <is>
          <t>/</t>
        </is>
      </c>
      <c r="R138" s="22" t="inlineStr">
        <is>
          <t>/</t>
        </is>
      </c>
      <c r="S138" s="224" t="inlineStr">
        <is>
          <t>/</t>
        </is>
      </c>
      <c r="T138" s="22" t="n">
        <v>0.035</v>
      </c>
      <c r="U138" s="22" t="n">
        <v>0.07000000000000001</v>
      </c>
      <c r="V138" s="653" t="n">
        <v>20000</v>
      </c>
      <c r="W138" s="47" t="n"/>
      <c r="X138" s="502" t="inlineStr">
        <is>
          <t>/</t>
        </is>
      </c>
      <c r="Y138" s="502" t="inlineStr">
        <is>
          <t>/</t>
        </is>
      </c>
      <c r="Z138" s="502" t="inlineStr">
        <is>
          <t>/</t>
        </is>
      </c>
      <c r="AA138" s="502" t="inlineStr">
        <is>
          <t>/</t>
        </is>
      </c>
      <c r="AB138" s="22" t="inlineStr">
        <is>
          <t>/</t>
        </is>
      </c>
      <c r="AC138" s="503" t="inlineStr">
        <is>
          <t>/</t>
        </is>
      </c>
      <c r="AD138" s="48" t="inlineStr">
        <is>
          <t>1、其他：固定资金2万元/学期，作为折旧费
2、采购费：采购额的5%，分组作业未分摊，服务费已包含；</t>
        </is>
      </c>
      <c r="AE138" s="25" t="inlineStr">
        <is>
          <t>1、签订期间：2026.3.1-2026.7.31；
2、指标按照全年换算；</t>
        </is>
      </c>
    </row>
    <row r="139" ht="36" customFormat="1" customHeight="1" s="209">
      <c r="A139" s="219" t="n">
        <v>144</v>
      </c>
      <c r="B139" s="14" t="inlineStr">
        <is>
          <t>KQCY0144</t>
        </is>
      </c>
      <c r="C139" s="221" t="inlineStr">
        <is>
          <t>餐饮三分部</t>
        </is>
      </c>
      <c r="D139" s="221" t="inlineStr">
        <is>
          <t>CF276</t>
        </is>
      </c>
      <c r="E139" s="221" t="inlineStr">
        <is>
          <t>苏州经贸二食堂</t>
        </is>
      </c>
      <c r="F139" s="219" t="inlineStr">
        <is>
          <t>分组作业</t>
        </is>
      </c>
      <c r="G139" s="222" t="inlineStr">
        <is>
          <t>位军浩</t>
        </is>
      </c>
      <c r="H139" s="222" t="inlineStr">
        <is>
          <t>第五班组</t>
        </is>
      </c>
      <c r="I139" s="237" t="inlineStr">
        <is>
          <t>汉堡</t>
        </is>
      </c>
      <c r="J139" s="503" t="inlineStr">
        <is>
          <t>邵宁</t>
        </is>
      </c>
      <c r="K139" s="224" t="inlineStr">
        <is>
          <t>/</t>
        </is>
      </c>
      <c r="L139" s="651" t="inlineStr">
        <is>
          <t>/</t>
        </is>
      </c>
      <c r="M139" s="22" t="inlineStr">
        <is>
          <t>/</t>
        </is>
      </c>
      <c r="N139" s="22" t="inlineStr">
        <is>
          <t>/</t>
        </is>
      </c>
      <c r="O139" s="224" t="inlineStr">
        <is>
          <t>/</t>
        </is>
      </c>
      <c r="P139" s="59" t="inlineStr">
        <is>
          <t>/</t>
        </is>
      </c>
      <c r="Q139" s="22" t="inlineStr">
        <is>
          <t>/</t>
        </is>
      </c>
      <c r="R139" s="22" t="inlineStr">
        <is>
          <t>/</t>
        </is>
      </c>
      <c r="S139" s="22" t="inlineStr">
        <is>
          <t>/</t>
        </is>
      </c>
      <c r="T139" s="22" t="n">
        <v>0.035</v>
      </c>
      <c r="U139" s="22" t="n">
        <v>0.065</v>
      </c>
      <c r="V139" s="653" t="n">
        <v>20000</v>
      </c>
      <c r="W139" s="349" t="inlineStr">
        <is>
          <t>/</t>
        </is>
      </c>
      <c r="X139" s="502" t="inlineStr">
        <is>
          <t>/</t>
        </is>
      </c>
      <c r="Y139" s="502" t="inlineStr">
        <is>
          <t>/</t>
        </is>
      </c>
      <c r="Z139" s="502" t="inlineStr">
        <is>
          <t>/</t>
        </is>
      </c>
      <c r="AA139" s="502" t="inlineStr">
        <is>
          <t>/</t>
        </is>
      </c>
      <c r="AB139" s="22" t="inlineStr">
        <is>
          <t>/</t>
        </is>
      </c>
      <c r="AC139" s="503" t="inlineStr">
        <is>
          <t>/</t>
        </is>
      </c>
      <c r="AD139" s="48" t="inlineStr">
        <is>
          <t>1、其他：固定资金2万元/学期，作为折旧费
2、采购费：档口营业所用全部物品由加盟商指定供应商提供，无采购费。</t>
        </is>
      </c>
      <c r="AE139" s="25" t="inlineStr">
        <is>
          <t>1、签订期间：2026.3.1-2026.7.31；
2、指标按照全年换算；</t>
        </is>
      </c>
    </row>
    <row r="140" ht="36" customFormat="1" customHeight="1" s="209">
      <c r="A140" s="219" t="n">
        <v>145</v>
      </c>
      <c r="B140" s="14" t="inlineStr">
        <is>
          <t>KQCY0145</t>
        </is>
      </c>
      <c r="C140" s="221" t="inlineStr">
        <is>
          <t>餐饮三分部</t>
        </is>
      </c>
      <c r="D140" s="221" t="inlineStr">
        <is>
          <t>CF276</t>
        </is>
      </c>
      <c r="E140" s="221" t="inlineStr">
        <is>
          <t>苏州经贸二食堂</t>
        </is>
      </c>
      <c r="F140" s="219" t="inlineStr">
        <is>
          <t>分组作业</t>
        </is>
      </c>
      <c r="G140" s="222" t="inlineStr">
        <is>
          <t>位军浩</t>
        </is>
      </c>
      <c r="H140" s="222" t="inlineStr">
        <is>
          <t>第六班组</t>
        </is>
      </c>
      <c r="I140" s="237" t="inlineStr">
        <is>
          <t>精品菜</t>
        </is>
      </c>
      <c r="J140" s="503" t="inlineStr">
        <is>
          <t>查祈恩</t>
        </is>
      </c>
      <c r="K140" s="224" t="inlineStr">
        <is>
          <t>/</t>
        </is>
      </c>
      <c r="L140" s="651" t="inlineStr">
        <is>
          <t>/</t>
        </is>
      </c>
      <c r="M140" s="22" t="n">
        <v>0.025</v>
      </c>
      <c r="N140" s="224" t="inlineStr">
        <is>
          <t>/</t>
        </is>
      </c>
      <c r="O140" s="224" t="inlineStr">
        <is>
          <t>/</t>
        </is>
      </c>
      <c r="P140" s="59" t="inlineStr">
        <is>
          <t>/</t>
        </is>
      </c>
      <c r="Q140" s="22" t="inlineStr">
        <is>
          <t>/</t>
        </is>
      </c>
      <c r="R140" s="22" t="inlineStr">
        <is>
          <t>/</t>
        </is>
      </c>
      <c r="S140" s="224" t="inlineStr">
        <is>
          <t>/</t>
        </is>
      </c>
      <c r="T140" s="22" t="n">
        <v>0.035</v>
      </c>
      <c r="U140" s="22" t="n">
        <v>0.07000000000000001</v>
      </c>
      <c r="V140" s="653" t="n">
        <v>22500</v>
      </c>
      <c r="W140" s="47" t="n"/>
      <c r="X140" s="502" t="inlineStr">
        <is>
          <t>/</t>
        </is>
      </c>
      <c r="Y140" s="502" t="inlineStr">
        <is>
          <t>/</t>
        </is>
      </c>
      <c r="Z140" s="502" t="inlineStr">
        <is>
          <t>/</t>
        </is>
      </c>
      <c r="AA140" s="502" t="inlineStr">
        <is>
          <t>/</t>
        </is>
      </c>
      <c r="AB140" s="22" t="inlineStr">
        <is>
          <t>/</t>
        </is>
      </c>
      <c r="AC140" s="503" t="inlineStr">
        <is>
          <t>/</t>
        </is>
      </c>
      <c r="AD140" s="48" t="inlineStr">
        <is>
          <t>1、其他：固定资金2.25万元/学期，作为折旧费
2、采购费：采购额的5%，分组作业未分摊，服务费已包含；</t>
        </is>
      </c>
      <c r="AE140" s="25" t="inlineStr">
        <is>
          <t>1、签订期间：2026.3.1-2026.7.31；
2、指标按照全年换算；</t>
        </is>
      </c>
    </row>
    <row r="141" ht="24" customFormat="1" customHeight="1" s="209">
      <c r="A141" s="219" t="n">
        <v>146</v>
      </c>
      <c r="B141" s="14" t="inlineStr">
        <is>
          <t>KQCY0146</t>
        </is>
      </c>
      <c r="C141" s="221" t="inlineStr">
        <is>
          <t>餐饮三分部</t>
        </is>
      </c>
      <c r="D141" s="221" t="inlineStr">
        <is>
          <t>CF276</t>
        </is>
      </c>
      <c r="E141" s="221" t="inlineStr">
        <is>
          <t>苏州经贸二食堂</t>
        </is>
      </c>
      <c r="F141" s="219" t="inlineStr">
        <is>
          <t>分组作业</t>
        </is>
      </c>
      <c r="G141" s="222" t="inlineStr">
        <is>
          <t>位军浩</t>
        </is>
      </c>
      <c r="H141" s="222" t="inlineStr">
        <is>
          <t>第七班组</t>
        </is>
      </c>
      <c r="I141" s="237" t="inlineStr">
        <is>
          <t>快餐</t>
        </is>
      </c>
      <c r="J141" s="503" t="inlineStr">
        <is>
          <t>黄化里</t>
        </is>
      </c>
      <c r="K141" s="224" t="inlineStr">
        <is>
          <t>/</t>
        </is>
      </c>
      <c r="L141" s="651" t="inlineStr">
        <is>
          <t>/</t>
        </is>
      </c>
      <c r="M141" s="22" t="n">
        <v>0.025</v>
      </c>
      <c r="N141" s="224" t="inlineStr">
        <is>
          <t>/</t>
        </is>
      </c>
      <c r="O141" s="224" t="inlineStr">
        <is>
          <t>/</t>
        </is>
      </c>
      <c r="P141" s="59" t="inlineStr">
        <is>
          <t>/</t>
        </is>
      </c>
      <c r="Q141" s="22" t="inlineStr">
        <is>
          <t>/</t>
        </is>
      </c>
      <c r="R141" s="22" t="inlineStr">
        <is>
          <t>/</t>
        </is>
      </c>
      <c r="S141" s="224" t="inlineStr">
        <is>
          <t>/</t>
        </is>
      </c>
      <c r="T141" s="22" t="n">
        <v>0.035</v>
      </c>
      <c r="U141" s="22" t="n">
        <v>0.07000000000000001</v>
      </c>
      <c r="V141" s="224" t="inlineStr">
        <is>
          <t>/</t>
        </is>
      </c>
      <c r="W141" s="349" t="inlineStr">
        <is>
          <t>/</t>
        </is>
      </c>
      <c r="X141" s="502" t="inlineStr">
        <is>
          <t>/</t>
        </is>
      </c>
      <c r="Y141" s="502" t="inlineStr">
        <is>
          <t>/</t>
        </is>
      </c>
      <c r="Z141" s="502" t="inlineStr">
        <is>
          <t>/</t>
        </is>
      </c>
      <c r="AA141" s="502" t="inlineStr">
        <is>
          <t>/</t>
        </is>
      </c>
      <c r="AB141" s="22" t="inlineStr">
        <is>
          <t>/</t>
        </is>
      </c>
      <c r="AC141" s="503" t="inlineStr">
        <is>
          <t>/</t>
        </is>
      </c>
      <c r="AD141" s="57" t="inlineStr">
        <is>
          <t>1、已撤场，窗口现为自营</t>
        </is>
      </c>
      <c r="AE141" s="25" t="inlineStr">
        <is>
          <t>1、签订期间：2026.3.1-2026.7.31；
2、指标按照全年换算；</t>
        </is>
      </c>
    </row>
    <row r="142" ht="24" customFormat="1" customHeight="1" s="209">
      <c r="A142" s="219" t="n">
        <v>147</v>
      </c>
      <c r="B142" s="14" t="inlineStr">
        <is>
          <t>KQCY0147</t>
        </is>
      </c>
      <c r="C142" s="221" t="inlineStr">
        <is>
          <t>餐饮三分部</t>
        </is>
      </c>
      <c r="D142" s="221" t="inlineStr">
        <is>
          <t>CF276</t>
        </is>
      </c>
      <c r="E142" s="221" t="inlineStr">
        <is>
          <t>苏州经贸二食堂</t>
        </is>
      </c>
      <c r="F142" s="219" t="inlineStr">
        <is>
          <t>分组作业</t>
        </is>
      </c>
      <c r="G142" s="222" t="inlineStr">
        <is>
          <t>位军浩</t>
        </is>
      </c>
      <c r="H142" s="222" t="inlineStr">
        <is>
          <t>第八班组</t>
        </is>
      </c>
      <c r="I142" s="237" t="inlineStr">
        <is>
          <t>教工餐厅</t>
        </is>
      </c>
      <c r="J142" s="503" t="inlineStr">
        <is>
          <t>黄化里</t>
        </is>
      </c>
      <c r="K142" s="224" t="inlineStr">
        <is>
          <t>/</t>
        </is>
      </c>
      <c r="L142" s="651" t="inlineStr">
        <is>
          <t>/</t>
        </is>
      </c>
      <c r="M142" s="22" t="inlineStr">
        <is>
          <t>/</t>
        </is>
      </c>
      <c r="N142" s="22" t="inlineStr">
        <is>
          <t>/</t>
        </is>
      </c>
      <c r="O142" s="224" t="inlineStr">
        <is>
          <t>/</t>
        </is>
      </c>
      <c r="P142" s="59" t="inlineStr">
        <is>
          <t>/</t>
        </is>
      </c>
      <c r="Q142" s="22" t="inlineStr">
        <is>
          <t>/</t>
        </is>
      </c>
      <c r="R142" s="22" t="inlineStr">
        <is>
          <t>/</t>
        </is>
      </c>
      <c r="S142" s="22" t="inlineStr">
        <is>
          <t>/</t>
        </is>
      </c>
      <c r="T142" s="22" t="n">
        <v>0.035</v>
      </c>
      <c r="U142" s="22" t="n"/>
      <c r="V142" s="653" t="n">
        <v>5000</v>
      </c>
      <c r="W142" s="349" t="inlineStr">
        <is>
          <t>/</t>
        </is>
      </c>
      <c r="X142" s="502" t="inlineStr">
        <is>
          <t>/</t>
        </is>
      </c>
      <c r="Y142" s="502" t="inlineStr">
        <is>
          <t>/</t>
        </is>
      </c>
      <c r="Z142" s="502" t="inlineStr">
        <is>
          <t>/</t>
        </is>
      </c>
      <c r="AA142" s="502" t="inlineStr">
        <is>
          <t>/</t>
        </is>
      </c>
      <c r="AB142" s="22" t="inlineStr">
        <is>
          <t>/</t>
        </is>
      </c>
      <c r="AC142" s="503" t="inlineStr">
        <is>
          <t>/</t>
        </is>
      </c>
      <c r="AD142" s="57" t="inlineStr">
        <is>
          <t>1、已撤场，窗口现为自营</t>
        </is>
      </c>
      <c r="AE142" s="25" t="inlineStr">
        <is>
          <t>1、签订期间：2026.3.1-2026.7.31；
2、指标按照全年换算；</t>
        </is>
      </c>
    </row>
    <row r="143" ht="12" customFormat="1" customHeight="1" s="209">
      <c r="A143" s="219" t="n">
        <v>148</v>
      </c>
      <c r="B143" s="14" t="inlineStr">
        <is>
          <t>KQCY0148</t>
        </is>
      </c>
      <c r="C143" s="221" t="inlineStr">
        <is>
          <t>餐饮三分部</t>
        </is>
      </c>
      <c r="D143" s="221" t="inlineStr">
        <is>
          <t>CF126</t>
        </is>
      </c>
      <c r="E143" s="221" t="inlineStr">
        <is>
          <t>西浦附校食堂</t>
        </is>
      </c>
      <c r="F143" s="219" t="inlineStr">
        <is>
          <t>自营</t>
        </is>
      </c>
      <c r="G143" s="222" t="inlineStr">
        <is>
          <t>位军浩</t>
        </is>
      </c>
      <c r="H143" s="222" t="inlineStr">
        <is>
          <t>/</t>
        </is>
      </c>
      <c r="I143" s="237" t="inlineStr">
        <is>
          <t>/</t>
        </is>
      </c>
      <c r="J143" s="222" t="inlineStr">
        <is>
          <t>/</t>
        </is>
      </c>
      <c r="K143" s="224" t="inlineStr">
        <is>
          <t>/</t>
        </is>
      </c>
      <c r="L143" s="651" t="n">
        <v>17000000</v>
      </c>
      <c r="M143" s="224" t="inlineStr">
        <is>
          <t>/</t>
        </is>
      </c>
      <c r="N143" s="224" t="inlineStr">
        <is>
          <t>/</t>
        </is>
      </c>
      <c r="O143" s="23" t="n">
        <v>0.02</v>
      </c>
      <c r="P143" s="224" t="inlineStr">
        <is>
          <t>/</t>
        </is>
      </c>
      <c r="Q143" s="224" t="inlineStr">
        <is>
          <t>/</t>
        </is>
      </c>
      <c r="R143" s="224" t="inlineStr">
        <is>
          <t>/</t>
        </is>
      </c>
      <c r="S143" s="224" t="inlineStr">
        <is>
          <t>/</t>
        </is>
      </c>
      <c r="T143" s="224" t="inlineStr">
        <is>
          <t>/</t>
        </is>
      </c>
      <c r="U143" s="224" t="inlineStr">
        <is>
          <t>/</t>
        </is>
      </c>
      <c r="V143" s="224" t="inlineStr">
        <is>
          <t>/</t>
        </is>
      </c>
      <c r="W143" s="47" t="n"/>
      <c r="X143" s="117" t="n">
        <v>0.045</v>
      </c>
      <c r="Y143" s="502" t="inlineStr">
        <is>
          <t>/</t>
        </is>
      </c>
      <c r="Z143" s="502" t="inlineStr">
        <is>
          <t>/</t>
        </is>
      </c>
      <c r="AA143" s="502" t="inlineStr">
        <is>
          <t>/</t>
        </is>
      </c>
      <c r="AB143" s="46" t="n">
        <v>0.045</v>
      </c>
      <c r="AC143" s="46" t="inlineStr">
        <is>
          <t>/</t>
        </is>
      </c>
      <c r="AD143" s="232" t="n"/>
      <c r="AE143" s="25" t="n"/>
    </row>
    <row r="144" ht="12" customFormat="1" customHeight="1" s="209">
      <c r="A144" s="219" t="n">
        <v>149</v>
      </c>
      <c r="B144" s="14" t="inlineStr">
        <is>
          <t>KQCY0149</t>
        </is>
      </c>
      <c r="C144" s="221" t="inlineStr">
        <is>
          <t>餐饮三分部</t>
        </is>
      </c>
      <c r="D144" s="221" t="inlineStr">
        <is>
          <t>CF782</t>
        </is>
      </c>
      <c r="E144" s="221" t="inlineStr">
        <is>
          <t>宿迁安园中央厨房</t>
        </is>
      </c>
      <c r="F144" s="219" t="inlineStr">
        <is>
          <t>人员服务外包</t>
        </is>
      </c>
      <c r="G144" s="222" t="inlineStr">
        <is>
          <t>陆琪</t>
        </is>
      </c>
      <c r="H144" s="222" t="inlineStr">
        <is>
          <t>/</t>
        </is>
      </c>
      <c r="I144" s="232" t="inlineStr">
        <is>
          <t>/</t>
        </is>
      </c>
      <c r="J144" s="503" t="inlineStr">
        <is>
          <t>/</t>
        </is>
      </c>
      <c r="K144" s="224" t="inlineStr">
        <is>
          <t>/</t>
        </is>
      </c>
      <c r="L144" s="651" t="n">
        <v>522000</v>
      </c>
      <c r="M144" s="502" t="inlineStr">
        <is>
          <t>/</t>
        </is>
      </c>
      <c r="N144" s="502" t="inlineStr">
        <is>
          <t>/</t>
        </is>
      </c>
      <c r="O144" s="502" t="inlineStr">
        <is>
          <t>/</t>
        </is>
      </c>
      <c r="P144" s="502" t="inlineStr">
        <is>
          <t>/</t>
        </is>
      </c>
      <c r="Q144" s="502" t="inlineStr">
        <is>
          <t>/</t>
        </is>
      </c>
      <c r="R144" s="502" t="inlineStr">
        <is>
          <t>/</t>
        </is>
      </c>
      <c r="S144" s="502" t="inlineStr">
        <is>
          <t>/</t>
        </is>
      </c>
      <c r="T144" s="503" t="inlineStr">
        <is>
          <t>/</t>
        </is>
      </c>
      <c r="U144" s="502" t="inlineStr">
        <is>
          <t>/</t>
        </is>
      </c>
      <c r="V144" s="502" t="inlineStr">
        <is>
          <t>/</t>
        </is>
      </c>
      <c r="W144" s="503" t="inlineStr">
        <is>
          <t>/</t>
        </is>
      </c>
      <c r="X144" s="51" t="inlineStr">
        <is>
          <t>/</t>
        </is>
      </c>
      <c r="Y144" s="51" t="inlineStr">
        <is>
          <t>/</t>
        </is>
      </c>
      <c r="Z144" s="51" t="inlineStr">
        <is>
          <t>/</t>
        </is>
      </c>
      <c r="AA144" s="51" t="inlineStr">
        <is>
          <t>/</t>
        </is>
      </c>
      <c r="AB144" s="222" t="n">
        <v>100000</v>
      </c>
      <c r="AC144" s="46" t="inlineStr">
        <is>
          <t>/</t>
        </is>
      </c>
      <c r="AD144" s="232" t="inlineStr">
        <is>
          <t>1、分部管理费：10万元</t>
        </is>
      </c>
      <c r="AE144" s="25" t="n"/>
    </row>
    <row r="145" ht="12" customFormat="1" customHeight="1" s="209">
      <c r="A145" s="219" t="n">
        <v>150</v>
      </c>
      <c r="B145" s="14" t="inlineStr">
        <is>
          <t>KQCY0150</t>
        </is>
      </c>
      <c r="C145" s="221" t="inlineStr">
        <is>
          <t>餐饮三分部</t>
        </is>
      </c>
      <c r="D145" s="221" t="inlineStr">
        <is>
          <t>CF699</t>
        </is>
      </c>
      <c r="E145" s="221" t="inlineStr">
        <is>
          <t>徐医大第一食堂</t>
        </is>
      </c>
      <c r="F145" s="335" t="inlineStr">
        <is>
          <t>自营</t>
        </is>
      </c>
      <c r="G145" s="222" t="inlineStr">
        <is>
          <t>陆琪</t>
        </is>
      </c>
      <c r="H145" s="243" t="inlineStr">
        <is>
          <t>/</t>
        </is>
      </c>
      <c r="I145" s="480" t="inlineStr">
        <is>
          <t>/</t>
        </is>
      </c>
      <c r="J145" s="480" t="inlineStr">
        <is>
          <t>/</t>
        </is>
      </c>
      <c r="K145" s="349" t="inlineStr">
        <is>
          <t>/</t>
        </is>
      </c>
      <c r="L145" s="651" t="inlineStr">
        <is>
          <t>/</t>
        </is>
      </c>
      <c r="M145" s="462" t="inlineStr">
        <is>
          <t>/</t>
        </is>
      </c>
      <c r="N145" s="462" t="inlineStr">
        <is>
          <t>/</t>
        </is>
      </c>
      <c r="O145" s="462" t="inlineStr">
        <is>
          <t>/</t>
        </is>
      </c>
      <c r="P145" s="106" t="n"/>
      <c r="Q145" s="462" t="inlineStr">
        <is>
          <t>/</t>
        </is>
      </c>
      <c r="R145" s="462" t="inlineStr">
        <is>
          <t>/</t>
        </is>
      </c>
      <c r="S145" s="462" t="inlineStr">
        <is>
          <t>/</t>
        </is>
      </c>
      <c r="T145" s="44" t="n"/>
      <c r="U145" s="462" t="inlineStr">
        <is>
          <t>/</t>
        </is>
      </c>
      <c r="V145" s="462" t="inlineStr">
        <is>
          <t>/</t>
        </is>
      </c>
      <c r="W145" s="480" t="inlineStr">
        <is>
          <t>/</t>
        </is>
      </c>
      <c r="X145" s="115" t="inlineStr">
        <is>
          <t>/</t>
        </is>
      </c>
      <c r="Y145" s="115" t="inlineStr">
        <is>
          <t>/</t>
        </is>
      </c>
      <c r="Z145" s="115" t="inlineStr">
        <is>
          <t>/</t>
        </is>
      </c>
      <c r="AA145" s="115" t="inlineStr">
        <is>
          <t>/</t>
        </is>
      </c>
      <c r="AB145" s="46" t="n">
        <v>0.05</v>
      </c>
      <c r="AC145" s="118" t="inlineStr">
        <is>
          <t>/</t>
        </is>
      </c>
      <c r="AD145" s="48" t="inlineStr">
        <is>
          <t>1、自营未实际经营；</t>
        </is>
      </c>
      <c r="AE145" s="25" t="n"/>
    </row>
    <row r="146" ht="36" customFormat="1" customHeight="1" s="209">
      <c r="A146" s="219" t="n">
        <v>151</v>
      </c>
      <c r="B146" s="14" t="inlineStr">
        <is>
          <t>KQCY0151</t>
        </is>
      </c>
      <c r="C146" s="221" t="inlineStr">
        <is>
          <t>餐饮三分部</t>
        </is>
      </c>
      <c r="D146" s="221" t="inlineStr">
        <is>
          <t>CF699</t>
        </is>
      </c>
      <c r="E146" s="221" t="inlineStr">
        <is>
          <t>徐医大第一食堂</t>
        </is>
      </c>
      <c r="F146" s="219" t="inlineStr">
        <is>
          <t>分组作业</t>
        </is>
      </c>
      <c r="G146" s="222" t="inlineStr">
        <is>
          <t>陆琪</t>
        </is>
      </c>
      <c r="H146" s="503" t="inlineStr">
        <is>
          <t>/</t>
        </is>
      </c>
      <c r="I146" s="237" t="inlineStr">
        <is>
          <t>麻辣烫</t>
        </is>
      </c>
      <c r="J146" s="503" t="inlineStr">
        <is>
          <t>董浩</t>
        </is>
      </c>
      <c r="K146" s="224" t="inlineStr">
        <is>
          <t>/</t>
        </is>
      </c>
      <c r="L146" s="651" t="n">
        <v>564000</v>
      </c>
      <c r="M146" s="113" t="n">
        <v>0.18</v>
      </c>
      <c r="N146" s="502" t="inlineStr">
        <is>
          <t>/</t>
        </is>
      </c>
      <c r="O146" s="659" t="n"/>
      <c r="P146" s="502" t="inlineStr">
        <is>
          <t>/</t>
        </is>
      </c>
      <c r="Q146" s="502" t="inlineStr">
        <is>
          <t>/</t>
        </is>
      </c>
      <c r="R146" s="502" t="inlineStr">
        <is>
          <t>/</t>
        </is>
      </c>
      <c r="S146" s="502" t="inlineStr">
        <is>
          <t>/</t>
        </is>
      </c>
      <c r="T146" s="653" t="n">
        <v>1500</v>
      </c>
      <c r="U146" s="653" t="n"/>
      <c r="V146" s="502" t="inlineStr">
        <is>
          <t>/</t>
        </is>
      </c>
      <c r="W146" s="22" t="n">
        <v>0.501</v>
      </c>
      <c r="X146" s="51" t="inlineStr">
        <is>
          <t>/</t>
        </is>
      </c>
      <c r="Y146" s="51" t="inlineStr">
        <is>
          <t>/</t>
        </is>
      </c>
      <c r="Z146" s="51" t="inlineStr">
        <is>
          <t>/</t>
        </is>
      </c>
      <c r="AA146" s="51" t="inlineStr">
        <is>
          <t>/</t>
        </is>
      </c>
      <c r="AB146" s="51" t="inlineStr">
        <is>
          <t>/</t>
        </is>
      </c>
      <c r="AC146" s="46" t="inlineStr">
        <is>
          <t>/</t>
        </is>
      </c>
      <c r="AD146" s="297" t="inlineStr">
        <is>
          <t>1、卫生费：每月固定1500元，寒暑假根据实际运营天数结算</t>
        </is>
      </c>
      <c r="AE146" s="25" t="inlineStr">
        <is>
          <t xml:space="preserve">1、签订期间：2026.2.25-2026.7.31；
2、指标按照全年换算；
</t>
        </is>
      </c>
    </row>
    <row r="147" ht="24" customFormat="1" customHeight="1" s="209">
      <c r="A147" s="219" t="n">
        <v>152</v>
      </c>
      <c r="B147" s="14" t="inlineStr">
        <is>
          <t>KQCY0152</t>
        </is>
      </c>
      <c r="C147" s="221" t="inlineStr">
        <is>
          <t>餐饮三分部</t>
        </is>
      </c>
      <c r="D147" s="221" t="inlineStr">
        <is>
          <t>CF699</t>
        </is>
      </c>
      <c r="E147" s="221" t="inlineStr">
        <is>
          <t>徐医大第一食堂</t>
        </is>
      </c>
      <c r="F147" s="219" t="inlineStr">
        <is>
          <t>分组作业</t>
        </is>
      </c>
      <c r="G147" s="222" t="inlineStr">
        <is>
          <t>陆琪</t>
        </is>
      </c>
      <c r="H147" s="503" t="inlineStr">
        <is>
          <t>/</t>
        </is>
      </c>
      <c r="I147" s="237" t="inlineStr">
        <is>
          <t>脆香鸡</t>
        </is>
      </c>
      <c r="J147" s="503" t="inlineStr">
        <is>
          <t>闫玉净</t>
        </is>
      </c>
      <c r="K147" s="224" t="inlineStr">
        <is>
          <t>/</t>
        </is>
      </c>
      <c r="L147" s="651" t="n">
        <v>924000</v>
      </c>
      <c r="M147" s="113" t="n">
        <v>0.19</v>
      </c>
      <c r="N147" s="502" t="inlineStr">
        <is>
          <t>/</t>
        </is>
      </c>
      <c r="O147" s="659" t="n"/>
      <c r="P147" s="502" t="inlineStr">
        <is>
          <t>/</t>
        </is>
      </c>
      <c r="Q147" s="502" t="inlineStr">
        <is>
          <t>/</t>
        </is>
      </c>
      <c r="R147" s="502" t="inlineStr">
        <is>
          <t>/</t>
        </is>
      </c>
      <c r="S147" s="502" t="inlineStr">
        <is>
          <t>/</t>
        </is>
      </c>
      <c r="T147" s="653" t="n">
        <v>1500</v>
      </c>
      <c r="U147" s="653" t="n"/>
      <c r="V147" s="502" t="inlineStr">
        <is>
          <t>/</t>
        </is>
      </c>
      <c r="W147" s="22" t="n">
        <v>0.501</v>
      </c>
      <c r="X147" s="51" t="inlineStr">
        <is>
          <t>/</t>
        </is>
      </c>
      <c r="Y147" s="51" t="inlineStr">
        <is>
          <t>/</t>
        </is>
      </c>
      <c r="Z147" s="51" t="inlineStr">
        <is>
          <t>/</t>
        </is>
      </c>
      <c r="AA147" s="51" t="inlineStr">
        <is>
          <t>/</t>
        </is>
      </c>
      <c r="AB147" s="51" t="inlineStr">
        <is>
          <t>/</t>
        </is>
      </c>
      <c r="AC147" s="46" t="inlineStr">
        <is>
          <t>/</t>
        </is>
      </c>
      <c r="AD147" s="297" t="inlineStr">
        <is>
          <t>1、卫生费：每月固定1500元，寒暑假根据实际运营天数结算</t>
        </is>
      </c>
      <c r="AE147" s="25" t="inlineStr">
        <is>
          <t>1、签订期间：2026.2.25-2026.7.31；
2、指标按照全年换算；</t>
        </is>
      </c>
    </row>
    <row r="148" ht="24" customFormat="1" customHeight="1" s="209">
      <c r="A148" s="219" t="n">
        <v>153</v>
      </c>
      <c r="B148" s="14" t="inlineStr">
        <is>
          <t>KQCY0153</t>
        </is>
      </c>
      <c r="C148" s="221" t="inlineStr">
        <is>
          <t>餐饮三分部</t>
        </is>
      </c>
      <c r="D148" s="221" t="inlineStr">
        <is>
          <t>CF699</t>
        </is>
      </c>
      <c r="E148" s="221" t="inlineStr">
        <is>
          <t>徐医大第一食堂</t>
        </is>
      </c>
      <c r="F148" s="219" t="inlineStr">
        <is>
          <t>分组作业</t>
        </is>
      </c>
      <c r="G148" s="222" t="inlineStr">
        <is>
          <t>陆琪</t>
        </is>
      </c>
      <c r="H148" s="503" t="inlineStr">
        <is>
          <t>/</t>
        </is>
      </c>
      <c r="I148" s="237" t="inlineStr">
        <is>
          <t>鸡柳窜巷</t>
        </is>
      </c>
      <c r="J148" s="503" t="inlineStr">
        <is>
          <t>王晨</t>
        </is>
      </c>
      <c r="K148" s="224" t="inlineStr">
        <is>
          <t>/</t>
        </is>
      </c>
      <c r="L148" s="651" t="n">
        <v>384000</v>
      </c>
      <c r="M148" s="113" t="n">
        <v>0.19</v>
      </c>
      <c r="N148" s="502" t="inlineStr">
        <is>
          <t>/</t>
        </is>
      </c>
      <c r="O148" s="659" t="n"/>
      <c r="P148" s="502" t="inlineStr">
        <is>
          <t>/</t>
        </is>
      </c>
      <c r="Q148" s="502" t="inlineStr">
        <is>
          <t>/</t>
        </is>
      </c>
      <c r="R148" s="502" t="inlineStr">
        <is>
          <t>/</t>
        </is>
      </c>
      <c r="S148" s="502" t="inlineStr">
        <is>
          <t>/</t>
        </is>
      </c>
      <c r="T148" s="653" t="n">
        <v>1000</v>
      </c>
      <c r="U148" s="653" t="n"/>
      <c r="V148" s="502" t="inlineStr">
        <is>
          <t>/</t>
        </is>
      </c>
      <c r="W148" s="22" t="n">
        <v>0.501</v>
      </c>
      <c r="X148" s="51" t="inlineStr">
        <is>
          <t>/</t>
        </is>
      </c>
      <c r="Y148" s="51" t="inlineStr">
        <is>
          <t>/</t>
        </is>
      </c>
      <c r="Z148" s="51" t="inlineStr">
        <is>
          <t>/</t>
        </is>
      </c>
      <c r="AA148" s="51" t="inlineStr">
        <is>
          <t>/</t>
        </is>
      </c>
      <c r="AB148" s="51" t="inlineStr">
        <is>
          <t>/</t>
        </is>
      </c>
      <c r="AC148" s="46" t="inlineStr">
        <is>
          <t>/</t>
        </is>
      </c>
      <c r="AD148" s="121" t="inlineStr">
        <is>
          <t>1、卫生费：每月固定1000元，寒暑假根据实际运营天数结算</t>
        </is>
      </c>
      <c r="AE148" s="25" t="inlineStr">
        <is>
          <t>1、签订期间：2026.2.25-2026.7.31；
2、指标按照全年换算；</t>
        </is>
      </c>
    </row>
    <row r="149" ht="24" customFormat="1" customHeight="1" s="209">
      <c r="A149" s="219" t="n">
        <v>154</v>
      </c>
      <c r="B149" s="14" t="inlineStr">
        <is>
          <t>KQCY0154</t>
        </is>
      </c>
      <c r="C149" s="221" t="inlineStr">
        <is>
          <t>餐饮三分部</t>
        </is>
      </c>
      <c r="D149" s="221" t="inlineStr">
        <is>
          <t>CF699</t>
        </is>
      </c>
      <c r="E149" s="221" t="inlineStr">
        <is>
          <t>徐医大第一食堂</t>
        </is>
      </c>
      <c r="F149" s="219" t="inlineStr">
        <is>
          <t>分组作业</t>
        </is>
      </c>
      <c r="G149" s="222" t="inlineStr">
        <is>
          <t>陆琪</t>
        </is>
      </c>
      <c r="H149" s="503" t="inlineStr">
        <is>
          <t>/</t>
        </is>
      </c>
      <c r="I149" s="237" t="inlineStr">
        <is>
          <t>螺蛳粉</t>
        </is>
      </c>
      <c r="J149" s="503" t="inlineStr">
        <is>
          <t>王梅</t>
        </is>
      </c>
      <c r="K149" s="224" t="inlineStr">
        <is>
          <t>/</t>
        </is>
      </c>
      <c r="L149" s="651" t="n">
        <v>588000</v>
      </c>
      <c r="M149" s="113" t="n">
        <v>0.19</v>
      </c>
      <c r="N149" s="502" t="inlineStr">
        <is>
          <t>/</t>
        </is>
      </c>
      <c r="O149" s="659" t="n"/>
      <c r="P149" s="502" t="inlineStr">
        <is>
          <t>/</t>
        </is>
      </c>
      <c r="Q149" s="502" t="inlineStr">
        <is>
          <t>/</t>
        </is>
      </c>
      <c r="R149" s="502" t="inlineStr">
        <is>
          <t>/</t>
        </is>
      </c>
      <c r="S149" s="502" t="inlineStr">
        <is>
          <t>/</t>
        </is>
      </c>
      <c r="T149" s="653" t="n">
        <v>1500</v>
      </c>
      <c r="U149" s="653" t="n"/>
      <c r="V149" s="502" t="inlineStr">
        <is>
          <t>/</t>
        </is>
      </c>
      <c r="W149" s="22" t="n">
        <v>0.501</v>
      </c>
      <c r="X149" s="51" t="inlineStr">
        <is>
          <t>/</t>
        </is>
      </c>
      <c r="Y149" s="51" t="inlineStr">
        <is>
          <t>/</t>
        </is>
      </c>
      <c r="Z149" s="51" t="inlineStr">
        <is>
          <t>/</t>
        </is>
      </c>
      <c r="AA149" s="51" t="inlineStr">
        <is>
          <t>/</t>
        </is>
      </c>
      <c r="AB149" s="51" t="inlineStr">
        <is>
          <t>/</t>
        </is>
      </c>
      <c r="AC149" s="46" t="inlineStr">
        <is>
          <t>/</t>
        </is>
      </c>
      <c r="AD149" s="297" t="inlineStr">
        <is>
          <t>1、卫生费：每月固定1500元，寒暑假根据实际运营天数结算</t>
        </is>
      </c>
      <c r="AE149" s="25" t="inlineStr">
        <is>
          <t>1、签订期间：2026.2.25-2026.7.31；
2、指标按照全年换算；</t>
        </is>
      </c>
    </row>
    <row r="150" ht="36" customFormat="1" customHeight="1" s="209">
      <c r="A150" s="219" t="n">
        <v>155</v>
      </c>
      <c r="B150" s="14" t="inlineStr">
        <is>
          <t>KQCY0155</t>
        </is>
      </c>
      <c r="C150" s="221" t="inlineStr">
        <is>
          <t>餐饮三分部</t>
        </is>
      </c>
      <c r="D150" s="221" t="inlineStr">
        <is>
          <t>CF699</t>
        </is>
      </c>
      <c r="E150" s="221" t="inlineStr">
        <is>
          <t>徐医大第一食堂</t>
        </is>
      </c>
      <c r="F150" s="219" t="inlineStr">
        <is>
          <t>分组作业</t>
        </is>
      </c>
      <c r="G150" s="222" t="inlineStr">
        <is>
          <t>陆琪</t>
        </is>
      </c>
      <c r="H150" s="503" t="inlineStr">
        <is>
          <t>/</t>
        </is>
      </c>
      <c r="I150" s="237" t="inlineStr">
        <is>
          <t>苏式汤面</t>
        </is>
      </c>
      <c r="J150" s="503" t="inlineStr">
        <is>
          <t>刘行行</t>
        </is>
      </c>
      <c r="K150" s="224" t="inlineStr">
        <is>
          <t>/</t>
        </is>
      </c>
      <c r="L150" s="651" t="n">
        <v>660000</v>
      </c>
      <c r="M150" s="113" t="n">
        <v>0.19</v>
      </c>
      <c r="N150" s="502" t="inlineStr">
        <is>
          <t>/</t>
        </is>
      </c>
      <c r="O150" s="659" t="n"/>
      <c r="P150" s="502" t="inlineStr">
        <is>
          <t>/</t>
        </is>
      </c>
      <c r="Q150" s="502" t="inlineStr">
        <is>
          <t>/</t>
        </is>
      </c>
      <c r="R150" s="502" t="inlineStr">
        <is>
          <t>/</t>
        </is>
      </c>
      <c r="S150" s="502" t="inlineStr">
        <is>
          <t>/</t>
        </is>
      </c>
      <c r="T150" s="653" t="n">
        <v>1500</v>
      </c>
      <c r="U150" s="653" t="n"/>
      <c r="V150" s="502" t="inlineStr">
        <is>
          <t>/</t>
        </is>
      </c>
      <c r="W150" s="22" t="n">
        <v>0.501</v>
      </c>
      <c r="X150" s="51" t="inlineStr">
        <is>
          <t>/</t>
        </is>
      </c>
      <c r="Y150" s="51" t="inlineStr">
        <is>
          <t>/</t>
        </is>
      </c>
      <c r="Z150" s="51" t="inlineStr">
        <is>
          <t>/</t>
        </is>
      </c>
      <c r="AA150" s="51" t="inlineStr">
        <is>
          <t>/</t>
        </is>
      </c>
      <c r="AB150" s="51" t="inlineStr">
        <is>
          <t>/</t>
        </is>
      </c>
      <c r="AC150" s="46" t="inlineStr">
        <is>
          <t>/</t>
        </is>
      </c>
      <c r="AD150" s="297" t="inlineStr">
        <is>
          <t>1、卫生费：每月固定1500元，寒暑假根据实际运营天数结算</t>
        </is>
      </c>
      <c r="AE150" s="25" t="inlineStr">
        <is>
          <t xml:space="preserve">1、签订期间：2026.2.25-2026.7.31；
2、指标按照全年换算；
</t>
        </is>
      </c>
    </row>
    <row r="151" ht="36" customFormat="1" customHeight="1" s="209">
      <c r="A151" s="219" t="n">
        <v>156</v>
      </c>
      <c r="B151" s="14" t="inlineStr">
        <is>
          <t>KQCY0156</t>
        </is>
      </c>
      <c r="C151" s="221" t="inlineStr">
        <is>
          <t>餐饮三分部</t>
        </is>
      </c>
      <c r="D151" s="221" t="inlineStr">
        <is>
          <t>CF699</t>
        </is>
      </c>
      <c r="E151" s="221" t="inlineStr">
        <is>
          <t>徐医大第一食堂</t>
        </is>
      </c>
      <c r="F151" s="219" t="inlineStr">
        <is>
          <t>分组作业</t>
        </is>
      </c>
      <c r="G151" s="222" t="inlineStr">
        <is>
          <t>陆琪</t>
        </is>
      </c>
      <c r="H151" s="503" t="inlineStr">
        <is>
          <t>/</t>
        </is>
      </c>
      <c r="I151" s="237" t="inlineStr">
        <is>
          <t>营养粥</t>
        </is>
      </c>
      <c r="J151" s="494" t="inlineStr">
        <is>
          <t>周冰</t>
        </is>
      </c>
      <c r="K151" s="224" t="inlineStr">
        <is>
          <t>/</t>
        </is>
      </c>
      <c r="L151" s="651" t="n">
        <v>660000</v>
      </c>
      <c r="M151" s="113" t="n">
        <v>0.19</v>
      </c>
      <c r="N151" s="502" t="inlineStr">
        <is>
          <t>/</t>
        </is>
      </c>
      <c r="O151" s="659" t="n"/>
      <c r="P151" s="502" t="inlineStr">
        <is>
          <t>/</t>
        </is>
      </c>
      <c r="Q151" s="502" t="inlineStr">
        <is>
          <t>/</t>
        </is>
      </c>
      <c r="R151" s="502" t="inlineStr">
        <is>
          <t>/</t>
        </is>
      </c>
      <c r="S151" s="502" t="inlineStr">
        <is>
          <t>/</t>
        </is>
      </c>
      <c r="T151" s="653" t="n">
        <v>1000</v>
      </c>
      <c r="U151" s="653" t="n"/>
      <c r="V151" s="502" t="inlineStr">
        <is>
          <t>/</t>
        </is>
      </c>
      <c r="W151" s="22" t="n">
        <v>0.501</v>
      </c>
      <c r="X151" s="51" t="inlineStr">
        <is>
          <t>/</t>
        </is>
      </c>
      <c r="Y151" s="51" t="inlineStr">
        <is>
          <t>/</t>
        </is>
      </c>
      <c r="Z151" s="51" t="inlineStr">
        <is>
          <t>/</t>
        </is>
      </c>
      <c r="AA151" s="51" t="inlineStr">
        <is>
          <t>/</t>
        </is>
      </c>
      <c r="AB151" s="51" t="inlineStr">
        <is>
          <t>/</t>
        </is>
      </c>
      <c r="AC151" s="46" t="inlineStr">
        <is>
          <t>/</t>
        </is>
      </c>
      <c r="AD151" s="121" t="inlineStr">
        <is>
          <t>1、卫生费：每月固定1000元，寒暑假根据实际运营天数结算</t>
        </is>
      </c>
      <c r="AE151" s="25" t="inlineStr">
        <is>
          <t xml:space="preserve">1、签订期间：2026.2.25-2026.7.31；
2、指标按照全年换算；
</t>
        </is>
      </c>
    </row>
    <row r="152" ht="36" customFormat="1" customHeight="1" s="209">
      <c r="A152" s="219" t="n">
        <v>157</v>
      </c>
      <c r="B152" s="14" t="inlineStr">
        <is>
          <t>KQCY0157</t>
        </is>
      </c>
      <c r="C152" s="221" t="inlineStr">
        <is>
          <t>餐饮三分部</t>
        </is>
      </c>
      <c r="D152" s="221" t="inlineStr">
        <is>
          <t>CF699</t>
        </is>
      </c>
      <c r="E152" s="221" t="inlineStr">
        <is>
          <t>徐医大第一食堂</t>
        </is>
      </c>
      <c r="F152" s="219" t="inlineStr">
        <is>
          <t>分组作业</t>
        </is>
      </c>
      <c r="G152" s="222" t="inlineStr">
        <is>
          <t>陆琪</t>
        </is>
      </c>
      <c r="H152" s="503" t="inlineStr">
        <is>
          <t>/</t>
        </is>
      </c>
      <c r="I152" s="237" t="inlineStr">
        <is>
          <t>辣椒炒肉</t>
        </is>
      </c>
      <c r="J152" s="494" t="inlineStr">
        <is>
          <t>王桐</t>
        </is>
      </c>
      <c r="K152" s="224" t="inlineStr">
        <is>
          <t>/</t>
        </is>
      </c>
      <c r="L152" s="651" t="n">
        <v>588000</v>
      </c>
      <c r="M152" s="113" t="n">
        <v>0.16</v>
      </c>
      <c r="N152" s="502" t="inlineStr">
        <is>
          <t>/</t>
        </is>
      </c>
      <c r="O152" s="659" t="n"/>
      <c r="P152" s="502" t="inlineStr">
        <is>
          <t>/</t>
        </is>
      </c>
      <c r="Q152" s="502" t="inlineStr">
        <is>
          <t>/</t>
        </is>
      </c>
      <c r="R152" s="502" t="inlineStr">
        <is>
          <t>/</t>
        </is>
      </c>
      <c r="S152" s="502" t="inlineStr">
        <is>
          <t>/</t>
        </is>
      </c>
      <c r="T152" s="653" t="n">
        <v>1500</v>
      </c>
      <c r="U152" s="653" t="n"/>
      <c r="V152" s="502" t="inlineStr">
        <is>
          <t>/</t>
        </is>
      </c>
      <c r="W152" s="22" t="n">
        <v>0.501</v>
      </c>
      <c r="X152" s="51" t="inlineStr">
        <is>
          <t>/</t>
        </is>
      </c>
      <c r="Y152" s="51" t="inlineStr">
        <is>
          <t>/</t>
        </is>
      </c>
      <c r="Z152" s="51" t="inlineStr">
        <is>
          <t>/</t>
        </is>
      </c>
      <c r="AA152" s="51" t="inlineStr">
        <is>
          <t>/</t>
        </is>
      </c>
      <c r="AB152" s="51" t="inlineStr">
        <is>
          <t>/</t>
        </is>
      </c>
      <c r="AC152" s="46" t="inlineStr">
        <is>
          <t>/</t>
        </is>
      </c>
      <c r="AD152" s="297" t="inlineStr">
        <is>
          <t>1、卫生费：每月固定1500元，寒暑假根据实际运营天数结算</t>
        </is>
      </c>
      <c r="AE152" s="25" t="inlineStr">
        <is>
          <t xml:space="preserve">1、签订期间：2026.2.25-2026.7.31；
2、指标按照全年换算；
</t>
        </is>
      </c>
    </row>
    <row r="153" ht="36" customFormat="1" customHeight="1" s="209">
      <c r="A153" s="219" t="n">
        <v>158</v>
      </c>
      <c r="B153" s="14" t="inlineStr">
        <is>
          <t>KQCY0158</t>
        </is>
      </c>
      <c r="C153" s="221" t="inlineStr">
        <is>
          <t>餐饮三分部</t>
        </is>
      </c>
      <c r="D153" s="221" t="inlineStr">
        <is>
          <t>CF699</t>
        </is>
      </c>
      <c r="E153" s="221" t="inlineStr">
        <is>
          <t>徐医大第一食堂</t>
        </is>
      </c>
      <c r="F153" s="219" t="inlineStr">
        <is>
          <t>分组作业</t>
        </is>
      </c>
      <c r="G153" s="222" t="inlineStr">
        <is>
          <t>陆琪</t>
        </is>
      </c>
      <c r="H153" s="503" t="inlineStr">
        <is>
          <t>/</t>
        </is>
      </c>
      <c r="I153" s="237" t="inlineStr">
        <is>
          <t>板煮演义</t>
        </is>
      </c>
      <c r="J153" s="494" t="inlineStr">
        <is>
          <t>郑亚兰</t>
        </is>
      </c>
      <c r="K153" s="224" t="inlineStr">
        <is>
          <t>/</t>
        </is>
      </c>
      <c r="L153" s="651" t="n">
        <v>564000</v>
      </c>
      <c r="M153" s="113" t="n">
        <v>0.19</v>
      </c>
      <c r="N153" s="502" t="inlineStr">
        <is>
          <t>/</t>
        </is>
      </c>
      <c r="O153" s="659" t="n"/>
      <c r="P153" s="502" t="inlineStr">
        <is>
          <t>/</t>
        </is>
      </c>
      <c r="Q153" s="502" t="inlineStr">
        <is>
          <t>/</t>
        </is>
      </c>
      <c r="R153" s="502" t="inlineStr">
        <is>
          <t>/</t>
        </is>
      </c>
      <c r="S153" s="502" t="inlineStr">
        <is>
          <t>/</t>
        </is>
      </c>
      <c r="T153" s="653" t="n">
        <v>1500</v>
      </c>
      <c r="U153" s="653" t="n"/>
      <c r="V153" s="502" t="inlineStr">
        <is>
          <t>/</t>
        </is>
      </c>
      <c r="W153" s="22" t="n">
        <v>0.501</v>
      </c>
      <c r="X153" s="51" t="inlineStr">
        <is>
          <t>/</t>
        </is>
      </c>
      <c r="Y153" s="51" t="inlineStr">
        <is>
          <t>/</t>
        </is>
      </c>
      <c r="Z153" s="51" t="inlineStr">
        <is>
          <t>/</t>
        </is>
      </c>
      <c r="AA153" s="51" t="inlineStr">
        <is>
          <t>/</t>
        </is>
      </c>
      <c r="AB153" s="51" t="inlineStr">
        <is>
          <t>/</t>
        </is>
      </c>
      <c r="AC153" s="46" t="inlineStr">
        <is>
          <t>/</t>
        </is>
      </c>
      <c r="AD153" s="297" t="inlineStr">
        <is>
          <t>1、卫生费：每月固定1500元，寒暑假根据实际运营天数结算</t>
        </is>
      </c>
      <c r="AE153" s="25" t="inlineStr">
        <is>
          <t xml:space="preserve">1、签订期间：2026.2.25-2026.7.31；
2、指标按照全年换算；
</t>
        </is>
      </c>
    </row>
    <row r="154" ht="36" customFormat="1" customHeight="1" s="209">
      <c r="A154" s="219" t="n">
        <v>159</v>
      </c>
      <c r="B154" s="14" t="inlineStr">
        <is>
          <t>KQCY0159</t>
        </is>
      </c>
      <c r="C154" s="221" t="inlineStr">
        <is>
          <t>餐饮三分部</t>
        </is>
      </c>
      <c r="D154" s="221" t="inlineStr">
        <is>
          <t>CF699</t>
        </is>
      </c>
      <c r="E154" s="221" t="inlineStr">
        <is>
          <t>徐医大第一食堂</t>
        </is>
      </c>
      <c r="F154" s="219" t="inlineStr">
        <is>
          <t>分组作业</t>
        </is>
      </c>
      <c r="G154" s="222" t="inlineStr">
        <is>
          <t>陆琪</t>
        </is>
      </c>
      <c r="H154" s="503" t="inlineStr">
        <is>
          <t>/</t>
        </is>
      </c>
      <c r="I154" s="237" t="inlineStr">
        <is>
          <t>老翟板面</t>
        </is>
      </c>
      <c r="J154" s="494" t="inlineStr">
        <is>
          <t>经蕊蕊</t>
        </is>
      </c>
      <c r="K154" s="224" t="inlineStr">
        <is>
          <t>/</t>
        </is>
      </c>
      <c r="L154" s="651" t="n">
        <v>672000</v>
      </c>
      <c r="M154" s="113" t="n">
        <v>0.16</v>
      </c>
      <c r="N154" s="502" t="inlineStr">
        <is>
          <t>/</t>
        </is>
      </c>
      <c r="O154" s="659" t="n"/>
      <c r="P154" s="502" t="inlineStr">
        <is>
          <t>/</t>
        </is>
      </c>
      <c r="Q154" s="502" t="inlineStr">
        <is>
          <t>/</t>
        </is>
      </c>
      <c r="R154" s="502" t="inlineStr">
        <is>
          <t>/</t>
        </is>
      </c>
      <c r="S154" s="502" t="inlineStr">
        <is>
          <t>/</t>
        </is>
      </c>
      <c r="T154" s="653" t="n">
        <v>1000</v>
      </c>
      <c r="U154" s="653" t="n"/>
      <c r="V154" s="502" t="inlineStr">
        <is>
          <t>/</t>
        </is>
      </c>
      <c r="W154" s="22" t="n">
        <v>0.501</v>
      </c>
      <c r="X154" s="51" t="inlineStr">
        <is>
          <t>/</t>
        </is>
      </c>
      <c r="Y154" s="51" t="inlineStr">
        <is>
          <t>/</t>
        </is>
      </c>
      <c r="Z154" s="51" t="inlineStr">
        <is>
          <t>/</t>
        </is>
      </c>
      <c r="AA154" s="51" t="inlineStr">
        <is>
          <t>/</t>
        </is>
      </c>
      <c r="AB154" s="51" t="inlineStr">
        <is>
          <t>/</t>
        </is>
      </c>
      <c r="AC154" s="46" t="inlineStr">
        <is>
          <t>/</t>
        </is>
      </c>
      <c r="AD154" s="121" t="inlineStr">
        <is>
          <t>1、卫生费：每月固定1000元，寒暑假根据实际运
营天数结算</t>
        </is>
      </c>
      <c r="AE154" s="25" t="inlineStr">
        <is>
          <t xml:space="preserve">1、签订期间：2026.2.25-2026.7.31；
2、指标按照全年换算；
</t>
        </is>
      </c>
    </row>
    <row r="155" ht="36" customFormat="1" customHeight="1" s="209">
      <c r="A155" s="219" t="n">
        <v>160</v>
      </c>
      <c r="B155" s="14" t="inlineStr">
        <is>
          <t>KQCY0160</t>
        </is>
      </c>
      <c r="C155" s="221" t="inlineStr">
        <is>
          <t>餐饮三分部</t>
        </is>
      </c>
      <c r="D155" s="221" t="inlineStr">
        <is>
          <t>CF699</t>
        </is>
      </c>
      <c r="E155" s="221" t="inlineStr">
        <is>
          <t>徐医大第一食堂</t>
        </is>
      </c>
      <c r="F155" s="219" t="inlineStr">
        <is>
          <t>分组作业</t>
        </is>
      </c>
      <c r="G155" s="222" t="inlineStr">
        <is>
          <t>陆琪</t>
        </is>
      </c>
      <c r="H155" s="503" t="inlineStr">
        <is>
          <t>/</t>
        </is>
      </c>
      <c r="I155" s="237" t="inlineStr">
        <is>
          <t>杂粮煎饼</t>
        </is>
      </c>
      <c r="J155" s="494" t="inlineStr">
        <is>
          <t>陈希广</t>
        </is>
      </c>
      <c r="K155" s="224" t="inlineStr">
        <is>
          <t>/</t>
        </is>
      </c>
      <c r="L155" s="651" t="n">
        <v>588000</v>
      </c>
      <c r="M155" s="113" t="n">
        <v>0.19</v>
      </c>
      <c r="N155" s="502" t="inlineStr">
        <is>
          <t>/</t>
        </is>
      </c>
      <c r="O155" s="659" t="n"/>
      <c r="P155" s="502" t="inlineStr">
        <is>
          <t>/</t>
        </is>
      </c>
      <c r="Q155" s="502" t="inlineStr">
        <is>
          <t>/</t>
        </is>
      </c>
      <c r="R155" s="502" t="inlineStr">
        <is>
          <t>/</t>
        </is>
      </c>
      <c r="S155" s="502" t="inlineStr">
        <is>
          <t>/</t>
        </is>
      </c>
      <c r="T155" s="653" t="n">
        <v>600</v>
      </c>
      <c r="U155" s="653" t="n"/>
      <c r="V155" s="502" t="inlineStr">
        <is>
          <t>/</t>
        </is>
      </c>
      <c r="W155" s="22" t="n">
        <v>0.501</v>
      </c>
      <c r="X155" s="51" t="inlineStr">
        <is>
          <t>/</t>
        </is>
      </c>
      <c r="Y155" s="51" t="inlineStr">
        <is>
          <t>/</t>
        </is>
      </c>
      <c r="Z155" s="51" t="inlineStr">
        <is>
          <t>/</t>
        </is>
      </c>
      <c r="AA155" s="51" t="inlineStr">
        <is>
          <t>/</t>
        </is>
      </c>
      <c r="AB155" s="51" t="inlineStr">
        <is>
          <t>/</t>
        </is>
      </c>
      <c r="AC155" s="46" t="inlineStr">
        <is>
          <t>/</t>
        </is>
      </c>
      <c r="AD155" s="297" t="inlineStr">
        <is>
          <t>1、卫生费：每月固定600元，
寒暑假根据实际运
营天数结算</t>
        </is>
      </c>
      <c r="AE155" s="25" t="inlineStr">
        <is>
          <t xml:space="preserve">1、签订期间：2026.2.25-2026.7.31；
2、指标按照全年换算；
</t>
        </is>
      </c>
    </row>
    <row r="156" ht="36" customFormat="1" customHeight="1" s="209">
      <c r="A156" s="219" t="n">
        <v>161</v>
      </c>
      <c r="B156" s="14" t="inlineStr">
        <is>
          <t>KQCY0161</t>
        </is>
      </c>
      <c r="C156" s="221" t="inlineStr">
        <is>
          <t>餐饮三分部</t>
        </is>
      </c>
      <c r="D156" s="221" t="inlineStr">
        <is>
          <t>CF699</t>
        </is>
      </c>
      <c r="E156" s="221" t="inlineStr">
        <is>
          <t>徐医大第一食堂</t>
        </is>
      </c>
      <c r="F156" s="219" t="inlineStr">
        <is>
          <t>分组作业</t>
        </is>
      </c>
      <c r="G156" s="222" t="inlineStr">
        <is>
          <t>陆琪</t>
        </is>
      </c>
      <c r="H156" s="503" t="inlineStr">
        <is>
          <t>/</t>
        </is>
      </c>
      <c r="I156" s="237" t="inlineStr">
        <is>
          <t>早餐</t>
        </is>
      </c>
      <c r="J156" s="494" t="inlineStr">
        <is>
          <t>张召兵</t>
        </is>
      </c>
      <c r="K156" s="224" t="inlineStr">
        <is>
          <t>/</t>
        </is>
      </c>
      <c r="L156" s="651" t="n">
        <v>1056000</v>
      </c>
      <c r="M156" s="113" t="n">
        <v>0.16</v>
      </c>
      <c r="N156" s="502" t="inlineStr">
        <is>
          <t>/</t>
        </is>
      </c>
      <c r="O156" s="659" t="n"/>
      <c r="P156" s="502" t="inlineStr">
        <is>
          <t>/</t>
        </is>
      </c>
      <c r="Q156" s="502" t="inlineStr">
        <is>
          <t>/</t>
        </is>
      </c>
      <c r="R156" s="502" t="inlineStr">
        <is>
          <t>/</t>
        </is>
      </c>
      <c r="S156" s="502" t="inlineStr">
        <is>
          <t>/</t>
        </is>
      </c>
      <c r="T156" s="653" t="n">
        <v>1000</v>
      </c>
      <c r="U156" s="653" t="n"/>
      <c r="V156" s="502" t="inlineStr">
        <is>
          <t>/</t>
        </is>
      </c>
      <c r="W156" s="22" t="n">
        <v>0.501</v>
      </c>
      <c r="X156" s="51" t="inlineStr">
        <is>
          <t>/</t>
        </is>
      </c>
      <c r="Y156" s="51" t="inlineStr">
        <is>
          <t>/</t>
        </is>
      </c>
      <c r="Z156" s="51" t="inlineStr">
        <is>
          <t>/</t>
        </is>
      </c>
      <c r="AA156" s="51" t="inlineStr">
        <is>
          <t>/</t>
        </is>
      </c>
      <c r="AB156" s="51" t="inlineStr">
        <is>
          <t>/</t>
        </is>
      </c>
      <c r="AC156" s="46" t="inlineStr">
        <is>
          <t>/</t>
        </is>
      </c>
      <c r="AD156" s="297" t="inlineStr">
        <is>
          <t>1、卫生费：每月固定1000元，寒暑假根据实际运
营天数结算</t>
        </is>
      </c>
      <c r="AE156" s="25" t="inlineStr">
        <is>
          <t xml:space="preserve">1、签订期间：2026.2.25-2026.7.31；
2、指标按照全年换算；
</t>
        </is>
      </c>
    </row>
    <row r="157" ht="36" customFormat="1" customHeight="1" s="209">
      <c r="A157" s="219" t="n">
        <v>162</v>
      </c>
      <c r="B157" s="14" t="inlineStr">
        <is>
          <t>KQCY0162</t>
        </is>
      </c>
      <c r="C157" s="221" t="inlineStr">
        <is>
          <t>餐饮三分部</t>
        </is>
      </c>
      <c r="D157" s="221" t="inlineStr">
        <is>
          <t>CF699</t>
        </is>
      </c>
      <c r="E157" s="221" t="inlineStr">
        <is>
          <t>徐医大第一食堂</t>
        </is>
      </c>
      <c r="F157" s="219" t="inlineStr">
        <is>
          <t>分组作业</t>
        </is>
      </c>
      <c r="G157" s="222" t="inlineStr">
        <is>
          <t>陆琪</t>
        </is>
      </c>
      <c r="H157" s="503" t="inlineStr">
        <is>
          <t>/</t>
        </is>
      </c>
      <c r="I157" s="237" t="inlineStr">
        <is>
          <t>快餐</t>
        </is>
      </c>
      <c r="J157" s="494" t="inlineStr">
        <is>
          <t>任现军</t>
        </is>
      </c>
      <c r="K157" s="224" t="inlineStr">
        <is>
          <t>/</t>
        </is>
      </c>
      <c r="L157" s="651" t="n">
        <v>1548000</v>
      </c>
      <c r="M157" s="113" t="n">
        <v>0.16</v>
      </c>
      <c r="N157" s="502" t="inlineStr">
        <is>
          <t>/</t>
        </is>
      </c>
      <c r="O157" s="659" t="n"/>
      <c r="P157" s="502" t="inlineStr">
        <is>
          <t>/</t>
        </is>
      </c>
      <c r="Q157" s="502" t="inlineStr">
        <is>
          <t>/</t>
        </is>
      </c>
      <c r="R157" s="502" t="inlineStr">
        <is>
          <t>/</t>
        </is>
      </c>
      <c r="S157" s="502" t="inlineStr">
        <is>
          <t>/</t>
        </is>
      </c>
      <c r="T157" s="653" t="n">
        <v>2500</v>
      </c>
      <c r="U157" s="653" t="n"/>
      <c r="V157" s="502" t="inlineStr">
        <is>
          <t>/</t>
        </is>
      </c>
      <c r="W157" s="22" t="n">
        <v>0.501</v>
      </c>
      <c r="X157" s="51" t="inlineStr">
        <is>
          <t>/</t>
        </is>
      </c>
      <c r="Y157" s="51" t="inlineStr">
        <is>
          <t>/</t>
        </is>
      </c>
      <c r="Z157" s="51" t="inlineStr">
        <is>
          <t>/</t>
        </is>
      </c>
      <c r="AA157" s="51" t="inlineStr">
        <is>
          <t>/</t>
        </is>
      </c>
      <c r="AB157" s="51" t="inlineStr">
        <is>
          <t>/</t>
        </is>
      </c>
      <c r="AC157" s="46" t="inlineStr">
        <is>
          <t>/</t>
        </is>
      </c>
      <c r="AD157" s="297" t="inlineStr">
        <is>
          <t>1、卫生费：每月固定2500元，寒暑假根据实际运
营天数结算</t>
        </is>
      </c>
      <c r="AE157" s="25" t="inlineStr">
        <is>
          <t xml:space="preserve">1、签订期间：2026.2.25-2026.7.31；
2、指标按照全年换算；
</t>
        </is>
      </c>
    </row>
    <row r="158" ht="36" customFormat="1" customHeight="1" s="209">
      <c r="A158" s="219" t="n">
        <v>163</v>
      </c>
      <c r="B158" s="14" t="inlineStr">
        <is>
          <t>KQCY0163</t>
        </is>
      </c>
      <c r="C158" s="221" t="inlineStr">
        <is>
          <t>餐饮三分部</t>
        </is>
      </c>
      <c r="D158" s="221" t="inlineStr">
        <is>
          <t>CF699</t>
        </is>
      </c>
      <c r="E158" s="221" t="inlineStr">
        <is>
          <t>徐医大第一食堂</t>
        </is>
      </c>
      <c r="F158" s="219" t="inlineStr">
        <is>
          <t>分组作业</t>
        </is>
      </c>
      <c r="G158" s="222" t="inlineStr">
        <is>
          <t>陆琪</t>
        </is>
      </c>
      <c r="H158" s="503" t="inlineStr">
        <is>
          <t>/</t>
        </is>
      </c>
      <c r="I158" s="237" t="inlineStr">
        <is>
          <t>精品套餐</t>
        </is>
      </c>
      <c r="J158" s="494" t="inlineStr">
        <is>
          <t>任现军</t>
        </is>
      </c>
      <c r="K158" s="224" t="inlineStr">
        <is>
          <t>/</t>
        </is>
      </c>
      <c r="L158" s="651" t="n">
        <v>564000</v>
      </c>
      <c r="M158" s="113" t="n">
        <v>0.15</v>
      </c>
      <c r="N158" s="502" t="inlineStr">
        <is>
          <t>/</t>
        </is>
      </c>
      <c r="O158" s="659" t="n"/>
      <c r="P158" s="502" t="inlineStr">
        <is>
          <t>/</t>
        </is>
      </c>
      <c r="Q158" s="502" t="inlineStr">
        <is>
          <t>/</t>
        </is>
      </c>
      <c r="R158" s="502" t="inlineStr">
        <is>
          <t>/</t>
        </is>
      </c>
      <c r="S158" s="502" t="inlineStr">
        <is>
          <t>/</t>
        </is>
      </c>
      <c r="T158" s="653" t="n">
        <v>1500</v>
      </c>
      <c r="U158" s="653" t="n"/>
      <c r="V158" s="502" t="inlineStr">
        <is>
          <t>/</t>
        </is>
      </c>
      <c r="W158" s="22" t="n">
        <v>0.501</v>
      </c>
      <c r="X158" s="51" t="inlineStr">
        <is>
          <t>/</t>
        </is>
      </c>
      <c r="Y158" s="51" t="inlineStr">
        <is>
          <t>/</t>
        </is>
      </c>
      <c r="Z158" s="51" t="inlineStr">
        <is>
          <t>/</t>
        </is>
      </c>
      <c r="AA158" s="51" t="inlineStr">
        <is>
          <t>/</t>
        </is>
      </c>
      <c r="AB158" s="51" t="inlineStr">
        <is>
          <t>/</t>
        </is>
      </c>
      <c r="AC158" s="46" t="inlineStr">
        <is>
          <t>/</t>
        </is>
      </c>
      <c r="AD158" s="297" t="inlineStr">
        <is>
          <t>1、卫生费：每月固定1500元，寒暑假根据实际运
营天数结算</t>
        </is>
      </c>
      <c r="AE158" s="25" t="inlineStr">
        <is>
          <t xml:space="preserve">1、签订期间：2026.2.25-2026.7.31；
2、指标按照全年换算；
</t>
        </is>
      </c>
    </row>
    <row r="159" ht="36" customFormat="1" customHeight="1" s="209">
      <c r="A159" s="219" t="n">
        <v>164</v>
      </c>
      <c r="B159" s="14" t="inlineStr">
        <is>
          <t>KQCY0164</t>
        </is>
      </c>
      <c r="C159" s="221" t="inlineStr">
        <is>
          <t>餐饮三分部</t>
        </is>
      </c>
      <c r="D159" s="221" t="inlineStr">
        <is>
          <t>CF699</t>
        </is>
      </c>
      <c r="E159" s="221" t="inlineStr">
        <is>
          <t>徐医大第一食堂</t>
        </is>
      </c>
      <c r="F159" s="219" t="inlineStr">
        <is>
          <t>分组作业</t>
        </is>
      </c>
      <c r="G159" s="222" t="inlineStr">
        <is>
          <t>陆琪</t>
        </is>
      </c>
      <c r="H159" s="503" t="inlineStr">
        <is>
          <t>/</t>
        </is>
      </c>
      <c r="I159" s="237" t="inlineStr">
        <is>
          <t>家家乐烘焙</t>
        </is>
      </c>
      <c r="J159" s="494" t="inlineStr">
        <is>
          <t>朱江平</t>
        </is>
      </c>
      <c r="K159" s="224" t="inlineStr">
        <is>
          <t>/</t>
        </is>
      </c>
      <c r="L159" s="651" t="n">
        <v>672000</v>
      </c>
      <c r="M159" s="113" t="n">
        <v>0.19</v>
      </c>
      <c r="N159" s="502" t="inlineStr">
        <is>
          <t>/</t>
        </is>
      </c>
      <c r="O159" s="659" t="n"/>
      <c r="P159" s="502" t="inlineStr">
        <is>
          <t>/</t>
        </is>
      </c>
      <c r="Q159" s="502" t="inlineStr">
        <is>
          <t>/</t>
        </is>
      </c>
      <c r="R159" s="502" t="inlineStr">
        <is>
          <t>/</t>
        </is>
      </c>
      <c r="S159" s="502" t="inlineStr">
        <is>
          <t>/</t>
        </is>
      </c>
      <c r="T159" s="653" t="n">
        <v>600</v>
      </c>
      <c r="U159" s="653" t="n"/>
      <c r="V159" s="502" t="inlineStr">
        <is>
          <t>/</t>
        </is>
      </c>
      <c r="W159" s="22" t="n">
        <v>0.501</v>
      </c>
      <c r="X159" s="51" t="inlineStr">
        <is>
          <t>/</t>
        </is>
      </c>
      <c r="Y159" s="51" t="inlineStr">
        <is>
          <t>/</t>
        </is>
      </c>
      <c r="Z159" s="51" t="inlineStr">
        <is>
          <t>/</t>
        </is>
      </c>
      <c r="AA159" s="51" t="inlineStr">
        <is>
          <t>/</t>
        </is>
      </c>
      <c r="AB159" s="51" t="inlineStr">
        <is>
          <t>/</t>
        </is>
      </c>
      <c r="AC159" s="46" t="inlineStr">
        <is>
          <t>/</t>
        </is>
      </c>
      <c r="AD159" s="297" t="inlineStr">
        <is>
          <t>1、卫生费：每月固定600元，寒暑假根据实际运营天数结算</t>
        </is>
      </c>
      <c r="AE159" s="25" t="inlineStr">
        <is>
          <t xml:space="preserve">1、签订期间：2026.2.25-2026.7.31；
2、指标按照全年换算；
</t>
        </is>
      </c>
    </row>
    <row r="160" ht="36" customFormat="1" customHeight="1" s="209">
      <c r="A160" s="219" t="n">
        <v>165</v>
      </c>
      <c r="B160" s="14" t="inlineStr">
        <is>
          <t>KQCY0165</t>
        </is>
      </c>
      <c r="C160" s="221" t="inlineStr">
        <is>
          <t>餐饮三分部</t>
        </is>
      </c>
      <c r="D160" s="221" t="inlineStr">
        <is>
          <t>CF699</t>
        </is>
      </c>
      <c r="E160" s="221" t="inlineStr">
        <is>
          <t>徐医大第一食堂</t>
        </is>
      </c>
      <c r="F160" s="219" t="inlineStr">
        <is>
          <t>分组作业</t>
        </is>
      </c>
      <c r="G160" s="222" t="inlineStr">
        <is>
          <t>陆琪</t>
        </is>
      </c>
      <c r="H160" s="503" t="inlineStr">
        <is>
          <t>/</t>
        </is>
      </c>
      <c r="I160" s="237" t="inlineStr">
        <is>
          <t>马老头江南小吃（炒饭）</t>
        </is>
      </c>
      <c r="J160" s="494" t="inlineStr">
        <is>
          <t>曾莉</t>
        </is>
      </c>
      <c r="K160" s="224" t="inlineStr">
        <is>
          <t>/</t>
        </is>
      </c>
      <c r="L160" s="651" t="n">
        <v>660000</v>
      </c>
      <c r="M160" s="113" t="n">
        <v>0.19</v>
      </c>
      <c r="N160" s="502" t="inlineStr">
        <is>
          <t>/</t>
        </is>
      </c>
      <c r="O160" s="659" t="n"/>
      <c r="P160" s="502" t="inlineStr">
        <is>
          <t>/</t>
        </is>
      </c>
      <c r="Q160" s="502" t="inlineStr">
        <is>
          <t>/</t>
        </is>
      </c>
      <c r="R160" s="502" t="inlineStr">
        <is>
          <t>/</t>
        </is>
      </c>
      <c r="S160" s="502" t="inlineStr">
        <is>
          <t>/</t>
        </is>
      </c>
      <c r="T160" s="653" t="n">
        <v>800</v>
      </c>
      <c r="U160" s="653" t="n"/>
      <c r="V160" s="502" t="inlineStr">
        <is>
          <t>/</t>
        </is>
      </c>
      <c r="W160" s="22" t="n">
        <v>0.501</v>
      </c>
      <c r="X160" s="51" t="inlineStr">
        <is>
          <t>/</t>
        </is>
      </c>
      <c r="Y160" s="51" t="inlineStr">
        <is>
          <t>/</t>
        </is>
      </c>
      <c r="Z160" s="51" t="inlineStr">
        <is>
          <t>/</t>
        </is>
      </c>
      <c r="AA160" s="51" t="inlineStr">
        <is>
          <t>/</t>
        </is>
      </c>
      <c r="AB160" s="51" t="inlineStr">
        <is>
          <t>/</t>
        </is>
      </c>
      <c r="AC160" s="46" t="inlineStr">
        <is>
          <t>/</t>
        </is>
      </c>
      <c r="AD160" s="297" t="inlineStr">
        <is>
          <t>1、卫生费：每月固定800元，寒暑假根据实际运营天数结算</t>
        </is>
      </c>
      <c r="AE160" s="25" t="inlineStr">
        <is>
          <t xml:space="preserve">1、签订期间：2026.2.25-2026.7.31；
2、指标按照全年换算；
</t>
        </is>
      </c>
    </row>
    <row r="161" ht="36" customFormat="1" customHeight="1" s="209">
      <c r="A161" s="219" t="n">
        <v>166</v>
      </c>
      <c r="B161" s="14" t="inlineStr">
        <is>
          <t>KQCY0166</t>
        </is>
      </c>
      <c r="C161" s="221" t="inlineStr">
        <is>
          <t>餐饮三分部</t>
        </is>
      </c>
      <c r="D161" s="221" t="inlineStr">
        <is>
          <t>CF699</t>
        </is>
      </c>
      <c r="E161" s="221" t="inlineStr">
        <is>
          <t>徐医大第一食堂</t>
        </is>
      </c>
      <c r="F161" s="219" t="inlineStr">
        <is>
          <t>分组作业</t>
        </is>
      </c>
      <c r="G161" s="222" t="inlineStr">
        <is>
          <t>陆琪</t>
        </is>
      </c>
      <c r="H161" s="503" t="inlineStr">
        <is>
          <t>/</t>
        </is>
      </c>
      <c r="I161" s="237" t="inlineStr">
        <is>
          <t>鸡架拌面</t>
        </is>
      </c>
      <c r="J161" s="494" t="inlineStr">
        <is>
          <t>冀振杰</t>
        </is>
      </c>
      <c r="K161" s="224" t="inlineStr">
        <is>
          <t>/</t>
        </is>
      </c>
      <c r="L161" s="651" t="n">
        <v>660000</v>
      </c>
      <c r="M161" s="113" t="n">
        <v>0.17</v>
      </c>
      <c r="N161" s="502" t="inlineStr">
        <is>
          <t>/</t>
        </is>
      </c>
      <c r="O161" s="659" t="n"/>
      <c r="P161" s="502" t="inlineStr">
        <is>
          <t>/</t>
        </is>
      </c>
      <c r="Q161" s="502" t="inlineStr">
        <is>
          <t>/</t>
        </is>
      </c>
      <c r="R161" s="502" t="inlineStr">
        <is>
          <t>/</t>
        </is>
      </c>
      <c r="S161" s="502" t="inlineStr">
        <is>
          <t>/</t>
        </is>
      </c>
      <c r="T161" s="653" t="n">
        <v>1500</v>
      </c>
      <c r="U161" s="653" t="n"/>
      <c r="V161" s="502" t="inlineStr">
        <is>
          <t>/</t>
        </is>
      </c>
      <c r="W161" s="22" t="n">
        <v>0.501</v>
      </c>
      <c r="X161" s="51" t="inlineStr">
        <is>
          <t>/</t>
        </is>
      </c>
      <c r="Y161" s="51" t="inlineStr">
        <is>
          <t>/</t>
        </is>
      </c>
      <c r="Z161" s="51" t="inlineStr">
        <is>
          <t>/</t>
        </is>
      </c>
      <c r="AA161" s="51" t="inlineStr">
        <is>
          <t>/</t>
        </is>
      </c>
      <c r="AB161" s="51" t="inlineStr">
        <is>
          <t>/</t>
        </is>
      </c>
      <c r="AC161" s="46" t="inlineStr">
        <is>
          <t>/</t>
        </is>
      </c>
      <c r="AD161" s="297" t="inlineStr">
        <is>
          <t>1、卫生费：每月固定1500元，寒暑假根据实际运营天数结算</t>
        </is>
      </c>
      <c r="AE161" s="25" t="inlineStr">
        <is>
          <t xml:space="preserve">1、签订期间：2026.2.25-2026.7.31；
2、指标按照全年换算；
</t>
        </is>
      </c>
    </row>
    <row r="162" ht="36" customFormat="1" customHeight="1" s="209">
      <c r="A162" s="219" t="n">
        <v>167</v>
      </c>
      <c r="B162" s="14" t="inlineStr">
        <is>
          <t>KQCY0167</t>
        </is>
      </c>
      <c r="C162" s="221" t="inlineStr">
        <is>
          <t>餐饮三分部</t>
        </is>
      </c>
      <c r="D162" s="221" t="inlineStr">
        <is>
          <t>CF699</t>
        </is>
      </c>
      <c r="E162" s="221" t="inlineStr">
        <is>
          <t>徐医大第一食堂</t>
        </is>
      </c>
      <c r="F162" s="219" t="inlineStr">
        <is>
          <t>分组作业</t>
        </is>
      </c>
      <c r="G162" s="222" t="inlineStr">
        <is>
          <t>陆琪</t>
        </is>
      </c>
      <c r="H162" s="503" t="inlineStr">
        <is>
          <t>/</t>
        </is>
      </c>
      <c r="I162" s="237" t="inlineStr">
        <is>
          <t>自选称菜</t>
        </is>
      </c>
      <c r="J162" s="494" t="inlineStr">
        <is>
          <t>韦志得</t>
        </is>
      </c>
      <c r="K162" s="224" t="inlineStr">
        <is>
          <t>/</t>
        </is>
      </c>
      <c r="L162" s="651" t="n">
        <v>2004000</v>
      </c>
      <c r="M162" s="113" t="n">
        <v>0.15</v>
      </c>
      <c r="N162" s="502" t="inlineStr">
        <is>
          <t>/</t>
        </is>
      </c>
      <c r="O162" s="659" t="n"/>
      <c r="P162" s="502" t="inlineStr">
        <is>
          <t>/</t>
        </is>
      </c>
      <c r="Q162" s="502" t="inlineStr">
        <is>
          <t>/</t>
        </is>
      </c>
      <c r="R162" s="502" t="inlineStr">
        <is>
          <t>/</t>
        </is>
      </c>
      <c r="S162" s="502" t="inlineStr">
        <is>
          <t>/</t>
        </is>
      </c>
      <c r="T162" s="653" t="n">
        <v>2000</v>
      </c>
      <c r="U162" s="653" t="n"/>
      <c r="V162" s="502" t="inlineStr">
        <is>
          <t>/</t>
        </is>
      </c>
      <c r="W162" s="22" t="n">
        <v>0.501</v>
      </c>
      <c r="X162" s="51" t="inlineStr">
        <is>
          <t>/</t>
        </is>
      </c>
      <c r="Y162" s="51" t="inlineStr">
        <is>
          <t>/</t>
        </is>
      </c>
      <c r="Z162" s="51" t="inlineStr">
        <is>
          <t>/</t>
        </is>
      </c>
      <c r="AA162" s="51" t="inlineStr">
        <is>
          <t>/</t>
        </is>
      </c>
      <c r="AB162" s="51" t="inlineStr">
        <is>
          <t>/</t>
        </is>
      </c>
      <c r="AC162" s="46" t="inlineStr">
        <is>
          <t>/</t>
        </is>
      </c>
      <c r="AD162" s="297" t="inlineStr">
        <is>
          <t>1、卫生费：每月固定2000元，寒暑假根据实际运营天数结算</t>
        </is>
      </c>
      <c r="AE162" s="25" t="inlineStr">
        <is>
          <t xml:space="preserve">1、签订期间：2026.2.25-2026.7.31；
2、指标按照全年换算；
</t>
        </is>
      </c>
    </row>
    <row r="163" ht="36" customFormat="1" customHeight="1" s="209">
      <c r="A163" s="219" t="n">
        <v>168</v>
      </c>
      <c r="B163" s="14" t="inlineStr">
        <is>
          <t>KQCY0168</t>
        </is>
      </c>
      <c r="C163" s="221" t="inlineStr">
        <is>
          <t>餐饮三分部</t>
        </is>
      </c>
      <c r="D163" s="221" t="inlineStr">
        <is>
          <t>CF699</t>
        </is>
      </c>
      <c r="E163" s="221" t="inlineStr">
        <is>
          <t>徐医大第一食堂</t>
        </is>
      </c>
      <c r="F163" s="219" t="inlineStr">
        <is>
          <t>分组作业</t>
        </is>
      </c>
      <c r="G163" s="222" t="inlineStr">
        <is>
          <t>陆琪</t>
        </is>
      </c>
      <c r="H163" s="503" t="inlineStr">
        <is>
          <t>/</t>
        </is>
      </c>
      <c r="I163" s="237" t="inlineStr">
        <is>
          <t>肥牛火锅粉</t>
        </is>
      </c>
      <c r="J163" s="494" t="inlineStr">
        <is>
          <t>李跃跃</t>
        </is>
      </c>
      <c r="K163" s="224" t="inlineStr">
        <is>
          <t>/</t>
        </is>
      </c>
      <c r="L163" s="651" t="n">
        <v>348000</v>
      </c>
      <c r="M163" s="113" t="n">
        <v>0.19</v>
      </c>
      <c r="N163" s="502" t="inlineStr">
        <is>
          <t>/</t>
        </is>
      </c>
      <c r="O163" s="659" t="n"/>
      <c r="P163" s="502" t="inlineStr">
        <is>
          <t>/</t>
        </is>
      </c>
      <c r="Q163" s="502" t="inlineStr">
        <is>
          <t>/</t>
        </is>
      </c>
      <c r="R163" s="502" t="inlineStr">
        <is>
          <t>/</t>
        </is>
      </c>
      <c r="S163" s="502" t="inlineStr">
        <is>
          <t>/</t>
        </is>
      </c>
      <c r="T163" s="653" t="n">
        <v>1500</v>
      </c>
      <c r="U163" s="653" t="n"/>
      <c r="V163" s="502" t="inlineStr">
        <is>
          <t>/</t>
        </is>
      </c>
      <c r="W163" s="22" t="n">
        <v>0.501</v>
      </c>
      <c r="X163" s="51" t="inlineStr">
        <is>
          <t>/</t>
        </is>
      </c>
      <c r="Y163" s="51" t="inlineStr">
        <is>
          <t>/</t>
        </is>
      </c>
      <c r="Z163" s="51" t="inlineStr">
        <is>
          <t>/</t>
        </is>
      </c>
      <c r="AA163" s="51" t="inlineStr">
        <is>
          <t>/</t>
        </is>
      </c>
      <c r="AB163" s="51" t="inlineStr">
        <is>
          <t>/</t>
        </is>
      </c>
      <c r="AC163" s="46" t="inlineStr">
        <is>
          <t>/</t>
        </is>
      </c>
      <c r="AD163" s="297" t="inlineStr">
        <is>
          <t>1、卫生费：每月固定1500元，寒暑假根据实际运营天数结算</t>
        </is>
      </c>
      <c r="AE163" s="25" t="inlineStr">
        <is>
          <t xml:space="preserve">1、签订期间：2026.2.25-2026.7.31；
2、指标按照全年换算；
</t>
        </is>
      </c>
    </row>
    <row r="164" ht="36" customFormat="1" customHeight="1" s="209">
      <c r="A164" s="219" t="n">
        <v>169</v>
      </c>
      <c r="B164" s="14" t="inlineStr">
        <is>
          <t>KQCY0169</t>
        </is>
      </c>
      <c r="C164" s="221" t="inlineStr">
        <is>
          <t>餐饮三分部</t>
        </is>
      </c>
      <c r="D164" s="221" t="inlineStr">
        <is>
          <t>CF699</t>
        </is>
      </c>
      <c r="E164" s="221" t="inlineStr">
        <is>
          <t>徐医大第一食堂</t>
        </is>
      </c>
      <c r="F164" s="219" t="inlineStr">
        <is>
          <t>分组作业</t>
        </is>
      </c>
      <c r="G164" s="222" t="inlineStr">
        <is>
          <t>陆琪</t>
        </is>
      </c>
      <c r="H164" s="503" t="inlineStr">
        <is>
          <t>/</t>
        </is>
      </c>
      <c r="I164" s="237" t="inlineStr">
        <is>
          <t>千里香馄饨</t>
        </is>
      </c>
      <c r="J164" s="494" t="inlineStr">
        <is>
          <t>王才早</t>
        </is>
      </c>
      <c r="K164" s="224" t="inlineStr">
        <is>
          <t>/</t>
        </is>
      </c>
      <c r="L164" s="651" t="n">
        <v>1032000</v>
      </c>
      <c r="M164" s="113" t="n">
        <v>0.19</v>
      </c>
      <c r="N164" s="502" t="inlineStr">
        <is>
          <t>/</t>
        </is>
      </c>
      <c r="O164" s="659" t="n"/>
      <c r="P164" s="502" t="inlineStr">
        <is>
          <t>/</t>
        </is>
      </c>
      <c r="Q164" s="502" t="inlineStr">
        <is>
          <t>/</t>
        </is>
      </c>
      <c r="R164" s="502" t="inlineStr">
        <is>
          <t>/</t>
        </is>
      </c>
      <c r="S164" s="502" t="inlineStr">
        <is>
          <t>/</t>
        </is>
      </c>
      <c r="T164" s="653" t="n">
        <v>1500</v>
      </c>
      <c r="U164" s="653" t="n"/>
      <c r="V164" s="502" t="inlineStr">
        <is>
          <t>/</t>
        </is>
      </c>
      <c r="W164" s="22" t="n">
        <v>0.501</v>
      </c>
      <c r="X164" s="51" t="inlineStr">
        <is>
          <t>/</t>
        </is>
      </c>
      <c r="Y164" s="51" t="inlineStr">
        <is>
          <t>/</t>
        </is>
      </c>
      <c r="Z164" s="51" t="inlineStr">
        <is>
          <t>/</t>
        </is>
      </c>
      <c r="AA164" s="51" t="inlineStr">
        <is>
          <t>/</t>
        </is>
      </c>
      <c r="AB164" s="51" t="inlineStr">
        <is>
          <t>/</t>
        </is>
      </c>
      <c r="AC164" s="46" t="inlineStr">
        <is>
          <t>/</t>
        </is>
      </c>
      <c r="AD164" s="297" t="inlineStr">
        <is>
          <t>1、卫生费：每月固定1500元，寒暑假根据实际运营天数结算</t>
        </is>
      </c>
      <c r="AE164" s="25" t="inlineStr">
        <is>
          <t xml:space="preserve">1、签订期间：2026.2.25-2026.7.31；
2、指标按照全年换算；
</t>
        </is>
      </c>
    </row>
    <row r="165" ht="36" customFormat="1" customHeight="1" s="209">
      <c r="A165" s="219" t="n">
        <v>170</v>
      </c>
      <c r="B165" s="14" t="inlineStr">
        <is>
          <t>KQCY0170</t>
        </is>
      </c>
      <c r="C165" s="221" t="inlineStr">
        <is>
          <t>餐饮三分部</t>
        </is>
      </c>
      <c r="D165" s="221" t="inlineStr">
        <is>
          <t>CF699</t>
        </is>
      </c>
      <c r="E165" s="221" t="inlineStr">
        <is>
          <t>徐医大第一食堂</t>
        </is>
      </c>
      <c r="F165" s="219" t="inlineStr">
        <is>
          <t>分组作业</t>
        </is>
      </c>
      <c r="G165" s="222" t="inlineStr">
        <is>
          <t>陆琪</t>
        </is>
      </c>
      <c r="H165" s="503" t="inlineStr">
        <is>
          <t>/</t>
        </is>
      </c>
      <c r="I165" s="237" t="inlineStr">
        <is>
          <t>农家小炒盖浇饭</t>
        </is>
      </c>
      <c r="J165" s="494" t="inlineStr">
        <is>
          <t>崔小平</t>
        </is>
      </c>
      <c r="K165" s="224" t="inlineStr">
        <is>
          <t>/</t>
        </is>
      </c>
      <c r="L165" s="651" t="n">
        <v>1128000</v>
      </c>
      <c r="M165" s="113" t="n">
        <v>0.18</v>
      </c>
      <c r="N165" s="502" t="inlineStr">
        <is>
          <t>/</t>
        </is>
      </c>
      <c r="O165" s="659" t="n"/>
      <c r="P165" s="502" t="inlineStr">
        <is>
          <t>/</t>
        </is>
      </c>
      <c r="Q165" s="502" t="inlineStr">
        <is>
          <t>/</t>
        </is>
      </c>
      <c r="R165" s="502" t="inlineStr">
        <is>
          <t>/</t>
        </is>
      </c>
      <c r="S165" s="502" t="inlineStr">
        <is>
          <t>/</t>
        </is>
      </c>
      <c r="T165" s="653" t="n">
        <v>1000</v>
      </c>
      <c r="U165" s="653" t="n"/>
      <c r="V165" s="502" t="inlineStr">
        <is>
          <t>/</t>
        </is>
      </c>
      <c r="W165" s="22" t="n">
        <v>0.501</v>
      </c>
      <c r="X165" s="51" t="inlineStr">
        <is>
          <t>/</t>
        </is>
      </c>
      <c r="Y165" s="51" t="inlineStr">
        <is>
          <t>/</t>
        </is>
      </c>
      <c r="Z165" s="51" t="inlineStr">
        <is>
          <t>/</t>
        </is>
      </c>
      <c r="AA165" s="51" t="inlineStr">
        <is>
          <t>/</t>
        </is>
      </c>
      <c r="AB165" s="51" t="inlineStr">
        <is>
          <t>/</t>
        </is>
      </c>
      <c r="AC165" s="46" t="inlineStr">
        <is>
          <t>/</t>
        </is>
      </c>
      <c r="AD165" s="297" t="inlineStr">
        <is>
          <t>1、卫生费：每月固定1000元，寒暑假根据实际运营天数结算</t>
        </is>
      </c>
      <c r="AE165" s="25" t="inlineStr">
        <is>
          <t xml:space="preserve">1、签订期间：2026.2.25-2026.7.31；
2、指标按照全年换算；
</t>
        </is>
      </c>
    </row>
    <row r="166" ht="36" customFormat="1" customHeight="1" s="209">
      <c r="A166" s="219" t="n">
        <v>171</v>
      </c>
      <c r="B166" s="14" t="inlineStr">
        <is>
          <t>KQCY0171</t>
        </is>
      </c>
      <c r="C166" s="221" t="inlineStr">
        <is>
          <t>餐饮三分部</t>
        </is>
      </c>
      <c r="D166" s="221" t="inlineStr">
        <is>
          <t>CF699</t>
        </is>
      </c>
      <c r="E166" s="221" t="inlineStr">
        <is>
          <t>徐医大第一食堂</t>
        </is>
      </c>
      <c r="F166" s="219" t="inlineStr">
        <is>
          <t>分组作业</t>
        </is>
      </c>
      <c r="G166" s="222" t="inlineStr">
        <is>
          <t>陆琪</t>
        </is>
      </c>
      <c r="H166" s="503" t="inlineStr">
        <is>
          <t>/</t>
        </is>
      </c>
      <c r="I166" s="237" t="inlineStr">
        <is>
          <t>蜜雪冰城</t>
        </is>
      </c>
      <c r="J166" s="494" t="inlineStr">
        <is>
          <t>周雨</t>
        </is>
      </c>
      <c r="K166" s="224" t="inlineStr">
        <is>
          <t>/</t>
        </is>
      </c>
      <c r="L166" s="651" t="n">
        <v>912000</v>
      </c>
      <c r="M166" s="113" t="n">
        <v>0.19</v>
      </c>
      <c r="N166" s="502" t="inlineStr">
        <is>
          <t>/</t>
        </is>
      </c>
      <c r="O166" s="659" t="n"/>
      <c r="P166" s="502" t="inlineStr">
        <is>
          <t>/</t>
        </is>
      </c>
      <c r="Q166" s="502" t="inlineStr">
        <is>
          <t>/</t>
        </is>
      </c>
      <c r="R166" s="502" t="inlineStr">
        <is>
          <t>/</t>
        </is>
      </c>
      <c r="S166" s="502" t="inlineStr">
        <is>
          <t>/</t>
        </is>
      </c>
      <c r="T166" s="653" t="n">
        <v>600</v>
      </c>
      <c r="U166" s="653" t="n"/>
      <c r="V166" s="502" t="inlineStr">
        <is>
          <t>/</t>
        </is>
      </c>
      <c r="W166" s="22" t="n">
        <v>0.501</v>
      </c>
      <c r="X166" s="51" t="inlineStr">
        <is>
          <t>/</t>
        </is>
      </c>
      <c r="Y166" s="51" t="inlineStr">
        <is>
          <t>/</t>
        </is>
      </c>
      <c r="Z166" s="51" t="inlineStr">
        <is>
          <t>/</t>
        </is>
      </c>
      <c r="AA166" s="51" t="inlineStr">
        <is>
          <t>/</t>
        </is>
      </c>
      <c r="AB166" s="51" t="inlineStr">
        <is>
          <t>/</t>
        </is>
      </c>
      <c r="AC166" s="46" t="inlineStr">
        <is>
          <t>/</t>
        </is>
      </c>
      <c r="AD166" s="297" t="inlineStr">
        <is>
          <t>1、卫生费：每月固定600元，寒暑假根据实际运营天数结算</t>
        </is>
      </c>
      <c r="AE166" s="25" t="inlineStr">
        <is>
          <t xml:space="preserve">1、签订期间：2026.2.25-2026.7.31；
2、指标按照全年换算；
</t>
        </is>
      </c>
    </row>
    <row r="167" ht="12" customFormat="1" customHeight="1" s="209">
      <c r="A167" s="219" t="n">
        <v>172</v>
      </c>
      <c r="B167" s="14" t="inlineStr">
        <is>
          <t>KQCY0172</t>
        </is>
      </c>
      <c r="C167" s="221" t="inlineStr">
        <is>
          <t>餐饮三分部</t>
        </is>
      </c>
      <c r="D167" s="221" t="inlineStr">
        <is>
          <t>CF251</t>
        </is>
      </c>
      <c r="E167" s="61" t="inlineStr">
        <is>
          <t>苏州职大二食堂</t>
        </is>
      </c>
      <c r="F167" s="335" t="inlineStr">
        <is>
          <t>自营</t>
        </is>
      </c>
      <c r="G167" s="222" t="inlineStr">
        <is>
          <t>张镁镁</t>
        </is>
      </c>
      <c r="H167" s="480" t="inlineStr">
        <is>
          <t>/</t>
        </is>
      </c>
      <c r="I167" s="335" t="inlineStr">
        <is>
          <t>/</t>
        </is>
      </c>
      <c r="J167" s="480" t="inlineStr">
        <is>
          <t>/</t>
        </is>
      </c>
      <c r="K167" s="349" t="inlineStr">
        <is>
          <t>/</t>
        </is>
      </c>
      <c r="L167" s="651" t="inlineStr">
        <is>
          <t>/</t>
        </is>
      </c>
      <c r="M167" s="92" t="inlineStr">
        <is>
          <t>/</t>
        </is>
      </c>
      <c r="N167" s="462" t="inlineStr">
        <is>
          <t>/</t>
        </is>
      </c>
      <c r="O167" s="659" t="n"/>
      <c r="P167" s="106" t="n"/>
      <c r="Q167" s="462" t="inlineStr">
        <is>
          <t>/</t>
        </is>
      </c>
      <c r="R167" s="462" t="inlineStr">
        <is>
          <t>/</t>
        </is>
      </c>
      <c r="S167" s="462" t="inlineStr">
        <is>
          <t>/</t>
        </is>
      </c>
      <c r="T167" s="659" t="n"/>
      <c r="U167" s="659" t="n"/>
      <c r="V167" s="462" t="inlineStr">
        <is>
          <t>/</t>
        </is>
      </c>
      <c r="W167" s="480" t="inlineStr">
        <is>
          <t>/</t>
        </is>
      </c>
      <c r="X167" s="115" t="inlineStr">
        <is>
          <t>/</t>
        </is>
      </c>
      <c r="Y167" s="659" t="n"/>
      <c r="Z167" s="122" t="n"/>
      <c r="AA167" s="115" t="inlineStr">
        <is>
          <t>/</t>
        </is>
      </c>
      <c r="AB167" s="46" t="n">
        <v>0.05</v>
      </c>
      <c r="AC167" s="46" t="n">
        <v>0.005</v>
      </c>
      <c r="AD167" s="121" t="inlineStr">
        <is>
          <t>1、自营未实际经营；</t>
        </is>
      </c>
      <c r="AE167" s="25" t="n"/>
    </row>
    <row r="168" ht="48" customFormat="1" customHeight="1" s="209">
      <c r="A168" s="219" t="n">
        <v>173</v>
      </c>
      <c r="B168" s="14" t="inlineStr">
        <is>
          <t>KQCY0173</t>
        </is>
      </c>
      <c r="C168" s="221" t="inlineStr">
        <is>
          <t>餐饮三分部</t>
        </is>
      </c>
      <c r="D168" s="221" t="inlineStr">
        <is>
          <t>CF251</t>
        </is>
      </c>
      <c r="E168" s="61" t="inlineStr">
        <is>
          <t>苏州职大二食堂</t>
        </is>
      </c>
      <c r="F168" s="219" t="inlineStr">
        <is>
          <t>分组作业</t>
        </is>
      </c>
      <c r="G168" s="222" t="inlineStr">
        <is>
          <t>张镁镁</t>
        </is>
      </c>
      <c r="H168" s="222" t="inlineStr">
        <is>
          <t>第一班组</t>
        </is>
      </c>
      <c r="I168" s="232" t="inlineStr">
        <is>
          <t>烘焙</t>
        </is>
      </c>
      <c r="J168" s="513" t="inlineStr">
        <is>
          <t>邵晓丽</t>
        </is>
      </c>
      <c r="K168" s="224" t="inlineStr">
        <is>
          <t>/</t>
        </is>
      </c>
      <c r="L168" s="651" t="inlineStr">
        <is>
          <t>/</t>
        </is>
      </c>
      <c r="M168" s="116" t="n">
        <v>0.05</v>
      </c>
      <c r="N168" s="224" t="inlineStr">
        <is>
          <t>/</t>
        </is>
      </c>
      <c r="O168" s="462" t="inlineStr">
        <is>
          <t>/</t>
        </is>
      </c>
      <c r="P168" s="462" t="inlineStr">
        <is>
          <t>/</t>
        </is>
      </c>
      <c r="Q168" s="502" t="inlineStr">
        <is>
          <t>/</t>
        </is>
      </c>
      <c r="R168" s="502" t="inlineStr">
        <is>
          <t>/</t>
        </is>
      </c>
      <c r="S168" s="502" t="inlineStr">
        <is>
          <t>/</t>
        </is>
      </c>
      <c r="T168" s="59" t="inlineStr">
        <is>
          <t>/</t>
        </is>
      </c>
      <c r="U168" s="116" t="n">
        <v>0.06</v>
      </c>
      <c r="V168" s="653" t="n">
        <v>30000</v>
      </c>
      <c r="W168" s="44" t="n"/>
      <c r="X168" s="502" t="inlineStr">
        <is>
          <t>/</t>
        </is>
      </c>
      <c r="Y168" s="115" t="inlineStr">
        <is>
          <t>/</t>
        </is>
      </c>
      <c r="Z168" s="51" t="inlineStr">
        <is>
          <t>/</t>
        </is>
      </c>
      <c r="AA168" s="51" t="inlineStr">
        <is>
          <t>/</t>
        </is>
      </c>
      <c r="AB168" s="46" t="inlineStr">
        <is>
          <t>/</t>
        </is>
      </c>
      <c r="AC168" s="46" t="inlineStr">
        <is>
          <t>/</t>
        </is>
      </c>
      <c r="AD168" s="48" t="inlineStr">
        <is>
          <t xml:space="preserve">1、其他：3万不收取学期作为装修折旧摊销；
2、卫生费不收取；
3、采购费不收取；
</t>
        </is>
      </c>
      <c r="AE168" s="25" t="inlineStr">
        <is>
          <t>1、签订期间：2026.3.1-2026.7.31；
2、指标按照全年换算；</t>
        </is>
      </c>
    </row>
    <row r="169" ht="60" customFormat="1" customHeight="1" s="209">
      <c r="A169" s="219" t="n">
        <v>174</v>
      </c>
      <c r="B169" s="14" t="inlineStr">
        <is>
          <t>KQCY0174</t>
        </is>
      </c>
      <c r="C169" s="221" t="inlineStr">
        <is>
          <t>餐饮三分部</t>
        </is>
      </c>
      <c r="D169" s="221" t="inlineStr">
        <is>
          <t>CF251</t>
        </is>
      </c>
      <c r="E169" s="61" t="inlineStr">
        <is>
          <t>苏州职大二食堂</t>
        </is>
      </c>
      <c r="F169" s="219" t="inlineStr">
        <is>
          <t>分组作业</t>
        </is>
      </c>
      <c r="G169" s="222" t="inlineStr">
        <is>
          <t>张镁镁</t>
        </is>
      </c>
      <c r="H169" s="222" t="inlineStr">
        <is>
          <t>第二班组</t>
        </is>
      </c>
      <c r="I169" s="232" t="inlineStr">
        <is>
          <t>奶茶饮品</t>
        </is>
      </c>
      <c r="J169" s="494" t="inlineStr">
        <is>
          <t>严振宇</t>
        </is>
      </c>
      <c r="K169" s="224" t="inlineStr">
        <is>
          <t>/</t>
        </is>
      </c>
      <c r="L169" s="651" t="inlineStr">
        <is>
          <t>/</t>
        </is>
      </c>
      <c r="M169" s="116" t="n">
        <v>0.19</v>
      </c>
      <c r="N169" s="224" t="inlineStr">
        <is>
          <t>/</t>
        </is>
      </c>
      <c r="O169" s="462" t="inlineStr">
        <is>
          <t>/</t>
        </is>
      </c>
      <c r="P169" s="92" t="inlineStr">
        <is>
          <t>/</t>
        </is>
      </c>
      <c r="Q169" s="502" t="inlineStr">
        <is>
          <t>/</t>
        </is>
      </c>
      <c r="R169" s="502" t="inlineStr">
        <is>
          <t>/</t>
        </is>
      </c>
      <c r="S169" s="502" t="inlineStr">
        <is>
          <t>/</t>
        </is>
      </c>
      <c r="T169" s="59" t="inlineStr">
        <is>
          <t>/</t>
        </is>
      </c>
      <c r="U169" s="116" t="n">
        <v>0.06</v>
      </c>
      <c r="V169" s="502" t="inlineStr">
        <is>
          <t>/</t>
        </is>
      </c>
      <c r="W169" s="50" t="n"/>
      <c r="X169" s="502" t="inlineStr">
        <is>
          <t>/</t>
        </is>
      </c>
      <c r="Y169" s="115" t="inlineStr">
        <is>
          <t>/</t>
        </is>
      </c>
      <c r="Z169" s="51" t="inlineStr">
        <is>
          <t>/</t>
        </is>
      </c>
      <c r="AA169" s="51" t="inlineStr">
        <is>
          <t>/</t>
        </is>
      </c>
      <c r="AB169" s="46" t="inlineStr">
        <is>
          <t>/</t>
        </is>
      </c>
      <c r="AC169" s="46" t="inlineStr">
        <is>
          <t>/</t>
        </is>
      </c>
      <c r="AD169" s="48" t="inlineStr">
        <is>
          <t xml:space="preserve">1、装修折旧费：营业额的5%，分组作业未分摊，服务费已包含；
2、卫生费不收取；
3、采购费不收取；
</t>
        </is>
      </c>
      <c r="AE169" s="25" t="inlineStr">
        <is>
          <t>1、签订期间：2026.3.1-2026.7.31；
2、指标按照全年换算；</t>
        </is>
      </c>
    </row>
    <row r="170" ht="36" customFormat="1" customHeight="1" s="209">
      <c r="A170" s="219" t="n">
        <v>175</v>
      </c>
      <c r="B170" s="14" t="inlineStr">
        <is>
          <t>KQCY0175</t>
        </is>
      </c>
      <c r="C170" s="221" t="inlineStr">
        <is>
          <t>餐饮三分部</t>
        </is>
      </c>
      <c r="D170" s="221" t="inlineStr">
        <is>
          <t>CF251</t>
        </is>
      </c>
      <c r="E170" s="61" t="inlineStr">
        <is>
          <t>苏州职大二食堂</t>
        </is>
      </c>
      <c r="F170" s="219" t="inlineStr">
        <is>
          <t>分组作业</t>
        </is>
      </c>
      <c r="G170" s="222" t="inlineStr">
        <is>
          <t>张镁镁</t>
        </is>
      </c>
      <c r="H170" s="222" t="inlineStr">
        <is>
          <t>第三班组</t>
        </is>
      </c>
      <c r="I170" s="232" t="inlineStr">
        <is>
          <t>早点</t>
        </is>
      </c>
      <c r="J170" s="494" t="inlineStr">
        <is>
          <t>缪文</t>
        </is>
      </c>
      <c r="K170" s="224" t="inlineStr">
        <is>
          <t>/</t>
        </is>
      </c>
      <c r="L170" s="651" t="inlineStr">
        <is>
          <t>/</t>
        </is>
      </c>
      <c r="M170" s="116" t="n">
        <v>0.165</v>
      </c>
      <c r="N170" s="224" t="inlineStr">
        <is>
          <t>/</t>
        </is>
      </c>
      <c r="O170" s="462" t="inlineStr">
        <is>
          <t>/</t>
        </is>
      </c>
      <c r="P170" s="92" t="inlineStr">
        <is>
          <t>/</t>
        </is>
      </c>
      <c r="Q170" s="502" t="inlineStr">
        <is>
          <t>/</t>
        </is>
      </c>
      <c r="R170" s="502" t="inlineStr">
        <is>
          <t>/</t>
        </is>
      </c>
      <c r="S170" s="502" t="inlineStr">
        <is>
          <t>/</t>
        </is>
      </c>
      <c r="T170" s="22" t="n">
        <v>0.035</v>
      </c>
      <c r="U170" s="116" t="n">
        <v>0.06</v>
      </c>
      <c r="V170" s="502" t="inlineStr">
        <is>
          <t>/</t>
        </is>
      </c>
      <c r="W170" s="50" t="n"/>
      <c r="X170" s="502" t="inlineStr">
        <is>
          <t>/</t>
        </is>
      </c>
      <c r="Y170" s="115" t="inlineStr">
        <is>
          <t>/</t>
        </is>
      </c>
      <c r="Z170" s="51" t="inlineStr">
        <is>
          <t>/</t>
        </is>
      </c>
      <c r="AA170" s="51" t="inlineStr">
        <is>
          <t>/</t>
        </is>
      </c>
      <c r="AB170" s="46" t="inlineStr">
        <is>
          <t>/</t>
        </is>
      </c>
      <c r="AC170" s="46" t="inlineStr">
        <is>
          <t>/</t>
        </is>
      </c>
      <c r="AD170" s="48" t="inlineStr">
        <is>
          <t>1、装修折旧费：营业额的5%，分组作业未分摊，服务费已包含；
2、采购费不收取；</t>
        </is>
      </c>
      <c r="AE170" s="25" t="inlineStr">
        <is>
          <t>1、签订期间：2026.3.1-2026.7.31；
2、指标按照全年换算；</t>
        </is>
      </c>
    </row>
    <row r="171" ht="48" customFormat="1" customHeight="1" s="209">
      <c r="A171" s="219" t="n">
        <v>176</v>
      </c>
      <c r="B171" s="14" t="inlineStr">
        <is>
          <t>KQCY0176</t>
        </is>
      </c>
      <c r="C171" s="221" t="inlineStr">
        <is>
          <t>餐饮三分部</t>
        </is>
      </c>
      <c r="D171" s="221" t="inlineStr">
        <is>
          <t>CF251</t>
        </is>
      </c>
      <c r="E171" s="61" t="inlineStr">
        <is>
          <t>苏州职大二食堂</t>
        </is>
      </c>
      <c r="F171" s="219" t="inlineStr">
        <is>
          <t>分组作业</t>
        </is>
      </c>
      <c r="G171" s="222" t="inlineStr">
        <is>
          <t>张镁镁</t>
        </is>
      </c>
      <c r="H171" s="222" t="inlineStr">
        <is>
          <t>第四班组</t>
        </is>
      </c>
      <c r="I171" s="232" t="inlineStr">
        <is>
          <t>快餐</t>
        </is>
      </c>
      <c r="J171" s="494" t="inlineStr">
        <is>
          <t>耿传垒</t>
        </is>
      </c>
      <c r="K171" s="224" t="inlineStr">
        <is>
          <t>/</t>
        </is>
      </c>
      <c r="L171" s="651" t="inlineStr">
        <is>
          <t>/</t>
        </is>
      </c>
      <c r="M171" s="116" t="n">
        <v>0.135</v>
      </c>
      <c r="N171" s="224" t="inlineStr">
        <is>
          <t>/</t>
        </is>
      </c>
      <c r="O171" s="462" t="inlineStr">
        <is>
          <t>/</t>
        </is>
      </c>
      <c r="P171" s="92" t="inlineStr">
        <is>
          <t>/</t>
        </is>
      </c>
      <c r="Q171" s="502" t="inlineStr">
        <is>
          <t>/</t>
        </is>
      </c>
      <c r="R171" s="502" t="inlineStr">
        <is>
          <t>/</t>
        </is>
      </c>
      <c r="S171" s="502" t="inlineStr">
        <is>
          <t>/</t>
        </is>
      </c>
      <c r="T171" s="22" t="n">
        <v>0.035</v>
      </c>
      <c r="U171" s="116" t="n">
        <v>0.06</v>
      </c>
      <c r="V171" s="502" t="inlineStr">
        <is>
          <t>/</t>
        </is>
      </c>
      <c r="W171" s="50" t="n"/>
      <c r="X171" s="502" t="inlineStr">
        <is>
          <t>/</t>
        </is>
      </c>
      <c r="Y171" s="660" t="n">
        <v>4000</v>
      </c>
      <c r="Z171" s="51" t="inlineStr">
        <is>
          <t>/</t>
        </is>
      </c>
      <c r="AA171" s="51" t="inlineStr">
        <is>
          <t>/</t>
        </is>
      </c>
      <c r="AB171" s="46" t="inlineStr">
        <is>
          <t>/</t>
        </is>
      </c>
      <c r="AC171" s="46" t="inlineStr">
        <is>
          <t>/</t>
        </is>
      </c>
      <c r="AD171" s="48" t="inlineStr">
        <is>
          <t>1、装修折旧费：营业额的5%，分组作业未分摊，服务费已包含；
2、快餐房租4000/学期；
3、采购费不收取；</t>
        </is>
      </c>
      <c r="AE171" s="125" t="inlineStr">
        <is>
          <t>1、签订期间：2026.3.1-2026.7.31；
2、指标按照全年换算；</t>
        </is>
      </c>
    </row>
    <row r="172" ht="48" customFormat="1" customHeight="1" s="209">
      <c r="A172" s="219" t="n">
        <v>177</v>
      </c>
      <c r="B172" s="14" t="inlineStr">
        <is>
          <t>KQCY0177</t>
        </is>
      </c>
      <c r="C172" s="221" t="inlineStr">
        <is>
          <t>餐饮三分部</t>
        </is>
      </c>
      <c r="D172" s="221" t="inlineStr">
        <is>
          <t>CF251</t>
        </is>
      </c>
      <c r="E172" s="61" t="inlineStr">
        <is>
          <t>苏州职大二食堂</t>
        </is>
      </c>
      <c r="F172" s="219" t="inlineStr">
        <is>
          <t>分组作业</t>
        </is>
      </c>
      <c r="G172" s="222" t="inlineStr">
        <is>
          <t>张镁镁</t>
        </is>
      </c>
      <c r="H172" s="222" t="inlineStr">
        <is>
          <t>第五班组</t>
        </is>
      </c>
      <c r="I172" s="232" t="inlineStr">
        <is>
          <t>盖浇饭</t>
        </is>
      </c>
      <c r="J172" s="494" t="inlineStr">
        <is>
          <t>龙明涛</t>
        </is>
      </c>
      <c r="K172" s="224" t="inlineStr">
        <is>
          <t>/</t>
        </is>
      </c>
      <c r="L172" s="651" t="inlineStr">
        <is>
          <t>/</t>
        </is>
      </c>
      <c r="M172" s="116" t="n">
        <v>0.155</v>
      </c>
      <c r="N172" s="224" t="inlineStr">
        <is>
          <t>/</t>
        </is>
      </c>
      <c r="O172" s="462" t="inlineStr">
        <is>
          <t>/</t>
        </is>
      </c>
      <c r="P172" s="92" t="inlineStr">
        <is>
          <t>/</t>
        </is>
      </c>
      <c r="Q172" s="502" t="inlineStr">
        <is>
          <t>/</t>
        </is>
      </c>
      <c r="R172" s="502" t="inlineStr">
        <is>
          <t>/</t>
        </is>
      </c>
      <c r="S172" s="502" t="inlineStr">
        <is>
          <t>/</t>
        </is>
      </c>
      <c r="T172" s="22" t="n">
        <v>0.035</v>
      </c>
      <c r="U172" s="116" t="n">
        <v>0.06</v>
      </c>
      <c r="V172" s="502" t="inlineStr">
        <is>
          <t>/</t>
        </is>
      </c>
      <c r="W172" s="50" t="n"/>
      <c r="X172" s="502" t="inlineStr">
        <is>
          <t>/</t>
        </is>
      </c>
      <c r="Y172" s="661" t="n">
        <v>4000</v>
      </c>
      <c r="Z172" s="51" t="inlineStr">
        <is>
          <t>/</t>
        </is>
      </c>
      <c r="AA172" s="51" t="inlineStr">
        <is>
          <t>/</t>
        </is>
      </c>
      <c r="AB172" s="46" t="inlineStr">
        <is>
          <t>/</t>
        </is>
      </c>
      <c r="AC172" s="46" t="inlineStr">
        <is>
          <t>/</t>
        </is>
      </c>
      <c r="AD172" s="48" t="inlineStr">
        <is>
          <t>1、装修折旧费：营业额的5%，分组作业未分摊，服务费已包含；
2、盖浇饭房租4000/学期；
3、采购费不收取；</t>
        </is>
      </c>
      <c r="AE172" s="25" t="inlineStr">
        <is>
          <t>1、签订期间：2026.3.1-2026.7.31；
2、指标按照全年换算；</t>
        </is>
      </c>
    </row>
    <row r="173" ht="36" customFormat="1" customHeight="1" s="209">
      <c r="A173" s="219" t="n">
        <v>178</v>
      </c>
      <c r="B173" s="14" t="inlineStr">
        <is>
          <t>KQCY0178</t>
        </is>
      </c>
      <c r="C173" s="221" t="inlineStr">
        <is>
          <t>餐饮三分部</t>
        </is>
      </c>
      <c r="D173" s="221" t="inlineStr">
        <is>
          <t>CF251</t>
        </is>
      </c>
      <c r="E173" s="61" t="inlineStr">
        <is>
          <t>苏州职大二食堂</t>
        </is>
      </c>
      <c r="F173" s="219" t="inlineStr">
        <is>
          <t>分组作业</t>
        </is>
      </c>
      <c r="G173" s="222" t="inlineStr">
        <is>
          <t>张镁镁</t>
        </is>
      </c>
      <c r="H173" s="222" t="inlineStr">
        <is>
          <t>第六班组</t>
        </is>
      </c>
      <c r="I173" s="232" t="inlineStr">
        <is>
          <t>黄焖鸡</t>
        </is>
      </c>
      <c r="J173" s="480" t="inlineStr">
        <is>
          <t>余国凤</t>
        </is>
      </c>
      <c r="K173" s="224" t="inlineStr">
        <is>
          <t>/</t>
        </is>
      </c>
      <c r="L173" s="651" t="inlineStr">
        <is>
          <t>/</t>
        </is>
      </c>
      <c r="M173" s="116" t="n">
        <v>0.155</v>
      </c>
      <c r="N173" s="224" t="inlineStr">
        <is>
          <t>/</t>
        </is>
      </c>
      <c r="O173" s="462" t="inlineStr">
        <is>
          <t>/</t>
        </is>
      </c>
      <c r="P173" s="92" t="inlineStr">
        <is>
          <t>/</t>
        </is>
      </c>
      <c r="Q173" s="502" t="inlineStr">
        <is>
          <t>/</t>
        </is>
      </c>
      <c r="R173" s="502" t="inlineStr">
        <is>
          <t>/</t>
        </is>
      </c>
      <c r="S173" s="502" t="inlineStr">
        <is>
          <t>/</t>
        </is>
      </c>
      <c r="T173" s="22" t="n">
        <v>0.035</v>
      </c>
      <c r="U173" s="116" t="n">
        <v>0.06</v>
      </c>
      <c r="V173" s="502" t="inlineStr">
        <is>
          <t>/</t>
        </is>
      </c>
      <c r="W173" s="50" t="n"/>
      <c r="X173" s="502" t="inlineStr">
        <is>
          <t>/</t>
        </is>
      </c>
      <c r="Y173" s="115" t="inlineStr">
        <is>
          <t>/</t>
        </is>
      </c>
      <c r="Z173" s="51" t="inlineStr">
        <is>
          <t>/</t>
        </is>
      </c>
      <c r="AA173" s="51" t="inlineStr">
        <is>
          <t>/</t>
        </is>
      </c>
      <c r="AB173" s="46" t="inlineStr">
        <is>
          <t>/</t>
        </is>
      </c>
      <c r="AC173" s="46" t="inlineStr">
        <is>
          <t>/</t>
        </is>
      </c>
      <c r="AD173" s="48" t="inlineStr">
        <is>
          <t>1、装修折旧费：营业额的5%，分组作业未分摊，服务费已包含；
2、采购费不收取；</t>
        </is>
      </c>
      <c r="AE173" s="25" t="inlineStr">
        <is>
          <t>1、签订期间：2026.3.1-2026.7.31；
2、指标按照全年换算；</t>
        </is>
      </c>
    </row>
    <row r="174" ht="36" customFormat="1" customHeight="1" s="209">
      <c r="A174" s="219" t="n">
        <v>179</v>
      </c>
      <c r="B174" s="14" t="inlineStr">
        <is>
          <t>KQCY0179</t>
        </is>
      </c>
      <c r="C174" s="221" t="inlineStr">
        <is>
          <t>餐饮三分部</t>
        </is>
      </c>
      <c r="D174" s="221" t="inlineStr">
        <is>
          <t>CF251</t>
        </is>
      </c>
      <c r="E174" s="61" t="inlineStr">
        <is>
          <t>苏州职大二食堂</t>
        </is>
      </c>
      <c r="F174" s="219" t="inlineStr">
        <is>
          <t>分组作业</t>
        </is>
      </c>
      <c r="G174" s="222" t="inlineStr">
        <is>
          <t>张镁镁</t>
        </is>
      </c>
      <c r="H174" s="222" t="inlineStr">
        <is>
          <t>第七班组</t>
        </is>
      </c>
      <c r="I174" s="232" t="inlineStr">
        <is>
          <t>杂粮煎饼</t>
        </is>
      </c>
      <c r="J174" s="503" t="inlineStr">
        <is>
          <t>王朝风</t>
        </is>
      </c>
      <c r="K174" s="224" t="inlineStr">
        <is>
          <t>/</t>
        </is>
      </c>
      <c r="L174" s="651" t="inlineStr">
        <is>
          <t>/</t>
        </is>
      </c>
      <c r="M174" s="116" t="n">
        <v>0.185</v>
      </c>
      <c r="N174" s="224" t="inlineStr">
        <is>
          <t>/</t>
        </is>
      </c>
      <c r="O174" s="462" t="inlineStr">
        <is>
          <t>/</t>
        </is>
      </c>
      <c r="P174" s="92" t="inlineStr">
        <is>
          <t>/</t>
        </is>
      </c>
      <c r="Q174" s="502" t="inlineStr">
        <is>
          <t>/</t>
        </is>
      </c>
      <c r="R174" s="502" t="inlineStr">
        <is>
          <t>/</t>
        </is>
      </c>
      <c r="S174" s="502" t="inlineStr">
        <is>
          <t>/</t>
        </is>
      </c>
      <c r="T174" s="22" t="n">
        <v>0.035</v>
      </c>
      <c r="U174" s="116" t="n">
        <v>0.06</v>
      </c>
      <c r="V174" s="502" t="inlineStr">
        <is>
          <t>/</t>
        </is>
      </c>
      <c r="W174" s="50" t="n"/>
      <c r="X174" s="502" t="inlineStr">
        <is>
          <t>/</t>
        </is>
      </c>
      <c r="Y174" s="115" t="inlineStr">
        <is>
          <t>/</t>
        </is>
      </c>
      <c r="Z174" s="51" t="inlineStr">
        <is>
          <t>/</t>
        </is>
      </c>
      <c r="AA174" s="51" t="inlineStr">
        <is>
          <t>/</t>
        </is>
      </c>
      <c r="AB174" s="46" t="inlineStr">
        <is>
          <t>/</t>
        </is>
      </c>
      <c r="AC174" s="46" t="inlineStr">
        <is>
          <t>/</t>
        </is>
      </c>
      <c r="AD174" s="48" t="inlineStr">
        <is>
          <t>1、装修折旧费：营业额的5%，分组作业未分摊，服务费已包含；
2、采购费不收取；</t>
        </is>
      </c>
      <c r="AE174" s="25" t="inlineStr">
        <is>
          <t>1、签订期间：2026.3.1-2026.7.31；
2、指标按照全年换算；</t>
        </is>
      </c>
    </row>
    <row r="175" ht="36" customFormat="1" customHeight="1" s="209">
      <c r="A175" s="219" t="n">
        <v>180</v>
      </c>
      <c r="B175" s="14" t="inlineStr">
        <is>
          <t>KQCY0180</t>
        </is>
      </c>
      <c r="C175" s="221" t="inlineStr">
        <is>
          <t>餐饮三分部</t>
        </is>
      </c>
      <c r="D175" s="127" t="inlineStr">
        <is>
          <t>CF251</t>
        </is>
      </c>
      <c r="E175" s="61" t="inlineStr">
        <is>
          <t>苏州职大二食堂</t>
        </is>
      </c>
      <c r="F175" s="219" t="inlineStr">
        <is>
          <t>分组作业</t>
        </is>
      </c>
      <c r="G175" s="222" t="inlineStr">
        <is>
          <t>张镁镁</t>
        </is>
      </c>
      <c r="H175" s="222" t="inlineStr">
        <is>
          <t>第八班组</t>
        </is>
      </c>
      <c r="I175" s="232" t="inlineStr">
        <is>
          <t>苏式热干面</t>
        </is>
      </c>
      <c r="J175" s="480" t="inlineStr">
        <is>
          <t>田振</t>
        </is>
      </c>
      <c r="K175" s="224" t="inlineStr">
        <is>
          <t>/</t>
        </is>
      </c>
      <c r="L175" s="651" t="inlineStr">
        <is>
          <t>/</t>
        </is>
      </c>
      <c r="M175" s="116" t="n">
        <v>0.185</v>
      </c>
      <c r="N175" s="224" t="inlineStr">
        <is>
          <t>/</t>
        </is>
      </c>
      <c r="O175" s="462" t="inlineStr">
        <is>
          <t>/</t>
        </is>
      </c>
      <c r="P175" s="92" t="inlineStr">
        <is>
          <t>/</t>
        </is>
      </c>
      <c r="Q175" s="502" t="inlineStr">
        <is>
          <t>/</t>
        </is>
      </c>
      <c r="R175" s="502" t="inlineStr">
        <is>
          <t>/</t>
        </is>
      </c>
      <c r="S175" s="502" t="inlineStr">
        <is>
          <t>/</t>
        </is>
      </c>
      <c r="T175" s="22" t="n">
        <v>0.035</v>
      </c>
      <c r="U175" s="116" t="n">
        <v>0.06</v>
      </c>
      <c r="V175" s="502" t="inlineStr">
        <is>
          <t>/</t>
        </is>
      </c>
      <c r="W175" s="50" t="n"/>
      <c r="X175" s="502" t="inlineStr">
        <is>
          <t>/</t>
        </is>
      </c>
      <c r="Y175" s="115" t="inlineStr">
        <is>
          <t>/</t>
        </is>
      </c>
      <c r="Z175" s="51" t="inlineStr">
        <is>
          <t>/</t>
        </is>
      </c>
      <c r="AA175" s="51" t="inlineStr">
        <is>
          <t>/</t>
        </is>
      </c>
      <c r="AB175" s="46" t="inlineStr">
        <is>
          <t>/</t>
        </is>
      </c>
      <c r="AC175" s="46" t="inlineStr">
        <is>
          <t>/</t>
        </is>
      </c>
      <c r="AD175" s="48" t="inlineStr">
        <is>
          <t>1、装修折旧费：营业额的5%，分组作业未分摊，服务费已包含；
2、采购费不收取；</t>
        </is>
      </c>
      <c r="AE175" s="25" t="inlineStr">
        <is>
          <t>1、签订期间：2026.3.1-2026.7.31；
2、指标按照全年换算；</t>
        </is>
      </c>
    </row>
    <row r="176" ht="36" customFormat="1" customHeight="1" s="209">
      <c r="A176" s="219" t="n">
        <v>181</v>
      </c>
      <c r="B176" s="14" t="inlineStr">
        <is>
          <t>KQCY0181</t>
        </is>
      </c>
      <c r="C176" s="221" t="inlineStr">
        <is>
          <t>餐饮三分部</t>
        </is>
      </c>
      <c r="D176" s="127" t="inlineStr">
        <is>
          <t>CF251</t>
        </is>
      </c>
      <c r="E176" s="61" t="inlineStr">
        <is>
          <t>苏州职大二食堂</t>
        </is>
      </c>
      <c r="F176" s="219" t="inlineStr">
        <is>
          <t>分组作业</t>
        </is>
      </c>
      <c r="G176" s="222" t="inlineStr">
        <is>
          <t>张镁镁</t>
        </is>
      </c>
      <c r="H176" s="222" t="inlineStr">
        <is>
          <t>第九班组</t>
        </is>
      </c>
      <c r="I176" s="232" t="inlineStr">
        <is>
          <t>馄饨炒饭</t>
        </is>
      </c>
      <c r="J176" s="503" t="inlineStr">
        <is>
          <t>戴国强</t>
        </is>
      </c>
      <c r="K176" s="224" t="inlineStr">
        <is>
          <t>/</t>
        </is>
      </c>
      <c r="L176" s="651" t="inlineStr">
        <is>
          <t>/</t>
        </is>
      </c>
      <c r="M176" s="116" t="n">
        <v>0.175</v>
      </c>
      <c r="N176" s="224" t="inlineStr">
        <is>
          <t>/</t>
        </is>
      </c>
      <c r="O176" s="462" t="inlineStr">
        <is>
          <t>/</t>
        </is>
      </c>
      <c r="P176" s="92" t="inlineStr">
        <is>
          <t>/</t>
        </is>
      </c>
      <c r="Q176" s="502" t="inlineStr">
        <is>
          <t>/</t>
        </is>
      </c>
      <c r="R176" s="502" t="inlineStr">
        <is>
          <t>/</t>
        </is>
      </c>
      <c r="S176" s="502" t="inlineStr">
        <is>
          <t>/</t>
        </is>
      </c>
      <c r="T176" s="22" t="n">
        <v>0.035</v>
      </c>
      <c r="U176" s="116" t="n">
        <v>0.06</v>
      </c>
      <c r="V176" s="502" t="inlineStr">
        <is>
          <t>/</t>
        </is>
      </c>
      <c r="W176" s="50" t="n"/>
      <c r="X176" s="502" t="inlineStr">
        <is>
          <t>/</t>
        </is>
      </c>
      <c r="Y176" s="115" t="inlineStr">
        <is>
          <t>/</t>
        </is>
      </c>
      <c r="Z176" s="51" t="inlineStr">
        <is>
          <t>/</t>
        </is>
      </c>
      <c r="AA176" s="51" t="inlineStr">
        <is>
          <t>/</t>
        </is>
      </c>
      <c r="AB176" s="46" t="inlineStr">
        <is>
          <t>/</t>
        </is>
      </c>
      <c r="AC176" s="46" t="inlineStr">
        <is>
          <t>/</t>
        </is>
      </c>
      <c r="AD176" s="48" t="inlineStr">
        <is>
          <t>1、装修折旧费：营业额的5%，分组作业未分摊，服务费已包含；
2、采购费不收取；</t>
        </is>
      </c>
      <c r="AE176" s="25" t="inlineStr">
        <is>
          <t>1、签订期间：2026.3.1-2026.7.31；
2、指标按照全年换算；</t>
        </is>
      </c>
    </row>
    <row r="177" ht="48" customFormat="1" customHeight="1" s="209">
      <c r="A177" s="219" t="n">
        <v>182</v>
      </c>
      <c r="B177" s="14" t="inlineStr">
        <is>
          <t>KQCY0182</t>
        </is>
      </c>
      <c r="C177" s="221" t="inlineStr">
        <is>
          <t>餐饮三分部</t>
        </is>
      </c>
      <c r="D177" s="127" t="inlineStr">
        <is>
          <t>CF251</t>
        </is>
      </c>
      <c r="E177" s="61" t="inlineStr">
        <is>
          <t>苏州职大二食堂</t>
        </is>
      </c>
      <c r="F177" s="219" t="inlineStr">
        <is>
          <t>分组作业</t>
        </is>
      </c>
      <c r="G177" s="222" t="inlineStr">
        <is>
          <t>张镁镁</t>
        </is>
      </c>
      <c r="H177" s="222" t="inlineStr">
        <is>
          <t>第十班组</t>
        </is>
      </c>
      <c r="I177" s="232" t="inlineStr">
        <is>
          <t>汉堡</t>
        </is>
      </c>
      <c r="J177" s="480" t="inlineStr">
        <is>
          <t>朱燕</t>
        </is>
      </c>
      <c r="K177" s="224" t="inlineStr">
        <is>
          <t>/</t>
        </is>
      </c>
      <c r="L177" s="651" t="inlineStr">
        <is>
          <t>/</t>
        </is>
      </c>
      <c r="M177" s="116" t="n">
        <v>0.19</v>
      </c>
      <c r="N177" s="224" t="inlineStr">
        <is>
          <t>/</t>
        </is>
      </c>
      <c r="O177" s="462" t="inlineStr">
        <is>
          <t>/</t>
        </is>
      </c>
      <c r="P177" s="92" t="inlineStr">
        <is>
          <t>/</t>
        </is>
      </c>
      <c r="Q177" s="502" t="inlineStr">
        <is>
          <t>/</t>
        </is>
      </c>
      <c r="R177" s="502" t="inlineStr">
        <is>
          <t>/</t>
        </is>
      </c>
      <c r="S177" s="502" t="inlineStr">
        <is>
          <t>/</t>
        </is>
      </c>
      <c r="T177" s="59" t="inlineStr">
        <is>
          <t>/</t>
        </is>
      </c>
      <c r="U177" s="116" t="n">
        <v>0.06</v>
      </c>
      <c r="V177" s="502" t="inlineStr">
        <is>
          <t>/</t>
        </is>
      </c>
      <c r="W177" s="50" t="n"/>
      <c r="X177" s="502" t="inlineStr">
        <is>
          <t>/</t>
        </is>
      </c>
      <c r="Y177" s="115" t="inlineStr">
        <is>
          <t>/</t>
        </is>
      </c>
      <c r="Z177" s="51" t="inlineStr">
        <is>
          <t>/</t>
        </is>
      </c>
      <c r="AA177" s="51" t="inlineStr">
        <is>
          <t>/</t>
        </is>
      </c>
      <c r="AB177" s="46" t="inlineStr">
        <is>
          <t>/</t>
        </is>
      </c>
      <c r="AC177" s="46" t="inlineStr">
        <is>
          <t>/</t>
        </is>
      </c>
      <c r="AD177" s="48" t="inlineStr">
        <is>
          <t>1、装修折旧费：营业额的5%，分组作业未分摊，服务费已包含；
2、卫生费不收取；
3、采购费不收取；</t>
        </is>
      </c>
      <c r="AE177" s="25" t="inlineStr">
        <is>
          <t>1、签订期间：2026.3.1-2026.7.31；
2、指标按照全年换算；</t>
        </is>
      </c>
    </row>
    <row r="178" ht="36" customFormat="1" customHeight="1" s="209">
      <c r="A178" s="219" t="n">
        <v>183</v>
      </c>
      <c r="B178" s="14" t="inlineStr">
        <is>
          <t>KQCY0183</t>
        </is>
      </c>
      <c r="C178" s="221" t="inlineStr">
        <is>
          <t>餐饮三分部</t>
        </is>
      </c>
      <c r="D178" s="127" t="inlineStr">
        <is>
          <t>CF251</t>
        </is>
      </c>
      <c r="E178" s="61" t="inlineStr">
        <is>
          <t>苏州职大二食堂</t>
        </is>
      </c>
      <c r="F178" s="219" t="inlineStr">
        <is>
          <t>分组作业</t>
        </is>
      </c>
      <c r="G178" s="222" t="inlineStr">
        <is>
          <t>张镁镁</t>
        </is>
      </c>
      <c r="H178" s="222" t="inlineStr">
        <is>
          <t>第十一班组</t>
        </is>
      </c>
      <c r="I178" s="232" t="inlineStr">
        <is>
          <t>麻辣烫</t>
        </is>
      </c>
      <c r="J178" s="503" t="inlineStr">
        <is>
          <t>孙华玲</t>
        </is>
      </c>
      <c r="K178" s="224" t="inlineStr">
        <is>
          <t>/</t>
        </is>
      </c>
      <c r="L178" s="651" t="inlineStr">
        <is>
          <t>/</t>
        </is>
      </c>
      <c r="M178" s="116" t="n">
        <v>0.145</v>
      </c>
      <c r="N178" s="224" t="inlineStr">
        <is>
          <t>/</t>
        </is>
      </c>
      <c r="O178" s="462" t="inlineStr">
        <is>
          <t>/</t>
        </is>
      </c>
      <c r="P178" s="92" t="inlineStr">
        <is>
          <t>/</t>
        </is>
      </c>
      <c r="Q178" s="502" t="inlineStr">
        <is>
          <t>/</t>
        </is>
      </c>
      <c r="R178" s="502" t="inlineStr">
        <is>
          <t>/</t>
        </is>
      </c>
      <c r="S178" s="502" t="inlineStr">
        <is>
          <t>/</t>
        </is>
      </c>
      <c r="T178" s="22" t="n">
        <v>0.035</v>
      </c>
      <c r="U178" s="116" t="n">
        <v>0.06</v>
      </c>
      <c r="V178" s="502" t="inlineStr">
        <is>
          <t>/</t>
        </is>
      </c>
      <c r="W178" s="50" t="n"/>
      <c r="X178" s="502" t="inlineStr">
        <is>
          <t>/</t>
        </is>
      </c>
      <c r="Y178" s="115" t="inlineStr">
        <is>
          <t>/</t>
        </is>
      </c>
      <c r="Z178" s="51" t="inlineStr">
        <is>
          <t>/</t>
        </is>
      </c>
      <c r="AA178" s="51" t="inlineStr">
        <is>
          <t>/</t>
        </is>
      </c>
      <c r="AB178" s="46" t="inlineStr">
        <is>
          <t>/</t>
        </is>
      </c>
      <c r="AC178" s="46" t="inlineStr">
        <is>
          <t>/</t>
        </is>
      </c>
      <c r="AD178" s="48" t="inlineStr">
        <is>
          <t>1、装修折旧费：营业额的5%，分组作业未分摊，服务费已包含；
2、采购费不收取；</t>
        </is>
      </c>
      <c r="AE178" s="25" t="inlineStr">
        <is>
          <t>1、签订期间：2026.3.1-2026.7.31；
2、指标按照全年换算；</t>
        </is>
      </c>
    </row>
    <row r="179" ht="36" customFormat="1" customHeight="1" s="209">
      <c r="A179" s="219" t="n">
        <v>184</v>
      </c>
      <c r="B179" s="14" t="inlineStr">
        <is>
          <t>KQCY0184</t>
        </is>
      </c>
      <c r="C179" s="221" t="inlineStr">
        <is>
          <t>餐饮三分部</t>
        </is>
      </c>
      <c r="D179" s="127" t="inlineStr">
        <is>
          <t>CF251</t>
        </is>
      </c>
      <c r="E179" s="61" t="inlineStr">
        <is>
          <t>苏州职大二食堂</t>
        </is>
      </c>
      <c r="F179" s="219" t="inlineStr">
        <is>
          <t>分组作业</t>
        </is>
      </c>
      <c r="G179" s="222" t="inlineStr">
        <is>
          <t>张镁镁</t>
        </is>
      </c>
      <c r="H179" s="222" t="inlineStr">
        <is>
          <t>第十二班组</t>
        </is>
      </c>
      <c r="I179" s="232" t="inlineStr">
        <is>
          <t>香扒饭</t>
        </is>
      </c>
      <c r="J179" s="503" t="inlineStr">
        <is>
          <t>魏加健</t>
        </is>
      </c>
      <c r="K179" s="224" t="inlineStr">
        <is>
          <t>/</t>
        </is>
      </c>
      <c r="L179" s="651" t="inlineStr">
        <is>
          <t>/</t>
        </is>
      </c>
      <c r="M179" s="116" t="n">
        <v>0.145</v>
      </c>
      <c r="N179" s="224" t="inlineStr">
        <is>
          <t>/</t>
        </is>
      </c>
      <c r="O179" s="462" t="inlineStr">
        <is>
          <t>/</t>
        </is>
      </c>
      <c r="P179" s="92" t="inlineStr">
        <is>
          <t>/</t>
        </is>
      </c>
      <c r="Q179" s="502" t="inlineStr">
        <is>
          <t>/</t>
        </is>
      </c>
      <c r="R179" s="502" t="inlineStr">
        <is>
          <t>/</t>
        </is>
      </c>
      <c r="S179" s="502" t="inlineStr">
        <is>
          <t>/</t>
        </is>
      </c>
      <c r="T179" s="22" t="n">
        <v>0.035</v>
      </c>
      <c r="U179" s="116" t="n">
        <v>0.06</v>
      </c>
      <c r="V179" s="502" t="inlineStr">
        <is>
          <t>/</t>
        </is>
      </c>
      <c r="W179" s="50" t="n"/>
      <c r="X179" s="502" t="inlineStr">
        <is>
          <t>/</t>
        </is>
      </c>
      <c r="Y179" s="115" t="inlineStr">
        <is>
          <t>/</t>
        </is>
      </c>
      <c r="Z179" s="51" t="inlineStr">
        <is>
          <t>/</t>
        </is>
      </c>
      <c r="AA179" s="51" t="inlineStr">
        <is>
          <t>/</t>
        </is>
      </c>
      <c r="AB179" s="46" t="inlineStr">
        <is>
          <t>/</t>
        </is>
      </c>
      <c r="AC179" s="46" t="inlineStr">
        <is>
          <t>/</t>
        </is>
      </c>
      <c r="AD179" s="48" t="inlineStr">
        <is>
          <t>1、装修折旧费：营业额的5%，分组作业未分摊，服务费已包含；
2、采购费不收取；</t>
        </is>
      </c>
      <c r="AE179" s="25" t="inlineStr">
        <is>
          <t>1、签订期间：2026.3.1-2026.7.31；
2、指标按照全年换算；</t>
        </is>
      </c>
    </row>
    <row r="180" ht="36" customFormat="1" customHeight="1" s="209">
      <c r="A180" s="219" t="n">
        <v>185</v>
      </c>
      <c r="B180" s="14" t="inlineStr">
        <is>
          <t>KQCY0185</t>
        </is>
      </c>
      <c r="C180" s="221" t="inlineStr">
        <is>
          <t>餐饮三分部</t>
        </is>
      </c>
      <c r="D180" s="127" t="inlineStr">
        <is>
          <t>CF251</t>
        </is>
      </c>
      <c r="E180" s="61" t="inlineStr">
        <is>
          <t>苏州职大二食堂</t>
        </is>
      </c>
      <c r="F180" s="219" t="inlineStr">
        <is>
          <t>分组作业</t>
        </is>
      </c>
      <c r="G180" s="222" t="inlineStr">
        <is>
          <t>张镁镁</t>
        </is>
      </c>
      <c r="H180" s="222" t="inlineStr">
        <is>
          <t>第十三班组</t>
        </is>
      </c>
      <c r="I180" s="232" t="inlineStr">
        <is>
          <t>瓦香鸡</t>
        </is>
      </c>
      <c r="J180" s="503" t="inlineStr">
        <is>
          <t>张明明</t>
        </is>
      </c>
      <c r="K180" s="224" t="inlineStr">
        <is>
          <t>/</t>
        </is>
      </c>
      <c r="L180" s="651" t="inlineStr">
        <is>
          <t>/</t>
        </is>
      </c>
      <c r="M180" s="116" t="n">
        <v>0.145</v>
      </c>
      <c r="N180" s="224" t="inlineStr">
        <is>
          <t>/</t>
        </is>
      </c>
      <c r="O180" s="462" t="inlineStr">
        <is>
          <t>/</t>
        </is>
      </c>
      <c r="P180" s="92" t="inlineStr">
        <is>
          <t>/</t>
        </is>
      </c>
      <c r="Q180" s="502" t="inlineStr">
        <is>
          <t>/</t>
        </is>
      </c>
      <c r="R180" s="502" t="inlineStr">
        <is>
          <t>/</t>
        </is>
      </c>
      <c r="S180" s="502" t="inlineStr">
        <is>
          <t>/</t>
        </is>
      </c>
      <c r="T180" s="22" t="n">
        <v>0.035</v>
      </c>
      <c r="U180" s="116" t="n">
        <v>0.06</v>
      </c>
      <c r="V180" s="502" t="inlineStr">
        <is>
          <t>/</t>
        </is>
      </c>
      <c r="W180" s="50" t="n"/>
      <c r="X180" s="502" t="inlineStr">
        <is>
          <t>/</t>
        </is>
      </c>
      <c r="Y180" s="115" t="inlineStr">
        <is>
          <t>/</t>
        </is>
      </c>
      <c r="Z180" s="51" t="inlineStr">
        <is>
          <t>/</t>
        </is>
      </c>
      <c r="AA180" s="51" t="inlineStr">
        <is>
          <t>/</t>
        </is>
      </c>
      <c r="AB180" s="46" t="inlineStr">
        <is>
          <t>/</t>
        </is>
      </c>
      <c r="AC180" s="46" t="inlineStr">
        <is>
          <t>/</t>
        </is>
      </c>
      <c r="AD180" s="48" t="inlineStr">
        <is>
          <t>1、装修折旧费：营业额的5%，分组作业未分摊，服务费已包含；
2、采购费不收取；</t>
        </is>
      </c>
      <c r="AE180" s="25" t="inlineStr">
        <is>
          <t>1、签订期间：2026.3.1-2026.7.31；
2、指标按照全年换算；</t>
        </is>
      </c>
    </row>
    <row r="181" ht="36" customFormat="1" customHeight="1" s="209">
      <c r="A181" s="219" t="n">
        <v>186</v>
      </c>
      <c r="B181" s="14" t="inlineStr">
        <is>
          <t>KQCY0186</t>
        </is>
      </c>
      <c r="C181" s="221" t="inlineStr">
        <is>
          <t>餐饮三分部</t>
        </is>
      </c>
      <c r="D181" s="127" t="inlineStr">
        <is>
          <t>CF251</t>
        </is>
      </c>
      <c r="E181" s="61" t="inlineStr">
        <is>
          <t>苏州职大二食堂</t>
        </is>
      </c>
      <c r="F181" s="219" t="inlineStr">
        <is>
          <t>分组作业</t>
        </is>
      </c>
      <c r="G181" s="222" t="inlineStr">
        <is>
          <t>张镁镁</t>
        </is>
      </c>
      <c r="H181" s="222" t="inlineStr">
        <is>
          <t>第十四班组</t>
        </is>
      </c>
      <c r="I181" s="232" t="inlineStr">
        <is>
          <t>羊杂面</t>
        </is>
      </c>
      <c r="J181" s="503" t="inlineStr">
        <is>
          <t>王俊鹏</t>
        </is>
      </c>
      <c r="K181" s="224" t="inlineStr">
        <is>
          <t>/</t>
        </is>
      </c>
      <c r="L181" s="651" t="inlineStr">
        <is>
          <t>/</t>
        </is>
      </c>
      <c r="M181" s="116" t="n">
        <v>0.165</v>
      </c>
      <c r="N181" s="224" t="inlineStr">
        <is>
          <t>/</t>
        </is>
      </c>
      <c r="O181" s="462" t="inlineStr">
        <is>
          <t>/</t>
        </is>
      </c>
      <c r="P181" s="92" t="inlineStr">
        <is>
          <t>/</t>
        </is>
      </c>
      <c r="Q181" s="502" t="inlineStr">
        <is>
          <t>/</t>
        </is>
      </c>
      <c r="R181" s="502" t="inlineStr">
        <is>
          <t>/</t>
        </is>
      </c>
      <c r="S181" s="502" t="inlineStr">
        <is>
          <t>/</t>
        </is>
      </c>
      <c r="T181" s="22" t="n">
        <v>0.035</v>
      </c>
      <c r="U181" s="116" t="n">
        <v>0.06</v>
      </c>
      <c r="V181" s="502" t="inlineStr">
        <is>
          <t>/</t>
        </is>
      </c>
      <c r="W181" s="50" t="n"/>
      <c r="X181" s="502" t="inlineStr">
        <is>
          <t>/</t>
        </is>
      </c>
      <c r="Y181" s="115" t="inlineStr">
        <is>
          <t>/</t>
        </is>
      </c>
      <c r="Z181" s="51" t="inlineStr">
        <is>
          <t>/</t>
        </is>
      </c>
      <c r="AA181" s="51" t="inlineStr">
        <is>
          <t>/</t>
        </is>
      </c>
      <c r="AB181" s="46" t="inlineStr">
        <is>
          <t>/</t>
        </is>
      </c>
      <c r="AC181" s="46" t="inlineStr">
        <is>
          <t>/</t>
        </is>
      </c>
      <c r="AD181" s="48" t="inlineStr">
        <is>
          <t>1、装修折旧费：营业额的5%，分组作业未分摊，服务费已包含；
2、采购费不收取；</t>
        </is>
      </c>
      <c r="AE181" s="25" t="inlineStr">
        <is>
          <t>1、签订期间：2026.3.1-2026.7.31；
2、指标按照全年换算；</t>
        </is>
      </c>
    </row>
    <row r="182" ht="36" customFormat="1" customHeight="1" s="209">
      <c r="A182" s="219" t="n">
        <v>187</v>
      </c>
      <c r="B182" s="14" t="inlineStr">
        <is>
          <t>KQCY0187</t>
        </is>
      </c>
      <c r="C182" s="221" t="inlineStr">
        <is>
          <t>餐饮三分部</t>
        </is>
      </c>
      <c r="D182" s="127" t="inlineStr">
        <is>
          <t>CF251</t>
        </is>
      </c>
      <c r="E182" s="61" t="inlineStr">
        <is>
          <t>苏州职大二食堂</t>
        </is>
      </c>
      <c r="F182" s="219" t="inlineStr">
        <is>
          <t>分组作业</t>
        </is>
      </c>
      <c r="G182" s="222" t="inlineStr">
        <is>
          <t>张镁镁</t>
        </is>
      </c>
      <c r="H182" s="222" t="inlineStr">
        <is>
          <t>第十五班组</t>
        </is>
      </c>
      <c r="I182" s="232" t="inlineStr">
        <is>
          <t>苏式红汤面</t>
        </is>
      </c>
      <c r="J182" s="503" t="inlineStr">
        <is>
          <t>程周如</t>
        </is>
      </c>
      <c r="K182" s="224" t="inlineStr">
        <is>
          <t>/</t>
        </is>
      </c>
      <c r="L182" s="651" t="inlineStr">
        <is>
          <t>/</t>
        </is>
      </c>
      <c r="M182" s="116" t="n">
        <v>0.165</v>
      </c>
      <c r="N182" s="224" t="inlineStr">
        <is>
          <t>/</t>
        </is>
      </c>
      <c r="O182" s="462" t="inlineStr">
        <is>
          <t>/</t>
        </is>
      </c>
      <c r="P182" s="92" t="inlineStr">
        <is>
          <t>/</t>
        </is>
      </c>
      <c r="Q182" s="502" t="inlineStr">
        <is>
          <t>/</t>
        </is>
      </c>
      <c r="R182" s="502" t="inlineStr">
        <is>
          <t>/</t>
        </is>
      </c>
      <c r="S182" s="502" t="inlineStr">
        <is>
          <t>/</t>
        </is>
      </c>
      <c r="T182" s="22" t="n">
        <v>0.035</v>
      </c>
      <c r="U182" s="116" t="n">
        <v>0.06</v>
      </c>
      <c r="V182" s="502" t="inlineStr">
        <is>
          <t>/</t>
        </is>
      </c>
      <c r="W182" s="50" t="n"/>
      <c r="X182" s="502" t="inlineStr">
        <is>
          <t>/</t>
        </is>
      </c>
      <c r="Y182" s="115" t="inlineStr">
        <is>
          <t>/</t>
        </is>
      </c>
      <c r="Z182" s="51" t="inlineStr">
        <is>
          <t>/</t>
        </is>
      </c>
      <c r="AA182" s="51" t="inlineStr">
        <is>
          <t>/</t>
        </is>
      </c>
      <c r="AB182" s="46" t="inlineStr">
        <is>
          <t>/</t>
        </is>
      </c>
      <c r="AC182" s="46" t="inlineStr">
        <is>
          <t>/</t>
        </is>
      </c>
      <c r="AD182" s="48" t="inlineStr">
        <is>
          <t>1、装修折旧费：营业额的5%，分组作业未分摊，服务费已包含；
2、采购费不收取；</t>
        </is>
      </c>
      <c r="AE182" s="25" t="inlineStr">
        <is>
          <t>1、签订期间：2026.3.1-2026.7.31；
2、指标按照全年换算；</t>
        </is>
      </c>
    </row>
    <row r="183" ht="48" customFormat="1" customHeight="1" s="209">
      <c r="A183" s="219" t="n">
        <v>188</v>
      </c>
      <c r="B183" s="14" t="inlineStr">
        <is>
          <t>KQCY0188</t>
        </is>
      </c>
      <c r="C183" s="221" t="inlineStr">
        <is>
          <t>餐饮三分部</t>
        </is>
      </c>
      <c r="D183" s="127" t="inlineStr">
        <is>
          <t>CF251</t>
        </is>
      </c>
      <c r="E183" s="61" t="inlineStr">
        <is>
          <t>苏州职大二食堂</t>
        </is>
      </c>
      <c r="F183" s="219" t="inlineStr">
        <is>
          <t>分组作业</t>
        </is>
      </c>
      <c r="G183" s="222" t="inlineStr">
        <is>
          <t>张镁镁</t>
        </is>
      </c>
      <c r="H183" s="222" t="inlineStr">
        <is>
          <t>第十六班组</t>
        </is>
      </c>
      <c r="I183" s="232" t="inlineStr">
        <is>
          <t>烤鸭</t>
        </is>
      </c>
      <c r="J183" s="480" t="inlineStr">
        <is>
          <t>李嘉康</t>
        </is>
      </c>
      <c r="K183" s="224" t="inlineStr">
        <is>
          <t>/</t>
        </is>
      </c>
      <c r="L183" s="651" t="inlineStr">
        <is>
          <t>/</t>
        </is>
      </c>
      <c r="M183" s="116" t="n">
        <v>0.155</v>
      </c>
      <c r="N183" s="224" t="inlineStr">
        <is>
          <t>/</t>
        </is>
      </c>
      <c r="O183" s="462" t="inlineStr">
        <is>
          <t>/</t>
        </is>
      </c>
      <c r="P183" s="92" t="inlineStr">
        <is>
          <t>/</t>
        </is>
      </c>
      <c r="Q183" s="502" t="inlineStr">
        <is>
          <t>/</t>
        </is>
      </c>
      <c r="R183" s="502" t="inlineStr">
        <is>
          <t>/</t>
        </is>
      </c>
      <c r="S183" s="502" t="inlineStr">
        <is>
          <t>/</t>
        </is>
      </c>
      <c r="T183" s="22" t="n">
        <v>0.035</v>
      </c>
      <c r="U183" s="116" t="n">
        <v>0.06</v>
      </c>
      <c r="V183" s="502" t="inlineStr">
        <is>
          <t>/</t>
        </is>
      </c>
      <c r="W183" s="50" t="n"/>
      <c r="X183" s="502" t="inlineStr">
        <is>
          <t>/</t>
        </is>
      </c>
      <c r="Y183" s="660" t="n">
        <v>2000</v>
      </c>
      <c r="Z183" s="51" t="inlineStr">
        <is>
          <t>/</t>
        </is>
      </c>
      <c r="AA183" s="51" t="inlineStr">
        <is>
          <t>/</t>
        </is>
      </c>
      <c r="AB183" s="46" t="inlineStr">
        <is>
          <t>/</t>
        </is>
      </c>
      <c r="AC183" s="46" t="inlineStr">
        <is>
          <t>/</t>
        </is>
      </c>
      <c r="AD183" s="48" t="inlineStr">
        <is>
          <t>1、装修折旧费：营业额的5%，分组作业未分摊，服务费已包含；
2、烤鸭房租2000/学期
3、采购费不收取；</t>
        </is>
      </c>
      <c r="AE183" s="25" t="inlineStr">
        <is>
          <t>1、签订期间：2026.3.1-2026.7.31；
2、指标按照全年换算；</t>
        </is>
      </c>
    </row>
    <row r="184" ht="36" customFormat="1" customHeight="1" s="209">
      <c r="A184" s="219" t="n">
        <v>189</v>
      </c>
      <c r="B184" s="14" t="inlineStr">
        <is>
          <t>KQCY0189</t>
        </is>
      </c>
      <c r="C184" s="221" t="inlineStr">
        <is>
          <t>餐饮三分部</t>
        </is>
      </c>
      <c r="D184" s="127" t="inlineStr">
        <is>
          <t>CF251</t>
        </is>
      </c>
      <c r="E184" s="61" t="inlineStr">
        <is>
          <t>苏州职大二食堂</t>
        </is>
      </c>
      <c r="F184" s="219" t="inlineStr">
        <is>
          <t>分组作业</t>
        </is>
      </c>
      <c r="G184" s="222" t="inlineStr">
        <is>
          <t>张镁镁</t>
        </is>
      </c>
      <c r="H184" s="222" t="inlineStr">
        <is>
          <t>第十七班组</t>
        </is>
      </c>
      <c r="I184" s="232" t="inlineStr">
        <is>
          <t>手工水饺</t>
        </is>
      </c>
      <c r="J184" s="480" t="inlineStr">
        <is>
          <t>汪玉凤</t>
        </is>
      </c>
      <c r="K184" s="224" t="inlineStr">
        <is>
          <t>/</t>
        </is>
      </c>
      <c r="L184" s="651" t="inlineStr">
        <is>
          <t>/</t>
        </is>
      </c>
      <c r="M184" s="116" t="n">
        <v>0.155</v>
      </c>
      <c r="N184" s="224" t="inlineStr">
        <is>
          <t>/</t>
        </is>
      </c>
      <c r="O184" s="462" t="inlineStr">
        <is>
          <t>/</t>
        </is>
      </c>
      <c r="P184" s="92" t="inlineStr">
        <is>
          <t>/</t>
        </is>
      </c>
      <c r="Q184" s="502" t="inlineStr">
        <is>
          <t>/</t>
        </is>
      </c>
      <c r="R184" s="502" t="inlineStr">
        <is>
          <t>/</t>
        </is>
      </c>
      <c r="S184" s="502" t="inlineStr">
        <is>
          <t>/</t>
        </is>
      </c>
      <c r="T184" s="22" t="n">
        <v>0.035</v>
      </c>
      <c r="U184" s="116" t="n">
        <v>0.06</v>
      </c>
      <c r="V184" s="502" t="inlineStr">
        <is>
          <t>/</t>
        </is>
      </c>
      <c r="W184" s="50" t="n"/>
      <c r="X184" s="502" t="inlineStr">
        <is>
          <t>/</t>
        </is>
      </c>
      <c r="Y184" s="115" t="inlineStr">
        <is>
          <t>/</t>
        </is>
      </c>
      <c r="Z184" s="51" t="inlineStr">
        <is>
          <t>/</t>
        </is>
      </c>
      <c r="AA184" s="51" t="inlineStr">
        <is>
          <t>/</t>
        </is>
      </c>
      <c r="AB184" s="46" t="inlineStr">
        <is>
          <t>/</t>
        </is>
      </c>
      <c r="AC184" s="46" t="inlineStr">
        <is>
          <t>/</t>
        </is>
      </c>
      <c r="AD184" s="48" t="inlineStr">
        <is>
          <t>1、装修折旧费：营业额的5%，分组作业未分摊，服务费已包含；
2、采购费不收取；</t>
        </is>
      </c>
      <c r="AE184" s="25" t="inlineStr">
        <is>
          <t>1、签订期间：2026.3.1-2026.7.31；
2、指标按照全年换算；</t>
        </is>
      </c>
    </row>
    <row r="185" ht="36" customFormat="1" customHeight="1" s="209">
      <c r="A185" s="219" t="n">
        <v>190</v>
      </c>
      <c r="B185" s="14" t="inlineStr">
        <is>
          <t>KQCY0190</t>
        </is>
      </c>
      <c r="C185" s="221" t="inlineStr">
        <is>
          <t>餐饮三分部</t>
        </is>
      </c>
      <c r="D185" s="127" t="inlineStr">
        <is>
          <t>CF251</t>
        </is>
      </c>
      <c r="E185" s="61" t="inlineStr">
        <is>
          <t>苏州职大二食堂</t>
        </is>
      </c>
      <c r="F185" s="219" t="inlineStr">
        <is>
          <t>分组作业</t>
        </is>
      </c>
      <c r="G185" s="222" t="inlineStr">
        <is>
          <t>张镁镁</t>
        </is>
      </c>
      <c r="H185" s="222" t="inlineStr">
        <is>
          <t>第十八班组</t>
        </is>
      </c>
      <c r="I185" s="232" t="inlineStr">
        <is>
          <t>把子肉</t>
        </is>
      </c>
      <c r="J185" s="480" t="inlineStr">
        <is>
          <t>杜故乡</t>
        </is>
      </c>
      <c r="K185" s="224" t="inlineStr">
        <is>
          <t>/</t>
        </is>
      </c>
      <c r="L185" s="651" t="inlineStr">
        <is>
          <t>/</t>
        </is>
      </c>
      <c r="M185" s="116" t="n">
        <v>0.135</v>
      </c>
      <c r="N185" s="224" t="inlineStr">
        <is>
          <t>/</t>
        </is>
      </c>
      <c r="O185" s="462" t="inlineStr">
        <is>
          <t>/</t>
        </is>
      </c>
      <c r="P185" s="92" t="inlineStr">
        <is>
          <t>/</t>
        </is>
      </c>
      <c r="Q185" s="502" t="inlineStr">
        <is>
          <t>/</t>
        </is>
      </c>
      <c r="R185" s="502" t="inlineStr">
        <is>
          <t>/</t>
        </is>
      </c>
      <c r="S185" s="502" t="inlineStr">
        <is>
          <t>/</t>
        </is>
      </c>
      <c r="T185" s="22" t="n">
        <v>0.035</v>
      </c>
      <c r="U185" s="116" t="n">
        <v>0.06</v>
      </c>
      <c r="V185" s="502" t="inlineStr">
        <is>
          <t>/</t>
        </is>
      </c>
      <c r="W185" s="50" t="n"/>
      <c r="X185" s="502" t="inlineStr">
        <is>
          <t>/</t>
        </is>
      </c>
      <c r="Y185" s="115" t="inlineStr">
        <is>
          <t>/</t>
        </is>
      </c>
      <c r="Z185" s="51" t="inlineStr">
        <is>
          <t>/</t>
        </is>
      </c>
      <c r="AA185" s="51" t="inlineStr">
        <is>
          <t>/</t>
        </is>
      </c>
      <c r="AB185" s="46" t="inlineStr">
        <is>
          <t>/</t>
        </is>
      </c>
      <c r="AC185" s="46" t="inlineStr">
        <is>
          <t>/</t>
        </is>
      </c>
      <c r="AD185" s="48" t="inlineStr">
        <is>
          <t>1、装修折旧费：营业额的5%，分组作业未分摊，服务费已包含；
2、采购费不收取；</t>
        </is>
      </c>
      <c r="AE185" s="25" t="inlineStr">
        <is>
          <t>1、签订期间：2026.3.1-2026.7.31；
2、指标按照全年换算；</t>
        </is>
      </c>
    </row>
    <row r="186" ht="12" customFormat="1" customHeight="1" s="209">
      <c r="A186" s="219" t="n">
        <v>191</v>
      </c>
      <c r="B186" s="14" t="inlineStr">
        <is>
          <t>KQCY0191</t>
        </is>
      </c>
      <c r="C186" s="221" t="inlineStr">
        <is>
          <t>餐饮三分部</t>
        </is>
      </c>
      <c r="D186" s="127" t="inlineStr">
        <is>
          <t>CF780</t>
        </is>
      </c>
      <c r="E186" s="61" t="inlineStr">
        <is>
          <t>吉建大二食堂</t>
        </is>
      </c>
      <c r="F186" s="219" t="inlineStr">
        <is>
          <t>自营</t>
        </is>
      </c>
      <c r="G186" s="222" t="inlineStr">
        <is>
          <t>吉沐牛</t>
        </is>
      </c>
      <c r="H186" s="222" t="inlineStr">
        <is>
          <t>/</t>
        </is>
      </c>
      <c r="I186" s="237" t="inlineStr">
        <is>
          <t>/</t>
        </is>
      </c>
      <c r="J186" s="222" t="inlineStr">
        <is>
          <t>/</t>
        </is>
      </c>
      <c r="K186" s="224" t="inlineStr">
        <is>
          <t>/</t>
        </is>
      </c>
      <c r="L186" s="651" t="inlineStr">
        <is>
          <t>/</t>
        </is>
      </c>
      <c r="M186" s="67" t="inlineStr">
        <is>
          <t>/</t>
        </is>
      </c>
      <c r="N186" s="47" t="n"/>
      <c r="O186" s="67" t="inlineStr">
        <is>
          <t>/</t>
        </is>
      </c>
      <c r="P186" s="47" t="n"/>
      <c r="Q186" s="67" t="inlineStr">
        <is>
          <t>/</t>
        </is>
      </c>
      <c r="R186" s="67" t="inlineStr">
        <is>
          <t>/</t>
        </is>
      </c>
      <c r="S186" s="67" t="inlineStr">
        <is>
          <t>/</t>
        </is>
      </c>
      <c r="T186" s="47" t="n"/>
      <c r="U186" s="47" t="n"/>
      <c r="V186" s="67" t="inlineStr">
        <is>
          <t>/</t>
        </is>
      </c>
      <c r="W186" s="44" t="n"/>
      <c r="X186" s="397" t="inlineStr">
        <is>
          <t>/</t>
        </is>
      </c>
      <c r="Y186" s="397" t="inlineStr">
        <is>
          <t>/</t>
        </is>
      </c>
      <c r="Z186" s="397" t="inlineStr">
        <is>
          <t>/</t>
        </is>
      </c>
      <c r="AA186" s="44" t="n"/>
      <c r="AB186" s="46" t="n">
        <v>0.05</v>
      </c>
      <c r="AC186" s="46" t="inlineStr">
        <is>
          <t>/</t>
        </is>
      </c>
      <c r="AD186" s="69" t="n"/>
      <c r="AE186" s="25" t="n"/>
    </row>
    <row r="187" ht="24" customFormat="1" customHeight="1" s="209">
      <c r="A187" s="219" t="n">
        <v>192</v>
      </c>
      <c r="B187" s="14" t="inlineStr">
        <is>
          <t>KQCY0192</t>
        </is>
      </c>
      <c r="C187" s="221" t="inlineStr">
        <is>
          <t>餐饮三分部</t>
        </is>
      </c>
      <c r="D187" s="127" t="inlineStr">
        <is>
          <t>CF780</t>
        </is>
      </c>
      <c r="E187" s="61" t="inlineStr">
        <is>
          <t>吉建大二食堂</t>
        </is>
      </c>
      <c r="F187" s="219" t="inlineStr">
        <is>
          <t>分组作业</t>
        </is>
      </c>
      <c r="G187" s="222" t="inlineStr">
        <is>
          <t>吉沐牛</t>
        </is>
      </c>
      <c r="H187" s="503" t="inlineStr">
        <is>
          <t>/</t>
        </is>
      </c>
      <c r="I187" s="237" t="inlineStr">
        <is>
          <t>早点</t>
        </is>
      </c>
      <c r="J187" s="222" t="inlineStr">
        <is>
          <t>李帮</t>
        </is>
      </c>
      <c r="K187" s="224" t="inlineStr">
        <is>
          <t>/</t>
        </is>
      </c>
      <c r="L187" s="651" t="n">
        <v>2352000</v>
      </c>
      <c r="M187" s="67" t="n">
        <v>0.15</v>
      </c>
      <c r="N187" s="67" t="n">
        <v>0.01</v>
      </c>
      <c r="O187" s="67" t="inlineStr">
        <is>
          <t>/</t>
        </is>
      </c>
      <c r="P187" s="67" t="n">
        <v>0.04</v>
      </c>
      <c r="Q187" s="67" t="n">
        <v>0.03</v>
      </c>
      <c r="R187" s="67" t="n">
        <v>0.01</v>
      </c>
      <c r="S187" s="67" t="n">
        <v>0.01</v>
      </c>
      <c r="T187" s="67" t="n"/>
      <c r="U187" s="656" t="n"/>
      <c r="V187" s="67" t="inlineStr">
        <is>
          <t>/</t>
        </is>
      </c>
      <c r="W187" s="128" t="n">
        <v>0.4</v>
      </c>
      <c r="X187" s="67" t="inlineStr">
        <is>
          <t>/</t>
        </is>
      </c>
      <c r="Y187" s="397" t="inlineStr">
        <is>
          <t>/</t>
        </is>
      </c>
      <c r="Z187" s="397" t="inlineStr">
        <is>
          <t>/</t>
        </is>
      </c>
      <c r="AA187" s="397" t="inlineStr">
        <is>
          <t>/</t>
        </is>
      </c>
      <c r="AB187" s="46" t="inlineStr">
        <is>
          <t>/</t>
        </is>
      </c>
      <c r="AC187" s="46" t="inlineStr">
        <is>
          <t>/</t>
        </is>
      </c>
      <c r="AD187" s="69" t="inlineStr">
        <is>
          <t>1、甲方捐赠：项目反馈不收取，包含在服务费中；</t>
        </is>
      </c>
      <c r="AE187" s="25" t="inlineStr">
        <is>
          <t>1、签订期间：2026.3-7月；
2、指标按照全年换算；</t>
        </is>
      </c>
    </row>
    <row r="188" ht="36" customFormat="1" customHeight="1" s="209">
      <c r="A188" s="219" t="n">
        <v>193</v>
      </c>
      <c r="B188" s="14" t="inlineStr">
        <is>
          <t>KQCY0193</t>
        </is>
      </c>
      <c r="C188" s="221" t="inlineStr">
        <is>
          <t>餐饮三分部</t>
        </is>
      </c>
      <c r="D188" s="127" t="inlineStr">
        <is>
          <t>CF780</t>
        </is>
      </c>
      <c r="E188" s="61" t="inlineStr">
        <is>
          <t>吉建大二食堂</t>
        </is>
      </c>
      <c r="F188" s="219" t="inlineStr">
        <is>
          <t>分组作业</t>
        </is>
      </c>
      <c r="G188" s="222" t="inlineStr">
        <is>
          <t>吉沐牛</t>
        </is>
      </c>
      <c r="H188" s="503" t="inlineStr">
        <is>
          <t>/</t>
        </is>
      </c>
      <c r="I188" s="237" t="inlineStr">
        <is>
          <t>0090汉堡</t>
        </is>
      </c>
      <c r="J188" s="222" t="inlineStr">
        <is>
          <t>戴杰</t>
        </is>
      </c>
      <c r="K188" s="224" t="inlineStr">
        <is>
          <t>/</t>
        </is>
      </c>
      <c r="L188" s="651" t="n">
        <v>2280000</v>
      </c>
      <c r="M188" s="67" t="inlineStr">
        <is>
          <t>17%/16%</t>
        </is>
      </c>
      <c r="N188" s="67" t="n">
        <v>0.01</v>
      </c>
      <c r="O188" s="67" t="inlineStr">
        <is>
          <t>/</t>
        </is>
      </c>
      <c r="P188" s="67" t="n">
        <v>0.04</v>
      </c>
      <c r="Q188" s="67" t="n">
        <v>0.03</v>
      </c>
      <c r="R188" s="67" t="n">
        <v>0.01</v>
      </c>
      <c r="S188" s="67" t="n">
        <v>0.01</v>
      </c>
      <c r="T188" s="67" t="n"/>
      <c r="U188" s="656" t="n"/>
      <c r="V188" s="67" t="inlineStr">
        <is>
          <t>/</t>
        </is>
      </c>
      <c r="W188" s="128" t="n">
        <v>0.4</v>
      </c>
      <c r="X188" s="67" t="inlineStr">
        <is>
          <t>/</t>
        </is>
      </c>
      <c r="Y188" s="397" t="inlineStr">
        <is>
          <t>/</t>
        </is>
      </c>
      <c r="Z188" s="397" t="inlineStr">
        <is>
          <t>/</t>
        </is>
      </c>
      <c r="AA188" s="397" t="inlineStr">
        <is>
          <t>/</t>
        </is>
      </c>
      <c r="AB188" s="46" t="inlineStr">
        <is>
          <t>/</t>
        </is>
      </c>
      <c r="AC188" s="46" t="inlineStr">
        <is>
          <t>/</t>
        </is>
      </c>
      <c r="AD188" s="69" t="inlineStr">
        <is>
          <t>1、服务费：超过20万按16%收取，未超过按17%收取管理费；
2、甲方捐赠：项目反馈不收取，包含在服务费中；</t>
        </is>
      </c>
      <c r="AE188" s="25" t="inlineStr">
        <is>
          <t>1、签订期间：2026.3-7月；
2、指标按照全年换算；
3、超过20万按16%收取，未超过按17%收取管理费；</t>
        </is>
      </c>
    </row>
    <row r="189" ht="36" customFormat="1" customHeight="1" s="209">
      <c r="A189" s="219" t="n">
        <v>194</v>
      </c>
      <c r="B189" s="14" t="inlineStr">
        <is>
          <t>KQCY0194</t>
        </is>
      </c>
      <c r="C189" s="221" t="inlineStr">
        <is>
          <t>餐饮三分部</t>
        </is>
      </c>
      <c r="D189" s="127" t="inlineStr">
        <is>
          <t>CF780</t>
        </is>
      </c>
      <c r="E189" s="61" t="inlineStr">
        <is>
          <t>吉建大二食堂</t>
        </is>
      </c>
      <c r="F189" s="219" t="inlineStr">
        <is>
          <t>分组作业</t>
        </is>
      </c>
      <c r="G189" s="222" t="inlineStr">
        <is>
          <t>吉沐牛</t>
        </is>
      </c>
      <c r="H189" s="503" t="inlineStr">
        <is>
          <t>/</t>
        </is>
      </c>
      <c r="I189" s="237" t="inlineStr">
        <is>
          <t>果檬鲜果</t>
        </is>
      </c>
      <c r="J189" s="222" t="inlineStr">
        <is>
          <t>曹雪</t>
        </is>
      </c>
      <c r="K189" s="224" t="inlineStr">
        <is>
          <t>/</t>
        </is>
      </c>
      <c r="L189" s="651" t="n">
        <v>816000</v>
      </c>
      <c r="M189" s="67" t="inlineStr">
        <is>
          <t>17%/16%</t>
        </is>
      </c>
      <c r="N189" s="67" t="n">
        <v>0.01</v>
      </c>
      <c r="O189" s="67" t="inlineStr">
        <is>
          <t>/</t>
        </is>
      </c>
      <c r="P189" s="67" t="n">
        <v>0.04</v>
      </c>
      <c r="Q189" s="67" t="n">
        <v>0.03</v>
      </c>
      <c r="R189" s="67" t="n">
        <v>0.01</v>
      </c>
      <c r="S189" s="67" t="n">
        <v>0.01</v>
      </c>
      <c r="T189" s="67" t="n"/>
      <c r="U189" s="656" t="n"/>
      <c r="V189" s="67" t="inlineStr">
        <is>
          <t>/</t>
        </is>
      </c>
      <c r="W189" s="128" t="n">
        <v>0.4</v>
      </c>
      <c r="X189" s="67" t="inlineStr">
        <is>
          <t>/</t>
        </is>
      </c>
      <c r="Y189" s="397" t="inlineStr">
        <is>
          <t>/</t>
        </is>
      </c>
      <c r="Z189" s="397" t="inlineStr">
        <is>
          <t>/</t>
        </is>
      </c>
      <c r="AA189" s="397" t="inlineStr">
        <is>
          <t>/</t>
        </is>
      </c>
      <c r="AB189" s="46" t="inlineStr">
        <is>
          <t>/</t>
        </is>
      </c>
      <c r="AC189" s="46" t="inlineStr">
        <is>
          <t>/</t>
        </is>
      </c>
      <c r="AD189" s="69" t="inlineStr">
        <is>
          <t>1、服务费：超过20万按16%收取，未超过按17%收取管理费；
2、甲方捐赠：项目反馈不收取，包含在服务费中；</t>
        </is>
      </c>
      <c r="AE189" s="25" t="inlineStr">
        <is>
          <t>1、签订期间：2026.3-7月；
2、指标按照全年换算；
3、超过20万按16%收取，未超过按17%收取管理费；</t>
        </is>
      </c>
    </row>
    <row r="190" ht="24" customFormat="1" customHeight="1" s="209">
      <c r="A190" s="219" t="n">
        <v>195</v>
      </c>
      <c r="B190" s="14" t="inlineStr">
        <is>
          <t>KQCY0195</t>
        </is>
      </c>
      <c r="C190" s="221" t="inlineStr">
        <is>
          <t>餐饮三分部</t>
        </is>
      </c>
      <c r="D190" s="127" t="inlineStr">
        <is>
          <t>CF780</t>
        </is>
      </c>
      <c r="E190" s="61" t="inlineStr">
        <is>
          <t>吉建大二食堂</t>
        </is>
      </c>
      <c r="F190" s="219" t="inlineStr">
        <is>
          <t>分组作业</t>
        </is>
      </c>
      <c r="G190" s="222" t="inlineStr">
        <is>
          <t>吉沐牛</t>
        </is>
      </c>
      <c r="H190" s="503" t="inlineStr">
        <is>
          <t>/</t>
        </is>
      </c>
      <c r="I190" s="237" t="inlineStr">
        <is>
          <t>自选水饺</t>
        </is>
      </c>
      <c r="J190" s="222" t="inlineStr">
        <is>
          <t>李英</t>
        </is>
      </c>
      <c r="K190" s="224" t="inlineStr">
        <is>
          <t>/</t>
        </is>
      </c>
      <c r="L190" s="651" t="n">
        <v>700800</v>
      </c>
      <c r="M190" s="67" t="n">
        <v>0.1</v>
      </c>
      <c r="N190" s="67" t="n">
        <v>0.01</v>
      </c>
      <c r="O190" s="67" t="inlineStr">
        <is>
          <t>/</t>
        </is>
      </c>
      <c r="P190" s="67" t="n">
        <v>0.04</v>
      </c>
      <c r="Q190" s="67" t="n">
        <v>0.03</v>
      </c>
      <c r="R190" s="67" t="n">
        <v>0.01</v>
      </c>
      <c r="S190" s="67" t="n">
        <v>0.01</v>
      </c>
      <c r="T190" s="67" t="n"/>
      <c r="U190" s="656" t="n"/>
      <c r="V190" s="67" t="inlineStr">
        <is>
          <t>/</t>
        </is>
      </c>
      <c r="W190" s="128" t="n">
        <v>0.4</v>
      </c>
      <c r="X190" s="67" t="inlineStr">
        <is>
          <t>/</t>
        </is>
      </c>
      <c r="Y190" s="397" t="inlineStr">
        <is>
          <t>/</t>
        </is>
      </c>
      <c r="Z190" s="397" t="inlineStr">
        <is>
          <t>/</t>
        </is>
      </c>
      <c r="AA190" s="397" t="inlineStr">
        <is>
          <t>/</t>
        </is>
      </c>
      <c r="AB190" s="46" t="inlineStr">
        <is>
          <t>/</t>
        </is>
      </c>
      <c r="AC190" s="46" t="inlineStr">
        <is>
          <t>/</t>
        </is>
      </c>
      <c r="AD190" s="69" t="inlineStr">
        <is>
          <t>1、甲方捐赠：项目反馈不收取，包含在服务费中；</t>
        </is>
      </c>
      <c r="AE190" s="25" t="inlineStr">
        <is>
          <t>1、签订期间：2026.3-7月；
2、指标按照全年换算；</t>
        </is>
      </c>
    </row>
    <row r="191" ht="24" customFormat="1" customHeight="1" s="209">
      <c r="A191" s="219" t="n">
        <v>196</v>
      </c>
      <c r="B191" s="14" t="inlineStr">
        <is>
          <t>KQCY0196</t>
        </is>
      </c>
      <c r="C191" s="221" t="inlineStr">
        <is>
          <t>餐饮三分部</t>
        </is>
      </c>
      <c r="D191" s="127" t="inlineStr">
        <is>
          <t>CF780</t>
        </is>
      </c>
      <c r="E191" s="61" t="inlineStr">
        <is>
          <t>吉建大二食堂</t>
        </is>
      </c>
      <c r="F191" s="219" t="inlineStr">
        <is>
          <t>分组作业</t>
        </is>
      </c>
      <c r="G191" s="222" t="inlineStr">
        <is>
          <t>吉沐牛</t>
        </is>
      </c>
      <c r="H191" s="503" t="inlineStr">
        <is>
          <t>/</t>
        </is>
      </c>
      <c r="I191" s="237" t="inlineStr">
        <is>
          <t>渔之谷渔粉</t>
        </is>
      </c>
      <c r="J191" s="222" t="inlineStr">
        <is>
          <t>李荣</t>
        </is>
      </c>
      <c r="K191" s="224" t="inlineStr">
        <is>
          <t>/</t>
        </is>
      </c>
      <c r="L191" s="651" t="n">
        <v>720000</v>
      </c>
      <c r="M191" s="67" t="n">
        <v>0.1</v>
      </c>
      <c r="N191" s="67" t="n">
        <v>0.01</v>
      </c>
      <c r="O191" s="67" t="inlineStr">
        <is>
          <t>/</t>
        </is>
      </c>
      <c r="P191" s="67" t="n">
        <v>0.04</v>
      </c>
      <c r="Q191" s="67" t="n">
        <v>0.03</v>
      </c>
      <c r="R191" s="67" t="n">
        <v>0.01</v>
      </c>
      <c r="S191" s="67" t="n">
        <v>0.01</v>
      </c>
      <c r="T191" s="67" t="n"/>
      <c r="U191" s="656" t="n"/>
      <c r="V191" s="67" t="inlineStr">
        <is>
          <t>/</t>
        </is>
      </c>
      <c r="W191" s="128" t="n">
        <v>0.4</v>
      </c>
      <c r="X191" s="67" t="inlineStr">
        <is>
          <t>/</t>
        </is>
      </c>
      <c r="Y191" s="397" t="inlineStr">
        <is>
          <t>/</t>
        </is>
      </c>
      <c r="Z191" s="397" t="inlineStr">
        <is>
          <t>/</t>
        </is>
      </c>
      <c r="AA191" s="397" t="inlineStr">
        <is>
          <t>/</t>
        </is>
      </c>
      <c r="AB191" s="46" t="inlineStr">
        <is>
          <t>/</t>
        </is>
      </c>
      <c r="AC191" s="46" t="inlineStr">
        <is>
          <t>/</t>
        </is>
      </c>
      <c r="AD191" s="69" t="inlineStr">
        <is>
          <t>1、甲方捐赠：项目反馈不收取，包含在服务费中；</t>
        </is>
      </c>
      <c r="AE191" s="25" t="inlineStr">
        <is>
          <t>1、签订期间：2026.3-7月；
2、指标按照全年换算；</t>
        </is>
      </c>
    </row>
    <row r="192" ht="24" customFormat="1" customHeight="1" s="209">
      <c r="A192" s="219" t="n">
        <v>197</v>
      </c>
      <c r="B192" s="14" t="inlineStr">
        <is>
          <t>KQCY0197</t>
        </is>
      </c>
      <c r="C192" s="221" t="inlineStr">
        <is>
          <t>餐饮三分部</t>
        </is>
      </c>
      <c r="D192" s="221" t="inlineStr">
        <is>
          <t>CF780</t>
        </is>
      </c>
      <c r="E192" s="61" t="inlineStr">
        <is>
          <t>吉建大二食堂</t>
        </is>
      </c>
      <c r="F192" s="445" t="inlineStr">
        <is>
          <t>分组作业</t>
        </is>
      </c>
      <c r="G192" s="447" t="inlineStr">
        <is>
          <t>吉沐牛</t>
        </is>
      </c>
      <c r="H192" s="503" t="inlineStr">
        <is>
          <t>/</t>
        </is>
      </c>
      <c r="I192" s="237" t="inlineStr">
        <is>
          <t>昆吉双拼饭</t>
        </is>
      </c>
      <c r="J192" s="222" t="inlineStr">
        <is>
          <t>郑金娟</t>
        </is>
      </c>
      <c r="K192" s="224" t="inlineStr">
        <is>
          <t>/</t>
        </is>
      </c>
      <c r="L192" s="651" t="n">
        <v>960000</v>
      </c>
      <c r="M192" s="77" t="n">
        <v>0.1</v>
      </c>
      <c r="N192" s="77" t="n">
        <v>0.01</v>
      </c>
      <c r="O192" s="77" t="inlineStr">
        <is>
          <t>/</t>
        </is>
      </c>
      <c r="P192" s="77" t="n">
        <v>0.04</v>
      </c>
      <c r="Q192" s="77" t="n">
        <v>0.03</v>
      </c>
      <c r="R192" s="77" t="n">
        <v>0.01</v>
      </c>
      <c r="S192" s="77" t="n">
        <v>0.01</v>
      </c>
      <c r="T192" s="77" t="n"/>
      <c r="U192" s="573" t="n"/>
      <c r="V192" s="77" t="inlineStr">
        <is>
          <t>/</t>
        </is>
      </c>
      <c r="W192" s="131" t="n">
        <v>0.4</v>
      </c>
      <c r="X192" s="77" t="inlineStr">
        <is>
          <t>/</t>
        </is>
      </c>
      <c r="Y192" s="72" t="inlineStr">
        <is>
          <t>/</t>
        </is>
      </c>
      <c r="Z192" s="72" t="inlineStr">
        <is>
          <t>/</t>
        </is>
      </c>
      <c r="AA192" s="72" t="inlineStr">
        <is>
          <t>/</t>
        </is>
      </c>
      <c r="AB192" s="46" t="inlineStr">
        <is>
          <t>/</t>
        </is>
      </c>
      <c r="AC192" s="46" t="inlineStr">
        <is>
          <t>/</t>
        </is>
      </c>
      <c r="AD192" s="82" t="inlineStr">
        <is>
          <t>1、甲方捐赠：项目反馈不收取，包含在服务费中；</t>
        </is>
      </c>
      <c r="AE192" s="25" t="inlineStr">
        <is>
          <t>1、签订期间：2026.3-7月；
2、指标按照全年换算；</t>
        </is>
      </c>
    </row>
    <row r="193" ht="24" customFormat="1" customHeight="1" s="209">
      <c r="A193" s="219" t="n">
        <v>198</v>
      </c>
      <c r="B193" s="14" t="inlineStr">
        <is>
          <t>KQCY0198</t>
        </is>
      </c>
      <c r="C193" s="221" t="inlineStr">
        <is>
          <t>餐饮三分部</t>
        </is>
      </c>
      <c r="D193" s="221" t="inlineStr">
        <is>
          <t>CF780</t>
        </is>
      </c>
      <c r="E193" s="132" t="inlineStr">
        <is>
          <t>吉建大二食堂</t>
        </is>
      </c>
      <c r="F193" s="485" t="inlineStr">
        <is>
          <t>分组作业</t>
        </is>
      </c>
      <c r="G193" s="134" t="inlineStr">
        <is>
          <t>吉沐牛</t>
        </is>
      </c>
      <c r="H193" s="503" t="inlineStr">
        <is>
          <t>/</t>
        </is>
      </c>
      <c r="I193" s="135" t="inlineStr">
        <is>
          <t>杭州小笼包</t>
        </is>
      </c>
      <c r="J193" s="136" t="inlineStr">
        <is>
          <t>李红岷</t>
        </is>
      </c>
      <c r="K193" s="224" t="inlineStr">
        <is>
          <t>/</t>
        </is>
      </c>
      <c r="L193" s="651" t="n">
        <v>1032000</v>
      </c>
      <c r="M193" s="77" t="n">
        <v>0.1</v>
      </c>
      <c r="N193" s="77" t="n">
        <v>0.01</v>
      </c>
      <c r="O193" s="77" t="inlineStr">
        <is>
          <t>/</t>
        </is>
      </c>
      <c r="P193" s="77" t="n">
        <v>0.04</v>
      </c>
      <c r="Q193" s="77" t="n">
        <v>0.03</v>
      </c>
      <c r="R193" s="77" t="n">
        <v>0.01</v>
      </c>
      <c r="S193" s="77" t="n">
        <v>0.01</v>
      </c>
      <c r="T193" s="77" t="n"/>
      <c r="U193" s="573" t="n"/>
      <c r="V193" s="77" t="inlineStr">
        <is>
          <t>/</t>
        </is>
      </c>
      <c r="W193" s="131" t="n">
        <v>0.4</v>
      </c>
      <c r="X193" s="77" t="inlineStr">
        <is>
          <t>/</t>
        </is>
      </c>
      <c r="Y193" s="72" t="inlineStr">
        <is>
          <t>/</t>
        </is>
      </c>
      <c r="Z193" s="72" t="inlineStr">
        <is>
          <t>/</t>
        </is>
      </c>
      <c r="AA193" s="72" t="inlineStr">
        <is>
          <t>/</t>
        </is>
      </c>
      <c r="AB193" s="46" t="inlineStr">
        <is>
          <t>/</t>
        </is>
      </c>
      <c r="AC193" s="46" t="inlineStr">
        <is>
          <t>/</t>
        </is>
      </c>
      <c r="AD193" s="82" t="inlineStr">
        <is>
          <t>1、甲方捐赠：项目反馈不收取，包含在服务费中；</t>
        </is>
      </c>
      <c r="AE193" s="25" t="inlineStr">
        <is>
          <t>1、签订期间：2026.3-7月；
2、指标按照全年换算；</t>
        </is>
      </c>
    </row>
    <row r="194" ht="24" customFormat="1" customHeight="1" s="209">
      <c r="A194" s="219" t="n">
        <v>199</v>
      </c>
      <c r="B194" s="14" t="inlineStr">
        <is>
          <t>KQCY0199</t>
        </is>
      </c>
      <c r="C194" s="221" t="inlineStr">
        <is>
          <t>餐饮三分部</t>
        </is>
      </c>
      <c r="D194" s="221" t="inlineStr">
        <is>
          <t>CF780</t>
        </is>
      </c>
      <c r="E194" s="132" t="inlineStr">
        <is>
          <t>吉建大二食堂</t>
        </is>
      </c>
      <c r="F194" s="485" t="inlineStr">
        <is>
          <t>分组作业</t>
        </is>
      </c>
      <c r="G194" s="134" t="inlineStr">
        <is>
          <t>吉沐牛</t>
        </is>
      </c>
      <c r="H194" s="503" t="inlineStr">
        <is>
          <t>/</t>
        </is>
      </c>
      <c r="I194" s="135" t="inlineStr">
        <is>
          <t>辣椒炒肉</t>
        </is>
      </c>
      <c r="J194" s="136" t="inlineStr">
        <is>
          <t>马永波</t>
        </is>
      </c>
      <c r="K194" s="224" t="inlineStr">
        <is>
          <t>/</t>
        </is>
      </c>
      <c r="L194" s="651" t="n">
        <v>912000</v>
      </c>
      <c r="M194" s="77" t="n">
        <v>0.1</v>
      </c>
      <c r="N194" s="77" t="n">
        <v>0.01</v>
      </c>
      <c r="O194" s="77" t="inlineStr">
        <is>
          <t>/</t>
        </is>
      </c>
      <c r="P194" s="77" t="n">
        <v>0.04</v>
      </c>
      <c r="Q194" s="77" t="n">
        <v>0.03</v>
      </c>
      <c r="R194" s="77" t="n">
        <v>0.01</v>
      </c>
      <c r="S194" s="77" t="n">
        <v>0.01</v>
      </c>
      <c r="T194" s="77" t="n"/>
      <c r="U194" s="573" t="n"/>
      <c r="V194" s="77" t="inlineStr">
        <is>
          <t>/</t>
        </is>
      </c>
      <c r="W194" s="131" t="n">
        <v>0.4</v>
      </c>
      <c r="X194" s="77" t="inlineStr">
        <is>
          <t>/</t>
        </is>
      </c>
      <c r="Y194" s="72" t="inlineStr">
        <is>
          <t>/</t>
        </is>
      </c>
      <c r="Z194" s="72" t="inlineStr">
        <is>
          <t>/</t>
        </is>
      </c>
      <c r="AA194" s="72" t="inlineStr">
        <is>
          <t>/</t>
        </is>
      </c>
      <c r="AB194" s="46" t="inlineStr">
        <is>
          <t>/</t>
        </is>
      </c>
      <c r="AC194" s="46" t="inlineStr">
        <is>
          <t>/</t>
        </is>
      </c>
      <c r="AD194" s="82" t="inlineStr">
        <is>
          <t>1、甲方捐赠：项目反馈不收取，包含在服务费中；</t>
        </is>
      </c>
      <c r="AE194" s="25" t="inlineStr">
        <is>
          <t>1、签订期间：2026.3-7月；
2、指标按照全年换算；</t>
        </is>
      </c>
    </row>
    <row r="195" ht="24" customFormat="1" customHeight="1" s="209">
      <c r="A195" s="219" t="n">
        <v>200</v>
      </c>
      <c r="B195" s="14" t="inlineStr">
        <is>
          <t>KQCY0200</t>
        </is>
      </c>
      <c r="C195" s="221" t="inlineStr">
        <is>
          <t>餐饮三分部</t>
        </is>
      </c>
      <c r="D195" s="221" t="inlineStr">
        <is>
          <t>CF780</t>
        </is>
      </c>
      <c r="E195" s="132" t="inlineStr">
        <is>
          <t>吉建大二食堂</t>
        </is>
      </c>
      <c r="F195" s="485" t="inlineStr">
        <is>
          <t>分组作业</t>
        </is>
      </c>
      <c r="G195" s="134" t="inlineStr">
        <is>
          <t>吉沐牛</t>
        </is>
      </c>
      <c r="H195" s="503" t="inlineStr">
        <is>
          <t>/</t>
        </is>
      </c>
      <c r="I195" s="135" t="inlineStr">
        <is>
          <t>土豆粉</t>
        </is>
      </c>
      <c r="J195" s="136" t="inlineStr">
        <is>
          <t>郑丹丹</t>
        </is>
      </c>
      <c r="K195" s="224" t="inlineStr">
        <is>
          <t>/</t>
        </is>
      </c>
      <c r="L195" s="651" t="n">
        <v>792000</v>
      </c>
      <c r="M195" s="77" t="n">
        <v>0.1</v>
      </c>
      <c r="N195" s="77" t="n">
        <v>0.01</v>
      </c>
      <c r="O195" s="77" t="inlineStr">
        <is>
          <t>/</t>
        </is>
      </c>
      <c r="P195" s="77" t="n">
        <v>0.04</v>
      </c>
      <c r="Q195" s="77" t="n">
        <v>0.03</v>
      </c>
      <c r="R195" s="77" t="n">
        <v>0.01</v>
      </c>
      <c r="S195" s="77" t="n">
        <v>0.01</v>
      </c>
      <c r="T195" s="77" t="n"/>
      <c r="U195" s="573" t="n"/>
      <c r="V195" s="77" t="inlineStr">
        <is>
          <t>/</t>
        </is>
      </c>
      <c r="W195" s="131" t="n">
        <v>0.4</v>
      </c>
      <c r="X195" s="77" t="inlineStr">
        <is>
          <t>/</t>
        </is>
      </c>
      <c r="Y195" s="72" t="inlineStr">
        <is>
          <t>/</t>
        </is>
      </c>
      <c r="Z195" s="72" t="inlineStr">
        <is>
          <t>/</t>
        </is>
      </c>
      <c r="AA195" s="72" t="inlineStr">
        <is>
          <t>/</t>
        </is>
      </c>
      <c r="AB195" s="46" t="inlineStr">
        <is>
          <t>/</t>
        </is>
      </c>
      <c r="AC195" s="46" t="inlineStr">
        <is>
          <t>/</t>
        </is>
      </c>
      <c r="AD195" s="82" t="inlineStr">
        <is>
          <t>1、甲方捐赠：项目反馈不收取，包含在服务费中；</t>
        </is>
      </c>
      <c r="AE195" s="25" t="inlineStr">
        <is>
          <t>1、签订期间：2026.3-7月；
2、指标按照全年换算；</t>
        </is>
      </c>
    </row>
    <row r="196" ht="24" customFormat="1" customHeight="1" s="209">
      <c r="A196" s="219" t="n">
        <v>201</v>
      </c>
      <c r="B196" s="14" t="inlineStr">
        <is>
          <t>KQCY0201</t>
        </is>
      </c>
      <c r="C196" s="221" t="inlineStr">
        <is>
          <t>餐饮三分部</t>
        </is>
      </c>
      <c r="D196" s="221" t="inlineStr">
        <is>
          <t>CF780</t>
        </is>
      </c>
      <c r="E196" s="132" t="inlineStr">
        <is>
          <t>吉建大二食堂</t>
        </is>
      </c>
      <c r="F196" s="485" t="inlineStr">
        <is>
          <t>分组作业</t>
        </is>
      </c>
      <c r="G196" s="134" t="inlineStr">
        <is>
          <t>吉沐牛</t>
        </is>
      </c>
      <c r="H196" s="503" t="inlineStr">
        <is>
          <t>/</t>
        </is>
      </c>
      <c r="I196" s="135" t="inlineStr">
        <is>
          <t>一纸鸡</t>
        </is>
      </c>
      <c r="J196" s="136" t="inlineStr">
        <is>
          <t>徐玉珍</t>
        </is>
      </c>
      <c r="K196" s="224" t="inlineStr">
        <is>
          <t>/</t>
        </is>
      </c>
      <c r="L196" s="651" t="n">
        <v>840000</v>
      </c>
      <c r="M196" s="77" t="n">
        <v>0.1</v>
      </c>
      <c r="N196" s="77" t="n">
        <v>0.01</v>
      </c>
      <c r="O196" s="77" t="inlineStr">
        <is>
          <t>/</t>
        </is>
      </c>
      <c r="P196" s="77" t="n">
        <v>0.04</v>
      </c>
      <c r="Q196" s="77" t="n">
        <v>0.03</v>
      </c>
      <c r="R196" s="77" t="n">
        <v>0.01</v>
      </c>
      <c r="S196" s="77" t="n">
        <v>0.01</v>
      </c>
      <c r="T196" s="77" t="n"/>
      <c r="U196" s="573" t="n"/>
      <c r="V196" s="77" t="inlineStr">
        <is>
          <t>/</t>
        </is>
      </c>
      <c r="W196" s="131" t="n">
        <v>0.4</v>
      </c>
      <c r="X196" s="77" t="inlineStr">
        <is>
          <t>/</t>
        </is>
      </c>
      <c r="Y196" s="72" t="inlineStr">
        <is>
          <t>/</t>
        </is>
      </c>
      <c r="Z196" s="72" t="inlineStr">
        <is>
          <t>/</t>
        </is>
      </c>
      <c r="AA196" s="72" t="inlineStr">
        <is>
          <t>/</t>
        </is>
      </c>
      <c r="AB196" s="46" t="inlineStr">
        <is>
          <t>/</t>
        </is>
      </c>
      <c r="AC196" s="46" t="inlineStr">
        <is>
          <t>/</t>
        </is>
      </c>
      <c r="AD196" s="82" t="inlineStr">
        <is>
          <t>1、甲方捐赠：项目反馈不收取，包含在服务费中；</t>
        </is>
      </c>
      <c r="AE196" s="25" t="inlineStr">
        <is>
          <t>1、签订期间：2026.3-7月；
2、指标按照全年换算；</t>
        </is>
      </c>
    </row>
    <row r="197" ht="24" customFormat="1" customHeight="1" s="209">
      <c r="A197" s="219" t="n">
        <v>202</v>
      </c>
      <c r="B197" s="14" t="inlineStr">
        <is>
          <t>KQCY0202</t>
        </is>
      </c>
      <c r="C197" s="221" t="inlineStr">
        <is>
          <t>餐饮三分部</t>
        </is>
      </c>
      <c r="D197" s="221" t="inlineStr">
        <is>
          <t>CF780</t>
        </is>
      </c>
      <c r="E197" s="132" t="inlineStr">
        <is>
          <t>吉建大二食堂</t>
        </is>
      </c>
      <c r="F197" s="485" t="inlineStr">
        <is>
          <t>分组作业</t>
        </is>
      </c>
      <c r="G197" s="134" t="inlineStr">
        <is>
          <t>吉沐牛</t>
        </is>
      </c>
      <c r="H197" s="503" t="inlineStr">
        <is>
          <t>/</t>
        </is>
      </c>
      <c r="I197" s="135" t="inlineStr">
        <is>
          <t>现炒浇头面</t>
        </is>
      </c>
      <c r="J197" s="136" t="inlineStr">
        <is>
          <t>尹士元</t>
        </is>
      </c>
      <c r="K197" s="224" t="inlineStr">
        <is>
          <t>/</t>
        </is>
      </c>
      <c r="L197" s="651" t="n">
        <v>912000</v>
      </c>
      <c r="M197" s="77" t="n">
        <v>0.1</v>
      </c>
      <c r="N197" s="77" t="n">
        <v>0.01</v>
      </c>
      <c r="O197" s="77" t="inlineStr">
        <is>
          <t>/</t>
        </is>
      </c>
      <c r="P197" s="77" t="n">
        <v>0.04</v>
      </c>
      <c r="Q197" s="77" t="n">
        <v>0.03</v>
      </c>
      <c r="R197" s="77" t="n">
        <v>0.01</v>
      </c>
      <c r="S197" s="77" t="n">
        <v>0.01</v>
      </c>
      <c r="T197" s="77" t="n"/>
      <c r="U197" s="573" t="n"/>
      <c r="V197" s="77" t="inlineStr">
        <is>
          <t>/</t>
        </is>
      </c>
      <c r="W197" s="131" t="n">
        <v>0.4</v>
      </c>
      <c r="X197" s="77" t="inlineStr">
        <is>
          <t>/</t>
        </is>
      </c>
      <c r="Y197" s="72" t="inlineStr">
        <is>
          <t>/</t>
        </is>
      </c>
      <c r="Z197" s="72" t="inlineStr">
        <is>
          <t>/</t>
        </is>
      </c>
      <c r="AA197" s="72" t="inlineStr">
        <is>
          <t>/</t>
        </is>
      </c>
      <c r="AB197" s="46" t="inlineStr">
        <is>
          <t>/</t>
        </is>
      </c>
      <c r="AC197" s="46" t="inlineStr">
        <is>
          <t>/</t>
        </is>
      </c>
      <c r="AD197" s="82" t="inlineStr">
        <is>
          <t>1、甲方捐赠：项目反馈不收取，包含在服务费中；</t>
        </is>
      </c>
      <c r="AE197" s="25" t="inlineStr">
        <is>
          <t>1、签订期间：2026.3-7月；
2、指标按照全年换算；</t>
        </is>
      </c>
    </row>
    <row r="198" ht="24" customFormat="1" customHeight="1" s="209">
      <c r="A198" s="219" t="n">
        <v>203</v>
      </c>
      <c r="B198" s="14" t="inlineStr">
        <is>
          <t>KQCY0203</t>
        </is>
      </c>
      <c r="C198" s="221" t="inlineStr">
        <is>
          <t>餐饮三分部</t>
        </is>
      </c>
      <c r="D198" s="221" t="inlineStr">
        <is>
          <t>CF780</t>
        </is>
      </c>
      <c r="E198" s="132" t="inlineStr">
        <is>
          <t>吉建大二食堂</t>
        </is>
      </c>
      <c r="F198" s="485" t="inlineStr">
        <is>
          <t>分组作业</t>
        </is>
      </c>
      <c r="G198" s="134" t="inlineStr">
        <is>
          <t>吉沐牛</t>
        </is>
      </c>
      <c r="H198" s="503" t="inlineStr">
        <is>
          <t>/</t>
        </is>
      </c>
      <c r="I198" s="135" t="inlineStr">
        <is>
          <t>炒饭专家</t>
        </is>
      </c>
      <c r="J198" s="136" t="inlineStr">
        <is>
          <t>贡海涛</t>
        </is>
      </c>
      <c r="K198" s="224" t="inlineStr">
        <is>
          <t>/</t>
        </is>
      </c>
      <c r="L198" s="651" t="n">
        <v>1020000</v>
      </c>
      <c r="M198" s="77" t="n">
        <v>0.1</v>
      </c>
      <c r="N198" s="77" t="n">
        <v>0.01</v>
      </c>
      <c r="O198" s="77" t="inlineStr">
        <is>
          <t>/</t>
        </is>
      </c>
      <c r="P198" s="77" t="n">
        <v>0.04</v>
      </c>
      <c r="Q198" s="77" t="n">
        <v>0.03</v>
      </c>
      <c r="R198" s="77" t="n">
        <v>0.01</v>
      </c>
      <c r="S198" s="77" t="n">
        <v>0.01</v>
      </c>
      <c r="T198" s="77" t="n"/>
      <c r="U198" s="573" t="n"/>
      <c r="V198" s="77" t="inlineStr">
        <is>
          <t>/</t>
        </is>
      </c>
      <c r="W198" s="131" t="n">
        <v>0.4</v>
      </c>
      <c r="X198" s="77" t="inlineStr">
        <is>
          <t>/</t>
        </is>
      </c>
      <c r="Y198" s="72" t="inlineStr">
        <is>
          <t>/</t>
        </is>
      </c>
      <c r="Z198" s="72" t="inlineStr">
        <is>
          <t>/</t>
        </is>
      </c>
      <c r="AA198" s="72" t="inlineStr">
        <is>
          <t>/</t>
        </is>
      </c>
      <c r="AB198" s="46" t="inlineStr">
        <is>
          <t>/</t>
        </is>
      </c>
      <c r="AC198" s="46" t="inlineStr">
        <is>
          <t>/</t>
        </is>
      </c>
      <c r="AD198" s="82" t="inlineStr">
        <is>
          <t>1、甲方捐赠：项目反馈不收取，包含在服务费中；</t>
        </is>
      </c>
      <c r="AE198" s="25" t="inlineStr">
        <is>
          <t>1、签订期间：2026.3-7月；
2、指标按照全年换算；</t>
        </is>
      </c>
    </row>
    <row r="199" ht="24" customFormat="1" customHeight="1" s="209">
      <c r="A199" s="219" t="n">
        <v>204</v>
      </c>
      <c r="B199" s="14" t="inlineStr">
        <is>
          <t>KQCY0204</t>
        </is>
      </c>
      <c r="C199" s="221" t="inlineStr">
        <is>
          <t>餐饮三分部</t>
        </is>
      </c>
      <c r="D199" s="221" t="inlineStr">
        <is>
          <t>CF780</t>
        </is>
      </c>
      <c r="E199" s="132" t="inlineStr">
        <is>
          <t>吉建大二食堂</t>
        </is>
      </c>
      <c r="F199" s="485" t="inlineStr">
        <is>
          <t>分组作业</t>
        </is>
      </c>
      <c r="G199" s="134" t="inlineStr">
        <is>
          <t>吉沐牛</t>
        </is>
      </c>
      <c r="H199" s="503" t="inlineStr">
        <is>
          <t>/</t>
        </is>
      </c>
      <c r="I199" s="135" t="inlineStr">
        <is>
          <t>瓦香鸡</t>
        </is>
      </c>
      <c r="J199" s="136" t="inlineStr">
        <is>
          <t>马永波</t>
        </is>
      </c>
      <c r="K199" s="224" t="inlineStr">
        <is>
          <t>/</t>
        </is>
      </c>
      <c r="L199" s="651" t="n">
        <v>736800</v>
      </c>
      <c r="M199" s="77" t="n">
        <v>0.1</v>
      </c>
      <c r="N199" s="77" t="n">
        <v>0.01</v>
      </c>
      <c r="O199" s="77" t="inlineStr">
        <is>
          <t>/</t>
        </is>
      </c>
      <c r="P199" s="77" t="n">
        <v>0.04</v>
      </c>
      <c r="Q199" s="77" t="n">
        <v>0.03</v>
      </c>
      <c r="R199" s="77" t="n">
        <v>0.01</v>
      </c>
      <c r="S199" s="77" t="n">
        <v>0.01</v>
      </c>
      <c r="T199" s="77" t="n"/>
      <c r="U199" s="573" t="n"/>
      <c r="V199" s="77" t="inlineStr">
        <is>
          <t>/</t>
        </is>
      </c>
      <c r="W199" s="131" t="n">
        <v>0.4</v>
      </c>
      <c r="X199" s="77" t="inlineStr">
        <is>
          <t>/</t>
        </is>
      </c>
      <c r="Y199" s="72" t="inlineStr">
        <is>
          <t>/</t>
        </is>
      </c>
      <c r="Z199" s="72" t="inlineStr">
        <is>
          <t>/</t>
        </is>
      </c>
      <c r="AA199" s="72" t="inlineStr">
        <is>
          <t>/</t>
        </is>
      </c>
      <c r="AB199" s="46" t="inlineStr">
        <is>
          <t>/</t>
        </is>
      </c>
      <c r="AC199" s="46" t="inlineStr">
        <is>
          <t>/</t>
        </is>
      </c>
      <c r="AD199" s="82" t="inlineStr">
        <is>
          <t>1、甲方捐赠：项目反馈不收取，包含在服务费中；</t>
        </is>
      </c>
      <c r="AE199" s="25" t="inlineStr">
        <is>
          <t>1、签订期间：2026.3-7月；
2、指标按照全年换算；</t>
        </is>
      </c>
    </row>
    <row r="200" ht="24" customFormat="1" customHeight="1" s="209">
      <c r="A200" s="219" t="n">
        <v>205</v>
      </c>
      <c r="B200" s="14" t="inlineStr">
        <is>
          <t>KQCY0205</t>
        </is>
      </c>
      <c r="C200" s="221" t="inlineStr">
        <is>
          <t>餐饮三分部</t>
        </is>
      </c>
      <c r="D200" s="221" t="inlineStr">
        <is>
          <t>CF780</t>
        </is>
      </c>
      <c r="E200" s="132" t="inlineStr">
        <is>
          <t>吉建大二食堂</t>
        </is>
      </c>
      <c r="F200" s="485" t="inlineStr">
        <is>
          <t>分组作业</t>
        </is>
      </c>
      <c r="G200" s="134" t="inlineStr">
        <is>
          <t>吉沐牛</t>
        </is>
      </c>
      <c r="H200" s="503" t="inlineStr">
        <is>
          <t>/</t>
        </is>
      </c>
      <c r="I200" s="135" t="inlineStr">
        <is>
          <t>热干面</t>
        </is>
      </c>
      <c r="J200" s="136" t="inlineStr">
        <is>
          <t>徐成龙</t>
        </is>
      </c>
      <c r="K200" s="224" t="inlineStr">
        <is>
          <t>/</t>
        </is>
      </c>
      <c r="L200" s="651" t="n">
        <v>948000</v>
      </c>
      <c r="M200" s="77" t="n">
        <v>0.1</v>
      </c>
      <c r="N200" s="77" t="n">
        <v>0.01</v>
      </c>
      <c r="O200" s="77" t="inlineStr">
        <is>
          <t>/</t>
        </is>
      </c>
      <c r="P200" s="77" t="n">
        <v>0.04</v>
      </c>
      <c r="Q200" s="77" t="n">
        <v>0.03</v>
      </c>
      <c r="R200" s="77" t="n">
        <v>0.01</v>
      </c>
      <c r="S200" s="77" t="n">
        <v>0.01</v>
      </c>
      <c r="T200" s="77" t="n"/>
      <c r="U200" s="573" t="n"/>
      <c r="V200" s="77" t="inlineStr">
        <is>
          <t>/</t>
        </is>
      </c>
      <c r="W200" s="131" t="n">
        <v>0.4</v>
      </c>
      <c r="X200" s="77" t="inlineStr">
        <is>
          <t>/</t>
        </is>
      </c>
      <c r="Y200" s="72" t="inlineStr">
        <is>
          <t>/</t>
        </is>
      </c>
      <c r="Z200" s="72" t="inlineStr">
        <is>
          <t>/</t>
        </is>
      </c>
      <c r="AA200" s="72" t="inlineStr">
        <is>
          <t>/</t>
        </is>
      </c>
      <c r="AB200" s="46" t="inlineStr">
        <is>
          <t>/</t>
        </is>
      </c>
      <c r="AC200" s="46" t="inlineStr">
        <is>
          <t>/</t>
        </is>
      </c>
      <c r="AD200" s="82" t="inlineStr">
        <is>
          <t>1、甲方捐赠：项目反馈不收取，包含在服务费中；</t>
        </is>
      </c>
      <c r="AE200" s="25" t="inlineStr">
        <is>
          <t>1、签订期间：2026.3-7月；
2、指标按照全年换算；</t>
        </is>
      </c>
    </row>
    <row r="201" ht="24" customFormat="1" customHeight="1" s="209">
      <c r="A201" s="219" t="n">
        <v>206</v>
      </c>
      <c r="B201" s="14" t="inlineStr">
        <is>
          <t>KQCY0206</t>
        </is>
      </c>
      <c r="C201" s="221" t="inlineStr">
        <is>
          <t>餐饮三分部</t>
        </is>
      </c>
      <c r="D201" s="221" t="inlineStr">
        <is>
          <t>CF780</t>
        </is>
      </c>
      <c r="E201" s="132" t="inlineStr">
        <is>
          <t>吉建大二食堂</t>
        </is>
      </c>
      <c r="F201" s="485" t="inlineStr">
        <is>
          <t>分组作业</t>
        </is>
      </c>
      <c r="G201" s="134" t="inlineStr">
        <is>
          <t>吉沐牛</t>
        </is>
      </c>
      <c r="H201" s="503" t="inlineStr">
        <is>
          <t>/</t>
        </is>
      </c>
      <c r="I201" s="135" t="inlineStr">
        <is>
          <t>喜翻拌麻辣拌</t>
        </is>
      </c>
      <c r="J201" s="136" t="inlineStr">
        <is>
          <t>兰国强</t>
        </is>
      </c>
      <c r="K201" s="224" t="inlineStr">
        <is>
          <t>/</t>
        </is>
      </c>
      <c r="L201" s="651" t="n">
        <v>1464000</v>
      </c>
      <c r="M201" s="77" t="n">
        <v>0.1</v>
      </c>
      <c r="N201" s="77" t="n">
        <v>0.01</v>
      </c>
      <c r="O201" s="77" t="inlineStr">
        <is>
          <t>/</t>
        </is>
      </c>
      <c r="P201" s="77" t="n">
        <v>0.04</v>
      </c>
      <c r="Q201" s="77" t="n">
        <v>0.03</v>
      </c>
      <c r="R201" s="77" t="n">
        <v>0.01</v>
      </c>
      <c r="S201" s="77" t="n">
        <v>0.01</v>
      </c>
      <c r="T201" s="77" t="n"/>
      <c r="U201" s="573" t="n"/>
      <c r="V201" s="77" t="inlineStr">
        <is>
          <t>/</t>
        </is>
      </c>
      <c r="W201" s="131" t="n">
        <v>0.4</v>
      </c>
      <c r="X201" s="77" t="inlineStr">
        <is>
          <t>/</t>
        </is>
      </c>
      <c r="Y201" s="72" t="inlineStr">
        <is>
          <t>/</t>
        </is>
      </c>
      <c r="Z201" s="72" t="inlineStr">
        <is>
          <t>/</t>
        </is>
      </c>
      <c r="AA201" s="72" t="inlineStr">
        <is>
          <t>/</t>
        </is>
      </c>
      <c r="AB201" s="46" t="inlineStr">
        <is>
          <t>/</t>
        </is>
      </c>
      <c r="AC201" s="46" t="inlineStr">
        <is>
          <t>/</t>
        </is>
      </c>
      <c r="AD201" s="82" t="inlineStr">
        <is>
          <t>1、甲方捐赠：项目反馈不收取，包含在服务费中；</t>
        </is>
      </c>
      <c r="AE201" s="25" t="inlineStr">
        <is>
          <t>1、签订期间：2026.3-7月；
2、指标按照全年换算；</t>
        </is>
      </c>
    </row>
    <row r="202" ht="24" customFormat="1" customHeight="1" s="209">
      <c r="A202" s="219" t="n">
        <v>207</v>
      </c>
      <c r="B202" s="14" t="inlineStr">
        <is>
          <t>KQCY0207</t>
        </is>
      </c>
      <c r="C202" s="221" t="inlineStr">
        <is>
          <t>餐饮三分部</t>
        </is>
      </c>
      <c r="D202" s="221" t="inlineStr">
        <is>
          <t>CF780</t>
        </is>
      </c>
      <c r="E202" s="132" t="inlineStr">
        <is>
          <t>吉建大二食堂</t>
        </is>
      </c>
      <c r="F202" s="485" t="inlineStr">
        <is>
          <t>分组作业</t>
        </is>
      </c>
      <c r="G202" s="134" t="inlineStr">
        <is>
          <t>吉沐牛</t>
        </is>
      </c>
      <c r="H202" s="503" t="inlineStr">
        <is>
          <t>/</t>
        </is>
      </c>
      <c r="I202" s="135" t="inlineStr">
        <is>
          <t>檬大咖</t>
        </is>
      </c>
      <c r="J202" s="136" t="inlineStr">
        <is>
          <t>于广东</t>
        </is>
      </c>
      <c r="K202" s="224" t="inlineStr">
        <is>
          <t>/</t>
        </is>
      </c>
      <c r="L202" s="651" t="n">
        <v>465600</v>
      </c>
      <c r="M202" s="77" t="n">
        <v>0.1</v>
      </c>
      <c r="N202" s="77" t="n">
        <v>0.01</v>
      </c>
      <c r="O202" s="77" t="inlineStr">
        <is>
          <t>/</t>
        </is>
      </c>
      <c r="P202" s="77" t="n">
        <v>0.04</v>
      </c>
      <c r="Q202" s="77" t="n">
        <v>0.03</v>
      </c>
      <c r="R202" s="77" t="n">
        <v>0.01</v>
      </c>
      <c r="S202" s="77" t="n">
        <v>0.01</v>
      </c>
      <c r="T202" s="77" t="n"/>
      <c r="U202" s="573" t="n"/>
      <c r="V202" s="77" t="inlineStr">
        <is>
          <t>/</t>
        </is>
      </c>
      <c r="W202" s="131" t="n">
        <v>0.4</v>
      </c>
      <c r="X202" s="77" t="inlineStr">
        <is>
          <t>/</t>
        </is>
      </c>
      <c r="Y202" s="72" t="inlineStr">
        <is>
          <t>/</t>
        </is>
      </c>
      <c r="Z202" s="72" t="inlineStr">
        <is>
          <t>/</t>
        </is>
      </c>
      <c r="AA202" s="72" t="inlineStr">
        <is>
          <t>/</t>
        </is>
      </c>
      <c r="AB202" s="46" t="inlineStr">
        <is>
          <t>/</t>
        </is>
      </c>
      <c r="AC202" s="46" t="inlineStr">
        <is>
          <t>/</t>
        </is>
      </c>
      <c r="AD202" s="82" t="inlineStr">
        <is>
          <t>1、甲方捐赠：项目反馈不收取，包含在服务费中；</t>
        </is>
      </c>
      <c r="AE202" s="25" t="inlineStr">
        <is>
          <t>1、签订期间：2026.3-7月；
2、指标按照全年换算；</t>
        </is>
      </c>
    </row>
    <row r="203" customFormat="1" s="209">
      <c r="A203" s="219" t="n">
        <v>208</v>
      </c>
      <c r="B203" s="14" t="inlineStr">
        <is>
          <t>KQCY0208</t>
        </is>
      </c>
      <c r="C203" s="221" t="n"/>
      <c r="D203" s="221" t="n"/>
      <c r="E203" s="132" t="inlineStr">
        <is>
          <t>吉建大二食堂</t>
        </is>
      </c>
      <c r="F203" s="335" t="inlineStr">
        <is>
          <t>分组作业</t>
        </is>
      </c>
      <c r="G203" s="134" t="inlineStr">
        <is>
          <t>吉沐牛</t>
        </is>
      </c>
      <c r="H203" s="503" t="n"/>
      <c r="I203" s="137" t="inlineStr">
        <is>
          <t>烤盘饭</t>
        </is>
      </c>
      <c r="J203" s="136" t="inlineStr">
        <is>
          <t>曹晓东</t>
        </is>
      </c>
      <c r="K203" s="224" t="n"/>
      <c r="L203" s="651" t="n"/>
      <c r="M203" s="77" t="n"/>
      <c r="N203" s="77" t="n"/>
      <c r="O203" s="77" t="n"/>
      <c r="P203" s="77" t="n"/>
      <c r="Q203" s="77" t="n"/>
      <c r="R203" s="77" t="n"/>
      <c r="S203" s="77" t="n"/>
      <c r="T203" s="77" t="n"/>
      <c r="U203" s="573" t="n"/>
      <c r="V203" s="77" t="n"/>
      <c r="W203" s="131" t="n"/>
      <c r="X203" s="77" t="n"/>
      <c r="Y203" s="72" t="n"/>
      <c r="Z203" s="72" t="n"/>
      <c r="AA203" s="72" t="n"/>
      <c r="AB203" s="46" t="n"/>
      <c r="AC203" s="46" t="n"/>
      <c r="AD203" s="82" t="n"/>
      <c r="AE203" s="25" t="n"/>
    </row>
    <row r="204" ht="24" customFormat="1" customHeight="1" s="209">
      <c r="A204" s="219" t="n">
        <v>209</v>
      </c>
      <c r="B204" s="14" t="inlineStr">
        <is>
          <t>KQCY0209</t>
        </is>
      </c>
      <c r="C204" s="221" t="inlineStr">
        <is>
          <t>餐饮三分部</t>
        </is>
      </c>
      <c r="D204" s="221" t="inlineStr">
        <is>
          <t>CF780</t>
        </is>
      </c>
      <c r="E204" s="132" t="inlineStr">
        <is>
          <t>吉建大二食堂</t>
        </is>
      </c>
      <c r="F204" s="485" t="inlineStr">
        <is>
          <t>分组作业</t>
        </is>
      </c>
      <c r="G204" s="134" t="inlineStr">
        <is>
          <t>吉沐牛</t>
        </is>
      </c>
      <c r="H204" s="503" t="inlineStr">
        <is>
          <t>/</t>
        </is>
      </c>
      <c r="I204" s="135" t="inlineStr">
        <is>
          <t>蜀道吉水煮肉</t>
        </is>
      </c>
      <c r="J204" s="136" t="inlineStr">
        <is>
          <t>刘旭东</t>
        </is>
      </c>
      <c r="K204" s="224" t="inlineStr">
        <is>
          <t>/</t>
        </is>
      </c>
      <c r="L204" s="651" t="n">
        <v>686400</v>
      </c>
      <c r="M204" s="77" t="n">
        <v>0.1</v>
      </c>
      <c r="N204" s="77" t="n">
        <v>0.01</v>
      </c>
      <c r="O204" s="77" t="inlineStr">
        <is>
          <t>/</t>
        </is>
      </c>
      <c r="P204" s="77" t="n">
        <v>0.04</v>
      </c>
      <c r="Q204" s="77" t="n">
        <v>0.03</v>
      </c>
      <c r="R204" s="77" t="n">
        <v>0.01</v>
      </c>
      <c r="S204" s="77" t="n">
        <v>0.01</v>
      </c>
      <c r="T204" s="77" t="n"/>
      <c r="U204" s="573" t="n"/>
      <c r="V204" s="77" t="inlineStr">
        <is>
          <t>/</t>
        </is>
      </c>
      <c r="W204" s="131" t="n">
        <v>0.4</v>
      </c>
      <c r="X204" s="77" t="inlineStr">
        <is>
          <t>/</t>
        </is>
      </c>
      <c r="Y204" s="72" t="inlineStr">
        <is>
          <t>/</t>
        </is>
      </c>
      <c r="Z204" s="72" t="inlineStr">
        <is>
          <t>/</t>
        </is>
      </c>
      <c r="AA204" s="72" t="inlineStr">
        <is>
          <t>/</t>
        </is>
      </c>
      <c r="AB204" s="46" t="inlineStr">
        <is>
          <t>/</t>
        </is>
      </c>
      <c r="AC204" s="46" t="inlineStr">
        <is>
          <t>/</t>
        </is>
      </c>
      <c r="AD204" s="82" t="inlineStr">
        <is>
          <t>1、甲方捐赠：项目反馈不收取，包含在服务费中；</t>
        </is>
      </c>
      <c r="AE204" s="25" t="inlineStr">
        <is>
          <t>1、签订期间：2026.3-7月；
2、指标按照全年换算；</t>
        </is>
      </c>
    </row>
    <row r="205" ht="24" customFormat="1" customHeight="1" s="209">
      <c r="A205" s="219" t="n">
        <v>210</v>
      </c>
      <c r="B205" s="14" t="inlineStr">
        <is>
          <t>KQCY0210</t>
        </is>
      </c>
      <c r="C205" s="221" t="inlineStr">
        <is>
          <t>餐饮三分部</t>
        </is>
      </c>
      <c r="D205" s="221" t="inlineStr">
        <is>
          <t>CF780</t>
        </is>
      </c>
      <c r="E205" s="132" t="inlineStr">
        <is>
          <t>吉建大二食堂</t>
        </is>
      </c>
      <c r="F205" s="485" t="inlineStr">
        <is>
          <t>分组作业</t>
        </is>
      </c>
      <c r="G205" s="134" t="inlineStr">
        <is>
          <t>吉沐牛</t>
        </is>
      </c>
      <c r="H205" s="503" t="inlineStr">
        <is>
          <t>/</t>
        </is>
      </c>
      <c r="I205" s="135" t="inlineStr">
        <is>
          <t>拼好饭</t>
        </is>
      </c>
      <c r="J205" s="136" t="inlineStr">
        <is>
          <t>陈国利</t>
        </is>
      </c>
      <c r="K205" s="224" t="inlineStr">
        <is>
          <t>/</t>
        </is>
      </c>
      <c r="L205" s="651" t="n">
        <v>720000</v>
      </c>
      <c r="M205" s="77" t="n">
        <v>0.1</v>
      </c>
      <c r="N205" s="77" t="n">
        <v>0.01</v>
      </c>
      <c r="O205" s="77" t="inlineStr">
        <is>
          <t>/</t>
        </is>
      </c>
      <c r="P205" s="77" t="n">
        <v>0.04</v>
      </c>
      <c r="Q205" s="77" t="n">
        <v>0.03</v>
      </c>
      <c r="R205" s="77" t="n">
        <v>0.01</v>
      </c>
      <c r="S205" s="77" t="n">
        <v>0.01</v>
      </c>
      <c r="T205" s="77" t="n"/>
      <c r="U205" s="573" t="n"/>
      <c r="V205" s="77" t="inlineStr">
        <is>
          <t>/</t>
        </is>
      </c>
      <c r="W205" s="131" t="n">
        <v>0.4</v>
      </c>
      <c r="X205" s="77" t="inlineStr">
        <is>
          <t>/</t>
        </is>
      </c>
      <c r="Y205" s="72" t="inlineStr">
        <is>
          <t>/</t>
        </is>
      </c>
      <c r="Z205" s="72" t="inlineStr">
        <is>
          <t>/</t>
        </is>
      </c>
      <c r="AA205" s="72" t="inlineStr">
        <is>
          <t>/</t>
        </is>
      </c>
      <c r="AB205" s="46" t="inlineStr">
        <is>
          <t>/</t>
        </is>
      </c>
      <c r="AC205" s="46" t="inlineStr">
        <is>
          <t>/</t>
        </is>
      </c>
      <c r="AD205" s="82" t="inlineStr">
        <is>
          <t>1、甲方捐赠：项目反馈不收取，包含在服务费中；</t>
        </is>
      </c>
      <c r="AE205" s="25" t="inlineStr">
        <is>
          <t>1、签订期间：2026.3-7月；
2、指标按照全年换算；</t>
        </is>
      </c>
    </row>
    <row r="206" ht="24" customFormat="1" customHeight="1" s="209">
      <c r="A206" s="219" t="n">
        <v>211</v>
      </c>
      <c r="B206" s="14" t="inlineStr">
        <is>
          <t>KQCY0211</t>
        </is>
      </c>
      <c r="C206" s="221" t="inlineStr">
        <is>
          <t>餐饮三分部</t>
        </is>
      </c>
      <c r="D206" s="221" t="inlineStr">
        <is>
          <t>CF780</t>
        </is>
      </c>
      <c r="E206" s="132" t="inlineStr">
        <is>
          <t>吉建大二食堂</t>
        </is>
      </c>
      <c r="F206" s="485" t="inlineStr">
        <is>
          <t>分组作业</t>
        </is>
      </c>
      <c r="G206" s="134" t="inlineStr">
        <is>
          <t>吉沐牛</t>
        </is>
      </c>
      <c r="H206" s="503" t="inlineStr">
        <is>
          <t>/</t>
        </is>
      </c>
      <c r="I206" s="135" t="inlineStr">
        <is>
          <t>烤鸭饭</t>
        </is>
      </c>
      <c r="J206" s="136" t="inlineStr">
        <is>
          <t>付冬玲</t>
        </is>
      </c>
      <c r="K206" s="224" t="inlineStr">
        <is>
          <t>/</t>
        </is>
      </c>
      <c r="L206" s="651" t="n">
        <v>1128000</v>
      </c>
      <c r="M206" s="77" t="n">
        <v>0.1</v>
      </c>
      <c r="N206" s="77" t="n">
        <v>0.01</v>
      </c>
      <c r="O206" s="77" t="inlineStr">
        <is>
          <t>/</t>
        </is>
      </c>
      <c r="P206" s="77" t="n">
        <v>0.04</v>
      </c>
      <c r="Q206" s="77" t="n">
        <v>0.03</v>
      </c>
      <c r="R206" s="77" t="n">
        <v>0.01</v>
      </c>
      <c r="S206" s="77" t="n">
        <v>0.01</v>
      </c>
      <c r="T206" s="77" t="n"/>
      <c r="U206" s="573" t="n"/>
      <c r="V206" s="77" t="inlineStr">
        <is>
          <t>/</t>
        </is>
      </c>
      <c r="W206" s="131" t="n">
        <v>0.4</v>
      </c>
      <c r="X206" s="77" t="inlineStr">
        <is>
          <t>/</t>
        </is>
      </c>
      <c r="Y206" s="72" t="inlineStr">
        <is>
          <t>/</t>
        </is>
      </c>
      <c r="Z206" s="72" t="inlineStr">
        <is>
          <t>/</t>
        </is>
      </c>
      <c r="AA206" s="72" t="inlineStr">
        <is>
          <t>/</t>
        </is>
      </c>
      <c r="AB206" s="46" t="inlineStr">
        <is>
          <t>/</t>
        </is>
      </c>
      <c r="AC206" s="46" t="inlineStr">
        <is>
          <t>/</t>
        </is>
      </c>
      <c r="AD206" s="82" t="inlineStr">
        <is>
          <t>1、甲方捐赠：项目反馈不收取，包含在服务费中；</t>
        </is>
      </c>
      <c r="AE206" s="25" t="inlineStr">
        <is>
          <t>1、签订期间：2026.3-7月；
2、指标按照全年换算；</t>
        </is>
      </c>
    </row>
    <row r="207" ht="24" customFormat="1" customHeight="1" s="209">
      <c r="A207" s="219" t="n">
        <v>212</v>
      </c>
      <c r="B207" s="14" t="inlineStr">
        <is>
          <t>KQCY0212</t>
        </is>
      </c>
      <c r="C207" s="221" t="inlineStr">
        <is>
          <t>餐饮三分部</t>
        </is>
      </c>
      <c r="D207" s="221" t="inlineStr">
        <is>
          <t>CF780</t>
        </is>
      </c>
      <c r="E207" s="132" t="inlineStr">
        <is>
          <t>吉建大二食堂</t>
        </is>
      </c>
      <c r="F207" s="485" t="inlineStr">
        <is>
          <t>分组作业</t>
        </is>
      </c>
      <c r="G207" s="134" t="inlineStr">
        <is>
          <t>吉沐牛</t>
        </is>
      </c>
      <c r="H207" s="503" t="inlineStr">
        <is>
          <t>/</t>
        </is>
      </c>
      <c r="I207" s="135" t="inlineStr">
        <is>
          <t>海南鸡饭</t>
        </is>
      </c>
      <c r="J207" s="136" t="inlineStr">
        <is>
          <t>曲丽平</t>
        </is>
      </c>
      <c r="K207" s="224" t="inlineStr">
        <is>
          <t>/</t>
        </is>
      </c>
      <c r="L207" s="651" t="n">
        <v>2244000</v>
      </c>
      <c r="M207" s="77" t="n">
        <v>0.1</v>
      </c>
      <c r="N207" s="77" t="n">
        <v>0.01</v>
      </c>
      <c r="O207" s="77" t="inlineStr">
        <is>
          <t>/</t>
        </is>
      </c>
      <c r="P207" s="77" t="n">
        <v>0.04</v>
      </c>
      <c r="Q207" s="77" t="n">
        <v>0.03</v>
      </c>
      <c r="R207" s="77" t="n">
        <v>0.01</v>
      </c>
      <c r="S207" s="77" t="n">
        <v>0.01</v>
      </c>
      <c r="T207" s="77" t="n"/>
      <c r="U207" s="573" t="n"/>
      <c r="V207" s="77" t="inlineStr">
        <is>
          <t>/</t>
        </is>
      </c>
      <c r="W207" s="131" t="n">
        <v>0.4</v>
      </c>
      <c r="X207" s="77" t="inlineStr">
        <is>
          <t>/</t>
        </is>
      </c>
      <c r="Y207" s="72" t="inlineStr">
        <is>
          <t>/</t>
        </is>
      </c>
      <c r="Z207" s="72" t="inlineStr">
        <is>
          <t>/</t>
        </is>
      </c>
      <c r="AA207" s="72" t="inlineStr">
        <is>
          <t>/</t>
        </is>
      </c>
      <c r="AB207" s="46" t="inlineStr">
        <is>
          <t>/</t>
        </is>
      </c>
      <c r="AC207" s="46" t="inlineStr">
        <is>
          <t>/</t>
        </is>
      </c>
      <c r="AD207" s="82" t="inlineStr">
        <is>
          <t>1、甲方捐赠：项目反馈不收取，包含在服务费中；</t>
        </is>
      </c>
      <c r="AE207" s="25" t="inlineStr">
        <is>
          <t>1、签订期间：2026.3-7月；
2、指标按照全年换算；</t>
        </is>
      </c>
    </row>
    <row r="208" ht="24" customFormat="1" customHeight="1" s="209">
      <c r="A208" s="219" t="n">
        <v>213</v>
      </c>
      <c r="B208" s="14" t="inlineStr">
        <is>
          <t>KQCY0213</t>
        </is>
      </c>
      <c r="C208" s="221" t="inlineStr">
        <is>
          <t>餐饮三分部</t>
        </is>
      </c>
      <c r="D208" s="221" t="inlineStr">
        <is>
          <t>CF780</t>
        </is>
      </c>
      <c r="E208" s="132" t="inlineStr">
        <is>
          <t>吉建大二食堂</t>
        </is>
      </c>
      <c r="F208" s="485" t="inlineStr">
        <is>
          <t>分组作业</t>
        </is>
      </c>
      <c r="G208" s="134" t="inlineStr">
        <is>
          <t>吉沐牛</t>
        </is>
      </c>
      <c r="H208" s="503" t="inlineStr">
        <is>
          <t>/</t>
        </is>
      </c>
      <c r="I208" s="135" t="inlineStr">
        <is>
          <t>小街牛杂面</t>
        </is>
      </c>
      <c r="J208" s="136" t="inlineStr">
        <is>
          <t>郭铁军</t>
        </is>
      </c>
      <c r="K208" s="224" t="inlineStr">
        <is>
          <t>/</t>
        </is>
      </c>
      <c r="L208" s="651" t="n">
        <v>684000</v>
      </c>
      <c r="M208" s="77" t="n">
        <v>0.1</v>
      </c>
      <c r="N208" s="77" t="n">
        <v>0.01</v>
      </c>
      <c r="O208" s="77" t="inlineStr">
        <is>
          <t>/</t>
        </is>
      </c>
      <c r="P208" s="77" t="n">
        <v>0.04</v>
      </c>
      <c r="Q208" s="77" t="n">
        <v>0.03</v>
      </c>
      <c r="R208" s="77" t="n">
        <v>0.01</v>
      </c>
      <c r="S208" s="77" t="n">
        <v>0.01</v>
      </c>
      <c r="T208" s="77" t="n"/>
      <c r="U208" s="573" t="n"/>
      <c r="V208" s="77" t="inlineStr">
        <is>
          <t>/</t>
        </is>
      </c>
      <c r="W208" s="131" t="n">
        <v>0.4</v>
      </c>
      <c r="X208" s="77" t="inlineStr">
        <is>
          <t>/</t>
        </is>
      </c>
      <c r="Y208" s="72" t="inlineStr">
        <is>
          <t>/</t>
        </is>
      </c>
      <c r="Z208" s="72" t="inlineStr">
        <is>
          <t>/</t>
        </is>
      </c>
      <c r="AA208" s="72" t="inlineStr">
        <is>
          <t>/</t>
        </is>
      </c>
      <c r="AB208" s="46" t="inlineStr">
        <is>
          <t>/</t>
        </is>
      </c>
      <c r="AC208" s="46" t="inlineStr">
        <is>
          <t>/</t>
        </is>
      </c>
      <c r="AD208" s="82" t="inlineStr">
        <is>
          <t>1、甲方捐赠：项目反馈不收取，包含在服务费中；</t>
        </is>
      </c>
      <c r="AE208" s="25" t="inlineStr">
        <is>
          <t>1、签订期间：2026.3-7月；
2、指标按照全年换算；</t>
        </is>
      </c>
    </row>
    <row r="209" ht="24" customFormat="1" customHeight="1" s="209">
      <c r="A209" s="219" t="n">
        <v>214</v>
      </c>
      <c r="B209" s="14" t="inlineStr">
        <is>
          <t>KQCY0214</t>
        </is>
      </c>
      <c r="C209" s="221" t="inlineStr">
        <is>
          <t>餐饮三分部</t>
        </is>
      </c>
      <c r="D209" s="221" t="inlineStr">
        <is>
          <t>CF780</t>
        </is>
      </c>
      <c r="E209" s="132" t="inlineStr">
        <is>
          <t>吉建大二食堂</t>
        </is>
      </c>
      <c r="F209" s="485" t="inlineStr">
        <is>
          <t>分组作业</t>
        </is>
      </c>
      <c r="G209" s="134" t="inlineStr">
        <is>
          <t>吉沐牛</t>
        </is>
      </c>
      <c r="H209" s="503" t="inlineStr">
        <is>
          <t>/</t>
        </is>
      </c>
      <c r="I209" s="135" t="inlineStr">
        <is>
          <t>炙烤五花肉</t>
        </is>
      </c>
      <c r="J209" s="136" t="inlineStr">
        <is>
          <t>付炜</t>
        </is>
      </c>
      <c r="K209" s="224" t="inlineStr">
        <is>
          <t>/</t>
        </is>
      </c>
      <c r="L209" s="651" t="n">
        <v>816000</v>
      </c>
      <c r="M209" s="77" t="n">
        <v>0.1</v>
      </c>
      <c r="N209" s="77" t="n">
        <v>0.01</v>
      </c>
      <c r="O209" s="77" t="inlineStr">
        <is>
          <t>/</t>
        </is>
      </c>
      <c r="P209" s="77" t="n">
        <v>0.04</v>
      </c>
      <c r="Q209" s="77" t="n">
        <v>0.03</v>
      </c>
      <c r="R209" s="77" t="n">
        <v>0.01</v>
      </c>
      <c r="S209" s="77" t="n">
        <v>0.01</v>
      </c>
      <c r="T209" s="77" t="n"/>
      <c r="U209" s="573" t="n"/>
      <c r="V209" s="77" t="inlineStr">
        <is>
          <t>/</t>
        </is>
      </c>
      <c r="W209" s="131" t="n">
        <v>0.4</v>
      </c>
      <c r="X209" s="77" t="inlineStr">
        <is>
          <t>/</t>
        </is>
      </c>
      <c r="Y209" s="72" t="inlineStr">
        <is>
          <t>/</t>
        </is>
      </c>
      <c r="Z209" s="72" t="inlineStr">
        <is>
          <t>/</t>
        </is>
      </c>
      <c r="AA209" s="72" t="inlineStr">
        <is>
          <t>/</t>
        </is>
      </c>
      <c r="AB209" s="46" t="inlineStr">
        <is>
          <t>/</t>
        </is>
      </c>
      <c r="AC209" s="46" t="inlineStr">
        <is>
          <t>/</t>
        </is>
      </c>
      <c r="AD209" s="82" t="inlineStr">
        <is>
          <t>1、甲方捐赠：项目反馈不收取，包含在服务费中；</t>
        </is>
      </c>
      <c r="AE209" s="25" t="inlineStr">
        <is>
          <t>1、签订期间：2026.3-7月；
2、指标按照全年换算；</t>
        </is>
      </c>
    </row>
    <row r="210" ht="12" customFormat="1" customHeight="1" s="209">
      <c r="A210" s="219" t="n">
        <v>215</v>
      </c>
      <c r="B210" s="14" t="inlineStr">
        <is>
          <t>KQCY0215</t>
        </is>
      </c>
      <c r="C210" s="221" t="n"/>
      <c r="D210" s="221" t="n"/>
      <c r="E210" s="132" t="inlineStr">
        <is>
          <t>吉建大二食堂</t>
        </is>
      </c>
      <c r="F210" s="335" t="inlineStr">
        <is>
          <t>分组作业</t>
        </is>
      </c>
      <c r="G210" s="134" t="inlineStr">
        <is>
          <t>吉沐牛</t>
        </is>
      </c>
      <c r="H210" s="480" t="inlineStr">
        <is>
          <t>/</t>
        </is>
      </c>
      <c r="I210" s="135" t="inlineStr">
        <is>
          <t>朴大叔拌饭</t>
        </is>
      </c>
      <c r="J210" s="136" t="inlineStr">
        <is>
          <t>沈延斌</t>
        </is>
      </c>
      <c r="K210" s="224" t="n"/>
      <c r="L210" s="651" t="n"/>
      <c r="M210" s="77" t="n"/>
      <c r="N210" s="77" t="n"/>
      <c r="O210" s="77" t="n"/>
      <c r="P210" s="77" t="n"/>
      <c r="Q210" s="77" t="n"/>
      <c r="R210" s="77" t="n"/>
      <c r="S210" s="77" t="n"/>
      <c r="T210" s="77" t="n"/>
      <c r="U210" s="573" t="n"/>
      <c r="V210" s="77" t="n"/>
      <c r="W210" s="131" t="n"/>
      <c r="X210" s="77" t="n"/>
      <c r="Y210" s="72" t="n"/>
      <c r="Z210" s="72" t="n"/>
      <c r="AA210" s="72" t="n"/>
      <c r="AB210" s="46" t="n"/>
      <c r="AC210" s="46" t="n"/>
      <c r="AD210" s="82" t="n"/>
      <c r="AE210" s="25" t="n"/>
    </row>
    <row r="211" ht="24" customFormat="1" customHeight="1" s="209">
      <c r="A211" s="219" t="n">
        <v>216</v>
      </c>
      <c r="B211" s="14" t="inlineStr">
        <is>
          <t>KQCY0216</t>
        </is>
      </c>
      <c r="C211" s="221" t="inlineStr">
        <is>
          <t>餐饮三分部</t>
        </is>
      </c>
      <c r="D211" s="221" t="inlineStr">
        <is>
          <t>CF780</t>
        </is>
      </c>
      <c r="E211" s="132" t="inlineStr">
        <is>
          <t>吉建大二食堂</t>
        </is>
      </c>
      <c r="F211" s="485" t="inlineStr">
        <is>
          <t>分组作业</t>
        </is>
      </c>
      <c r="G211" s="134" t="inlineStr">
        <is>
          <t>吉沐牛</t>
        </is>
      </c>
      <c r="H211" s="503" t="inlineStr">
        <is>
          <t>/</t>
        </is>
      </c>
      <c r="I211" s="135" t="inlineStr">
        <is>
          <t>猪脚饭</t>
        </is>
      </c>
      <c r="J211" s="136" t="inlineStr">
        <is>
          <t>陈超</t>
        </is>
      </c>
      <c r="K211" s="224" t="inlineStr">
        <is>
          <t>/</t>
        </is>
      </c>
      <c r="L211" s="651" t="n">
        <v>1015200</v>
      </c>
      <c r="M211" s="77" t="n">
        <v>0.1</v>
      </c>
      <c r="N211" s="77" t="n">
        <v>0.01</v>
      </c>
      <c r="O211" s="77" t="inlineStr">
        <is>
          <t>/</t>
        </is>
      </c>
      <c r="P211" s="77" t="n">
        <v>0.04</v>
      </c>
      <c r="Q211" s="77" t="n">
        <v>0.03</v>
      </c>
      <c r="R211" s="77" t="n">
        <v>0.01</v>
      </c>
      <c r="S211" s="77" t="n">
        <v>0.01</v>
      </c>
      <c r="T211" s="77" t="n"/>
      <c r="U211" s="573" t="n"/>
      <c r="V211" s="77" t="inlineStr">
        <is>
          <t>/</t>
        </is>
      </c>
      <c r="W211" s="131" t="n">
        <v>0.4</v>
      </c>
      <c r="X211" s="77" t="inlineStr">
        <is>
          <t>/</t>
        </is>
      </c>
      <c r="Y211" s="72" t="inlineStr">
        <is>
          <t>/</t>
        </is>
      </c>
      <c r="Z211" s="72" t="inlineStr">
        <is>
          <t>/</t>
        </is>
      </c>
      <c r="AA211" s="72" t="inlineStr">
        <is>
          <t>/</t>
        </is>
      </c>
      <c r="AB211" s="46" t="inlineStr">
        <is>
          <t>/</t>
        </is>
      </c>
      <c r="AC211" s="46" t="inlineStr">
        <is>
          <t>/</t>
        </is>
      </c>
      <c r="AD211" s="82" t="inlineStr">
        <is>
          <t>1、甲方捐赠：项目反馈不收取，包含在服务费中；</t>
        </is>
      </c>
      <c r="AE211" s="25" t="inlineStr">
        <is>
          <t>1、签订期间：2026.3-7月；
2、指标按照全年换算；</t>
        </is>
      </c>
    </row>
    <row r="212" ht="24" customFormat="1" customHeight="1" s="209">
      <c r="A212" s="219" t="n">
        <v>217</v>
      </c>
      <c r="B212" s="14" t="inlineStr">
        <is>
          <t>KQCY0217</t>
        </is>
      </c>
      <c r="C212" s="221" t="inlineStr">
        <is>
          <t>餐饮三分部</t>
        </is>
      </c>
      <c r="D212" s="221" t="inlineStr">
        <is>
          <t>CF780</t>
        </is>
      </c>
      <c r="E212" s="132" t="inlineStr">
        <is>
          <t>吉建大二食堂</t>
        </is>
      </c>
      <c r="F212" s="485" t="inlineStr">
        <is>
          <t>分组作业</t>
        </is>
      </c>
      <c r="G212" s="134" t="inlineStr">
        <is>
          <t>吉沐牛</t>
        </is>
      </c>
      <c r="H212" s="503" t="inlineStr">
        <is>
          <t>/</t>
        </is>
      </c>
      <c r="I212" s="135" t="inlineStr">
        <is>
          <t>羊杂面</t>
        </is>
      </c>
      <c r="J212" s="136" t="inlineStr">
        <is>
          <t>扬中理</t>
        </is>
      </c>
      <c r="K212" s="224" t="inlineStr">
        <is>
          <t>/</t>
        </is>
      </c>
      <c r="L212" s="651" t="n">
        <v>1363200</v>
      </c>
      <c r="M212" s="77" t="n">
        <v>0.1</v>
      </c>
      <c r="N212" s="77" t="n">
        <v>0.01</v>
      </c>
      <c r="O212" s="77" t="inlineStr">
        <is>
          <t>/</t>
        </is>
      </c>
      <c r="P212" s="77" t="n">
        <v>0.04</v>
      </c>
      <c r="Q212" s="77" t="n">
        <v>0.03</v>
      </c>
      <c r="R212" s="77" t="n">
        <v>0.01</v>
      </c>
      <c r="S212" s="77" t="n">
        <v>0.01</v>
      </c>
      <c r="T212" s="77" t="n"/>
      <c r="U212" s="573" t="n"/>
      <c r="V212" s="77" t="inlineStr">
        <is>
          <t>/</t>
        </is>
      </c>
      <c r="W212" s="131" t="n">
        <v>0.4</v>
      </c>
      <c r="X212" s="77" t="inlineStr">
        <is>
          <t>/</t>
        </is>
      </c>
      <c r="Y212" s="72" t="inlineStr">
        <is>
          <t>/</t>
        </is>
      </c>
      <c r="Z212" s="72" t="inlineStr">
        <is>
          <t>/</t>
        </is>
      </c>
      <c r="AA212" s="72" t="inlineStr">
        <is>
          <t>/</t>
        </is>
      </c>
      <c r="AB212" s="46" t="inlineStr">
        <is>
          <t>/</t>
        </is>
      </c>
      <c r="AC212" s="46" t="inlineStr">
        <is>
          <t>/</t>
        </is>
      </c>
      <c r="AD212" s="82" t="inlineStr">
        <is>
          <t>1、甲方捐赠：项目反馈不收取，包含在服务费中；</t>
        </is>
      </c>
      <c r="AE212" s="25" t="inlineStr">
        <is>
          <t>1、签订期间：2026.3-7月；
2、指标按照全年换算；</t>
        </is>
      </c>
    </row>
    <row r="213" ht="24" customFormat="1" customHeight="1" s="209">
      <c r="A213" s="219" t="n">
        <v>218</v>
      </c>
      <c r="B213" s="14" t="inlineStr">
        <is>
          <t>KQCY0218</t>
        </is>
      </c>
      <c r="C213" s="221" t="inlineStr">
        <is>
          <t>餐饮三分部</t>
        </is>
      </c>
      <c r="D213" s="221" t="inlineStr">
        <is>
          <t>CF780</t>
        </is>
      </c>
      <c r="E213" s="132" t="inlineStr">
        <is>
          <t>吉建大二食堂</t>
        </is>
      </c>
      <c r="F213" s="485" t="inlineStr">
        <is>
          <t>分组作业</t>
        </is>
      </c>
      <c r="G213" s="134" t="inlineStr">
        <is>
          <t>吉沐牛</t>
        </is>
      </c>
      <c r="H213" s="503" t="inlineStr">
        <is>
          <t>/</t>
        </is>
      </c>
      <c r="I213" s="135" t="inlineStr">
        <is>
          <t>原粉公煮</t>
        </is>
      </c>
      <c r="J213" s="136" t="inlineStr">
        <is>
          <t>田卓</t>
        </is>
      </c>
      <c r="K213" s="224" t="inlineStr">
        <is>
          <t>/</t>
        </is>
      </c>
      <c r="L213" s="651" t="n">
        <v>847200</v>
      </c>
      <c r="M213" s="77" t="n">
        <v>0.1</v>
      </c>
      <c r="N213" s="77" t="n">
        <v>0.01</v>
      </c>
      <c r="O213" s="77" t="inlineStr">
        <is>
          <t>/</t>
        </is>
      </c>
      <c r="P213" s="77" t="n">
        <v>0.04</v>
      </c>
      <c r="Q213" s="77" t="n">
        <v>0.03</v>
      </c>
      <c r="R213" s="77" t="n">
        <v>0.01</v>
      </c>
      <c r="S213" s="77" t="n">
        <v>0.01</v>
      </c>
      <c r="T213" s="77" t="n"/>
      <c r="U213" s="573" t="n"/>
      <c r="V213" s="77" t="inlineStr">
        <is>
          <t>/</t>
        </is>
      </c>
      <c r="W213" s="131" t="n">
        <v>0.4</v>
      </c>
      <c r="X213" s="77" t="inlineStr">
        <is>
          <t>/</t>
        </is>
      </c>
      <c r="Y213" s="72" t="inlineStr">
        <is>
          <t>/</t>
        </is>
      </c>
      <c r="Z213" s="72" t="inlineStr">
        <is>
          <t>/</t>
        </is>
      </c>
      <c r="AA213" s="72" t="inlineStr">
        <is>
          <t>/</t>
        </is>
      </c>
      <c r="AB213" s="46" t="inlineStr">
        <is>
          <t>/</t>
        </is>
      </c>
      <c r="AC213" s="46" t="inlineStr">
        <is>
          <t>/</t>
        </is>
      </c>
      <c r="AD213" s="82" t="inlineStr">
        <is>
          <t>1、甲方捐赠：项目反馈不收取，包含在服务费中；</t>
        </is>
      </c>
      <c r="AE213" s="25" t="inlineStr">
        <is>
          <t>1、签订期间：2026.3-7月；
2、指标按照全年换算；</t>
        </is>
      </c>
    </row>
    <row r="214" ht="24" customFormat="1" customHeight="1" s="209">
      <c r="A214" s="219" t="n">
        <v>219</v>
      </c>
      <c r="B214" s="14" t="inlineStr">
        <is>
          <t>KQCY0219</t>
        </is>
      </c>
      <c r="C214" s="221" t="inlineStr">
        <is>
          <t>餐饮三分部</t>
        </is>
      </c>
      <c r="D214" s="221" t="inlineStr">
        <is>
          <t>CF780</t>
        </is>
      </c>
      <c r="E214" s="132" t="inlineStr">
        <is>
          <t>吉建大二食堂</t>
        </is>
      </c>
      <c r="F214" s="485" t="inlineStr">
        <is>
          <t>分组作业</t>
        </is>
      </c>
      <c r="G214" s="134" t="inlineStr">
        <is>
          <t>吉沐牛</t>
        </is>
      </c>
      <c r="H214" s="503" t="inlineStr">
        <is>
          <t>/</t>
        </is>
      </c>
      <c r="I214" s="135" t="inlineStr">
        <is>
          <t>大块牛肉饭</t>
        </is>
      </c>
      <c r="J214" s="136" t="inlineStr">
        <is>
          <t>王亮</t>
        </is>
      </c>
      <c r="K214" s="224" t="inlineStr">
        <is>
          <t>/</t>
        </is>
      </c>
      <c r="L214" s="651" t="n">
        <v>936000</v>
      </c>
      <c r="M214" s="77" t="n">
        <v>0.1</v>
      </c>
      <c r="N214" s="77" t="n">
        <v>0.01</v>
      </c>
      <c r="O214" s="77" t="inlineStr">
        <is>
          <t>/</t>
        </is>
      </c>
      <c r="P214" s="77" t="n">
        <v>0.04</v>
      </c>
      <c r="Q214" s="77" t="n">
        <v>0.03</v>
      </c>
      <c r="R214" s="77" t="n">
        <v>0.01</v>
      </c>
      <c r="S214" s="77" t="n">
        <v>0.01</v>
      </c>
      <c r="T214" s="77" t="n"/>
      <c r="U214" s="573" t="n"/>
      <c r="V214" s="77" t="inlineStr">
        <is>
          <t>/</t>
        </is>
      </c>
      <c r="W214" s="131" t="n">
        <v>0.4</v>
      </c>
      <c r="X214" s="77" t="inlineStr">
        <is>
          <t>/</t>
        </is>
      </c>
      <c r="Y214" s="72" t="inlineStr">
        <is>
          <t>/</t>
        </is>
      </c>
      <c r="Z214" s="72" t="inlineStr">
        <is>
          <t>/</t>
        </is>
      </c>
      <c r="AA214" s="72" t="inlineStr">
        <is>
          <t>/</t>
        </is>
      </c>
      <c r="AB214" s="46" t="inlineStr">
        <is>
          <t>/</t>
        </is>
      </c>
      <c r="AC214" s="46" t="inlineStr">
        <is>
          <t>/</t>
        </is>
      </c>
      <c r="AD214" s="82" t="inlineStr">
        <is>
          <t>1、甲方捐赠：项目反馈不收取，包含在服务费中；</t>
        </is>
      </c>
      <c r="AE214" s="25" t="inlineStr">
        <is>
          <t>1、签订期间：2026.3-7月；
2、指标按照全年换算；</t>
        </is>
      </c>
    </row>
    <row r="215" ht="24" customFormat="1" customHeight="1" s="209">
      <c r="A215" s="219" t="n">
        <v>220</v>
      </c>
      <c r="B215" s="14" t="inlineStr">
        <is>
          <t>KQCY0220</t>
        </is>
      </c>
      <c r="C215" s="221" t="inlineStr">
        <is>
          <t>餐饮三分部</t>
        </is>
      </c>
      <c r="D215" s="221" t="inlineStr">
        <is>
          <t>CF780</t>
        </is>
      </c>
      <c r="E215" s="132" t="inlineStr">
        <is>
          <t>吉建大二食堂</t>
        </is>
      </c>
      <c r="F215" s="485" t="inlineStr">
        <is>
          <t>分组作业</t>
        </is>
      </c>
      <c r="G215" s="134" t="inlineStr">
        <is>
          <t>吉沐牛</t>
        </is>
      </c>
      <c r="H215" s="503" t="inlineStr">
        <is>
          <t>/</t>
        </is>
      </c>
      <c r="I215" s="135" t="inlineStr">
        <is>
          <t>嘻哈密语</t>
        </is>
      </c>
      <c r="J215" s="136" t="inlineStr">
        <is>
          <t>陶志鹏</t>
        </is>
      </c>
      <c r="K215" s="224" t="inlineStr">
        <is>
          <t>/</t>
        </is>
      </c>
      <c r="L215" s="651" t="n">
        <v>456000</v>
      </c>
      <c r="M215" s="77" t="n">
        <v>0.1</v>
      </c>
      <c r="N215" s="77" t="n">
        <v>0.01</v>
      </c>
      <c r="O215" s="77" t="inlineStr">
        <is>
          <t>/</t>
        </is>
      </c>
      <c r="P215" s="77" t="n">
        <v>0.04</v>
      </c>
      <c r="Q215" s="77" t="n">
        <v>0.03</v>
      </c>
      <c r="R215" s="77" t="n">
        <v>0.01</v>
      </c>
      <c r="S215" s="77" t="n">
        <v>0.01</v>
      </c>
      <c r="T215" s="77" t="n"/>
      <c r="U215" s="573" t="n"/>
      <c r="V215" s="77" t="inlineStr">
        <is>
          <t>/</t>
        </is>
      </c>
      <c r="W215" s="131" t="n">
        <v>0.4</v>
      </c>
      <c r="X215" s="77" t="inlineStr">
        <is>
          <t>/</t>
        </is>
      </c>
      <c r="Y215" s="72" t="inlineStr">
        <is>
          <t>/</t>
        </is>
      </c>
      <c r="Z215" s="72" t="inlineStr">
        <is>
          <t>/</t>
        </is>
      </c>
      <c r="AA215" s="72" t="inlineStr">
        <is>
          <t>/</t>
        </is>
      </c>
      <c r="AB215" s="46" t="inlineStr">
        <is>
          <t>/</t>
        </is>
      </c>
      <c r="AC215" s="46" t="inlineStr">
        <is>
          <t>/</t>
        </is>
      </c>
      <c r="AD215" s="82" t="inlineStr">
        <is>
          <t>1、甲方捐赠：项目反馈不收取，包含在服务费中；</t>
        </is>
      </c>
      <c r="AE215" s="25" t="inlineStr">
        <is>
          <t>1、签订期间：2026.3-7月；
2、指标按照全年换算；</t>
        </is>
      </c>
    </row>
    <row r="216" ht="24" customFormat="1" customHeight="1" s="209">
      <c r="A216" s="219" t="n">
        <v>221</v>
      </c>
      <c r="B216" s="14" t="inlineStr">
        <is>
          <t>KQCY0221</t>
        </is>
      </c>
      <c r="C216" s="221" t="inlineStr">
        <is>
          <t>餐饮三分部</t>
        </is>
      </c>
      <c r="D216" s="221" t="inlineStr">
        <is>
          <t>CF780</t>
        </is>
      </c>
      <c r="E216" s="132" t="inlineStr">
        <is>
          <t>吉建大二食堂</t>
        </is>
      </c>
      <c r="F216" s="485" t="inlineStr">
        <is>
          <t>分组作业</t>
        </is>
      </c>
      <c r="G216" s="134" t="inlineStr">
        <is>
          <t>吉沐牛</t>
        </is>
      </c>
      <c r="H216" s="503" t="inlineStr">
        <is>
          <t>/</t>
        </is>
      </c>
      <c r="I216" s="135" t="inlineStr">
        <is>
          <t>炸鸡汉堡</t>
        </is>
      </c>
      <c r="J216" s="136" t="inlineStr">
        <is>
          <t>隗伟</t>
        </is>
      </c>
      <c r="K216" s="224" t="inlineStr">
        <is>
          <t>/</t>
        </is>
      </c>
      <c r="L216" s="651" t="n">
        <v>676800</v>
      </c>
      <c r="M216" s="77" t="n">
        <v>0.1</v>
      </c>
      <c r="N216" s="77" t="n">
        <v>0.01</v>
      </c>
      <c r="O216" s="77" t="inlineStr">
        <is>
          <t>/</t>
        </is>
      </c>
      <c r="P216" s="77" t="n">
        <v>0.04</v>
      </c>
      <c r="Q216" s="77" t="n">
        <v>0.03</v>
      </c>
      <c r="R216" s="77" t="n">
        <v>0.01</v>
      </c>
      <c r="S216" s="77" t="n">
        <v>0.01</v>
      </c>
      <c r="T216" s="77" t="n"/>
      <c r="U216" s="573" t="n"/>
      <c r="V216" s="77" t="inlineStr">
        <is>
          <t>/</t>
        </is>
      </c>
      <c r="W216" s="131" t="n">
        <v>0.4</v>
      </c>
      <c r="X216" s="77" t="inlineStr">
        <is>
          <t>/</t>
        </is>
      </c>
      <c r="Y216" s="72" t="inlineStr">
        <is>
          <t>/</t>
        </is>
      </c>
      <c r="Z216" s="72" t="inlineStr">
        <is>
          <t>/</t>
        </is>
      </c>
      <c r="AA216" s="72" t="inlineStr">
        <is>
          <t>/</t>
        </is>
      </c>
      <c r="AB216" s="46" t="inlineStr">
        <is>
          <t>/</t>
        </is>
      </c>
      <c r="AC216" s="46" t="inlineStr">
        <is>
          <t>/</t>
        </is>
      </c>
      <c r="AD216" s="82" t="inlineStr">
        <is>
          <t>1、甲方捐赠：项目反馈不收取，包含在服务费中；</t>
        </is>
      </c>
      <c r="AE216" s="25" t="inlineStr">
        <is>
          <t>1、签订期间：2026.3-7月；
2、指标按照全年换算；</t>
        </is>
      </c>
    </row>
    <row r="217" ht="24" customFormat="1" customHeight="1" s="209">
      <c r="A217" s="219" t="n">
        <v>222</v>
      </c>
      <c r="B217" s="14" t="inlineStr">
        <is>
          <t>KQCY0222</t>
        </is>
      </c>
      <c r="C217" s="221" t="inlineStr">
        <is>
          <t>餐饮三分部</t>
        </is>
      </c>
      <c r="D217" s="221" t="inlineStr">
        <is>
          <t>CF780</t>
        </is>
      </c>
      <c r="E217" s="132" t="inlineStr">
        <is>
          <t>吉建大二食堂</t>
        </is>
      </c>
      <c r="F217" s="485" t="inlineStr">
        <is>
          <t>分组作业</t>
        </is>
      </c>
      <c r="G217" s="134" t="inlineStr">
        <is>
          <t>吉沐牛</t>
        </is>
      </c>
      <c r="H217" s="503" t="inlineStr">
        <is>
          <t>/</t>
        </is>
      </c>
      <c r="I217" s="135" t="inlineStr">
        <is>
          <t>九阳豆浆</t>
        </is>
      </c>
      <c r="J217" s="136" t="inlineStr">
        <is>
          <t>李宝友</t>
        </is>
      </c>
      <c r="K217" s="224" t="inlineStr">
        <is>
          <t>/</t>
        </is>
      </c>
      <c r="L217" s="651" t="n">
        <v>468000</v>
      </c>
      <c r="M217" s="77" t="n">
        <v>0.1</v>
      </c>
      <c r="N217" s="77" t="n">
        <v>0.01</v>
      </c>
      <c r="O217" s="77" t="inlineStr">
        <is>
          <t>/</t>
        </is>
      </c>
      <c r="P217" s="77" t="n">
        <v>0.04</v>
      </c>
      <c r="Q217" s="77" t="n">
        <v>0.03</v>
      </c>
      <c r="R217" s="77" t="n">
        <v>0.01</v>
      </c>
      <c r="S217" s="77" t="n">
        <v>0.01</v>
      </c>
      <c r="T217" s="77" t="n"/>
      <c r="U217" s="573" t="n"/>
      <c r="V217" s="77" t="inlineStr">
        <is>
          <t>/</t>
        </is>
      </c>
      <c r="W217" s="131" t="n">
        <v>0.4</v>
      </c>
      <c r="X217" s="77" t="inlineStr">
        <is>
          <t>/</t>
        </is>
      </c>
      <c r="Y217" s="72" t="inlineStr">
        <is>
          <t>/</t>
        </is>
      </c>
      <c r="Z217" s="72" t="inlineStr">
        <is>
          <t>/</t>
        </is>
      </c>
      <c r="AA217" s="72" t="inlineStr">
        <is>
          <t>/</t>
        </is>
      </c>
      <c r="AB217" s="46" t="inlineStr">
        <is>
          <t>/</t>
        </is>
      </c>
      <c r="AC217" s="46" t="inlineStr">
        <is>
          <t>/</t>
        </is>
      </c>
      <c r="AD217" s="82" t="inlineStr">
        <is>
          <t>1、甲方捐赠：项目反馈不收取，包含在服务费中；</t>
        </is>
      </c>
      <c r="AE217" s="25" t="inlineStr">
        <is>
          <t>1、签订期间：2026.3-7月；
2、指标按照全年换算；</t>
        </is>
      </c>
    </row>
    <row r="218" ht="24" customFormat="1" customHeight="1" s="209">
      <c r="A218" s="219" t="n">
        <v>223</v>
      </c>
      <c r="B218" s="14" t="inlineStr">
        <is>
          <t>KQCY0223</t>
        </is>
      </c>
      <c r="C218" s="221" t="inlineStr">
        <is>
          <t>餐饮三分部</t>
        </is>
      </c>
      <c r="D218" s="221" t="inlineStr">
        <is>
          <t>CF780</t>
        </is>
      </c>
      <c r="E218" s="132" t="inlineStr">
        <is>
          <t>吉建大二食堂</t>
        </is>
      </c>
      <c r="F218" s="485" t="inlineStr">
        <is>
          <t>分组作业</t>
        </is>
      </c>
      <c r="G218" s="134" t="inlineStr">
        <is>
          <t>吉沐牛</t>
        </is>
      </c>
      <c r="H218" s="503" t="inlineStr">
        <is>
          <t>/</t>
        </is>
      </c>
      <c r="I218" s="135" t="inlineStr">
        <is>
          <t>杂粮煎饼</t>
        </is>
      </c>
      <c r="J218" s="136" t="inlineStr">
        <is>
          <t>仲伟兴</t>
        </is>
      </c>
      <c r="K218" s="224" t="inlineStr">
        <is>
          <t>/</t>
        </is>
      </c>
      <c r="L218" s="651" t="n">
        <v>460800</v>
      </c>
      <c r="M218" s="77" t="n">
        <v>0.1</v>
      </c>
      <c r="N218" s="77" t="n">
        <v>0.01</v>
      </c>
      <c r="O218" s="77" t="inlineStr">
        <is>
          <t>/</t>
        </is>
      </c>
      <c r="P218" s="77" t="n">
        <v>0.04</v>
      </c>
      <c r="Q218" s="77" t="n">
        <v>0.03</v>
      </c>
      <c r="R218" s="77" t="n">
        <v>0.01</v>
      </c>
      <c r="S218" s="77" t="n">
        <v>0.01</v>
      </c>
      <c r="T218" s="77" t="n"/>
      <c r="U218" s="573" t="n"/>
      <c r="V218" s="77" t="inlineStr">
        <is>
          <t>/</t>
        </is>
      </c>
      <c r="W218" s="131" t="n">
        <v>0.4</v>
      </c>
      <c r="X218" s="77" t="inlineStr">
        <is>
          <t>/</t>
        </is>
      </c>
      <c r="Y218" s="72" t="inlineStr">
        <is>
          <t>/</t>
        </is>
      </c>
      <c r="Z218" s="72" t="inlineStr">
        <is>
          <t>/</t>
        </is>
      </c>
      <c r="AA218" s="72" t="inlineStr">
        <is>
          <t>/</t>
        </is>
      </c>
      <c r="AB218" s="46" t="inlineStr">
        <is>
          <t>/</t>
        </is>
      </c>
      <c r="AC218" s="46" t="inlineStr">
        <is>
          <t>/</t>
        </is>
      </c>
      <c r="AD218" s="82" t="inlineStr">
        <is>
          <t>1、甲方捐赠：项目反馈不收取，包含在服务费中；</t>
        </is>
      </c>
      <c r="AE218" s="25" t="inlineStr">
        <is>
          <t>1、签订期间：2026.3-7月；
2、指标按照全年换算；</t>
        </is>
      </c>
    </row>
    <row r="219" ht="24" customFormat="1" customHeight="1" s="209">
      <c r="A219" s="219" t="n">
        <v>224</v>
      </c>
      <c r="B219" s="14" t="inlineStr">
        <is>
          <t>KQCY0224</t>
        </is>
      </c>
      <c r="C219" s="221" t="inlineStr">
        <is>
          <t>餐饮三分部</t>
        </is>
      </c>
      <c r="D219" s="221" t="inlineStr">
        <is>
          <t>CF780</t>
        </is>
      </c>
      <c r="E219" s="132" t="inlineStr">
        <is>
          <t>吉建大二食堂</t>
        </is>
      </c>
      <c r="F219" s="485" t="inlineStr">
        <is>
          <t>分组作业</t>
        </is>
      </c>
      <c r="G219" s="134" t="inlineStr">
        <is>
          <t>吉沐牛</t>
        </is>
      </c>
      <c r="H219" s="503" t="inlineStr">
        <is>
          <t>/</t>
        </is>
      </c>
      <c r="I219" s="135" t="inlineStr">
        <is>
          <t>特色餐厅</t>
        </is>
      </c>
      <c r="J219" s="136" t="inlineStr">
        <is>
          <t>王友峰</t>
        </is>
      </c>
      <c r="K219" s="224" t="inlineStr">
        <is>
          <t>/</t>
        </is>
      </c>
      <c r="L219" s="651" t="n">
        <v>1363200</v>
      </c>
      <c r="M219" s="77" t="n">
        <v>0.06</v>
      </c>
      <c r="N219" s="77" t="n">
        <v>0.01</v>
      </c>
      <c r="O219" s="77" t="inlineStr">
        <is>
          <t>/</t>
        </is>
      </c>
      <c r="P219" s="77" t="n">
        <v>0.04</v>
      </c>
      <c r="Q219" s="77" t="n">
        <v>0.03</v>
      </c>
      <c r="R219" s="77" t="n">
        <v>0.01</v>
      </c>
      <c r="S219" s="77" t="n">
        <v>0.01</v>
      </c>
      <c r="T219" s="77" t="n"/>
      <c r="U219" s="573" t="n"/>
      <c r="V219" s="77" t="inlineStr">
        <is>
          <t>/</t>
        </is>
      </c>
      <c r="W219" s="131" t="n">
        <v>0.4</v>
      </c>
      <c r="X219" s="77" t="inlineStr">
        <is>
          <t>/</t>
        </is>
      </c>
      <c r="Y219" s="72" t="inlineStr">
        <is>
          <t>/</t>
        </is>
      </c>
      <c r="Z219" s="72" t="inlineStr">
        <is>
          <t>/</t>
        </is>
      </c>
      <c r="AA219" s="72" t="inlineStr">
        <is>
          <t>/</t>
        </is>
      </c>
      <c r="AB219" s="46" t="inlineStr">
        <is>
          <t>/</t>
        </is>
      </c>
      <c r="AC219" s="46" t="inlineStr">
        <is>
          <t>/</t>
        </is>
      </c>
      <c r="AD219" s="82" t="inlineStr">
        <is>
          <t>1、甲方捐赠：项目反馈不收取，包含在服务费中；</t>
        </is>
      </c>
      <c r="AE219" s="25" t="inlineStr">
        <is>
          <t>1、签订期间：2026.3-7月；
2、指标按照全年换算；</t>
        </is>
      </c>
    </row>
    <row r="220" ht="12" customFormat="1" customHeight="1" s="209">
      <c r="A220" s="219" t="n">
        <v>225</v>
      </c>
      <c r="B220" s="14" t="inlineStr">
        <is>
          <t>KQCY0225</t>
        </is>
      </c>
      <c r="C220" s="86" t="inlineStr">
        <is>
          <t>餐饮三分部</t>
        </is>
      </c>
      <c r="D220" s="86" t="inlineStr">
        <is>
          <t>CF641</t>
        </is>
      </c>
      <c r="E220" s="87" t="inlineStr">
        <is>
          <t>中山大学北学二食堂</t>
        </is>
      </c>
      <c r="F220" s="335" t="inlineStr">
        <is>
          <t>自营</t>
        </is>
      </c>
      <c r="G220" s="243" t="inlineStr">
        <is>
          <t>吉沐牛</t>
        </is>
      </c>
      <c r="H220" s="480" t="inlineStr">
        <is>
          <t>/</t>
        </is>
      </c>
      <c r="I220" s="335" t="inlineStr">
        <is>
          <t>/</t>
        </is>
      </c>
      <c r="J220" s="243" t="inlineStr">
        <is>
          <t>/</t>
        </is>
      </c>
      <c r="K220" s="349" t="inlineStr">
        <is>
          <t>/</t>
        </is>
      </c>
      <c r="L220" s="651" t="inlineStr">
        <is>
          <t>/</t>
        </is>
      </c>
      <c r="M220" s="349" t="inlineStr">
        <is>
          <t>/</t>
        </is>
      </c>
      <c r="N220" s="47" t="n"/>
      <c r="O220" s="47" t="n"/>
      <c r="P220" s="47" t="n"/>
      <c r="Q220" s="349" t="inlineStr">
        <is>
          <t>/</t>
        </is>
      </c>
      <c r="R220" s="349" t="inlineStr">
        <is>
          <t>/</t>
        </is>
      </c>
      <c r="S220" s="349" t="inlineStr">
        <is>
          <t>/</t>
        </is>
      </c>
      <c r="T220" s="44" t="n"/>
      <c r="U220" s="106" t="n"/>
      <c r="V220" s="349" t="inlineStr">
        <is>
          <t>/</t>
        </is>
      </c>
      <c r="W220" s="662" t="inlineStr">
        <is>
          <t>/</t>
        </is>
      </c>
      <c r="X220" s="47" t="n"/>
      <c r="Y220" s="480" t="inlineStr">
        <is>
          <t>/</t>
        </is>
      </c>
      <c r="Z220" s="480" t="inlineStr">
        <is>
          <t>/</t>
        </is>
      </c>
      <c r="AA220" s="480" t="inlineStr">
        <is>
          <t>/</t>
        </is>
      </c>
      <c r="AB220" s="46" t="n">
        <v>0.045</v>
      </c>
      <c r="AC220" s="118" t="inlineStr">
        <is>
          <t>/</t>
        </is>
      </c>
      <c r="AD220" s="48" t="inlineStr">
        <is>
          <t>1、自营未实际经营；</t>
        </is>
      </c>
      <c r="AE220" s="25" t="n"/>
    </row>
    <row r="221" ht="24" customFormat="1" customHeight="1" s="209">
      <c r="A221" s="219" t="n">
        <v>226</v>
      </c>
      <c r="B221" s="14" t="inlineStr">
        <is>
          <t>KQCY0226</t>
        </is>
      </c>
      <c r="C221" s="221" t="inlineStr">
        <is>
          <t>餐饮三分部</t>
        </is>
      </c>
      <c r="D221" s="221" t="inlineStr">
        <is>
          <t>CF641</t>
        </is>
      </c>
      <c r="E221" s="132" t="inlineStr">
        <is>
          <t>中山大学北学二食堂</t>
        </is>
      </c>
      <c r="F221" s="485" t="inlineStr">
        <is>
          <t>分组作业</t>
        </is>
      </c>
      <c r="G221" s="134" t="inlineStr">
        <is>
          <t>吉沐牛</t>
        </is>
      </c>
      <c r="H221" s="222" t="inlineStr">
        <is>
          <t>第一班组</t>
        </is>
      </c>
      <c r="I221" s="98" t="inlineStr">
        <is>
          <t>早点（大众餐、粉面）</t>
        </is>
      </c>
      <c r="J221" s="139" t="inlineStr">
        <is>
          <t>蒲久龙</t>
        </is>
      </c>
      <c r="K221" s="224" t="inlineStr">
        <is>
          <t>/</t>
        </is>
      </c>
      <c r="L221" s="651" t="n">
        <v>2400000</v>
      </c>
      <c r="M221" s="70" t="n">
        <v>0.03</v>
      </c>
      <c r="N221" s="70" t="n">
        <v>0.01</v>
      </c>
      <c r="O221" s="70" t="n">
        <v>0.06</v>
      </c>
      <c r="P221" s="70" t="n">
        <v>0.02</v>
      </c>
      <c r="Q221" s="70" t="n">
        <v>0.03</v>
      </c>
      <c r="R221" s="70" t="n">
        <v>0.01</v>
      </c>
      <c r="S221" s="70" t="n">
        <v>0.01</v>
      </c>
      <c r="T221" s="74" t="n"/>
      <c r="U221" s="94" t="n"/>
      <c r="V221" s="70" t="n">
        <v>0.002</v>
      </c>
      <c r="W221" s="79" t="n"/>
      <c r="X221" s="77" t="inlineStr">
        <is>
          <t>/</t>
        </is>
      </c>
      <c r="Y221" s="72" t="inlineStr">
        <is>
          <t>/</t>
        </is>
      </c>
      <c r="Z221" s="77" t="inlineStr">
        <is>
          <t>/</t>
        </is>
      </c>
      <c r="AA221" s="77" t="inlineStr">
        <is>
          <t>/</t>
        </is>
      </c>
      <c r="AB221" s="46" t="inlineStr">
        <is>
          <t>/</t>
        </is>
      </c>
      <c r="AC221" s="46" t="inlineStr">
        <is>
          <t>/</t>
        </is>
      </c>
      <c r="AD221" s="82" t="inlineStr">
        <is>
          <t>1、甲方管理费：项目反馈不收取，包含在服务费中；</t>
        </is>
      </c>
      <c r="AE221" s="25" t="inlineStr">
        <is>
          <t>1、签订期间：2026.2-2027.2；
2、指标按照全年换算；</t>
        </is>
      </c>
    </row>
    <row r="222" ht="24" customFormat="1" customHeight="1" s="209">
      <c r="A222" s="219" t="n">
        <v>227</v>
      </c>
      <c r="B222" s="14" t="inlineStr">
        <is>
          <t>KQCY0227</t>
        </is>
      </c>
      <c r="C222" s="221" t="inlineStr">
        <is>
          <t>餐饮三分部</t>
        </is>
      </c>
      <c r="D222" s="221" t="inlineStr">
        <is>
          <t>CF641</t>
        </is>
      </c>
      <c r="E222" s="132" t="inlineStr">
        <is>
          <t>中山大学北学二食堂</t>
        </is>
      </c>
      <c r="F222" s="485" t="inlineStr">
        <is>
          <t>分组作业</t>
        </is>
      </c>
      <c r="G222" s="134" t="inlineStr">
        <is>
          <t>吉沐牛</t>
        </is>
      </c>
      <c r="H222" s="222" t="inlineStr">
        <is>
          <t>第二班组</t>
        </is>
      </c>
      <c r="I222" s="98" t="inlineStr">
        <is>
          <t>喜多多扒饭</t>
        </is>
      </c>
      <c r="J222" s="139" t="inlineStr">
        <is>
          <t>郝晓敏</t>
        </is>
      </c>
      <c r="K222" s="224" t="inlineStr">
        <is>
          <t>/</t>
        </is>
      </c>
      <c r="L222" s="651" t="n">
        <v>640000</v>
      </c>
      <c r="M222" s="70" t="n">
        <v>0.03</v>
      </c>
      <c r="N222" s="70" t="n">
        <v>0.01</v>
      </c>
      <c r="O222" s="70" t="n">
        <v>0.06</v>
      </c>
      <c r="P222" s="70" t="n">
        <v>0.02</v>
      </c>
      <c r="Q222" s="70" t="n">
        <v>0.03</v>
      </c>
      <c r="R222" s="70" t="n">
        <v>0.01</v>
      </c>
      <c r="S222" s="70" t="n">
        <v>0.01</v>
      </c>
      <c r="T222" s="74" t="n"/>
      <c r="U222" s="94" t="n"/>
      <c r="V222" s="70" t="n">
        <v>0.002</v>
      </c>
      <c r="W222" s="79" t="n"/>
      <c r="X222" s="77" t="inlineStr">
        <is>
          <t>/</t>
        </is>
      </c>
      <c r="Y222" s="72" t="inlineStr">
        <is>
          <t>/</t>
        </is>
      </c>
      <c r="Z222" s="77" t="inlineStr">
        <is>
          <t>/</t>
        </is>
      </c>
      <c r="AA222" s="77" t="inlineStr">
        <is>
          <t>/</t>
        </is>
      </c>
      <c r="AB222" s="46" t="inlineStr">
        <is>
          <t>/</t>
        </is>
      </c>
      <c r="AC222" s="46" t="inlineStr">
        <is>
          <t>/</t>
        </is>
      </c>
      <c r="AD222" s="82" t="inlineStr">
        <is>
          <t>1、甲方管理费：项目反馈不收取，包含在服务费中；</t>
        </is>
      </c>
      <c r="AE222" s="25" t="inlineStr">
        <is>
          <t>1、签订期间：2026.2-2027.2；
2、指标按照全年换算；</t>
        </is>
      </c>
    </row>
    <row r="223" ht="24" customFormat="1" customHeight="1" s="209">
      <c r="A223" s="219" t="n">
        <v>228</v>
      </c>
      <c r="B223" s="14" t="inlineStr">
        <is>
          <t>KQCY0228</t>
        </is>
      </c>
      <c r="C223" s="221" t="inlineStr">
        <is>
          <t>餐饮三分部</t>
        </is>
      </c>
      <c r="D223" s="221" t="inlineStr">
        <is>
          <t>CF641</t>
        </is>
      </c>
      <c r="E223" s="132" t="inlineStr">
        <is>
          <t>中山大学北学二食堂</t>
        </is>
      </c>
      <c r="F223" s="485" t="inlineStr">
        <is>
          <t>分组作业</t>
        </is>
      </c>
      <c r="G223" s="134" t="inlineStr">
        <is>
          <t>吉沐牛</t>
        </is>
      </c>
      <c r="H223" s="222" t="inlineStr">
        <is>
          <t>第三班组</t>
        </is>
      </c>
      <c r="I223" s="98" t="inlineStr">
        <is>
          <t>香锅（麻辣烫）</t>
        </is>
      </c>
      <c r="J223" s="139" t="inlineStr">
        <is>
          <t>魏国义</t>
        </is>
      </c>
      <c r="K223" s="224" t="inlineStr">
        <is>
          <t>/</t>
        </is>
      </c>
      <c r="L223" s="651" t="n">
        <v>640000</v>
      </c>
      <c r="M223" s="70" t="n">
        <v>0.03</v>
      </c>
      <c r="N223" s="70" t="n">
        <v>0.01</v>
      </c>
      <c r="O223" s="70" t="n">
        <v>0.06</v>
      </c>
      <c r="P223" s="70" t="n">
        <v>0.02</v>
      </c>
      <c r="Q223" s="70" t="n">
        <v>0.03</v>
      </c>
      <c r="R223" s="70" t="n">
        <v>0.01</v>
      </c>
      <c r="S223" s="70" t="n">
        <v>0.01</v>
      </c>
      <c r="T223" s="74" t="n"/>
      <c r="U223" s="94" t="n"/>
      <c r="V223" s="70" t="n">
        <v>0.002</v>
      </c>
      <c r="W223" s="79" t="n"/>
      <c r="X223" s="77" t="inlineStr">
        <is>
          <t>/</t>
        </is>
      </c>
      <c r="Y223" s="72" t="inlineStr">
        <is>
          <t>/</t>
        </is>
      </c>
      <c r="Z223" s="77" t="inlineStr">
        <is>
          <t>/</t>
        </is>
      </c>
      <c r="AA223" s="77" t="inlineStr">
        <is>
          <t>/</t>
        </is>
      </c>
      <c r="AB223" s="46" t="inlineStr">
        <is>
          <t>/</t>
        </is>
      </c>
      <c r="AC223" s="46" t="inlineStr">
        <is>
          <t>/</t>
        </is>
      </c>
      <c r="AD223" s="82" t="inlineStr">
        <is>
          <t>1、甲方管理费：项目反馈不收取，包含在服务费中；</t>
        </is>
      </c>
      <c r="AE223" s="25" t="inlineStr">
        <is>
          <t>1、签订期间：2026.2-2027.2；
2、指标按照全年换算；</t>
        </is>
      </c>
    </row>
    <row r="224" ht="24" customFormat="1" customHeight="1" s="209">
      <c r="A224" s="219" t="n">
        <v>229</v>
      </c>
      <c r="B224" s="14" t="inlineStr">
        <is>
          <t>KQCY0229</t>
        </is>
      </c>
      <c r="C224" s="221" t="inlineStr">
        <is>
          <t>餐饮三分部</t>
        </is>
      </c>
      <c r="D224" s="221" t="inlineStr">
        <is>
          <t>CF641</t>
        </is>
      </c>
      <c r="E224" s="132" t="inlineStr">
        <is>
          <t>中山大学北学二食堂</t>
        </is>
      </c>
      <c r="F224" s="485" t="inlineStr">
        <is>
          <t>分组作业</t>
        </is>
      </c>
      <c r="G224" s="134" t="inlineStr">
        <is>
          <t>吉沐牛</t>
        </is>
      </c>
      <c r="H224" s="222" t="inlineStr">
        <is>
          <t>第四班组</t>
        </is>
      </c>
      <c r="I224" s="98" t="inlineStr">
        <is>
          <t>面条（螺蛳粉）</t>
        </is>
      </c>
      <c r="J224" s="139" t="inlineStr">
        <is>
          <t>张玉雷</t>
        </is>
      </c>
      <c r="K224" s="224" t="inlineStr">
        <is>
          <t>/</t>
        </is>
      </c>
      <c r="L224" s="651" t="n">
        <v>640000</v>
      </c>
      <c r="M224" s="70" t="n">
        <v>0.03</v>
      </c>
      <c r="N224" s="70" t="n">
        <v>0.01</v>
      </c>
      <c r="O224" s="70" t="n">
        <v>0.06</v>
      </c>
      <c r="P224" s="70" t="n">
        <v>0.02</v>
      </c>
      <c r="Q224" s="70" t="n">
        <v>0.03</v>
      </c>
      <c r="R224" s="70" t="n">
        <v>0.01</v>
      </c>
      <c r="S224" s="70" t="n">
        <v>0.01</v>
      </c>
      <c r="T224" s="74" t="n"/>
      <c r="U224" s="94" t="n"/>
      <c r="V224" s="70" t="n">
        <v>0.002</v>
      </c>
      <c r="W224" s="79" t="n"/>
      <c r="X224" s="77" t="inlineStr">
        <is>
          <t>/</t>
        </is>
      </c>
      <c r="Y224" s="72" t="inlineStr">
        <is>
          <t>/</t>
        </is>
      </c>
      <c r="Z224" s="77" t="inlineStr">
        <is>
          <t>/</t>
        </is>
      </c>
      <c r="AA224" s="77" t="inlineStr">
        <is>
          <t>/</t>
        </is>
      </c>
      <c r="AB224" s="46" t="inlineStr">
        <is>
          <t>/</t>
        </is>
      </c>
      <c r="AC224" s="46" t="inlineStr">
        <is>
          <t>/</t>
        </is>
      </c>
      <c r="AD224" s="82" t="inlineStr">
        <is>
          <t>1、甲方管理费：项目反馈不收取，包含在服务费中；</t>
        </is>
      </c>
      <c r="AE224" s="25" t="inlineStr">
        <is>
          <t>1、签订期间：2026.2-2027.2；
2、指标按照全年换算；</t>
        </is>
      </c>
    </row>
    <row r="225" ht="24" customFormat="1" customHeight="1" s="209">
      <c r="A225" s="219" t="n">
        <v>230</v>
      </c>
      <c r="B225" s="14" t="inlineStr">
        <is>
          <t>KQCY0230</t>
        </is>
      </c>
      <c r="C225" s="221" t="inlineStr">
        <is>
          <t>餐饮三分部</t>
        </is>
      </c>
      <c r="D225" s="221" t="inlineStr">
        <is>
          <t>CF641</t>
        </is>
      </c>
      <c r="E225" s="132" t="inlineStr">
        <is>
          <t>中山大学北学二食堂</t>
        </is>
      </c>
      <c r="F225" s="485" t="inlineStr">
        <is>
          <t>分组作业</t>
        </is>
      </c>
      <c r="G225" s="134" t="inlineStr">
        <is>
          <t>吉沐牛</t>
        </is>
      </c>
      <c r="H225" s="222" t="inlineStr">
        <is>
          <t>第五班组</t>
        </is>
      </c>
      <c r="I225" s="98" t="inlineStr">
        <is>
          <t>牛肉饭（烤肉拌饭）</t>
        </is>
      </c>
      <c r="J225" s="139" t="inlineStr">
        <is>
          <t>张磊</t>
        </is>
      </c>
      <c r="K225" s="224" t="inlineStr">
        <is>
          <t>/</t>
        </is>
      </c>
      <c r="L225" s="651" t="n">
        <v>640000</v>
      </c>
      <c r="M225" s="70" t="n">
        <v>0.03</v>
      </c>
      <c r="N225" s="70" t="n">
        <v>0.01</v>
      </c>
      <c r="O225" s="70" t="n">
        <v>0.06</v>
      </c>
      <c r="P225" s="70" t="n">
        <v>0.02</v>
      </c>
      <c r="Q225" s="70" t="n">
        <v>0.03</v>
      </c>
      <c r="R225" s="70" t="n">
        <v>0.01</v>
      </c>
      <c r="S225" s="70" t="n">
        <v>0.01</v>
      </c>
      <c r="T225" s="74" t="n"/>
      <c r="U225" s="94" t="n"/>
      <c r="V225" s="70" t="n">
        <v>0.002</v>
      </c>
      <c r="W225" s="79" t="n"/>
      <c r="X225" s="77" t="inlineStr">
        <is>
          <t>/</t>
        </is>
      </c>
      <c r="Y225" s="72" t="inlineStr">
        <is>
          <t>/</t>
        </is>
      </c>
      <c r="Z225" s="77" t="inlineStr">
        <is>
          <t>/</t>
        </is>
      </c>
      <c r="AA225" s="77" t="inlineStr">
        <is>
          <t>/</t>
        </is>
      </c>
      <c r="AB225" s="46" t="inlineStr">
        <is>
          <t>/</t>
        </is>
      </c>
      <c r="AC225" s="46" t="inlineStr">
        <is>
          <t>/</t>
        </is>
      </c>
      <c r="AD225" s="82" t="inlineStr">
        <is>
          <t>1、甲方管理费：项目反馈不收取，包含在服务费中；</t>
        </is>
      </c>
      <c r="AE225" s="53" t="inlineStr">
        <is>
          <t>1、签订期间：2026.2-2026.7；
2、指标按照全年换算；</t>
        </is>
      </c>
    </row>
    <row r="226" ht="12" customFormat="1" customHeight="1" s="209">
      <c r="A226" s="219" t="n">
        <v>231</v>
      </c>
      <c r="B226" s="14" t="inlineStr">
        <is>
          <t>KQCY0231</t>
        </is>
      </c>
      <c r="C226" s="86" t="inlineStr">
        <is>
          <t>餐饮三分部</t>
        </is>
      </c>
      <c r="D226" s="86" t="inlineStr">
        <is>
          <t>CF640</t>
        </is>
      </c>
      <c r="E226" s="87" t="inlineStr">
        <is>
          <t>广东财大雅食园食堂</t>
        </is>
      </c>
      <c r="F226" s="335" t="inlineStr">
        <is>
          <t>自营</t>
        </is>
      </c>
      <c r="G226" s="243" t="inlineStr">
        <is>
          <t>吉沐牛</t>
        </is>
      </c>
      <c r="H226" s="243" t="inlineStr">
        <is>
          <t>/</t>
        </is>
      </c>
      <c r="I226" s="480" t="inlineStr">
        <is>
          <t>/</t>
        </is>
      </c>
      <c r="J226" s="480" t="inlineStr">
        <is>
          <t>/</t>
        </is>
      </c>
      <c r="K226" s="349" t="inlineStr">
        <is>
          <t>/</t>
        </is>
      </c>
      <c r="L226" s="651" t="inlineStr">
        <is>
          <t>/</t>
        </is>
      </c>
      <c r="M226" s="462" t="inlineStr">
        <is>
          <t>/</t>
        </is>
      </c>
      <c r="N226" s="462" t="inlineStr">
        <is>
          <t>/</t>
        </is>
      </c>
      <c r="O226" s="462" t="inlineStr">
        <is>
          <t>/</t>
        </is>
      </c>
      <c r="P226" s="140" t="n"/>
      <c r="Q226" s="59" t="inlineStr">
        <is>
          <t>/</t>
        </is>
      </c>
      <c r="R226" s="462" t="inlineStr">
        <is>
          <t>/</t>
        </is>
      </c>
      <c r="S226" s="349" t="inlineStr">
        <is>
          <t>/</t>
        </is>
      </c>
      <c r="T226" s="44" t="n"/>
      <c r="U226" s="106" t="n"/>
      <c r="V226" s="349" t="inlineStr">
        <is>
          <t>/</t>
        </is>
      </c>
      <c r="W226" s="349" t="inlineStr">
        <is>
          <t>/</t>
        </is>
      </c>
      <c r="X226" s="47" t="n"/>
      <c r="Y226" s="480" t="inlineStr">
        <is>
          <t>/</t>
        </is>
      </c>
      <c r="Z226" s="349" t="inlineStr">
        <is>
          <t>/</t>
        </is>
      </c>
      <c r="AA226" s="349" t="inlineStr">
        <is>
          <t>/</t>
        </is>
      </c>
      <c r="AB226" s="243" t="inlineStr">
        <is>
          <t>/</t>
        </is>
      </c>
      <c r="AC226" s="118" t="inlineStr">
        <is>
          <t>/</t>
        </is>
      </c>
      <c r="AD226" s="48" t="inlineStr">
        <is>
          <t>1、自营未实际经营；</t>
        </is>
      </c>
      <c r="AE226" s="53" t="n"/>
    </row>
    <row r="227" ht="60" customFormat="1" customHeight="1" s="209">
      <c r="A227" s="219" t="n">
        <v>232</v>
      </c>
      <c r="B227" s="14" t="inlineStr">
        <is>
          <t>KQCY0232</t>
        </is>
      </c>
      <c r="C227" s="221" t="inlineStr">
        <is>
          <t>餐饮三分部</t>
        </is>
      </c>
      <c r="D227" s="221" t="inlineStr">
        <is>
          <t>CF640</t>
        </is>
      </c>
      <c r="E227" s="132" t="inlineStr">
        <is>
          <t>广东财大雅食园食堂</t>
        </is>
      </c>
      <c r="F227" s="485" t="inlineStr">
        <is>
          <t>分组作业</t>
        </is>
      </c>
      <c r="G227" s="134" t="inlineStr">
        <is>
          <t>吉沐牛</t>
        </is>
      </c>
      <c r="H227" s="222" t="inlineStr">
        <is>
          <t>第一班组</t>
        </is>
      </c>
      <c r="I227" s="98" t="inlineStr">
        <is>
          <t>早点(大众餐)</t>
        </is>
      </c>
      <c r="J227" s="139" t="inlineStr">
        <is>
          <t>黄国青</t>
        </is>
      </c>
      <c r="K227" s="224" t="inlineStr">
        <is>
          <t>/</t>
        </is>
      </c>
      <c r="L227" s="651" t="n">
        <v>1200000</v>
      </c>
      <c r="M227" s="71" t="n">
        <v>10000</v>
      </c>
      <c r="N227" s="71" t="n"/>
      <c r="O227" s="71" t="n"/>
      <c r="P227" s="81" t="inlineStr">
        <is>
          <t>/</t>
        </is>
      </c>
      <c r="Q227" s="81" t="inlineStr">
        <is>
          <t>/</t>
        </is>
      </c>
      <c r="R227" s="71" t="n"/>
      <c r="S227" s="77" t="inlineStr">
        <is>
          <t>/</t>
        </is>
      </c>
      <c r="T227" s="72" t="n"/>
      <c r="U227" s="71" t="n"/>
      <c r="V227" s="77" t="inlineStr">
        <is>
          <t>/</t>
        </is>
      </c>
      <c r="W227" s="79" t="n"/>
      <c r="X227" s="77" t="inlineStr">
        <is>
          <t>/</t>
        </is>
      </c>
      <c r="Y227" s="72" t="inlineStr">
        <is>
          <t>/</t>
        </is>
      </c>
      <c r="Z227" s="77" t="inlineStr">
        <is>
          <t>/</t>
        </is>
      </c>
      <c r="AA227" s="77" t="inlineStr">
        <is>
          <t>/</t>
        </is>
      </c>
      <c r="AB227" s="222" t="inlineStr">
        <is>
          <t>/</t>
        </is>
      </c>
      <c r="AC227" s="46" t="inlineStr">
        <is>
          <t>/</t>
        </is>
      </c>
      <c r="AD227" s="82" t="inlineStr">
        <is>
          <t>1、服务费：1、3-7；9-12月收取服务费，每月10000；
2、装修折旧费：项目反馈不收取，包含在服务费中；
3、管理人员费：项目反馈不收取，包含在服务费中；
4、资产费：项目反馈不收取，包含在服务费中；
5、甲方服务费：项目反馈不收取，包含在服务费中；</t>
        </is>
      </c>
      <c r="AE227" s="53" t="inlineStr">
        <is>
          <t>1、签订期间：2026.2-2026.7；
2、指标按照全年换算；
3、管理费10000元/月</t>
        </is>
      </c>
    </row>
    <row r="228" ht="12" customFormat="1" customHeight="1" s="209">
      <c r="A228" s="219" t="n">
        <v>233</v>
      </c>
      <c r="B228" s="14" t="inlineStr">
        <is>
          <t>KQCY0233</t>
        </is>
      </c>
      <c r="C228" s="86" t="inlineStr">
        <is>
          <t>餐饮三分部</t>
        </is>
      </c>
      <c r="D228" s="86" t="inlineStr">
        <is>
          <t>CF781</t>
        </is>
      </c>
      <c r="E228" s="87" t="inlineStr">
        <is>
          <t>苏食院第一学生食堂</t>
        </is>
      </c>
      <c r="F228" s="335" t="inlineStr">
        <is>
          <t>自营</t>
        </is>
      </c>
      <c r="G228" s="243" t="inlineStr">
        <is>
          <t>吉沐牛</t>
        </is>
      </c>
      <c r="H228" s="480" t="inlineStr">
        <is>
          <t>/</t>
        </is>
      </c>
      <c r="I228" s="480" t="inlineStr">
        <is>
          <t>/</t>
        </is>
      </c>
      <c r="J228" s="480" t="inlineStr">
        <is>
          <t>/</t>
        </is>
      </c>
      <c r="K228" s="349" t="inlineStr">
        <is>
          <t>/</t>
        </is>
      </c>
      <c r="L228" s="651" t="inlineStr">
        <is>
          <t>/</t>
        </is>
      </c>
      <c r="M228" s="92" t="inlineStr">
        <is>
          <t>/</t>
        </is>
      </c>
      <c r="N228" s="140" t="n"/>
      <c r="O228" s="140" t="n"/>
      <c r="P228" s="140" t="n"/>
      <c r="Q228" s="140" t="n"/>
      <c r="R228" s="140" t="n"/>
      <c r="S228" s="349" t="inlineStr">
        <is>
          <t>/</t>
        </is>
      </c>
      <c r="T228" s="106" t="n"/>
      <c r="U228" s="106" t="n"/>
      <c r="V228" s="395" t="n"/>
      <c r="W228" s="44" t="n"/>
      <c r="X228" s="480" t="inlineStr">
        <is>
          <t>/</t>
        </is>
      </c>
      <c r="Y228" s="480" t="inlineStr">
        <is>
          <t>/</t>
        </is>
      </c>
      <c r="Z228" s="480" t="inlineStr">
        <is>
          <t>/</t>
        </is>
      </c>
      <c r="AA228" s="480" t="inlineStr">
        <is>
          <t>/</t>
        </is>
      </c>
      <c r="AB228" s="46" t="n">
        <v>0.05</v>
      </c>
      <c r="AC228" s="118" t="inlineStr">
        <is>
          <t>/</t>
        </is>
      </c>
      <c r="AD228" s="48" t="inlineStr">
        <is>
          <t>1、自营未实际经营；</t>
        </is>
      </c>
      <c r="AE228" s="25" t="n"/>
    </row>
    <row r="229" ht="84" customFormat="1" customHeight="1" s="209">
      <c r="A229" s="219" t="n">
        <v>234</v>
      </c>
      <c r="B229" s="14" t="inlineStr">
        <is>
          <t>KQCY0234</t>
        </is>
      </c>
      <c r="C229" s="221" t="inlineStr">
        <is>
          <t>餐饮三分部</t>
        </is>
      </c>
      <c r="D229" s="221" t="inlineStr">
        <is>
          <t>CF781</t>
        </is>
      </c>
      <c r="E229" s="132" t="inlineStr">
        <is>
          <t>苏食院第一学生食堂</t>
        </is>
      </c>
      <c r="F229" s="219" t="inlineStr">
        <is>
          <t>分组作业</t>
        </is>
      </c>
      <c r="G229" s="222" t="inlineStr">
        <is>
          <t>吉沐牛</t>
        </is>
      </c>
      <c r="H229" s="503" t="inlineStr">
        <is>
          <t>/</t>
        </is>
      </c>
      <c r="I229" s="232" t="inlineStr">
        <is>
          <t>兰州拉面</t>
        </is>
      </c>
      <c r="J229" s="139" t="inlineStr">
        <is>
          <t>马金明</t>
        </is>
      </c>
      <c r="K229" s="224" t="inlineStr">
        <is>
          <t>/</t>
        </is>
      </c>
      <c r="L229" s="651" t="inlineStr">
        <is>
          <t>/</t>
        </is>
      </c>
      <c r="M229" s="84" t="n">
        <v>0.23</v>
      </c>
      <c r="N229" s="81" t="inlineStr">
        <is>
          <t>/</t>
        </is>
      </c>
      <c r="O229" s="81" t="inlineStr">
        <is>
          <t>/</t>
        </is>
      </c>
      <c r="P229" s="81" t="inlineStr">
        <is>
          <t>/</t>
        </is>
      </c>
      <c r="Q229" s="81" t="inlineStr">
        <is>
          <t>/</t>
        </is>
      </c>
      <c r="R229" s="81" t="inlineStr">
        <is>
          <t>/</t>
        </is>
      </c>
      <c r="S229" s="77" t="inlineStr">
        <is>
          <t>/</t>
        </is>
      </c>
      <c r="T229" s="71" t="inlineStr">
        <is>
          <t>/</t>
        </is>
      </c>
      <c r="U229" s="70" t="inlineStr">
        <is>
          <t>/</t>
        </is>
      </c>
      <c r="V229" s="71" t="inlineStr">
        <is>
          <t>/</t>
        </is>
      </c>
      <c r="W229" s="74" t="n"/>
      <c r="X229" s="72" t="inlineStr">
        <is>
          <t>/</t>
        </is>
      </c>
      <c r="Y229" s="72" t="inlineStr">
        <is>
          <t>/</t>
        </is>
      </c>
      <c r="Z229" s="72" t="inlineStr">
        <is>
          <t>/</t>
        </is>
      </c>
      <c r="AA229" s="72" t="inlineStr">
        <is>
          <t>/</t>
        </is>
      </c>
      <c r="AB229" s="222" t="inlineStr">
        <is>
          <t>/</t>
        </is>
      </c>
      <c r="AC229" s="46" t="inlineStr">
        <is>
          <t>/</t>
        </is>
      </c>
      <c r="AD229" s="76"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
7、能源费：项目反馈不收取，包含在服务费中；</t>
        </is>
      </c>
      <c r="AE229" s="25" t="inlineStr">
        <is>
          <t>已撤场（2026年3月）；</t>
        </is>
      </c>
    </row>
    <row r="230" ht="24" customFormat="1" customHeight="1" s="209">
      <c r="A230" s="219" t="n">
        <v>235</v>
      </c>
      <c r="B230" s="14" t="inlineStr">
        <is>
          <t>KQCY0235</t>
        </is>
      </c>
      <c r="C230" s="221" t="inlineStr">
        <is>
          <t>餐饮三分部</t>
        </is>
      </c>
      <c r="D230" s="221" t="inlineStr">
        <is>
          <t>CF781</t>
        </is>
      </c>
      <c r="E230" s="61" t="inlineStr">
        <is>
          <t>苏食院第一学生食堂</t>
        </is>
      </c>
      <c r="F230" s="219" t="inlineStr">
        <is>
          <t>分组作业</t>
        </is>
      </c>
      <c r="G230" s="222" t="inlineStr">
        <is>
          <t>吉沐牛</t>
        </is>
      </c>
      <c r="H230" s="503" t="inlineStr">
        <is>
          <t>/</t>
        </is>
      </c>
      <c r="I230" s="237" t="inlineStr">
        <is>
          <t>米线</t>
        </is>
      </c>
      <c r="J230" s="222" t="inlineStr">
        <is>
          <t>许慧强</t>
        </is>
      </c>
      <c r="K230" s="224" t="inlineStr">
        <is>
          <t>/</t>
        </is>
      </c>
      <c r="L230" s="651" t="n">
        <v>250000</v>
      </c>
      <c r="M230" s="84" t="n">
        <v>0.12</v>
      </c>
      <c r="N230" s="84" t="n">
        <v>0.02</v>
      </c>
      <c r="O230" s="84" t="n">
        <v>0.02</v>
      </c>
      <c r="P230" s="84" t="n">
        <v>0.02</v>
      </c>
      <c r="Q230" s="84" t="n">
        <v>0.02</v>
      </c>
      <c r="R230" s="84" t="n">
        <v>0.01</v>
      </c>
      <c r="S230" s="71" t="inlineStr">
        <is>
          <t>/</t>
        </is>
      </c>
      <c r="T230" s="84" t="n">
        <v>0.02</v>
      </c>
      <c r="U230" s="84" t="n">
        <v>0.05</v>
      </c>
      <c r="V230" s="71" t="inlineStr">
        <is>
          <t>/</t>
        </is>
      </c>
      <c r="W230" s="94" t="n"/>
      <c r="X230" s="72" t="inlineStr">
        <is>
          <t>/</t>
        </is>
      </c>
      <c r="Y230" s="72" t="inlineStr">
        <is>
          <t>/</t>
        </is>
      </c>
      <c r="Z230" s="71" t="inlineStr">
        <is>
          <t>/</t>
        </is>
      </c>
      <c r="AA230" s="71" t="inlineStr">
        <is>
          <t>/</t>
        </is>
      </c>
      <c r="AB230" s="222" t="inlineStr">
        <is>
          <t>/</t>
        </is>
      </c>
      <c r="AC230" s="46" t="inlineStr">
        <is>
          <t>/</t>
        </is>
      </c>
      <c r="AD230" s="141" t="n"/>
      <c r="AE230" s="25" t="inlineStr">
        <is>
          <t>1、签订期间：2026.2-8月；
2、指标按照全年换算；</t>
        </is>
      </c>
    </row>
    <row r="231" ht="24" customFormat="1" customHeight="1" s="209">
      <c r="A231" s="219" t="n">
        <v>236</v>
      </c>
      <c r="B231" s="14" t="inlineStr">
        <is>
          <t>KQCY0236</t>
        </is>
      </c>
      <c r="C231" s="221" t="inlineStr">
        <is>
          <t>餐饮三分部</t>
        </is>
      </c>
      <c r="D231" s="221" t="inlineStr">
        <is>
          <t>CF781</t>
        </is>
      </c>
      <c r="E231" s="61" t="inlineStr">
        <is>
          <t>苏食院第一学生食堂</t>
        </is>
      </c>
      <c r="F231" s="219" t="inlineStr">
        <is>
          <t>分组作业</t>
        </is>
      </c>
      <c r="G231" s="222" t="inlineStr">
        <is>
          <t>吉沐牛</t>
        </is>
      </c>
      <c r="H231" s="503" t="inlineStr">
        <is>
          <t>/</t>
        </is>
      </c>
      <c r="I231" s="237" t="inlineStr">
        <is>
          <t>早点</t>
        </is>
      </c>
      <c r="J231" s="222" t="inlineStr">
        <is>
          <t>李帮</t>
        </is>
      </c>
      <c r="K231" s="224" t="inlineStr">
        <is>
          <t>/</t>
        </is>
      </c>
      <c r="L231" s="651" t="n">
        <v>530000</v>
      </c>
      <c r="M231" s="84" t="n">
        <v>0.12</v>
      </c>
      <c r="N231" s="84" t="n">
        <v>0.02</v>
      </c>
      <c r="O231" s="84" t="n">
        <v>0.02</v>
      </c>
      <c r="P231" s="84" t="n">
        <v>0.02</v>
      </c>
      <c r="Q231" s="84" t="n">
        <v>0.02</v>
      </c>
      <c r="R231" s="84" t="n">
        <v>0.01</v>
      </c>
      <c r="S231" s="71" t="inlineStr">
        <is>
          <t>/</t>
        </is>
      </c>
      <c r="T231" s="84" t="n">
        <v>0.02</v>
      </c>
      <c r="U231" s="84" t="n">
        <v>0.05</v>
      </c>
      <c r="V231" s="71" t="inlineStr">
        <is>
          <t>/</t>
        </is>
      </c>
      <c r="W231" s="94" t="n"/>
      <c r="X231" s="72" t="inlineStr">
        <is>
          <t>/</t>
        </is>
      </c>
      <c r="Y231" s="72" t="inlineStr">
        <is>
          <t>/</t>
        </is>
      </c>
      <c r="Z231" s="71" t="inlineStr">
        <is>
          <t>/</t>
        </is>
      </c>
      <c r="AA231" s="71" t="inlineStr">
        <is>
          <t>/</t>
        </is>
      </c>
      <c r="AB231" s="222" t="inlineStr">
        <is>
          <t>/</t>
        </is>
      </c>
      <c r="AC231" s="46" t="inlineStr">
        <is>
          <t>/</t>
        </is>
      </c>
      <c r="AD231" s="141" t="n"/>
      <c r="AE231" s="25" t="inlineStr">
        <is>
          <t>1、签订期间：2026.2-8月；
2、指标按照全年换算；</t>
        </is>
      </c>
    </row>
    <row r="232" ht="24" customFormat="1" customHeight="1" s="209">
      <c r="A232" s="219" t="n">
        <v>237</v>
      </c>
      <c r="B232" s="14" t="inlineStr">
        <is>
          <t>KQCY0237</t>
        </is>
      </c>
      <c r="C232" s="221" t="inlineStr">
        <is>
          <t>餐饮三分部</t>
        </is>
      </c>
      <c r="D232" s="221" t="inlineStr">
        <is>
          <t>CF781</t>
        </is>
      </c>
      <c r="E232" s="61" t="inlineStr">
        <is>
          <t>苏食院第一学生食堂</t>
        </is>
      </c>
      <c r="F232" s="219" t="inlineStr">
        <is>
          <t>分组作业</t>
        </is>
      </c>
      <c r="G232" s="222" t="inlineStr">
        <is>
          <t>吉沐牛</t>
        </is>
      </c>
      <c r="H232" s="503" t="inlineStr">
        <is>
          <t>/</t>
        </is>
      </c>
      <c r="I232" s="237" t="inlineStr">
        <is>
          <t>快餐</t>
        </is>
      </c>
      <c r="J232" s="222" t="inlineStr">
        <is>
          <t>吴荣花</t>
        </is>
      </c>
      <c r="K232" s="224" t="inlineStr">
        <is>
          <t>/</t>
        </is>
      </c>
      <c r="L232" s="651" t="n">
        <v>1240000</v>
      </c>
      <c r="M232" s="84" t="n">
        <v>0.1</v>
      </c>
      <c r="N232" s="84" t="n">
        <v>0.01</v>
      </c>
      <c r="O232" s="84" t="n">
        <v>0.01</v>
      </c>
      <c r="P232" s="84" t="n">
        <v>0.02</v>
      </c>
      <c r="Q232" s="84" t="n">
        <v>0.01</v>
      </c>
      <c r="R232" s="84" t="n">
        <v>0.01</v>
      </c>
      <c r="S232" s="71" t="inlineStr">
        <is>
          <t>/</t>
        </is>
      </c>
      <c r="T232" s="84" t="n">
        <v>0.01</v>
      </c>
      <c r="U232" s="84" t="n">
        <v>0.05</v>
      </c>
      <c r="V232" s="71" t="inlineStr">
        <is>
          <t>/</t>
        </is>
      </c>
      <c r="W232" s="94" t="n"/>
      <c r="X232" s="72" t="inlineStr">
        <is>
          <t>/</t>
        </is>
      </c>
      <c r="Y232" s="72" t="inlineStr">
        <is>
          <t>/</t>
        </is>
      </c>
      <c r="Z232" s="71" t="inlineStr">
        <is>
          <t>/</t>
        </is>
      </c>
      <c r="AA232" s="71" t="inlineStr">
        <is>
          <t>/</t>
        </is>
      </c>
      <c r="AB232" s="222" t="inlineStr">
        <is>
          <t>/</t>
        </is>
      </c>
      <c r="AC232" s="46" t="inlineStr">
        <is>
          <t>/</t>
        </is>
      </c>
      <c r="AD232" s="141" t="n"/>
      <c r="AE232" s="25" t="inlineStr">
        <is>
          <t>1、签订期间：2026.2-8月；
2、指标按照全年换算；</t>
        </is>
      </c>
    </row>
    <row r="233" ht="24" customFormat="1" customHeight="1" s="209">
      <c r="A233" s="219" t="n">
        <v>238</v>
      </c>
      <c r="B233" s="14" t="inlineStr">
        <is>
          <t>KQCY0238</t>
        </is>
      </c>
      <c r="C233" s="221" t="inlineStr">
        <is>
          <t>餐饮三分部</t>
        </is>
      </c>
      <c r="D233" s="221" t="inlineStr">
        <is>
          <t>CF781</t>
        </is>
      </c>
      <c r="E233" s="61" t="inlineStr">
        <is>
          <t>苏食院第一学生食堂</t>
        </is>
      </c>
      <c r="F233" s="219" t="inlineStr">
        <is>
          <t>分组作业</t>
        </is>
      </c>
      <c r="G233" s="222" t="inlineStr">
        <is>
          <t>吉沐牛</t>
        </is>
      </c>
      <c r="H233" s="503" t="inlineStr">
        <is>
          <t>/</t>
        </is>
      </c>
      <c r="I233" s="237" t="inlineStr">
        <is>
          <t>羊杂面</t>
        </is>
      </c>
      <c r="J233" s="222" t="inlineStr">
        <is>
          <t>许慧强</t>
        </is>
      </c>
      <c r="K233" s="224" t="inlineStr">
        <is>
          <t>/</t>
        </is>
      </c>
      <c r="L233" s="651" t="n">
        <v>700000</v>
      </c>
      <c r="M233" s="84" t="n">
        <v>0.12</v>
      </c>
      <c r="N233" s="84" t="n">
        <v>0.02</v>
      </c>
      <c r="O233" s="84" t="n">
        <v>0.02</v>
      </c>
      <c r="P233" s="84" t="n">
        <v>0.02</v>
      </c>
      <c r="Q233" s="84" t="n">
        <v>0.02</v>
      </c>
      <c r="R233" s="84" t="n">
        <v>0.01</v>
      </c>
      <c r="S233" s="71" t="inlineStr">
        <is>
          <t>/</t>
        </is>
      </c>
      <c r="T233" s="84" t="n">
        <v>0.02</v>
      </c>
      <c r="U233" s="84" t="n">
        <v>0.05</v>
      </c>
      <c r="V233" s="71" t="inlineStr">
        <is>
          <t>/</t>
        </is>
      </c>
      <c r="W233" s="94" t="n"/>
      <c r="X233" s="72" t="inlineStr">
        <is>
          <t>/</t>
        </is>
      </c>
      <c r="Y233" s="72" t="inlineStr">
        <is>
          <t>/</t>
        </is>
      </c>
      <c r="Z233" s="71" t="inlineStr">
        <is>
          <t>/</t>
        </is>
      </c>
      <c r="AA233" s="71" t="inlineStr">
        <is>
          <t>/</t>
        </is>
      </c>
      <c r="AB233" s="222" t="inlineStr">
        <is>
          <t>/</t>
        </is>
      </c>
      <c r="AC233" s="46" t="inlineStr">
        <is>
          <t>/</t>
        </is>
      </c>
      <c r="AD233" s="141" t="n"/>
      <c r="AE233" s="25" t="inlineStr">
        <is>
          <t>1、签订期间：2026.2-8月；
2、指标按照全年换算；</t>
        </is>
      </c>
    </row>
    <row r="234" ht="24" customFormat="1" customHeight="1" s="209">
      <c r="A234" s="219" t="n">
        <v>239</v>
      </c>
      <c r="B234" s="14" t="inlineStr">
        <is>
          <t>KQCY0239</t>
        </is>
      </c>
      <c r="C234" s="221" t="inlineStr">
        <is>
          <t>餐饮三分部</t>
        </is>
      </c>
      <c r="D234" s="221" t="inlineStr">
        <is>
          <t>CF781</t>
        </is>
      </c>
      <c r="E234" s="61" t="inlineStr">
        <is>
          <t>苏食院第一学生食堂</t>
        </is>
      </c>
      <c r="F234" s="219" t="inlineStr">
        <is>
          <t>分组作业</t>
        </is>
      </c>
      <c r="G234" s="222" t="inlineStr">
        <is>
          <t>吉沐牛</t>
        </is>
      </c>
      <c r="H234" s="503" t="inlineStr">
        <is>
          <t>/</t>
        </is>
      </c>
      <c r="I234" s="237" t="inlineStr">
        <is>
          <t>牛肉粉丝汤</t>
        </is>
      </c>
      <c r="J234" s="222" t="inlineStr">
        <is>
          <t>张宗芳</t>
        </is>
      </c>
      <c r="K234" s="224" t="inlineStr">
        <is>
          <t>/</t>
        </is>
      </c>
      <c r="L234" s="651" t="n">
        <v>500000</v>
      </c>
      <c r="M234" s="84" t="n">
        <v>0.12</v>
      </c>
      <c r="N234" s="84" t="n">
        <v>0.02</v>
      </c>
      <c r="O234" s="84" t="n">
        <v>0.02</v>
      </c>
      <c r="P234" s="84" t="n">
        <v>0.02</v>
      </c>
      <c r="Q234" s="84" t="n">
        <v>0.02</v>
      </c>
      <c r="R234" s="84" t="n">
        <v>0.01</v>
      </c>
      <c r="S234" s="71" t="inlineStr">
        <is>
          <t>/</t>
        </is>
      </c>
      <c r="T234" s="84" t="n">
        <v>0.02</v>
      </c>
      <c r="U234" s="84" t="n">
        <v>0.05</v>
      </c>
      <c r="V234" s="71" t="inlineStr">
        <is>
          <t>/</t>
        </is>
      </c>
      <c r="W234" s="94" t="n"/>
      <c r="X234" s="72" t="inlineStr">
        <is>
          <t>/</t>
        </is>
      </c>
      <c r="Y234" s="72" t="inlineStr">
        <is>
          <t>/</t>
        </is>
      </c>
      <c r="Z234" s="71" t="inlineStr">
        <is>
          <t>/</t>
        </is>
      </c>
      <c r="AA234" s="71" t="inlineStr">
        <is>
          <t>/</t>
        </is>
      </c>
      <c r="AB234" s="222" t="inlineStr">
        <is>
          <t>/</t>
        </is>
      </c>
      <c r="AC234" s="46" t="inlineStr">
        <is>
          <t>/</t>
        </is>
      </c>
      <c r="AD234" s="141" t="n"/>
      <c r="AE234" s="25" t="inlineStr">
        <is>
          <t>1、签订期间：2026.2-8月；
2、指标按照全年换算；</t>
        </is>
      </c>
    </row>
    <row r="235" ht="24" customFormat="1" customHeight="1" s="209">
      <c r="A235" s="219" t="n">
        <v>240</v>
      </c>
      <c r="B235" s="14" t="inlineStr">
        <is>
          <t>KQCY0240</t>
        </is>
      </c>
      <c r="C235" s="221" t="inlineStr">
        <is>
          <t>餐饮三分部</t>
        </is>
      </c>
      <c r="D235" s="221" t="inlineStr">
        <is>
          <t>CF781</t>
        </is>
      </c>
      <c r="E235" s="61" t="inlineStr">
        <is>
          <t>苏食院第一学生食堂</t>
        </is>
      </c>
      <c r="F235" s="219" t="inlineStr">
        <is>
          <t>分组作业</t>
        </is>
      </c>
      <c r="G235" s="222" t="inlineStr">
        <is>
          <t>吉沐牛</t>
        </is>
      </c>
      <c r="H235" s="503" t="inlineStr">
        <is>
          <t>/</t>
        </is>
      </c>
      <c r="I235" s="237" t="inlineStr">
        <is>
          <t>汤包蒸饺</t>
        </is>
      </c>
      <c r="J235" s="222" t="inlineStr">
        <is>
          <t>嵇炜</t>
        </is>
      </c>
      <c r="K235" s="224" t="inlineStr">
        <is>
          <t>/</t>
        </is>
      </c>
      <c r="L235" s="651" t="n">
        <v>540000</v>
      </c>
      <c r="M235" s="84" t="n">
        <v>0.12</v>
      </c>
      <c r="N235" s="84" t="n">
        <v>0.02</v>
      </c>
      <c r="O235" s="84" t="n">
        <v>0.02</v>
      </c>
      <c r="P235" s="84" t="n">
        <v>0.02</v>
      </c>
      <c r="Q235" s="84" t="n">
        <v>0.02</v>
      </c>
      <c r="R235" s="84" t="n">
        <v>0.01</v>
      </c>
      <c r="S235" s="71" t="inlineStr">
        <is>
          <t>/</t>
        </is>
      </c>
      <c r="T235" s="84" t="n">
        <v>0.02</v>
      </c>
      <c r="U235" s="84" t="n">
        <v>0.05</v>
      </c>
      <c r="V235" s="71" t="inlineStr">
        <is>
          <t>/</t>
        </is>
      </c>
      <c r="W235" s="94" t="n"/>
      <c r="X235" s="72" t="inlineStr">
        <is>
          <t>/</t>
        </is>
      </c>
      <c r="Y235" s="72" t="inlineStr">
        <is>
          <t>/</t>
        </is>
      </c>
      <c r="Z235" s="71" t="inlineStr">
        <is>
          <t>/</t>
        </is>
      </c>
      <c r="AA235" s="71" t="inlineStr">
        <is>
          <t>/</t>
        </is>
      </c>
      <c r="AB235" s="222" t="inlineStr">
        <is>
          <t>/</t>
        </is>
      </c>
      <c r="AC235" s="46" t="inlineStr">
        <is>
          <t>/</t>
        </is>
      </c>
      <c r="AD235" s="141" t="n"/>
      <c r="AE235" s="25" t="inlineStr">
        <is>
          <t>1、签订期间：2026.2-8月；
2、指标按照全年换算；</t>
        </is>
      </c>
    </row>
    <row r="236" ht="24" customFormat="1" customHeight="1" s="209">
      <c r="A236" s="219" t="n">
        <v>241</v>
      </c>
      <c r="B236" s="14" t="inlineStr">
        <is>
          <t>KQCY0241</t>
        </is>
      </c>
      <c r="C236" s="221" t="inlineStr">
        <is>
          <t>餐饮三分部</t>
        </is>
      </c>
      <c r="D236" s="221" t="inlineStr">
        <is>
          <t>CF781</t>
        </is>
      </c>
      <c r="E236" s="61" t="inlineStr">
        <is>
          <t>苏食院第一学生食堂</t>
        </is>
      </c>
      <c r="F236" s="219" t="inlineStr">
        <is>
          <t>分组作业</t>
        </is>
      </c>
      <c r="G236" s="222" t="inlineStr">
        <is>
          <t>吉沐牛</t>
        </is>
      </c>
      <c r="H236" s="503" t="inlineStr">
        <is>
          <t>/</t>
        </is>
      </c>
      <c r="I236" s="237" t="inlineStr">
        <is>
          <t>套餐饭</t>
        </is>
      </c>
      <c r="J236" s="222" t="inlineStr">
        <is>
          <t>白亚雪</t>
        </is>
      </c>
      <c r="K236" s="224" t="inlineStr">
        <is>
          <t>/</t>
        </is>
      </c>
      <c r="L236" s="651" t="n">
        <v>600000</v>
      </c>
      <c r="M236" s="84" t="n">
        <v>0.12</v>
      </c>
      <c r="N236" s="84" t="n">
        <v>0.02</v>
      </c>
      <c r="O236" s="84" t="n">
        <v>0.02</v>
      </c>
      <c r="P236" s="84" t="n">
        <v>0.02</v>
      </c>
      <c r="Q236" s="84" t="n">
        <v>0.02</v>
      </c>
      <c r="R236" s="84" t="n">
        <v>0.01</v>
      </c>
      <c r="S236" s="71" t="inlineStr">
        <is>
          <t>/</t>
        </is>
      </c>
      <c r="T236" s="84" t="n">
        <v>0.02</v>
      </c>
      <c r="U236" s="84" t="n">
        <v>0.05</v>
      </c>
      <c r="V236" s="71" t="inlineStr">
        <is>
          <t>/</t>
        </is>
      </c>
      <c r="W236" s="94" t="n"/>
      <c r="X236" s="72" t="inlineStr">
        <is>
          <t>/</t>
        </is>
      </c>
      <c r="Y236" s="72" t="inlineStr">
        <is>
          <t>/</t>
        </is>
      </c>
      <c r="Z236" s="71" t="inlineStr">
        <is>
          <t>/</t>
        </is>
      </c>
      <c r="AA236" s="71" t="inlineStr">
        <is>
          <t>/</t>
        </is>
      </c>
      <c r="AB236" s="222" t="inlineStr">
        <is>
          <t>/</t>
        </is>
      </c>
      <c r="AC236" s="46" t="inlineStr">
        <is>
          <t>/</t>
        </is>
      </c>
      <c r="AD236" s="141" t="n"/>
      <c r="AE236" s="25" t="inlineStr">
        <is>
          <t>1、签订期间：2026.2-8月；
2、指标按照全年换算；</t>
        </is>
      </c>
    </row>
    <row r="237" ht="24" customFormat="1" customHeight="1" s="209">
      <c r="A237" s="219" t="n">
        <v>242</v>
      </c>
      <c r="B237" s="14" t="inlineStr">
        <is>
          <t>KQCY0242</t>
        </is>
      </c>
      <c r="C237" s="221" t="inlineStr">
        <is>
          <t>餐饮三分部</t>
        </is>
      </c>
      <c r="D237" s="221" t="inlineStr">
        <is>
          <t>CF781</t>
        </is>
      </c>
      <c r="E237" s="61" t="inlineStr">
        <is>
          <t>苏食院第一学生食堂</t>
        </is>
      </c>
      <c r="F237" s="219" t="inlineStr">
        <is>
          <t>分组作业</t>
        </is>
      </c>
      <c r="G237" s="222" t="inlineStr">
        <is>
          <t>吉沐牛</t>
        </is>
      </c>
      <c r="H237" s="503" t="inlineStr">
        <is>
          <t>/</t>
        </is>
      </c>
      <c r="I237" s="237" t="inlineStr">
        <is>
          <t>拉面</t>
        </is>
      </c>
      <c r="J237" s="222" t="inlineStr">
        <is>
          <t>李小东</t>
        </is>
      </c>
      <c r="K237" s="224" t="inlineStr">
        <is>
          <t>/</t>
        </is>
      </c>
      <c r="L237" s="651" t="n">
        <v>370000</v>
      </c>
      <c r="M237" s="84" t="n">
        <v>0.12</v>
      </c>
      <c r="N237" s="84" t="n">
        <v>0.01</v>
      </c>
      <c r="O237" s="84" t="n">
        <v>0.01</v>
      </c>
      <c r="P237" s="84" t="n">
        <v>0.01</v>
      </c>
      <c r="Q237" s="84" t="n">
        <v>0.01</v>
      </c>
      <c r="R237" s="84" t="n">
        <v>0.01</v>
      </c>
      <c r="S237" s="71" t="inlineStr">
        <is>
          <t>/</t>
        </is>
      </c>
      <c r="T237" s="84" t="n">
        <v>0.01</v>
      </c>
      <c r="U237" s="84" t="n">
        <v>0.04</v>
      </c>
      <c r="V237" s="71" t="inlineStr">
        <is>
          <t>/</t>
        </is>
      </c>
      <c r="W237" s="94" t="n"/>
      <c r="X237" s="72" t="inlineStr">
        <is>
          <t>/</t>
        </is>
      </c>
      <c r="Y237" s="72" t="inlineStr">
        <is>
          <t>/</t>
        </is>
      </c>
      <c r="Z237" s="71" t="inlineStr">
        <is>
          <t>/</t>
        </is>
      </c>
      <c r="AA237" s="71" t="inlineStr">
        <is>
          <t>/</t>
        </is>
      </c>
      <c r="AB237" s="222" t="inlineStr">
        <is>
          <t>/</t>
        </is>
      </c>
      <c r="AC237" s="46" t="inlineStr">
        <is>
          <t>/</t>
        </is>
      </c>
      <c r="AD237" s="141" t="n"/>
      <c r="AE237" s="25" t="inlineStr">
        <is>
          <t>1、签订期间：2026.2-8月；
2、指标按照全年换算；</t>
        </is>
      </c>
    </row>
    <row r="238" ht="24" customFormat="1" customHeight="1" s="209">
      <c r="A238" s="219" t="n">
        <v>243</v>
      </c>
      <c r="B238" s="14" t="inlineStr">
        <is>
          <t>KQCY0243</t>
        </is>
      </c>
      <c r="C238" s="221" t="inlineStr">
        <is>
          <t>餐饮三分部</t>
        </is>
      </c>
      <c r="D238" s="221" t="inlineStr">
        <is>
          <t>CF781</t>
        </is>
      </c>
      <c r="E238" s="61" t="inlineStr">
        <is>
          <t>苏食院第一学生食堂</t>
        </is>
      </c>
      <c r="F238" s="219" t="inlineStr">
        <is>
          <t>分组作业</t>
        </is>
      </c>
      <c r="G238" s="222" t="inlineStr">
        <is>
          <t>吉沐牛</t>
        </is>
      </c>
      <c r="H238" s="503" t="inlineStr">
        <is>
          <t>/</t>
        </is>
      </c>
      <c r="I238" s="232" t="inlineStr">
        <is>
          <t>水吧</t>
        </is>
      </c>
      <c r="J238" s="222" t="inlineStr">
        <is>
          <t>王树松</t>
        </is>
      </c>
      <c r="K238" s="224" t="inlineStr">
        <is>
          <t>/</t>
        </is>
      </c>
      <c r="L238" s="651" t="n">
        <v>250000</v>
      </c>
      <c r="M238" s="84" t="n">
        <v>0.12</v>
      </c>
      <c r="N238" s="84" t="n">
        <v>0.01</v>
      </c>
      <c r="O238" s="84" t="n">
        <v>0.01</v>
      </c>
      <c r="P238" s="84" t="n">
        <v>0.01</v>
      </c>
      <c r="Q238" s="84" t="n">
        <v>0.01</v>
      </c>
      <c r="R238" s="84" t="n">
        <v>0.01</v>
      </c>
      <c r="S238" s="71" t="inlineStr">
        <is>
          <t>/</t>
        </is>
      </c>
      <c r="T238" s="84" t="n">
        <v>0.01</v>
      </c>
      <c r="U238" s="84" t="n">
        <v>0.05</v>
      </c>
      <c r="V238" s="71" t="inlineStr">
        <is>
          <t>/</t>
        </is>
      </c>
      <c r="W238" s="94" t="n"/>
      <c r="X238" s="72" t="inlineStr">
        <is>
          <t>/</t>
        </is>
      </c>
      <c r="Y238" s="72" t="inlineStr">
        <is>
          <t>/</t>
        </is>
      </c>
      <c r="Z238" s="71" t="inlineStr">
        <is>
          <t>/</t>
        </is>
      </c>
      <c r="AA238" s="71" t="inlineStr">
        <is>
          <t>/</t>
        </is>
      </c>
      <c r="AB238" s="222" t="inlineStr">
        <is>
          <t>/</t>
        </is>
      </c>
      <c r="AC238" s="46" t="inlineStr">
        <is>
          <t>/</t>
        </is>
      </c>
      <c r="AD238" s="141" t="n"/>
      <c r="AE238" s="25" t="inlineStr">
        <is>
          <t>1、签订期间：2026.2-8月；
2、指标按照全年换算；</t>
        </is>
      </c>
    </row>
    <row r="239" ht="24" customFormat="1" customHeight="1" s="209">
      <c r="A239" s="219" t="n">
        <v>244</v>
      </c>
      <c r="B239" s="14" t="inlineStr">
        <is>
          <t>KQCY0244</t>
        </is>
      </c>
      <c r="C239" s="221" t="inlineStr">
        <is>
          <t>餐饮三分部</t>
        </is>
      </c>
      <c r="D239" s="221" t="inlineStr">
        <is>
          <t>CF781</t>
        </is>
      </c>
      <c r="E239" s="61" t="inlineStr">
        <is>
          <t>苏食院第一学生食堂</t>
        </is>
      </c>
      <c r="F239" s="219" t="inlineStr">
        <is>
          <t>分组作业</t>
        </is>
      </c>
      <c r="G239" s="222" t="inlineStr">
        <is>
          <t>吉沐牛</t>
        </is>
      </c>
      <c r="H239" s="503" t="inlineStr">
        <is>
          <t>/</t>
        </is>
      </c>
      <c r="I239" s="237" t="inlineStr">
        <is>
          <t>面包</t>
        </is>
      </c>
      <c r="J239" s="222" t="inlineStr">
        <is>
          <t>汪雨凤</t>
        </is>
      </c>
      <c r="K239" s="224" t="inlineStr">
        <is>
          <t>/</t>
        </is>
      </c>
      <c r="L239" s="651" t="n">
        <v>300000</v>
      </c>
      <c r="M239" s="84" t="n">
        <v>0.12</v>
      </c>
      <c r="N239" s="84" t="n">
        <v>0.01</v>
      </c>
      <c r="O239" s="84" t="n">
        <v>0.01</v>
      </c>
      <c r="P239" s="84" t="n">
        <v>0.01</v>
      </c>
      <c r="Q239" s="84" t="n">
        <v>0.01</v>
      </c>
      <c r="R239" s="84" t="n">
        <v>0.01</v>
      </c>
      <c r="S239" s="71" t="inlineStr">
        <is>
          <t>/</t>
        </is>
      </c>
      <c r="T239" s="84" t="n">
        <v>0.02</v>
      </c>
      <c r="U239" s="84" t="n">
        <v>0.05</v>
      </c>
      <c r="V239" s="71" t="inlineStr">
        <is>
          <t>/</t>
        </is>
      </c>
      <c r="W239" s="94" t="n"/>
      <c r="X239" s="72" t="inlineStr">
        <is>
          <t>/</t>
        </is>
      </c>
      <c r="Y239" s="72" t="inlineStr">
        <is>
          <t>/</t>
        </is>
      </c>
      <c r="Z239" s="71" t="inlineStr">
        <is>
          <t>/</t>
        </is>
      </c>
      <c r="AA239" s="71" t="inlineStr">
        <is>
          <t>/</t>
        </is>
      </c>
      <c r="AB239" s="222" t="inlineStr">
        <is>
          <t>/</t>
        </is>
      </c>
      <c r="AC239" s="46" t="inlineStr">
        <is>
          <t>/</t>
        </is>
      </c>
      <c r="AD239" s="142" t="n"/>
      <c r="AE239" s="25" t="inlineStr">
        <is>
          <t>1、签订期间：2026.2-8月；
2、指标按照全年换算；</t>
        </is>
      </c>
    </row>
    <row r="240" ht="24" customFormat="1" customHeight="1" s="209">
      <c r="A240" s="219" t="n">
        <v>245</v>
      </c>
      <c r="B240" s="14" t="inlineStr">
        <is>
          <t>KQCY0245</t>
        </is>
      </c>
      <c r="C240" s="221" t="inlineStr">
        <is>
          <t>餐饮三分部</t>
        </is>
      </c>
      <c r="D240" s="221" t="inlineStr">
        <is>
          <t>CF781</t>
        </is>
      </c>
      <c r="E240" s="61" t="inlineStr">
        <is>
          <t>苏食院第一学生食堂</t>
        </is>
      </c>
      <c r="F240" s="219" t="inlineStr">
        <is>
          <t>分组作业</t>
        </is>
      </c>
      <c r="G240" s="222" t="inlineStr">
        <is>
          <t>吉沐牛</t>
        </is>
      </c>
      <c r="H240" s="503" t="inlineStr">
        <is>
          <t>/</t>
        </is>
      </c>
      <c r="I240" s="237" t="inlineStr">
        <is>
          <t>蹦蹦鸡</t>
        </is>
      </c>
      <c r="J240" s="222" t="inlineStr">
        <is>
          <t>朱海涛</t>
        </is>
      </c>
      <c r="K240" s="224" t="inlineStr">
        <is>
          <t>/</t>
        </is>
      </c>
      <c r="L240" s="651" t="n">
        <v>360000</v>
      </c>
      <c r="M240" s="84" t="n">
        <v>0.12</v>
      </c>
      <c r="N240" s="84" t="n">
        <v>0.02</v>
      </c>
      <c r="O240" s="84" t="n">
        <v>0.02</v>
      </c>
      <c r="P240" s="84" t="n">
        <v>0.02</v>
      </c>
      <c r="Q240" s="84" t="n">
        <v>0.02</v>
      </c>
      <c r="R240" s="84" t="n">
        <v>0.01</v>
      </c>
      <c r="S240" s="71" t="inlineStr">
        <is>
          <t>/</t>
        </is>
      </c>
      <c r="T240" s="84" t="n">
        <v>0.02</v>
      </c>
      <c r="U240" s="84" t="n">
        <v>0.05</v>
      </c>
      <c r="V240" s="71" t="inlineStr">
        <is>
          <t>/</t>
        </is>
      </c>
      <c r="W240" s="94" t="n"/>
      <c r="X240" s="72" t="inlineStr">
        <is>
          <t>/</t>
        </is>
      </c>
      <c r="Y240" s="72" t="inlineStr">
        <is>
          <t>/</t>
        </is>
      </c>
      <c r="Z240" s="71" t="inlineStr">
        <is>
          <t>/</t>
        </is>
      </c>
      <c r="AA240" s="71" t="inlineStr">
        <is>
          <t>/</t>
        </is>
      </c>
      <c r="AB240" s="222" t="inlineStr">
        <is>
          <t>/</t>
        </is>
      </c>
      <c r="AC240" s="46" t="inlineStr">
        <is>
          <t>/</t>
        </is>
      </c>
      <c r="AD240" s="142" t="n"/>
      <c r="AE240" s="25" t="inlineStr">
        <is>
          <t>1、签订期间：2026.2-8月；
2、指标按照全年换算；</t>
        </is>
      </c>
    </row>
    <row r="241" ht="24" customFormat="1" customHeight="1" s="209">
      <c r="A241" s="219" t="n">
        <v>246</v>
      </c>
      <c r="B241" s="14" t="inlineStr">
        <is>
          <t>KQCY0246</t>
        </is>
      </c>
      <c r="C241" s="221" t="inlineStr">
        <is>
          <t>餐饮三分部</t>
        </is>
      </c>
      <c r="D241" s="221" t="inlineStr">
        <is>
          <t>CF781</t>
        </is>
      </c>
      <c r="E241" s="61" t="inlineStr">
        <is>
          <t>苏食院第一学生食堂</t>
        </is>
      </c>
      <c r="F241" s="219" t="inlineStr">
        <is>
          <t>分组作业</t>
        </is>
      </c>
      <c r="G241" s="222" t="inlineStr">
        <is>
          <t>吉沐牛</t>
        </is>
      </c>
      <c r="H241" s="503" t="inlineStr">
        <is>
          <t>/</t>
        </is>
      </c>
      <c r="I241" s="237" t="inlineStr">
        <is>
          <t>水饺</t>
        </is>
      </c>
      <c r="J241" s="222" t="inlineStr">
        <is>
          <t>刘淑平</t>
        </is>
      </c>
      <c r="K241" s="224" t="inlineStr">
        <is>
          <t>/</t>
        </is>
      </c>
      <c r="L241" s="651" t="n">
        <v>250000</v>
      </c>
      <c r="M241" s="84" t="n">
        <v>0.12</v>
      </c>
      <c r="N241" s="84" t="n">
        <v>0.02</v>
      </c>
      <c r="O241" s="84" t="n">
        <v>0.02</v>
      </c>
      <c r="P241" s="84" t="n">
        <v>0.02</v>
      </c>
      <c r="Q241" s="84" t="n">
        <v>0.02</v>
      </c>
      <c r="R241" s="84" t="n">
        <v>0.01</v>
      </c>
      <c r="S241" s="71" t="inlineStr">
        <is>
          <t>/</t>
        </is>
      </c>
      <c r="T241" s="84" t="n">
        <v>0.02</v>
      </c>
      <c r="U241" s="84" t="n">
        <v>0.05</v>
      </c>
      <c r="V241" s="71" t="inlineStr">
        <is>
          <t>/</t>
        </is>
      </c>
      <c r="W241" s="94" t="n"/>
      <c r="X241" s="72" t="inlineStr">
        <is>
          <t>/</t>
        </is>
      </c>
      <c r="Y241" s="72" t="inlineStr">
        <is>
          <t>/</t>
        </is>
      </c>
      <c r="Z241" s="71" t="inlineStr">
        <is>
          <t>/</t>
        </is>
      </c>
      <c r="AA241" s="71" t="inlineStr">
        <is>
          <t>/</t>
        </is>
      </c>
      <c r="AB241" s="222" t="inlineStr">
        <is>
          <t>/</t>
        </is>
      </c>
      <c r="AC241" s="46" t="inlineStr">
        <is>
          <t>/</t>
        </is>
      </c>
      <c r="AD241" s="142" t="n"/>
      <c r="AE241" s="25" t="inlineStr">
        <is>
          <t>1、签订期间：2026.2-8月；
2、指标按照全年换算；</t>
        </is>
      </c>
    </row>
    <row r="242" ht="72" customFormat="1" customHeight="1" s="209">
      <c r="A242" s="219" t="n">
        <v>247</v>
      </c>
      <c r="B242" s="14" t="inlineStr">
        <is>
          <t>KQCY0247</t>
        </is>
      </c>
      <c r="C242" s="221" t="inlineStr">
        <is>
          <t>餐饮三分部</t>
        </is>
      </c>
      <c r="D242" s="221" t="inlineStr">
        <is>
          <t>CF781</t>
        </is>
      </c>
      <c r="E242" s="61" t="inlineStr">
        <is>
          <t>苏食院第一学生食堂</t>
        </is>
      </c>
      <c r="F242" s="219" t="inlineStr">
        <is>
          <t>分组作业</t>
        </is>
      </c>
      <c r="G242" s="222" t="inlineStr">
        <is>
          <t>吉沐牛</t>
        </is>
      </c>
      <c r="H242" s="503" t="inlineStr">
        <is>
          <t>/</t>
        </is>
      </c>
      <c r="I242" s="232" t="inlineStr">
        <is>
          <t>0900汉堡</t>
        </is>
      </c>
      <c r="J242" s="222" t="inlineStr">
        <is>
          <t>张文浩</t>
        </is>
      </c>
      <c r="K242" s="224" t="inlineStr">
        <is>
          <t>/</t>
        </is>
      </c>
      <c r="L242" s="651" t="n">
        <v>340000</v>
      </c>
      <c r="M242" s="71" t="n">
        <v>8000</v>
      </c>
      <c r="N242" s="71" t="inlineStr">
        <is>
          <t>/</t>
        </is>
      </c>
      <c r="O242" s="71" t="inlineStr">
        <is>
          <t>/</t>
        </is>
      </c>
      <c r="P242" s="71" t="inlineStr">
        <is>
          <t>/</t>
        </is>
      </c>
      <c r="Q242" s="71" t="inlineStr">
        <is>
          <t>/</t>
        </is>
      </c>
      <c r="R242" s="84" t="inlineStr">
        <is>
          <t>/</t>
        </is>
      </c>
      <c r="S242" s="71" t="inlineStr">
        <is>
          <t>/</t>
        </is>
      </c>
      <c r="T242" s="71" t="inlineStr">
        <is>
          <t>/</t>
        </is>
      </c>
      <c r="U242" s="94" t="n"/>
      <c r="V242" s="71" t="inlineStr">
        <is>
          <t>/</t>
        </is>
      </c>
      <c r="W242" s="94" t="n"/>
      <c r="X242" s="72" t="inlineStr">
        <is>
          <t>/</t>
        </is>
      </c>
      <c r="Y242" s="72" t="inlineStr">
        <is>
          <t>/</t>
        </is>
      </c>
      <c r="Z242" s="71" t="inlineStr">
        <is>
          <t>/</t>
        </is>
      </c>
      <c r="AA242" s="71" t="inlineStr">
        <is>
          <t>/</t>
        </is>
      </c>
      <c r="AB242" s="222" t="inlineStr">
        <is>
          <t>/</t>
        </is>
      </c>
      <c r="AC242" s="46" t="inlineStr">
        <is>
          <t>/</t>
        </is>
      </c>
      <c r="AD242"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AE242" s="25" t="inlineStr">
        <is>
          <t>1、签订期间：2026.2-8月；
2、指标按照全年换算；
3、管理费3.2万/半年</t>
        </is>
      </c>
    </row>
    <row r="243" ht="72" customFormat="1" customHeight="1" s="209">
      <c r="A243" s="219" t="n">
        <v>248</v>
      </c>
      <c r="B243" s="14" t="inlineStr">
        <is>
          <t>KQCY0248</t>
        </is>
      </c>
      <c r="C243" s="221" t="inlineStr">
        <is>
          <t>餐饮三分部</t>
        </is>
      </c>
      <c r="D243" s="221" t="inlineStr">
        <is>
          <t>CF781</t>
        </is>
      </c>
      <c r="E243" s="61" t="inlineStr">
        <is>
          <t>苏食院第一学生食堂</t>
        </is>
      </c>
      <c r="F243" s="219" t="inlineStr">
        <is>
          <t>分组作业</t>
        </is>
      </c>
      <c r="G243" s="222" t="inlineStr">
        <is>
          <t>吉沐牛</t>
        </is>
      </c>
      <c r="H243" s="503" t="inlineStr">
        <is>
          <t>/</t>
        </is>
      </c>
      <c r="I243" s="232" t="inlineStr">
        <is>
          <t>煎饼果子</t>
        </is>
      </c>
      <c r="J243" s="222" t="inlineStr">
        <is>
          <t>朱小林</t>
        </is>
      </c>
      <c r="K243" s="224" t="inlineStr">
        <is>
          <t>/</t>
        </is>
      </c>
      <c r="L243" s="651" t="n">
        <v>320000</v>
      </c>
      <c r="M243" s="71" t="n">
        <v>9000</v>
      </c>
      <c r="N243" s="71" t="inlineStr">
        <is>
          <t>/</t>
        </is>
      </c>
      <c r="O243" s="71" t="inlineStr">
        <is>
          <t>/</t>
        </is>
      </c>
      <c r="P243" s="71" t="inlineStr">
        <is>
          <t>/</t>
        </is>
      </c>
      <c r="Q243" s="71" t="inlineStr">
        <is>
          <t>/</t>
        </is>
      </c>
      <c r="R243" s="84" t="inlineStr">
        <is>
          <t>/</t>
        </is>
      </c>
      <c r="S243" s="71" t="inlineStr">
        <is>
          <t>/</t>
        </is>
      </c>
      <c r="T243" s="71" t="inlineStr">
        <is>
          <t>/</t>
        </is>
      </c>
      <c r="U243" s="94" t="n"/>
      <c r="V243" s="71" t="inlineStr">
        <is>
          <t>/</t>
        </is>
      </c>
      <c r="W243" s="94" t="n"/>
      <c r="X243" s="72" t="inlineStr">
        <is>
          <t>/</t>
        </is>
      </c>
      <c r="Y243" s="72" t="inlineStr">
        <is>
          <t>/</t>
        </is>
      </c>
      <c r="Z243" s="71" t="inlineStr">
        <is>
          <t>/</t>
        </is>
      </c>
      <c r="AA243" s="71" t="inlineStr">
        <is>
          <t>/</t>
        </is>
      </c>
      <c r="AB243" s="222" t="inlineStr">
        <is>
          <t>/</t>
        </is>
      </c>
      <c r="AC243" s="46" t="inlineStr">
        <is>
          <t>/</t>
        </is>
      </c>
      <c r="AD243"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AE243" s="25" t="inlineStr">
        <is>
          <t>1、签订期间：2026.2-8月；
2、指标按照全年换算；
3、管理费4.5万/半年</t>
        </is>
      </c>
    </row>
    <row r="244" ht="12" customFormat="1" customHeight="1" s="209">
      <c r="A244" s="219" t="n">
        <v>249</v>
      </c>
      <c r="B244" s="14" t="inlineStr">
        <is>
          <t>KQCY0249</t>
        </is>
      </c>
      <c r="C244" s="86" t="inlineStr">
        <is>
          <t>餐饮三分部</t>
        </is>
      </c>
      <c r="D244" s="86" t="inlineStr">
        <is>
          <t>CF320</t>
        </is>
      </c>
      <c r="E244" s="87" t="inlineStr">
        <is>
          <t>江苏财经梅园食堂</t>
        </is>
      </c>
      <c r="F244" s="335" t="inlineStr">
        <is>
          <t>自营</t>
        </is>
      </c>
      <c r="G244" s="243" t="inlineStr">
        <is>
          <t>吉沐牛</t>
        </is>
      </c>
      <c r="H244" s="480" t="inlineStr">
        <is>
          <t>/</t>
        </is>
      </c>
      <c r="I244" s="335" t="inlineStr">
        <is>
          <t>/</t>
        </is>
      </c>
      <c r="J244" s="335" t="inlineStr">
        <is>
          <t>/</t>
        </is>
      </c>
      <c r="K244" s="349" t="inlineStr">
        <is>
          <t>/</t>
        </is>
      </c>
      <c r="L244" s="651" t="inlineStr">
        <is>
          <t>/</t>
        </is>
      </c>
      <c r="M244" s="349" t="inlineStr">
        <is>
          <t>/</t>
        </is>
      </c>
      <c r="N244" s="47" t="n"/>
      <c r="O244" s="47" t="n"/>
      <c r="P244" s="47" t="n"/>
      <c r="Q244" s="349" t="inlineStr">
        <is>
          <t>/</t>
        </is>
      </c>
      <c r="R244" s="47" t="n"/>
      <c r="S244" s="349" t="inlineStr">
        <is>
          <t>/</t>
        </is>
      </c>
      <c r="T244" s="47" t="n"/>
      <c r="U244" s="47" t="n"/>
      <c r="V244" s="656" t="n"/>
      <c r="W244" s="44" t="n"/>
      <c r="X244" s="349" t="inlineStr">
        <is>
          <t>/</t>
        </is>
      </c>
      <c r="Y244" s="480" t="inlineStr">
        <is>
          <t>/</t>
        </is>
      </c>
      <c r="Z244" s="480" t="inlineStr">
        <is>
          <t>/</t>
        </is>
      </c>
      <c r="AA244" s="480" t="inlineStr">
        <is>
          <t>/</t>
        </is>
      </c>
      <c r="AB244" s="46" t="n">
        <v>0.05</v>
      </c>
      <c r="AC244" s="118" t="inlineStr">
        <is>
          <t>/</t>
        </is>
      </c>
      <c r="AD244" s="48" t="inlineStr">
        <is>
          <t>1、自营未实际经营；</t>
        </is>
      </c>
      <c r="AE244" s="25" t="n"/>
    </row>
    <row r="245" ht="24" customFormat="1" customHeight="1" s="209">
      <c r="A245" s="219" t="n">
        <v>250</v>
      </c>
      <c r="B245" s="14" t="inlineStr">
        <is>
          <t>KQCY0250</t>
        </is>
      </c>
      <c r="C245" s="221" t="inlineStr">
        <is>
          <t>餐饮三分部</t>
        </is>
      </c>
      <c r="D245" s="221" t="inlineStr">
        <is>
          <t>CF320</t>
        </is>
      </c>
      <c r="E245" s="61" t="inlineStr">
        <is>
          <t>江苏财经梅园食堂</t>
        </is>
      </c>
      <c r="F245" s="219" t="inlineStr">
        <is>
          <t>分组作业</t>
        </is>
      </c>
      <c r="G245" s="222" t="inlineStr">
        <is>
          <t>吉沐牛</t>
        </is>
      </c>
      <c r="H245" s="503" t="inlineStr">
        <is>
          <t>/</t>
        </is>
      </c>
      <c r="I245" s="237" t="inlineStr">
        <is>
          <t>喜翻拌</t>
        </is>
      </c>
      <c r="J245" s="143" t="inlineStr">
        <is>
          <t>赵建芳</t>
        </is>
      </c>
      <c r="K245" s="224" t="inlineStr">
        <is>
          <t>/</t>
        </is>
      </c>
      <c r="L245" s="651" t="n">
        <v>732000</v>
      </c>
      <c r="M245" s="77" t="n">
        <v>0.14</v>
      </c>
      <c r="N245" s="77" t="n">
        <v>0.01</v>
      </c>
      <c r="O245" s="77" t="n">
        <v>0.02</v>
      </c>
      <c r="P245" s="77" t="n">
        <v>0.01</v>
      </c>
      <c r="Q245" s="77" t="n">
        <v>0.02</v>
      </c>
      <c r="R245" s="77" t="n">
        <v>0.03</v>
      </c>
      <c r="S245" s="77" t="n">
        <v>0.02</v>
      </c>
      <c r="T245" s="77" t="n">
        <v>0.02</v>
      </c>
      <c r="U245" s="77" t="n">
        <v>0.02</v>
      </c>
      <c r="V245" s="573" t="n">
        <v>50</v>
      </c>
      <c r="W245" s="77" t="n">
        <v>0.5</v>
      </c>
      <c r="X245" s="77" t="inlineStr">
        <is>
          <t>/</t>
        </is>
      </c>
      <c r="Y245" s="72" t="inlineStr">
        <is>
          <t>/</t>
        </is>
      </c>
      <c r="Z245" s="72" t="inlineStr">
        <is>
          <t>/</t>
        </is>
      </c>
      <c r="AA245" s="72" t="inlineStr">
        <is>
          <t>/</t>
        </is>
      </c>
      <c r="AB245" s="51" t="inlineStr">
        <is>
          <t>/</t>
        </is>
      </c>
      <c r="AC245" s="46" t="inlineStr">
        <is>
          <t>/</t>
        </is>
      </c>
      <c r="AD245" s="82" t="n"/>
      <c r="AE245" s="25" t="inlineStr">
        <is>
          <t>1、签订期间：2026.2-7月；
2、指标按照全年换算；</t>
        </is>
      </c>
    </row>
    <row r="246" ht="24" customFormat="1" customHeight="1" s="209">
      <c r="A246" s="219" t="n">
        <v>251</v>
      </c>
      <c r="B246" s="14" t="inlineStr">
        <is>
          <t>KQCY0251</t>
        </is>
      </c>
      <c r="C246" s="221" t="inlineStr">
        <is>
          <t>餐饮三分部</t>
        </is>
      </c>
      <c r="D246" s="221" t="inlineStr">
        <is>
          <t>CF320</t>
        </is>
      </c>
      <c r="E246" s="61" t="inlineStr">
        <is>
          <t>江苏财经梅园食堂</t>
        </is>
      </c>
      <c r="F246" s="219" t="inlineStr">
        <is>
          <t>分组作业</t>
        </is>
      </c>
      <c r="G246" s="222" t="inlineStr">
        <is>
          <t>吉沐牛</t>
        </is>
      </c>
      <c r="H246" s="503" t="inlineStr">
        <is>
          <t>/</t>
        </is>
      </c>
      <c r="I246" s="237" t="inlineStr">
        <is>
          <t>石锅菜</t>
        </is>
      </c>
      <c r="J246" s="143" t="inlineStr">
        <is>
          <t>马成霞</t>
        </is>
      </c>
      <c r="K246" s="224" t="inlineStr">
        <is>
          <t>/</t>
        </is>
      </c>
      <c r="L246" s="651" t="n">
        <v>316800</v>
      </c>
      <c r="M246" s="77" t="n">
        <v>0.14</v>
      </c>
      <c r="N246" s="77" t="n">
        <v>0.01</v>
      </c>
      <c r="O246" s="77" t="n">
        <v>0.02</v>
      </c>
      <c r="P246" s="77" t="n">
        <v>0.01</v>
      </c>
      <c r="Q246" s="77" t="n">
        <v>0.02</v>
      </c>
      <c r="R246" s="77" t="n">
        <v>0.03</v>
      </c>
      <c r="S246" s="77" t="n">
        <v>0.02</v>
      </c>
      <c r="T246" s="77" t="n">
        <v>0.02</v>
      </c>
      <c r="U246" s="77" t="n">
        <v>0.02</v>
      </c>
      <c r="V246" s="573" t="n">
        <v>50</v>
      </c>
      <c r="W246" s="77" t="n">
        <v>0.5</v>
      </c>
      <c r="X246" s="77" t="inlineStr">
        <is>
          <t>/</t>
        </is>
      </c>
      <c r="Y246" s="72" t="inlineStr">
        <is>
          <t>/</t>
        </is>
      </c>
      <c r="Z246" s="72" t="inlineStr">
        <is>
          <t>/</t>
        </is>
      </c>
      <c r="AA246" s="72" t="inlineStr">
        <is>
          <t>/</t>
        </is>
      </c>
      <c r="AB246" s="51" t="inlineStr">
        <is>
          <t>/</t>
        </is>
      </c>
      <c r="AC246" s="46" t="inlineStr">
        <is>
          <t>/</t>
        </is>
      </c>
      <c r="AD246" s="82" t="n"/>
      <c r="AE246" s="25" t="inlineStr">
        <is>
          <t>1、签订期间：2026.2-7月；
2、指标按照全年换算；</t>
        </is>
      </c>
    </row>
    <row r="247" ht="108" customFormat="1" customHeight="1" s="209">
      <c r="A247" s="219" t="n">
        <v>252</v>
      </c>
      <c r="B247" s="14" t="inlineStr">
        <is>
          <t>KQCY0252</t>
        </is>
      </c>
      <c r="C247" s="221" t="inlineStr">
        <is>
          <t>餐饮三分部</t>
        </is>
      </c>
      <c r="D247" s="221" t="inlineStr">
        <is>
          <t>CF320</t>
        </is>
      </c>
      <c r="E247" s="61" t="inlineStr">
        <is>
          <t>江苏财经梅园食堂</t>
        </is>
      </c>
      <c r="F247" s="219" t="inlineStr">
        <is>
          <t>分组作业</t>
        </is>
      </c>
      <c r="G247" s="222" t="inlineStr">
        <is>
          <t>吉沐牛</t>
        </is>
      </c>
      <c r="H247" s="503" t="inlineStr">
        <is>
          <t>/</t>
        </is>
      </c>
      <c r="I247" s="237" t="inlineStr">
        <is>
          <t>盖码面/饭</t>
        </is>
      </c>
      <c r="J247" s="143" t="inlineStr">
        <is>
          <t>辛保帆</t>
        </is>
      </c>
      <c r="K247" s="224" t="inlineStr">
        <is>
          <t>/</t>
        </is>
      </c>
      <c r="L247" s="651" t="n">
        <v>667200</v>
      </c>
      <c r="M247" s="77" t="inlineStr">
        <is>
          <t>29%/28%</t>
        </is>
      </c>
      <c r="N247" s="77" t="inlineStr">
        <is>
          <t>/</t>
        </is>
      </c>
      <c r="O247" s="77" t="inlineStr">
        <is>
          <t>/</t>
        </is>
      </c>
      <c r="P247" s="77" t="inlineStr">
        <is>
          <t>/</t>
        </is>
      </c>
      <c r="Q247" s="77" t="inlineStr">
        <is>
          <t>/</t>
        </is>
      </c>
      <c r="R247" s="77" t="inlineStr">
        <is>
          <t>/</t>
        </is>
      </c>
      <c r="S247" s="77" t="inlineStr">
        <is>
          <t>/</t>
        </is>
      </c>
      <c r="T247" s="77" t="inlineStr">
        <is>
          <t>/</t>
        </is>
      </c>
      <c r="U247" s="77" t="inlineStr">
        <is>
          <t>/</t>
        </is>
      </c>
      <c r="V247" s="573" t="n">
        <v>50</v>
      </c>
      <c r="W247" s="77" t="n">
        <v>0.5</v>
      </c>
      <c r="X247" s="77" t="inlineStr">
        <is>
          <t>/</t>
        </is>
      </c>
      <c r="Y247" s="72" t="inlineStr">
        <is>
          <t>/</t>
        </is>
      </c>
      <c r="Z247" s="72" t="inlineStr">
        <is>
          <t>/</t>
        </is>
      </c>
      <c r="AA247" s="72" t="inlineStr">
        <is>
          <t>/</t>
        </is>
      </c>
      <c r="AB247" s="51" t="inlineStr">
        <is>
          <t>/</t>
        </is>
      </c>
      <c r="AC247" s="46" t="inlineStr">
        <is>
          <t>/</t>
        </is>
      </c>
      <c r="AD247" s="82" t="inlineStr">
        <is>
          <t>1、服务费：超过6万按28%，未超过按29%收取管理费；
2、虫害消杀：项目反馈不收取，包含在服务费中；
3、采购费：项目反馈不收取，包含在服务费中；
4、装修折旧费：项目反馈不收取，包含在服务费中；
5、管理人员费：项目反馈不收取，包含在服务费中；
6、共建活动费：项目反馈不收取，包含在服务费中；
7、资产费：项目反馈不收取，包含在服务费中；
8、卫生费：项目反馈不收取，包含在服务费中；
9、能源费：项目反馈不收取，包含在服务费中；</t>
        </is>
      </c>
      <c r="AE247" s="25" t="inlineStr">
        <is>
          <t>1、签订期间：2026.3-7月；
2、指标按照全年换算；
3、管理费6万以上28%，以下29%；</t>
        </is>
      </c>
    </row>
    <row r="248" ht="12" customFormat="1" customHeight="1" s="209">
      <c r="A248" s="219" t="n">
        <v>253</v>
      </c>
      <c r="B248" s="14" t="inlineStr">
        <is>
          <t>KQCY0253</t>
        </is>
      </c>
      <c r="C248" s="221" t="n"/>
      <c r="D248" s="221" t="n"/>
      <c r="E248" s="61" t="inlineStr">
        <is>
          <t>江苏财经梅园食堂</t>
        </is>
      </c>
      <c r="F248" s="219" t="inlineStr">
        <is>
          <t>分组作业</t>
        </is>
      </c>
      <c r="G248" s="222" t="inlineStr">
        <is>
          <t>吉沐牛</t>
        </is>
      </c>
      <c r="H248" s="480" t="inlineStr">
        <is>
          <t>/</t>
        </is>
      </c>
      <c r="I248" s="237" t="inlineStr">
        <is>
          <t>铁板烧</t>
        </is>
      </c>
      <c r="J248" s="143" t="inlineStr">
        <is>
          <t>姜红霞</t>
        </is>
      </c>
      <c r="K248" s="224" t="n"/>
      <c r="L248" s="651" t="n"/>
      <c r="M248" s="77" t="n"/>
      <c r="N248" s="77" t="n"/>
      <c r="O248" s="77" t="n"/>
      <c r="P248" s="77" t="n"/>
      <c r="Q248" s="77" t="n"/>
      <c r="R248" s="77" t="n"/>
      <c r="S248" s="77" t="n"/>
      <c r="T248" s="77" t="n"/>
      <c r="U248" s="77" t="n"/>
      <c r="V248" s="573" t="n"/>
      <c r="W248" s="77" t="n"/>
      <c r="X248" s="77" t="n"/>
      <c r="Y248" s="72" t="n"/>
      <c r="Z248" s="72" t="n"/>
      <c r="AA248" s="72" t="n"/>
      <c r="AB248" s="51" t="n"/>
      <c r="AC248" s="46" t="n"/>
      <c r="AD248" s="82" t="n"/>
      <c r="AE248" s="25" t="n"/>
    </row>
    <row r="249" ht="24" customFormat="1" customHeight="1" s="209">
      <c r="A249" s="219" t="n">
        <v>254</v>
      </c>
      <c r="B249" s="14" t="inlineStr">
        <is>
          <t>KQCY0254</t>
        </is>
      </c>
      <c r="C249" s="221" t="inlineStr">
        <is>
          <t>餐饮三分部</t>
        </is>
      </c>
      <c r="D249" s="221" t="inlineStr">
        <is>
          <t>CF320</t>
        </is>
      </c>
      <c r="E249" s="61" t="inlineStr">
        <is>
          <t>江苏财经梅园食堂</t>
        </is>
      </c>
      <c r="F249" s="219" t="inlineStr">
        <is>
          <t>分组作业</t>
        </is>
      </c>
      <c r="G249" s="222" t="inlineStr">
        <is>
          <t>吉沐牛</t>
        </is>
      </c>
      <c r="H249" s="503" t="inlineStr">
        <is>
          <t>/</t>
        </is>
      </c>
      <c r="I249" s="237" t="inlineStr">
        <is>
          <t>快餐</t>
        </is>
      </c>
      <c r="J249" s="143" t="inlineStr">
        <is>
          <t>黄信生</t>
        </is>
      </c>
      <c r="K249" s="224" t="inlineStr">
        <is>
          <t>/</t>
        </is>
      </c>
      <c r="L249" s="651" t="n">
        <v>1519200</v>
      </c>
      <c r="M249" s="77" t="n">
        <v>0.12</v>
      </c>
      <c r="N249" s="77" t="n">
        <v>0.01</v>
      </c>
      <c r="O249" s="77" t="n">
        <v>0.02</v>
      </c>
      <c r="P249" s="77" t="n">
        <v>0.01</v>
      </c>
      <c r="Q249" s="77" t="n">
        <v>0.02</v>
      </c>
      <c r="R249" s="77" t="n">
        <v>0.01</v>
      </c>
      <c r="S249" s="77" t="n">
        <v>0.01</v>
      </c>
      <c r="T249" s="77" t="n">
        <v>0.01</v>
      </c>
      <c r="U249" s="77" t="n">
        <v>0.01</v>
      </c>
      <c r="V249" s="573" t="n">
        <v>50</v>
      </c>
      <c r="W249" s="77" t="n">
        <v>0.5</v>
      </c>
      <c r="X249" s="77" t="inlineStr">
        <is>
          <t>/</t>
        </is>
      </c>
      <c r="Y249" s="72" t="inlineStr">
        <is>
          <t>/</t>
        </is>
      </c>
      <c r="Z249" s="72" t="inlineStr">
        <is>
          <t>/</t>
        </is>
      </c>
      <c r="AA249" s="72" t="inlineStr">
        <is>
          <t>/</t>
        </is>
      </c>
      <c r="AB249" s="51" t="inlineStr">
        <is>
          <t>/</t>
        </is>
      </c>
      <c r="AC249" s="46" t="inlineStr">
        <is>
          <t>/</t>
        </is>
      </c>
      <c r="AD249" s="82" t="n"/>
      <c r="AE249" s="25" t="inlineStr">
        <is>
          <t>1、签订期间：2026.3-7月；
2、指标按照全年换算；</t>
        </is>
      </c>
    </row>
    <row r="250" ht="24" customFormat="1" customHeight="1" s="209">
      <c r="A250" s="219" t="n">
        <v>255</v>
      </c>
      <c r="B250" s="14" t="inlineStr">
        <is>
          <t>KQCY0255</t>
        </is>
      </c>
      <c r="C250" s="221" t="inlineStr">
        <is>
          <t>餐饮三分部</t>
        </is>
      </c>
      <c r="D250" s="221" t="inlineStr">
        <is>
          <t>CF320</t>
        </is>
      </c>
      <c r="E250" s="61" t="inlineStr">
        <is>
          <t>江苏财经梅园食堂</t>
        </is>
      </c>
      <c r="F250" s="219" t="inlineStr">
        <is>
          <t>分组作业</t>
        </is>
      </c>
      <c r="G250" s="222" t="inlineStr">
        <is>
          <t>吉沐牛</t>
        </is>
      </c>
      <c r="H250" s="503" t="inlineStr">
        <is>
          <t>/</t>
        </is>
      </c>
      <c r="I250" s="237" t="inlineStr">
        <is>
          <t>早点</t>
        </is>
      </c>
      <c r="J250" s="144" t="inlineStr">
        <is>
          <t>狄国军</t>
        </is>
      </c>
      <c r="K250" s="224" t="inlineStr">
        <is>
          <t>/</t>
        </is>
      </c>
      <c r="L250" s="651" t="n">
        <v>868800</v>
      </c>
      <c r="M250" s="77" t="n">
        <v>0.14</v>
      </c>
      <c r="N250" s="77" t="n">
        <v>0.01</v>
      </c>
      <c r="O250" s="77" t="n">
        <v>0.02</v>
      </c>
      <c r="P250" s="77" t="n">
        <v>0.01</v>
      </c>
      <c r="Q250" s="77" t="n">
        <v>0.02</v>
      </c>
      <c r="R250" s="77" t="n">
        <v>0.03</v>
      </c>
      <c r="S250" s="77" t="n">
        <v>0.02</v>
      </c>
      <c r="T250" s="77" t="n">
        <v>0.01</v>
      </c>
      <c r="U250" s="77" t="n">
        <v>0.02</v>
      </c>
      <c r="V250" s="573" t="n">
        <v>50</v>
      </c>
      <c r="W250" s="77" t="n">
        <v>0.5</v>
      </c>
      <c r="X250" s="77" t="inlineStr">
        <is>
          <t>/</t>
        </is>
      </c>
      <c r="Y250" s="72" t="inlineStr">
        <is>
          <t>/</t>
        </is>
      </c>
      <c r="Z250" s="72" t="inlineStr">
        <is>
          <t>/</t>
        </is>
      </c>
      <c r="AA250" s="72" t="inlineStr">
        <is>
          <t>/</t>
        </is>
      </c>
      <c r="AB250" s="51" t="inlineStr">
        <is>
          <t>/</t>
        </is>
      </c>
      <c r="AC250" s="46" t="inlineStr">
        <is>
          <t>/</t>
        </is>
      </c>
      <c r="AD250" s="82" t="n"/>
      <c r="AE250" s="25" t="inlineStr">
        <is>
          <t>1、签订期间：2026.3-7月；
2、指标按照全年换算；</t>
        </is>
      </c>
    </row>
    <row r="251" ht="24" customFormat="1" customHeight="1" s="209">
      <c r="A251" s="219" t="n">
        <v>256</v>
      </c>
      <c r="B251" s="14" t="inlineStr">
        <is>
          <t>KQCY0256</t>
        </is>
      </c>
      <c r="C251" s="221" t="inlineStr">
        <is>
          <t>餐饮三分部</t>
        </is>
      </c>
      <c r="D251" s="221" t="inlineStr">
        <is>
          <t>CF320</t>
        </is>
      </c>
      <c r="E251" s="61" t="inlineStr">
        <is>
          <t>江苏财经梅园食堂</t>
        </is>
      </c>
      <c r="F251" s="219" t="inlineStr">
        <is>
          <t>分组作业</t>
        </is>
      </c>
      <c r="G251" s="222" t="inlineStr">
        <is>
          <t>吉沐牛</t>
        </is>
      </c>
      <c r="H251" s="503" t="inlineStr">
        <is>
          <t>/</t>
        </is>
      </c>
      <c r="I251" s="237" t="inlineStr">
        <is>
          <t>双拼饭</t>
        </is>
      </c>
      <c r="J251" s="143" t="inlineStr">
        <is>
          <t>相加生</t>
        </is>
      </c>
      <c r="K251" s="224" t="inlineStr">
        <is>
          <t>/</t>
        </is>
      </c>
      <c r="L251" s="651" t="n">
        <v>780000</v>
      </c>
      <c r="M251" s="77" t="n">
        <v>0.14</v>
      </c>
      <c r="N251" s="77" t="n">
        <v>0.01</v>
      </c>
      <c r="O251" s="77" t="n">
        <v>0.02</v>
      </c>
      <c r="P251" s="77" t="n">
        <v>0.01</v>
      </c>
      <c r="Q251" s="77" t="n">
        <v>0.02</v>
      </c>
      <c r="R251" s="77" t="n">
        <v>0.03</v>
      </c>
      <c r="S251" s="77" t="n">
        <v>0.02</v>
      </c>
      <c r="T251" s="77" t="n">
        <v>0.02</v>
      </c>
      <c r="U251" s="77" t="n">
        <v>0.02</v>
      </c>
      <c r="V251" s="573" t="n">
        <v>50</v>
      </c>
      <c r="W251" s="77" t="n">
        <v>0.5</v>
      </c>
      <c r="X251" s="77" t="inlineStr">
        <is>
          <t>/</t>
        </is>
      </c>
      <c r="Y251" s="72" t="inlineStr">
        <is>
          <t>/</t>
        </is>
      </c>
      <c r="Z251" s="72" t="inlineStr">
        <is>
          <t>/</t>
        </is>
      </c>
      <c r="AA251" s="72" t="inlineStr">
        <is>
          <t>/</t>
        </is>
      </c>
      <c r="AB251" s="51" t="inlineStr">
        <is>
          <t>/</t>
        </is>
      </c>
      <c r="AC251" s="46" t="inlineStr">
        <is>
          <t>/</t>
        </is>
      </c>
      <c r="AD251" s="82" t="n"/>
      <c r="AE251" s="25" t="inlineStr">
        <is>
          <t>1、签订期间：2026.2-7月；
2、指标按照全年换算；</t>
        </is>
      </c>
    </row>
    <row r="252" ht="24" customFormat="1" customHeight="1" s="209">
      <c r="A252" s="219" t="n">
        <v>257</v>
      </c>
      <c r="B252" s="14" t="inlineStr">
        <is>
          <t>KQCY0257</t>
        </is>
      </c>
      <c r="C252" s="221" t="inlineStr">
        <is>
          <t>餐饮三分部</t>
        </is>
      </c>
      <c r="D252" s="221" t="inlineStr">
        <is>
          <t>CF320</t>
        </is>
      </c>
      <c r="E252" s="61" t="inlineStr">
        <is>
          <t>江苏财经梅园食堂</t>
        </is>
      </c>
      <c r="F252" s="219" t="inlineStr">
        <is>
          <t>分组作业</t>
        </is>
      </c>
      <c r="G252" s="222" t="inlineStr">
        <is>
          <t>吉沐牛</t>
        </is>
      </c>
      <c r="H252" s="503" t="inlineStr">
        <is>
          <t>/</t>
        </is>
      </c>
      <c r="I252" s="237" t="inlineStr">
        <is>
          <t>一纸鸡</t>
        </is>
      </c>
      <c r="J252" s="143" t="inlineStr">
        <is>
          <t>王森</t>
        </is>
      </c>
      <c r="K252" s="224" t="inlineStr">
        <is>
          <t>/</t>
        </is>
      </c>
      <c r="L252" s="651" t="n">
        <v>333600</v>
      </c>
      <c r="M252" s="77" t="n">
        <v>0.14</v>
      </c>
      <c r="N252" s="77" t="n">
        <v>0.01</v>
      </c>
      <c r="O252" s="77" t="n">
        <v>0.02</v>
      </c>
      <c r="P252" s="77" t="n">
        <v>0.01</v>
      </c>
      <c r="Q252" s="77" t="n">
        <v>0.02</v>
      </c>
      <c r="R252" s="77" t="n">
        <v>0.03</v>
      </c>
      <c r="S252" s="77" t="n">
        <v>0.02</v>
      </c>
      <c r="T252" s="77" t="n">
        <v>0.02</v>
      </c>
      <c r="U252" s="77" t="n">
        <v>0.02</v>
      </c>
      <c r="V252" s="573" t="n">
        <v>50</v>
      </c>
      <c r="W252" s="77" t="n">
        <v>0.5</v>
      </c>
      <c r="X252" s="77" t="inlineStr">
        <is>
          <t>/</t>
        </is>
      </c>
      <c r="Y252" s="72" t="inlineStr">
        <is>
          <t>/</t>
        </is>
      </c>
      <c r="Z252" s="72" t="inlineStr">
        <is>
          <t>/</t>
        </is>
      </c>
      <c r="AA252" s="72" t="inlineStr">
        <is>
          <t>/</t>
        </is>
      </c>
      <c r="AB252" s="51" t="inlineStr">
        <is>
          <t>/</t>
        </is>
      </c>
      <c r="AC252" s="46" t="inlineStr">
        <is>
          <t>/</t>
        </is>
      </c>
      <c r="AD252" s="82" t="n"/>
      <c r="AE252" s="25" t="inlineStr">
        <is>
          <t>1、签订期间：2026.3-7月；
2、指标按照全年换算；</t>
        </is>
      </c>
    </row>
    <row r="253" ht="24" customFormat="1" customHeight="1" s="209">
      <c r="A253" s="219" t="n">
        <v>258</v>
      </c>
      <c r="B253" s="14" t="inlineStr">
        <is>
          <t>KQCY0258</t>
        </is>
      </c>
      <c r="C253" s="221" t="inlineStr">
        <is>
          <t>餐饮三分部</t>
        </is>
      </c>
      <c r="D253" s="221" t="inlineStr">
        <is>
          <t>CF320</t>
        </is>
      </c>
      <c r="E253" s="61" t="inlineStr">
        <is>
          <t>江苏财经梅园食堂</t>
        </is>
      </c>
      <c r="F253" s="219" t="inlineStr">
        <is>
          <t>分组作业</t>
        </is>
      </c>
      <c r="G253" s="222" t="inlineStr">
        <is>
          <t>吉沐牛</t>
        </is>
      </c>
      <c r="H253" s="503" t="inlineStr">
        <is>
          <t>/</t>
        </is>
      </c>
      <c r="I253" s="237" t="inlineStr">
        <is>
          <t>糖水粥铺</t>
        </is>
      </c>
      <c r="J253" s="143" t="inlineStr">
        <is>
          <t>胡跃跃</t>
        </is>
      </c>
      <c r="K253" s="224" t="inlineStr">
        <is>
          <t>/</t>
        </is>
      </c>
      <c r="L253" s="651" t="n">
        <v>254400</v>
      </c>
      <c r="M253" s="77" t="n">
        <v>0.14</v>
      </c>
      <c r="N253" s="77" t="n">
        <v>0.01</v>
      </c>
      <c r="O253" s="77" t="n">
        <v>0.02</v>
      </c>
      <c r="P253" s="77" t="n">
        <v>0.01</v>
      </c>
      <c r="Q253" s="77" t="n">
        <v>0.02</v>
      </c>
      <c r="R253" s="77" t="n">
        <v>0.03</v>
      </c>
      <c r="S253" s="77" t="n">
        <v>0.02</v>
      </c>
      <c r="T253" s="77" t="n">
        <v>0.02</v>
      </c>
      <c r="U253" s="77" t="n">
        <v>0.02</v>
      </c>
      <c r="V253" s="573" t="n">
        <v>50</v>
      </c>
      <c r="W253" s="77" t="n">
        <v>0.5</v>
      </c>
      <c r="X253" s="77" t="inlineStr">
        <is>
          <t>/</t>
        </is>
      </c>
      <c r="Y253" s="72" t="inlineStr">
        <is>
          <t>/</t>
        </is>
      </c>
      <c r="Z253" s="72" t="inlineStr">
        <is>
          <t>/</t>
        </is>
      </c>
      <c r="AA253" s="72" t="inlineStr">
        <is>
          <t>/</t>
        </is>
      </c>
      <c r="AB253" s="51" t="inlineStr">
        <is>
          <t>/</t>
        </is>
      </c>
      <c r="AC253" s="46" t="inlineStr">
        <is>
          <t>/</t>
        </is>
      </c>
      <c r="AD253" s="76" t="n"/>
      <c r="AE253" s="25" t="inlineStr">
        <is>
          <t>1、签订期间：2026.3-7月；
2、指标按照全年换算；</t>
        </is>
      </c>
    </row>
    <row r="254" ht="24" customFormat="1" customHeight="1" s="209">
      <c r="A254" s="219" t="n">
        <v>259</v>
      </c>
      <c r="B254" s="14" t="inlineStr">
        <is>
          <t>KQCY0259</t>
        </is>
      </c>
      <c r="C254" s="221" t="inlineStr">
        <is>
          <t>餐饮三分部</t>
        </is>
      </c>
      <c r="D254" s="221" t="inlineStr">
        <is>
          <t>CF320</t>
        </is>
      </c>
      <c r="E254" s="61" t="inlineStr">
        <is>
          <t>江苏财经梅园食堂</t>
        </is>
      </c>
      <c r="F254" s="219" t="inlineStr">
        <is>
          <t>分组作业</t>
        </is>
      </c>
      <c r="G254" s="222" t="inlineStr">
        <is>
          <t>吉沐牛</t>
        </is>
      </c>
      <c r="H254" s="503" t="inlineStr">
        <is>
          <t>/</t>
        </is>
      </c>
      <c r="I254" s="237" t="inlineStr">
        <is>
          <t>五谷渔粉</t>
        </is>
      </c>
      <c r="J254" s="143" t="inlineStr">
        <is>
          <t>赵青青</t>
        </is>
      </c>
      <c r="K254" s="224" t="inlineStr">
        <is>
          <t>/</t>
        </is>
      </c>
      <c r="L254" s="651" t="n">
        <v>892800</v>
      </c>
      <c r="M254" s="77" t="n">
        <v>0.14</v>
      </c>
      <c r="N254" s="77" t="n">
        <v>0.01</v>
      </c>
      <c r="O254" s="77" t="n">
        <v>0.02</v>
      </c>
      <c r="P254" s="77" t="n">
        <v>0.01</v>
      </c>
      <c r="Q254" s="77" t="n">
        <v>0.02</v>
      </c>
      <c r="R254" s="77" t="n">
        <v>0.03</v>
      </c>
      <c r="S254" s="77" t="n">
        <v>0.02</v>
      </c>
      <c r="T254" s="77" t="n">
        <v>0.02</v>
      </c>
      <c r="U254" s="77" t="n">
        <v>0.02</v>
      </c>
      <c r="V254" s="573" t="n">
        <v>50</v>
      </c>
      <c r="W254" s="77" t="n">
        <v>0.5</v>
      </c>
      <c r="X254" s="77" t="inlineStr">
        <is>
          <t>/</t>
        </is>
      </c>
      <c r="Y254" s="72" t="inlineStr">
        <is>
          <t>/</t>
        </is>
      </c>
      <c r="Z254" s="72" t="inlineStr">
        <is>
          <t>/</t>
        </is>
      </c>
      <c r="AA254" s="72" t="inlineStr">
        <is>
          <t>/</t>
        </is>
      </c>
      <c r="AB254" s="51" t="inlineStr">
        <is>
          <t>/</t>
        </is>
      </c>
      <c r="AC254" s="46" t="inlineStr">
        <is>
          <t>/</t>
        </is>
      </c>
      <c r="AD254" s="76" t="n"/>
      <c r="AE254" s="25" t="inlineStr">
        <is>
          <t>1、签订期间：2026.3-7月；
2、指标按照全年换算；</t>
        </is>
      </c>
    </row>
    <row r="255" ht="24" customFormat="1" customHeight="1" s="209">
      <c r="A255" s="219" t="n">
        <v>260</v>
      </c>
      <c r="B255" s="14" t="inlineStr">
        <is>
          <t>KQCY0260</t>
        </is>
      </c>
      <c r="C255" s="221" t="inlineStr">
        <is>
          <t>餐饮三分部</t>
        </is>
      </c>
      <c r="D255" s="221" t="inlineStr">
        <is>
          <t>CF320</t>
        </is>
      </c>
      <c r="E255" s="61" t="inlineStr">
        <is>
          <t>江苏财经梅园食堂</t>
        </is>
      </c>
      <c r="F255" s="219" t="inlineStr">
        <is>
          <t>分组作业</t>
        </is>
      </c>
      <c r="G255" s="222" t="inlineStr">
        <is>
          <t>吉沐牛</t>
        </is>
      </c>
      <c r="H255" s="503" t="inlineStr">
        <is>
          <t>/</t>
        </is>
      </c>
      <c r="I255" s="237" t="inlineStr">
        <is>
          <t>吉祥馄饨</t>
        </is>
      </c>
      <c r="J255" s="143" t="inlineStr">
        <is>
          <t>刘淑平</t>
        </is>
      </c>
      <c r="K255" s="224" t="inlineStr">
        <is>
          <t>/</t>
        </is>
      </c>
      <c r="L255" s="651" t="n">
        <v>340800</v>
      </c>
      <c r="M255" s="77" t="n">
        <v>0.14</v>
      </c>
      <c r="N255" s="77" t="n">
        <v>0.01</v>
      </c>
      <c r="O255" s="77" t="n">
        <v>0.02</v>
      </c>
      <c r="P255" s="77" t="n">
        <v>0.01</v>
      </c>
      <c r="Q255" s="77" t="n">
        <v>0.02</v>
      </c>
      <c r="R255" s="77" t="n">
        <v>0.03</v>
      </c>
      <c r="S255" s="77" t="n">
        <v>0.02</v>
      </c>
      <c r="T255" s="77" t="n">
        <v>0.02</v>
      </c>
      <c r="U255" s="77" t="n">
        <v>0.02</v>
      </c>
      <c r="V255" s="573" t="n">
        <v>50</v>
      </c>
      <c r="W255" s="74" t="n"/>
      <c r="X255" s="72" t="inlineStr">
        <is>
          <t>/</t>
        </is>
      </c>
      <c r="Y255" s="72" t="inlineStr">
        <is>
          <t>/</t>
        </is>
      </c>
      <c r="Z255" s="72" t="inlineStr">
        <is>
          <t>/</t>
        </is>
      </c>
      <c r="AA255" s="72" t="inlineStr">
        <is>
          <t>/</t>
        </is>
      </c>
      <c r="AB255" s="51" t="inlineStr">
        <is>
          <t>/</t>
        </is>
      </c>
      <c r="AC255" s="46" t="inlineStr">
        <is>
          <t>/</t>
        </is>
      </c>
      <c r="AD255" s="76" t="n"/>
      <c r="AE255" s="25" t="inlineStr">
        <is>
          <t>1、签订期间：2026.3-7月；
2、指标按照全年换算；</t>
        </is>
      </c>
    </row>
    <row r="256" ht="24" customFormat="1" customHeight="1" s="209">
      <c r="A256" s="219" t="n">
        <v>261</v>
      </c>
      <c r="B256" s="14" t="inlineStr">
        <is>
          <t>KQCY0261</t>
        </is>
      </c>
      <c r="C256" s="221" t="inlineStr">
        <is>
          <t>餐饮三分部</t>
        </is>
      </c>
      <c r="D256" s="221" t="inlineStr">
        <is>
          <t>CF320</t>
        </is>
      </c>
      <c r="E256" s="61" t="inlineStr">
        <is>
          <t>江苏财经梅园食堂</t>
        </is>
      </c>
      <c r="F256" s="219" t="inlineStr">
        <is>
          <t>分组作业</t>
        </is>
      </c>
      <c r="G256" s="222" t="inlineStr">
        <is>
          <t>吉沐牛</t>
        </is>
      </c>
      <c r="H256" s="503" t="inlineStr">
        <is>
          <t>/</t>
        </is>
      </c>
      <c r="I256" s="237" t="inlineStr">
        <is>
          <t>煎饼</t>
        </is>
      </c>
      <c r="J256" s="143" t="inlineStr">
        <is>
          <t>相丽</t>
        </is>
      </c>
      <c r="K256" s="224" t="inlineStr">
        <is>
          <t>/</t>
        </is>
      </c>
      <c r="L256" s="651" t="n">
        <v>360000</v>
      </c>
      <c r="M256" s="77" t="n">
        <v>0.14</v>
      </c>
      <c r="N256" s="77" t="n">
        <v>0.01</v>
      </c>
      <c r="O256" s="77" t="n">
        <v>0.02</v>
      </c>
      <c r="P256" s="77" t="n">
        <v>0.01</v>
      </c>
      <c r="Q256" s="77" t="n">
        <v>0.02</v>
      </c>
      <c r="R256" s="77" t="n">
        <v>0.03</v>
      </c>
      <c r="S256" s="77" t="n">
        <v>0.02</v>
      </c>
      <c r="T256" s="77" t="n">
        <v>0.02</v>
      </c>
      <c r="U256" s="77" t="n">
        <v>0.02</v>
      </c>
      <c r="V256" s="573" t="n">
        <v>50</v>
      </c>
      <c r="W256" s="77" t="n">
        <v>0.5</v>
      </c>
      <c r="X256" s="77" t="inlineStr">
        <is>
          <t>/</t>
        </is>
      </c>
      <c r="Y256" s="72" t="inlineStr">
        <is>
          <t>/</t>
        </is>
      </c>
      <c r="Z256" s="72" t="inlineStr">
        <is>
          <t>/</t>
        </is>
      </c>
      <c r="AA256" s="72" t="inlineStr">
        <is>
          <t>/</t>
        </is>
      </c>
      <c r="AB256" s="51" t="inlineStr">
        <is>
          <t>/</t>
        </is>
      </c>
      <c r="AC256" s="46" t="inlineStr">
        <is>
          <t>/</t>
        </is>
      </c>
      <c r="AD256" s="82" t="n"/>
      <c r="AE256" s="25" t="inlineStr">
        <is>
          <t>1、签订期间：2026.3-7月；
2、指标按照全年换算；</t>
        </is>
      </c>
    </row>
    <row r="257" ht="24" customFormat="1" customHeight="1" s="209">
      <c r="A257" s="219" t="n">
        <v>262</v>
      </c>
      <c r="B257" s="14" t="inlineStr">
        <is>
          <t>KQCY0262</t>
        </is>
      </c>
      <c r="C257" s="221" t="inlineStr">
        <is>
          <t>餐饮三分部</t>
        </is>
      </c>
      <c r="D257" s="221" t="inlineStr">
        <is>
          <t>CF320</t>
        </is>
      </c>
      <c r="E257" s="61" t="inlineStr">
        <is>
          <t>江苏财经梅园食堂</t>
        </is>
      </c>
      <c r="F257" s="219" t="inlineStr">
        <is>
          <t>分组作业</t>
        </is>
      </c>
      <c r="G257" s="222" t="inlineStr">
        <is>
          <t>吉沐牛</t>
        </is>
      </c>
      <c r="H257" s="503" t="inlineStr">
        <is>
          <t>/</t>
        </is>
      </c>
      <c r="I257" s="237" t="inlineStr">
        <is>
          <t>香锅</t>
        </is>
      </c>
      <c r="J257" s="143" t="inlineStr">
        <is>
          <t>王凯</t>
        </is>
      </c>
      <c r="K257" s="224" t="inlineStr">
        <is>
          <t>/</t>
        </is>
      </c>
      <c r="L257" s="651" t="n">
        <v>592800</v>
      </c>
      <c r="M257" s="77" t="n">
        <v>0.14</v>
      </c>
      <c r="N257" s="77" t="n">
        <v>0.01</v>
      </c>
      <c r="O257" s="77" t="n">
        <v>0.02</v>
      </c>
      <c r="P257" s="77" t="n">
        <v>0.01</v>
      </c>
      <c r="Q257" s="77" t="n">
        <v>0.02</v>
      </c>
      <c r="R257" s="77" t="n">
        <v>0.03</v>
      </c>
      <c r="S257" s="77" t="n">
        <v>0.02</v>
      </c>
      <c r="T257" s="77" t="n">
        <v>0.02</v>
      </c>
      <c r="U257" s="77" t="n">
        <v>0.02</v>
      </c>
      <c r="V257" s="573" t="n">
        <v>50</v>
      </c>
      <c r="W257" s="77" t="n">
        <v>0.5</v>
      </c>
      <c r="X257" s="77" t="inlineStr">
        <is>
          <t>/</t>
        </is>
      </c>
      <c r="Y257" s="72" t="inlineStr">
        <is>
          <t>/</t>
        </is>
      </c>
      <c r="Z257" s="72" t="inlineStr">
        <is>
          <t>/</t>
        </is>
      </c>
      <c r="AA257" s="72" t="inlineStr">
        <is>
          <t>/</t>
        </is>
      </c>
      <c r="AB257" s="51" t="inlineStr">
        <is>
          <t>/</t>
        </is>
      </c>
      <c r="AC257" s="46" t="inlineStr">
        <is>
          <t>/</t>
        </is>
      </c>
      <c r="AD257" s="82" t="n"/>
      <c r="AE257" s="25" t="inlineStr">
        <is>
          <t>1、签订期间：2026.3-7月；
2、指标按照全年换算；</t>
        </is>
      </c>
    </row>
    <row r="258" ht="84" customFormat="1" customHeight="1" s="209">
      <c r="A258" s="219" t="n">
        <v>263</v>
      </c>
      <c r="B258" s="14" t="inlineStr">
        <is>
          <t>KQCY0263</t>
        </is>
      </c>
      <c r="C258" s="221" t="inlineStr">
        <is>
          <t>餐饮三分部</t>
        </is>
      </c>
      <c r="D258" s="221" t="inlineStr">
        <is>
          <t>CF320</t>
        </is>
      </c>
      <c r="E258" s="61" t="inlineStr">
        <is>
          <t>江苏财经梅园食堂</t>
        </is>
      </c>
      <c r="F258" s="219" t="inlineStr">
        <is>
          <t>分组作业</t>
        </is>
      </c>
      <c r="G258" s="222" t="inlineStr">
        <is>
          <t>吉沐牛</t>
        </is>
      </c>
      <c r="H258" s="219" t="inlineStr">
        <is>
          <t>第十五班组</t>
        </is>
      </c>
      <c r="I258" s="232" t="inlineStr">
        <is>
          <t>柚见鲜茶</t>
        </is>
      </c>
      <c r="J258" s="143" t="inlineStr">
        <is>
          <t>王春梅</t>
        </is>
      </c>
      <c r="K258" s="224" t="inlineStr">
        <is>
          <t>/</t>
        </is>
      </c>
      <c r="L258" s="651" t="n">
        <v>540000</v>
      </c>
      <c r="M258" s="72" t="n">
        <v>11250</v>
      </c>
      <c r="N258" s="77" t="inlineStr">
        <is>
          <t>/</t>
        </is>
      </c>
      <c r="O258" s="77" t="inlineStr">
        <is>
          <t>/</t>
        </is>
      </c>
      <c r="P258" s="81" t="inlineStr">
        <is>
          <t>/</t>
        </is>
      </c>
      <c r="Q258" s="81" t="inlineStr">
        <is>
          <t>/</t>
        </is>
      </c>
      <c r="R258" s="81" t="inlineStr">
        <is>
          <t>/</t>
        </is>
      </c>
      <c r="S258" s="81" t="inlineStr">
        <is>
          <t>/</t>
        </is>
      </c>
      <c r="T258" s="71" t="inlineStr">
        <is>
          <t>/</t>
        </is>
      </c>
      <c r="U258" s="95" t="n"/>
      <c r="V258" s="573" t="n">
        <v>50</v>
      </c>
      <c r="W258" s="77" t="n">
        <v>0.6</v>
      </c>
      <c r="X258" s="77" t="inlineStr">
        <is>
          <t>/</t>
        </is>
      </c>
      <c r="Y258" s="72" t="inlineStr">
        <is>
          <t>/</t>
        </is>
      </c>
      <c r="Z258" s="72" t="inlineStr">
        <is>
          <t>/</t>
        </is>
      </c>
      <c r="AA258" s="72" t="inlineStr">
        <is>
          <t>/</t>
        </is>
      </c>
      <c r="AB258" s="51" t="inlineStr">
        <is>
          <t>/</t>
        </is>
      </c>
      <c r="AC258" s="46" t="inlineStr">
        <is>
          <t>/</t>
        </is>
      </c>
      <c r="AD258"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t>
        </is>
      </c>
      <c r="AE258" s="25" t="inlineStr">
        <is>
          <t>1、签订期间：2025.9-2026.7月；
2、指标按照全年换算；
3、管理费9万/年，8个月扣除，每月11250；</t>
        </is>
      </c>
    </row>
    <row r="259" ht="24" customFormat="1" customHeight="1" s="209">
      <c r="A259" s="219" t="n">
        <v>264</v>
      </c>
      <c r="B259" s="14" t="inlineStr">
        <is>
          <t>KQCY0264</t>
        </is>
      </c>
      <c r="C259" s="221" t="inlineStr">
        <is>
          <t>餐饮三分部</t>
        </is>
      </c>
      <c r="D259" s="221" t="inlineStr">
        <is>
          <t>CF320</t>
        </is>
      </c>
      <c r="E259" s="61" t="inlineStr">
        <is>
          <t>江苏财经梅园食堂</t>
        </is>
      </c>
      <c r="F259" s="219" t="inlineStr">
        <is>
          <t>分组作业</t>
        </is>
      </c>
      <c r="G259" s="222" t="inlineStr">
        <is>
          <t>吉沐牛</t>
        </is>
      </c>
      <c r="H259" s="219" t="inlineStr">
        <is>
          <t>第十六班组</t>
        </is>
      </c>
      <c r="I259" s="232" t="inlineStr">
        <is>
          <t>酷堡王</t>
        </is>
      </c>
      <c r="J259" s="143" t="inlineStr">
        <is>
          <t>籍明明</t>
        </is>
      </c>
      <c r="K259" s="224" t="inlineStr">
        <is>
          <t>/</t>
        </is>
      </c>
      <c r="L259" s="651" t="n">
        <v>780000</v>
      </c>
      <c r="M259" s="77" t="n">
        <v>0.12</v>
      </c>
      <c r="N259" s="77" t="n">
        <v>0.01</v>
      </c>
      <c r="O259" s="77" t="n">
        <v>0.01</v>
      </c>
      <c r="P259" s="77" t="n">
        <v>0.03</v>
      </c>
      <c r="Q259" s="77" t="n">
        <v>0.01</v>
      </c>
      <c r="R259" s="77" t="n">
        <v>0.01</v>
      </c>
      <c r="S259" s="77" t="n">
        <v>0.01</v>
      </c>
      <c r="T259" s="71" t="inlineStr">
        <is>
          <t>/</t>
        </is>
      </c>
      <c r="U259" s="72" t="n"/>
      <c r="V259" s="77" t="inlineStr">
        <is>
          <t>/</t>
        </is>
      </c>
      <c r="W259" s="77" t="n">
        <v>0.6</v>
      </c>
      <c r="X259" s="77" t="inlineStr">
        <is>
          <t>/</t>
        </is>
      </c>
      <c r="Y259" s="72" t="inlineStr">
        <is>
          <t>/</t>
        </is>
      </c>
      <c r="Z259" s="72" t="inlineStr">
        <is>
          <t>/</t>
        </is>
      </c>
      <c r="AA259" s="72" t="inlineStr">
        <is>
          <t>/</t>
        </is>
      </c>
      <c r="AB259" s="51" t="inlineStr">
        <is>
          <t>/</t>
        </is>
      </c>
      <c r="AC259" s="46" t="inlineStr">
        <is>
          <t>/</t>
        </is>
      </c>
      <c r="AD259" s="145" t="inlineStr">
        <is>
          <t>1、卫生费：项目反馈不收取，包含在服务费中；
2、其他:项目反馈不收取，包含在服务费中；</t>
        </is>
      </c>
      <c r="AE259" s="25" t="inlineStr">
        <is>
          <t>1、签订期间：2025.9-2026.7月；
2、指标按照全年换算；</t>
        </is>
      </c>
    </row>
    <row r="260" ht="108" customFormat="1" customHeight="1" s="209">
      <c r="A260" s="219" t="n">
        <v>265</v>
      </c>
      <c r="B260" s="14" t="inlineStr">
        <is>
          <t>KQCY0265</t>
        </is>
      </c>
      <c r="C260" s="221" t="inlineStr">
        <is>
          <t>餐饮三分部</t>
        </is>
      </c>
      <c r="D260" s="221" t="inlineStr">
        <is>
          <t>CF320</t>
        </is>
      </c>
      <c r="E260" s="61" t="inlineStr">
        <is>
          <t>江苏财经梅园食堂</t>
        </is>
      </c>
      <c r="F260" s="219" t="inlineStr">
        <is>
          <t>分组作业</t>
        </is>
      </c>
      <c r="G260" s="222" t="inlineStr">
        <is>
          <t>吉沐牛</t>
        </is>
      </c>
      <c r="H260" s="503" t="inlineStr">
        <is>
          <t>/</t>
        </is>
      </c>
      <c r="I260" s="237" t="inlineStr">
        <is>
          <t>水果</t>
        </is>
      </c>
      <c r="J260" s="143" t="inlineStr">
        <is>
          <t>陈龙</t>
        </is>
      </c>
      <c r="K260" s="224" t="inlineStr">
        <is>
          <t>/</t>
        </is>
      </c>
      <c r="L260" s="651" t="n">
        <v>1020000</v>
      </c>
      <c r="M260" s="72" t="n">
        <v>10000</v>
      </c>
      <c r="N260" s="77" t="inlineStr">
        <is>
          <t>/</t>
        </is>
      </c>
      <c r="O260" s="77" t="inlineStr">
        <is>
          <t>/</t>
        </is>
      </c>
      <c r="P260" s="77" t="inlineStr">
        <is>
          <t>/</t>
        </is>
      </c>
      <c r="Q260" s="77" t="inlineStr">
        <is>
          <t>/</t>
        </is>
      </c>
      <c r="R260" s="77" t="inlineStr">
        <is>
          <t>/</t>
        </is>
      </c>
      <c r="S260" s="77" t="inlineStr">
        <is>
          <t>/</t>
        </is>
      </c>
      <c r="T260" s="77" t="inlineStr">
        <is>
          <t>/</t>
        </is>
      </c>
      <c r="U260" s="70" t="inlineStr">
        <is>
          <t>/</t>
        </is>
      </c>
      <c r="V260" s="77" t="inlineStr">
        <is>
          <t>/</t>
        </is>
      </c>
      <c r="W260" s="74" t="n"/>
      <c r="X260" s="77" t="inlineStr">
        <is>
          <t>/</t>
        </is>
      </c>
      <c r="Y260" s="72" t="inlineStr">
        <is>
          <t>/</t>
        </is>
      </c>
      <c r="Z260" s="72" t="inlineStr">
        <is>
          <t>/</t>
        </is>
      </c>
      <c r="AA260" s="72" t="inlineStr">
        <is>
          <t>/</t>
        </is>
      </c>
      <c r="AB260" s="51" t="inlineStr">
        <is>
          <t>/</t>
        </is>
      </c>
      <c r="AC260" s="46" t="inlineStr">
        <is>
          <t>/</t>
        </is>
      </c>
      <c r="AD260"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8、能源费：项目反馈不收取，包含在服务费中；
9、其他：项目反馈不收取，包含在服务费中；</t>
        </is>
      </c>
      <c r="AE260" s="25" t="inlineStr">
        <is>
          <t>1、签订期间：2026.3-7月；
2、指标按照全年换算；
3、管理费4万/半年，分四个月收取，每月10000；</t>
        </is>
      </c>
    </row>
    <row r="261" ht="96" customFormat="1" customHeight="1" s="209">
      <c r="A261" s="219" t="n">
        <v>266</v>
      </c>
      <c r="B261" s="14" t="inlineStr">
        <is>
          <t>KQCY0266</t>
        </is>
      </c>
      <c r="C261" s="221" t="inlineStr">
        <is>
          <t>餐饮三分部</t>
        </is>
      </c>
      <c r="D261" s="221" t="inlineStr">
        <is>
          <t>CF320</t>
        </is>
      </c>
      <c r="E261" s="61" t="inlineStr">
        <is>
          <t>江苏财经梅园食堂</t>
        </is>
      </c>
      <c r="F261" s="219" t="inlineStr">
        <is>
          <t>分组作业</t>
        </is>
      </c>
      <c r="G261" s="222" t="inlineStr">
        <is>
          <t>吉沐牛</t>
        </is>
      </c>
      <c r="H261" s="503" t="inlineStr">
        <is>
          <t>/</t>
        </is>
      </c>
      <c r="I261" s="237" t="inlineStr">
        <is>
          <t>一鸣鲜奶</t>
        </is>
      </c>
      <c r="J261" s="143" t="inlineStr">
        <is>
          <t>吴斯忠</t>
        </is>
      </c>
      <c r="K261" s="224" t="inlineStr">
        <is>
          <t>/</t>
        </is>
      </c>
      <c r="L261" s="651" t="n">
        <v>328800</v>
      </c>
      <c r="M261" s="72" t="n">
        <v>7500</v>
      </c>
      <c r="N261" s="77" t="inlineStr">
        <is>
          <t>/</t>
        </is>
      </c>
      <c r="O261" s="77" t="inlineStr">
        <is>
          <t>/</t>
        </is>
      </c>
      <c r="P261" s="77" t="inlineStr">
        <is>
          <t>/</t>
        </is>
      </c>
      <c r="Q261" s="77" t="inlineStr">
        <is>
          <t>/</t>
        </is>
      </c>
      <c r="R261" s="77" t="inlineStr">
        <is>
          <t>/</t>
        </is>
      </c>
      <c r="S261" s="77" t="inlineStr">
        <is>
          <t>/</t>
        </is>
      </c>
      <c r="T261" s="77" t="inlineStr">
        <is>
          <t>/</t>
        </is>
      </c>
      <c r="U261" s="95" t="n"/>
      <c r="V261" s="77" t="inlineStr">
        <is>
          <t>/</t>
        </is>
      </c>
      <c r="W261" s="74" t="n"/>
      <c r="X261" s="77" t="inlineStr">
        <is>
          <t>/</t>
        </is>
      </c>
      <c r="Y261" s="72" t="inlineStr">
        <is>
          <t>/</t>
        </is>
      </c>
      <c r="Z261" s="72" t="inlineStr">
        <is>
          <t>/</t>
        </is>
      </c>
      <c r="AA261" s="72" t="inlineStr">
        <is>
          <t>/</t>
        </is>
      </c>
      <c r="AB261" s="51" t="inlineStr">
        <is>
          <t>/</t>
        </is>
      </c>
      <c r="AC261" s="46" t="inlineStr">
        <is>
          <t>/</t>
        </is>
      </c>
      <c r="AD261"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AE261" s="25" t="inlineStr">
        <is>
          <t>1、签订期间：2026.3-7月；
2、指标按照全年换算；
3、管理费6万一年，按8个月收取，每月7500；</t>
        </is>
      </c>
    </row>
    <row r="262" ht="96" customFormat="1" customHeight="1" s="209">
      <c r="A262" s="219" t="n">
        <v>267</v>
      </c>
      <c r="B262" s="14" t="inlineStr">
        <is>
          <t>KQCY0267</t>
        </is>
      </c>
      <c r="C262" s="221" t="inlineStr">
        <is>
          <t>餐饮三分部</t>
        </is>
      </c>
      <c r="D262" s="221" t="inlineStr">
        <is>
          <t>CF320</t>
        </is>
      </c>
      <c r="E262" s="61" t="inlineStr">
        <is>
          <t>江苏财经梅园食堂</t>
        </is>
      </c>
      <c r="F262" s="219" t="inlineStr">
        <is>
          <t>分组作业</t>
        </is>
      </c>
      <c r="G262" s="222" t="inlineStr">
        <is>
          <t>吉沐牛</t>
        </is>
      </c>
      <c r="H262" s="503" t="inlineStr">
        <is>
          <t>/</t>
        </is>
      </c>
      <c r="I262" s="237" t="inlineStr">
        <is>
          <t>库迪咖啡</t>
        </is>
      </c>
      <c r="J262" s="143" t="inlineStr">
        <is>
          <t>张凌子</t>
        </is>
      </c>
      <c r="K262" s="224" t="inlineStr">
        <is>
          <t>/</t>
        </is>
      </c>
      <c r="L262" s="651" t="n">
        <v>285600</v>
      </c>
      <c r="M262" s="72" t="n">
        <v>8750</v>
      </c>
      <c r="N262" s="77" t="inlineStr">
        <is>
          <t>/</t>
        </is>
      </c>
      <c r="O262" s="77" t="inlineStr">
        <is>
          <t>/</t>
        </is>
      </c>
      <c r="P262" s="77" t="inlineStr">
        <is>
          <t>/</t>
        </is>
      </c>
      <c r="Q262" s="77" t="inlineStr">
        <is>
          <t>/</t>
        </is>
      </c>
      <c r="R262" s="77" t="inlineStr">
        <is>
          <t>/</t>
        </is>
      </c>
      <c r="S262" s="77" t="inlineStr">
        <is>
          <t>/</t>
        </is>
      </c>
      <c r="T262" s="77" t="inlineStr">
        <is>
          <t>/</t>
        </is>
      </c>
      <c r="U262" s="95" t="n"/>
      <c r="V262" s="77" t="inlineStr">
        <is>
          <t>/</t>
        </is>
      </c>
      <c r="W262" s="74" t="n"/>
      <c r="X262" s="77" t="inlineStr">
        <is>
          <t>/</t>
        </is>
      </c>
      <c r="Y262" s="72" t="inlineStr">
        <is>
          <t>/</t>
        </is>
      </c>
      <c r="Z262" s="72" t="inlineStr">
        <is>
          <t>/</t>
        </is>
      </c>
      <c r="AA262" s="72" t="inlineStr">
        <is>
          <t>/</t>
        </is>
      </c>
      <c r="AB262" s="51" t="inlineStr">
        <is>
          <t>/</t>
        </is>
      </c>
      <c r="AC262" s="46" t="inlineStr">
        <is>
          <t>/</t>
        </is>
      </c>
      <c r="AD262"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AE262" s="25" t="inlineStr">
        <is>
          <t>1、签订期间：2026.3-7月；
2、指标按照全年换算；
3、管理费7万一年，按8个月收取，每月8750；</t>
        </is>
      </c>
    </row>
    <row r="263" ht="12" customFormat="1" customHeight="1" s="209">
      <c r="A263" s="219" t="n">
        <v>268</v>
      </c>
      <c r="B263" s="14" t="inlineStr">
        <is>
          <t>KQCY0268</t>
        </is>
      </c>
      <c r="C263" s="221" t="n"/>
      <c r="D263" s="221" t="n"/>
      <c r="E263" s="61" t="inlineStr">
        <is>
          <t>江苏财经梅园食堂</t>
        </is>
      </c>
      <c r="F263" s="219" t="inlineStr">
        <is>
          <t>分组作业</t>
        </is>
      </c>
      <c r="G263" s="222" t="inlineStr">
        <is>
          <t>吉沐牛</t>
        </is>
      </c>
      <c r="H263" s="503" t="inlineStr">
        <is>
          <t>/</t>
        </is>
      </c>
      <c r="I263" s="237" t="inlineStr">
        <is>
          <t>猪脚饭</t>
        </is>
      </c>
      <c r="J263" s="143" t="inlineStr">
        <is>
          <t>李袁园</t>
        </is>
      </c>
      <c r="K263" s="224" t="n"/>
      <c r="L263" s="651" t="n"/>
      <c r="M263" s="72" t="n"/>
      <c r="N263" s="77" t="n"/>
      <c r="O263" s="77" t="n"/>
      <c r="P263" s="77" t="n"/>
      <c r="Q263" s="77" t="n"/>
      <c r="R263" s="77" t="n"/>
      <c r="S263" s="77" t="n"/>
      <c r="T263" s="77" t="n"/>
      <c r="U263" s="95" t="n"/>
      <c r="V263" s="77" t="n"/>
      <c r="W263" s="74" t="n"/>
      <c r="X263" s="77" t="n"/>
      <c r="Y263" s="72" t="n"/>
      <c r="Z263" s="72" t="n"/>
      <c r="AA263" s="72" t="n"/>
      <c r="AB263" s="51" t="n"/>
      <c r="AC263" s="46" t="n"/>
      <c r="AD263" s="82" t="n"/>
      <c r="AE263" s="25" t="n"/>
    </row>
    <row r="264" ht="12" customFormat="1" customHeight="1" s="209">
      <c r="A264" s="219" t="n">
        <v>269</v>
      </c>
      <c r="B264" s="14" t="inlineStr">
        <is>
          <t>KQCY0269</t>
        </is>
      </c>
      <c r="C264" s="221" t="inlineStr">
        <is>
          <t>餐饮五分部</t>
        </is>
      </c>
      <c r="D264" s="221" t="inlineStr">
        <is>
          <t>CF694</t>
        </is>
      </c>
      <c r="E264" s="221" t="inlineStr">
        <is>
          <t>兰理工彭家坪北村食堂</t>
        </is>
      </c>
      <c r="F264" s="219" t="inlineStr">
        <is>
          <t>自营</t>
        </is>
      </c>
      <c r="G264" s="222" t="inlineStr">
        <is>
          <t>陆琪</t>
        </is>
      </c>
      <c r="H264" s="222" t="inlineStr">
        <is>
          <t>/</t>
        </is>
      </c>
      <c r="I264" s="237" t="inlineStr">
        <is>
          <t>/</t>
        </is>
      </c>
      <c r="J264" s="222" t="inlineStr">
        <is>
          <t>/</t>
        </is>
      </c>
      <c r="K264" s="224" t="inlineStr">
        <is>
          <t>/</t>
        </is>
      </c>
      <c r="L264" s="651" t="inlineStr">
        <is>
          <t>/</t>
        </is>
      </c>
      <c r="M264" s="97" t="inlineStr">
        <is>
          <t>/</t>
        </is>
      </c>
      <c r="N264" s="97" t="inlineStr">
        <is>
          <t>/</t>
        </is>
      </c>
      <c r="O264" s="97" t="inlineStr">
        <is>
          <t>/</t>
        </is>
      </c>
      <c r="P264" s="97" t="inlineStr">
        <is>
          <t>/</t>
        </is>
      </c>
      <c r="Q264" s="97" t="inlineStr">
        <is>
          <t>/</t>
        </is>
      </c>
      <c r="R264" s="97" t="inlineStr">
        <is>
          <t>/</t>
        </is>
      </c>
      <c r="S264" s="97" t="inlineStr">
        <is>
          <t>/</t>
        </is>
      </c>
      <c r="T264" s="97" t="inlineStr">
        <is>
          <t>/</t>
        </is>
      </c>
      <c r="U264" s="97" t="inlineStr">
        <is>
          <t>/</t>
        </is>
      </c>
      <c r="V264" s="97" t="inlineStr">
        <is>
          <t>/</t>
        </is>
      </c>
      <c r="W264" s="80" t="n"/>
      <c r="X264" s="146" t="inlineStr">
        <is>
          <t>/</t>
        </is>
      </c>
      <c r="Y264" s="146" t="inlineStr">
        <is>
          <t>/</t>
        </is>
      </c>
      <c r="Z264" s="146" t="inlineStr">
        <is>
          <t>/</t>
        </is>
      </c>
      <c r="AA264" s="146" t="inlineStr">
        <is>
          <t>/</t>
        </is>
      </c>
      <c r="AB264" s="46" t="n">
        <v>0.045</v>
      </c>
      <c r="AC264" s="46" t="inlineStr">
        <is>
          <t>/</t>
        </is>
      </c>
      <c r="AD264" s="98" t="n"/>
      <c r="AE264" s="25" t="n"/>
    </row>
    <row r="265" ht="72" customFormat="1" customHeight="1" s="209">
      <c r="A265" s="219" t="n">
        <v>270</v>
      </c>
      <c r="B265" s="14" t="inlineStr">
        <is>
          <t>KQCY0270</t>
        </is>
      </c>
      <c r="C265" s="221" t="inlineStr">
        <is>
          <t>餐饮五分部</t>
        </is>
      </c>
      <c r="D265" s="221" t="inlineStr">
        <is>
          <t>CF694</t>
        </is>
      </c>
      <c r="E265" s="221" t="inlineStr">
        <is>
          <t>兰理工彭家坪北村食堂</t>
        </is>
      </c>
      <c r="F265" s="219" t="inlineStr">
        <is>
          <t>分组作业</t>
        </is>
      </c>
      <c r="G265" s="222" t="inlineStr">
        <is>
          <t>陆琪</t>
        </is>
      </c>
      <c r="H265" s="503" t="inlineStr">
        <is>
          <t>/</t>
        </is>
      </c>
      <c r="I265" s="237" t="inlineStr">
        <is>
          <t>水饺</t>
        </is>
      </c>
      <c r="J265" s="503" t="inlineStr">
        <is>
          <t>穆小芳</t>
        </is>
      </c>
      <c r="K265" s="224" t="inlineStr">
        <is>
          <t>/</t>
        </is>
      </c>
      <c r="L265" s="651" t="n">
        <v>592800</v>
      </c>
      <c r="M265" s="147" t="n">
        <v>0.18</v>
      </c>
      <c r="N265" s="512" t="inlineStr">
        <is>
          <t>/</t>
        </is>
      </c>
      <c r="O265" s="512" t="inlineStr">
        <is>
          <t>/</t>
        </is>
      </c>
      <c r="P265" s="512" t="inlineStr">
        <is>
          <t>/</t>
        </is>
      </c>
      <c r="Q265" s="512" t="inlineStr">
        <is>
          <t>/</t>
        </is>
      </c>
      <c r="R265" s="512" t="inlineStr">
        <is>
          <t>/</t>
        </is>
      </c>
      <c r="S265" s="512" t="inlineStr">
        <is>
          <t>/</t>
        </is>
      </c>
      <c r="T265" s="97" t="n">
        <v>0.03</v>
      </c>
      <c r="U265" s="147" t="n">
        <v>0.03</v>
      </c>
      <c r="V265" s="512" t="inlineStr">
        <is>
          <t>/</t>
        </is>
      </c>
      <c r="W265" s="80" t="n"/>
      <c r="X265" s="146" t="inlineStr">
        <is>
          <t>/</t>
        </is>
      </c>
      <c r="Y265" s="146" t="inlineStr">
        <is>
          <t>/</t>
        </is>
      </c>
      <c r="Z265" s="146" t="inlineStr">
        <is>
          <t>/</t>
        </is>
      </c>
      <c r="AA265" s="146" t="inlineStr">
        <is>
          <t>/</t>
        </is>
      </c>
      <c r="AB265" s="51" t="inlineStr">
        <is>
          <t>/</t>
        </is>
      </c>
      <c r="AC265" s="46" t="inlineStr">
        <is>
          <t>/</t>
        </is>
      </c>
      <c r="AD265"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5" s="25" t="inlineStr">
        <is>
          <t>1、签订期间：2026.3.1-2026.7.20；
2、指标按照全年换算；</t>
        </is>
      </c>
    </row>
    <row r="266" ht="72" customFormat="1" customHeight="1" s="209">
      <c r="A266" s="219" t="n">
        <v>271</v>
      </c>
      <c r="B266" s="14" t="inlineStr">
        <is>
          <t>KQCY0271</t>
        </is>
      </c>
      <c r="C266" s="221" t="inlineStr">
        <is>
          <t>餐饮五分部</t>
        </is>
      </c>
      <c r="D266" s="221" t="inlineStr">
        <is>
          <t>CF694</t>
        </is>
      </c>
      <c r="E266" s="221" t="inlineStr">
        <is>
          <t>兰理工彭家坪北村食堂</t>
        </is>
      </c>
      <c r="F266" s="219" t="inlineStr">
        <is>
          <t>分组作业</t>
        </is>
      </c>
      <c r="G266" s="222" t="inlineStr">
        <is>
          <t>陆琪</t>
        </is>
      </c>
      <c r="H266" s="503" t="inlineStr">
        <is>
          <t>/</t>
        </is>
      </c>
      <c r="I266" s="237" t="inlineStr">
        <is>
          <t>牛肉面</t>
        </is>
      </c>
      <c r="J266" s="480" t="inlineStr">
        <is>
          <t>李俊兵</t>
        </is>
      </c>
      <c r="K266" s="224" t="inlineStr">
        <is>
          <t>/</t>
        </is>
      </c>
      <c r="L266" s="651" t="n">
        <v>626400</v>
      </c>
      <c r="M266" s="147" t="n">
        <v>0.15</v>
      </c>
      <c r="N266" s="512" t="inlineStr">
        <is>
          <t>/</t>
        </is>
      </c>
      <c r="O266" s="512" t="inlineStr">
        <is>
          <t>/</t>
        </is>
      </c>
      <c r="P266" s="512" t="inlineStr">
        <is>
          <t>/</t>
        </is>
      </c>
      <c r="Q266" s="512" t="inlineStr">
        <is>
          <t>/</t>
        </is>
      </c>
      <c r="R266" s="512" t="inlineStr">
        <is>
          <t>/</t>
        </is>
      </c>
      <c r="S266" s="512" t="inlineStr">
        <is>
          <t>/</t>
        </is>
      </c>
      <c r="T266" s="102" t="n">
        <v>0.015</v>
      </c>
      <c r="U266" s="149" t="n">
        <v>0.015</v>
      </c>
      <c r="V266" s="512" t="inlineStr">
        <is>
          <t>/</t>
        </is>
      </c>
      <c r="W266" s="80" t="n"/>
      <c r="X266" s="146" t="inlineStr">
        <is>
          <t>/</t>
        </is>
      </c>
      <c r="Y266" s="146" t="inlineStr">
        <is>
          <t>/</t>
        </is>
      </c>
      <c r="Z266" s="146" t="inlineStr">
        <is>
          <t>/</t>
        </is>
      </c>
      <c r="AA266" s="146" t="inlineStr">
        <is>
          <t>/</t>
        </is>
      </c>
      <c r="AB266" s="51" t="inlineStr">
        <is>
          <t>/</t>
        </is>
      </c>
      <c r="AC266" s="46" t="inlineStr">
        <is>
          <t>/</t>
        </is>
      </c>
      <c r="AD266"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6" s="25" t="inlineStr">
        <is>
          <t>1、签订期间：2026.3.1-2026.7.20；
2、指标按照全年换算；</t>
        </is>
      </c>
    </row>
    <row r="267" ht="72" customFormat="1" customHeight="1" s="209">
      <c r="A267" s="219" t="n">
        <v>272</v>
      </c>
      <c r="B267" s="14" t="inlineStr">
        <is>
          <t>KQCY0272</t>
        </is>
      </c>
      <c r="C267" s="221" t="inlineStr">
        <is>
          <t>餐饮五分部</t>
        </is>
      </c>
      <c r="D267" s="221" t="inlineStr">
        <is>
          <t>CF694</t>
        </is>
      </c>
      <c r="E267" s="221" t="inlineStr">
        <is>
          <t>兰理工彭家坪北村食堂</t>
        </is>
      </c>
      <c r="F267" s="219" t="inlineStr">
        <is>
          <t>分组作业</t>
        </is>
      </c>
      <c r="G267" s="222" t="inlineStr">
        <is>
          <t>陆琪</t>
        </is>
      </c>
      <c r="H267" s="503" t="inlineStr">
        <is>
          <t>/</t>
        </is>
      </c>
      <c r="I267" s="237" t="inlineStr">
        <is>
          <t>韩式煎饼</t>
        </is>
      </c>
      <c r="J267" s="503" t="inlineStr">
        <is>
          <t>赵平花</t>
        </is>
      </c>
      <c r="K267" s="224" t="inlineStr">
        <is>
          <t>/</t>
        </is>
      </c>
      <c r="L267" s="651" t="n">
        <v>343200</v>
      </c>
      <c r="M267" s="147" t="n">
        <v>0.2</v>
      </c>
      <c r="N267" s="512" t="inlineStr">
        <is>
          <t>/</t>
        </is>
      </c>
      <c r="O267" s="512" t="inlineStr">
        <is>
          <t>/</t>
        </is>
      </c>
      <c r="P267" s="512" t="inlineStr">
        <is>
          <t>/</t>
        </is>
      </c>
      <c r="Q267" s="512" t="inlineStr">
        <is>
          <t>/</t>
        </is>
      </c>
      <c r="R267" s="512" t="inlineStr">
        <is>
          <t>/</t>
        </is>
      </c>
      <c r="S267" s="512" t="inlineStr">
        <is>
          <t>/</t>
        </is>
      </c>
      <c r="T267" s="97" t="n">
        <v>0.03</v>
      </c>
      <c r="U267" s="147" t="n">
        <v>0.03</v>
      </c>
      <c r="V267" s="512" t="inlineStr">
        <is>
          <t>/</t>
        </is>
      </c>
      <c r="W267" s="80" t="n"/>
      <c r="X267" s="146" t="inlineStr">
        <is>
          <t>/</t>
        </is>
      </c>
      <c r="Y267" s="146" t="inlineStr">
        <is>
          <t>/</t>
        </is>
      </c>
      <c r="Z267" s="146" t="inlineStr">
        <is>
          <t>/</t>
        </is>
      </c>
      <c r="AA267" s="146" t="inlineStr">
        <is>
          <t>/</t>
        </is>
      </c>
      <c r="AB267" s="51" t="inlineStr">
        <is>
          <t>/</t>
        </is>
      </c>
      <c r="AC267" s="46" t="inlineStr">
        <is>
          <t>/</t>
        </is>
      </c>
      <c r="AD267"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7" s="25" t="inlineStr">
        <is>
          <t>1、签订期间：2026.3.1-2026.7.20；
2、指标按照全年换算；</t>
        </is>
      </c>
    </row>
    <row r="268" ht="72" customFormat="1" customHeight="1" s="209">
      <c r="A268" s="219" t="n">
        <v>273</v>
      </c>
      <c r="B268" s="14" t="inlineStr">
        <is>
          <t>KQCY0273</t>
        </is>
      </c>
      <c r="C268" s="221" t="inlineStr">
        <is>
          <t>餐饮五分部</t>
        </is>
      </c>
      <c r="D268" s="221" t="inlineStr">
        <is>
          <t>CF694</t>
        </is>
      </c>
      <c r="E268" s="221" t="inlineStr">
        <is>
          <t>兰理工彭家坪北村食堂</t>
        </is>
      </c>
      <c r="F268" s="219" t="inlineStr">
        <is>
          <t>分组作业</t>
        </is>
      </c>
      <c r="G268" s="222" t="inlineStr">
        <is>
          <t>陆琪</t>
        </is>
      </c>
      <c r="H268" s="503" t="inlineStr">
        <is>
          <t>/</t>
        </is>
      </c>
      <c r="I268" s="237" t="inlineStr">
        <is>
          <t>米粉</t>
        </is>
      </c>
      <c r="J268" s="503" t="inlineStr">
        <is>
          <t>尚伟云</t>
        </is>
      </c>
      <c r="K268" s="224" t="inlineStr">
        <is>
          <t>/</t>
        </is>
      </c>
      <c r="L268" s="651" t="n">
        <v>676800</v>
      </c>
      <c r="M268" s="147" t="n">
        <v>0.19</v>
      </c>
      <c r="N268" s="512" t="inlineStr">
        <is>
          <t>/</t>
        </is>
      </c>
      <c r="O268" s="512" t="inlineStr">
        <is>
          <t>/</t>
        </is>
      </c>
      <c r="P268" s="512" t="inlineStr">
        <is>
          <t>/</t>
        </is>
      </c>
      <c r="Q268" s="512" t="inlineStr">
        <is>
          <t>/</t>
        </is>
      </c>
      <c r="R268" s="512" t="inlineStr">
        <is>
          <t>/</t>
        </is>
      </c>
      <c r="S268" s="512" t="inlineStr">
        <is>
          <t>/</t>
        </is>
      </c>
      <c r="T268" s="97" t="n">
        <v>0.03</v>
      </c>
      <c r="U268" s="147" t="n">
        <v>0.03</v>
      </c>
      <c r="V268" s="512" t="inlineStr">
        <is>
          <t>/</t>
        </is>
      </c>
      <c r="W268" s="80" t="n"/>
      <c r="X268" s="146" t="inlineStr">
        <is>
          <t>/</t>
        </is>
      </c>
      <c r="Y268" s="146" t="inlineStr">
        <is>
          <t>/</t>
        </is>
      </c>
      <c r="Z268" s="146" t="inlineStr">
        <is>
          <t>/</t>
        </is>
      </c>
      <c r="AA268" s="146" t="inlineStr">
        <is>
          <t>/</t>
        </is>
      </c>
      <c r="AB268" s="51" t="inlineStr">
        <is>
          <t>/</t>
        </is>
      </c>
      <c r="AC268" s="46" t="inlineStr">
        <is>
          <t>/</t>
        </is>
      </c>
      <c r="AD268"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8" s="25" t="inlineStr">
        <is>
          <t>1、签订期间：2026.3.1-2026.7.20；
2、指标按照全年换算；</t>
        </is>
      </c>
    </row>
    <row r="269" ht="72" customFormat="1" customHeight="1" s="209">
      <c r="A269" s="219" t="n">
        <v>274</v>
      </c>
      <c r="B269" s="14" t="inlineStr">
        <is>
          <t>KQCY0274</t>
        </is>
      </c>
      <c r="C269" s="221" t="inlineStr">
        <is>
          <t>餐饮五分部</t>
        </is>
      </c>
      <c r="D269" s="221" t="inlineStr">
        <is>
          <t>CF694</t>
        </is>
      </c>
      <c r="E269" s="221" t="inlineStr">
        <is>
          <t>兰理工彭家坪北村食堂</t>
        </is>
      </c>
      <c r="F269" s="219" t="inlineStr">
        <is>
          <t>分组作业</t>
        </is>
      </c>
      <c r="G269" s="222" t="inlineStr">
        <is>
          <t>陆琪</t>
        </is>
      </c>
      <c r="H269" s="503" t="inlineStr">
        <is>
          <t>/</t>
        </is>
      </c>
      <c r="I269" s="237" t="inlineStr">
        <is>
          <t>肉肉堡</t>
        </is>
      </c>
      <c r="J269" s="503" t="inlineStr">
        <is>
          <t>任洪彦</t>
        </is>
      </c>
      <c r="K269" s="224" t="inlineStr">
        <is>
          <t>/</t>
        </is>
      </c>
      <c r="L269" s="651" t="n">
        <v>408000</v>
      </c>
      <c r="M269" s="147" t="n">
        <v>0.2</v>
      </c>
      <c r="N269" s="512" t="inlineStr">
        <is>
          <t>/</t>
        </is>
      </c>
      <c r="O269" s="512" t="inlineStr">
        <is>
          <t>/</t>
        </is>
      </c>
      <c r="P269" s="512" t="inlineStr">
        <is>
          <t>/</t>
        </is>
      </c>
      <c r="Q269" s="512" t="inlineStr">
        <is>
          <t>/</t>
        </is>
      </c>
      <c r="R269" s="512" t="inlineStr">
        <is>
          <t>/</t>
        </is>
      </c>
      <c r="S269" s="512" t="inlineStr">
        <is>
          <t>/</t>
        </is>
      </c>
      <c r="T269" s="97" t="n">
        <v>0.03</v>
      </c>
      <c r="U269" s="147" t="n">
        <v>0.03</v>
      </c>
      <c r="V269" s="512" t="inlineStr">
        <is>
          <t>/</t>
        </is>
      </c>
      <c r="W269" s="80" t="n"/>
      <c r="X269" s="146" t="inlineStr">
        <is>
          <t>/</t>
        </is>
      </c>
      <c r="Y269" s="146" t="inlineStr">
        <is>
          <t>/</t>
        </is>
      </c>
      <c r="Z269" s="146" t="inlineStr">
        <is>
          <t>/</t>
        </is>
      </c>
      <c r="AA269" s="146" t="inlineStr">
        <is>
          <t>/</t>
        </is>
      </c>
      <c r="AB269" s="51" t="inlineStr">
        <is>
          <t>/</t>
        </is>
      </c>
      <c r="AC269" s="46" t="inlineStr">
        <is>
          <t>/</t>
        </is>
      </c>
      <c r="AD269"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9" s="25" t="inlineStr">
        <is>
          <t>1、签订期间：2026.3.1-2026.7.20；
2、指标按照全年换算；</t>
        </is>
      </c>
    </row>
    <row r="270" ht="72" customFormat="1" customHeight="1" s="209">
      <c r="A270" s="219" t="n">
        <v>275</v>
      </c>
      <c r="B270" s="14" t="inlineStr">
        <is>
          <t>KQCY0275</t>
        </is>
      </c>
      <c r="C270" s="221" t="inlineStr">
        <is>
          <t>餐饮五分部</t>
        </is>
      </c>
      <c r="D270" s="221" t="inlineStr">
        <is>
          <t>CF694</t>
        </is>
      </c>
      <c r="E270" s="221" t="inlineStr">
        <is>
          <t>兰理工彭家坪北村食堂</t>
        </is>
      </c>
      <c r="F270" s="219" t="inlineStr">
        <is>
          <t>分组作业</t>
        </is>
      </c>
      <c r="G270" s="222" t="inlineStr">
        <is>
          <t>陆琪</t>
        </is>
      </c>
      <c r="H270" s="503" t="inlineStr">
        <is>
          <t>/</t>
        </is>
      </c>
      <c r="I270" s="237" t="inlineStr">
        <is>
          <t>肉酱面</t>
        </is>
      </c>
      <c r="J270" s="503" t="inlineStr">
        <is>
          <t>杨小含</t>
        </is>
      </c>
      <c r="K270" s="224" t="inlineStr">
        <is>
          <t>/</t>
        </is>
      </c>
      <c r="L270" s="651" t="n">
        <v>595200</v>
      </c>
      <c r="M270" s="147" t="n">
        <v>0.21</v>
      </c>
      <c r="N270" s="512" t="inlineStr">
        <is>
          <t>/</t>
        </is>
      </c>
      <c r="O270" s="512" t="inlineStr">
        <is>
          <t>/</t>
        </is>
      </c>
      <c r="P270" s="512" t="inlineStr">
        <is>
          <t>/</t>
        </is>
      </c>
      <c r="Q270" s="512" t="inlineStr">
        <is>
          <t>/</t>
        </is>
      </c>
      <c r="R270" s="512" t="inlineStr">
        <is>
          <t>/</t>
        </is>
      </c>
      <c r="S270" s="512" t="inlineStr">
        <is>
          <t>/</t>
        </is>
      </c>
      <c r="T270" s="97" t="n">
        <v>0.02</v>
      </c>
      <c r="U270" s="147" t="n">
        <v>0.02</v>
      </c>
      <c r="V270" s="512" t="inlineStr">
        <is>
          <t>/</t>
        </is>
      </c>
      <c r="W270" s="80" t="n"/>
      <c r="X270" s="146" t="inlineStr">
        <is>
          <t>/</t>
        </is>
      </c>
      <c r="Y270" s="146" t="inlineStr">
        <is>
          <t>/</t>
        </is>
      </c>
      <c r="Z270" s="146" t="inlineStr">
        <is>
          <t>/</t>
        </is>
      </c>
      <c r="AA270" s="146" t="inlineStr">
        <is>
          <t>/</t>
        </is>
      </c>
      <c r="AB270" s="51" t="inlineStr">
        <is>
          <t>/</t>
        </is>
      </c>
      <c r="AC270" s="46" t="inlineStr">
        <is>
          <t>/</t>
        </is>
      </c>
      <c r="AD270"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0" s="25" t="inlineStr">
        <is>
          <t>1、签订期间：2026.3.1-2026.7.20；
2、指标按照全年换算；</t>
        </is>
      </c>
    </row>
    <row r="271" ht="72" customFormat="1" customHeight="1" s="209">
      <c r="A271" s="219" t="n">
        <v>276</v>
      </c>
      <c r="B271" s="14" t="inlineStr">
        <is>
          <t>KQCY0276</t>
        </is>
      </c>
      <c r="C271" s="221" t="inlineStr">
        <is>
          <t>餐饮五分部</t>
        </is>
      </c>
      <c r="D271" s="221" t="inlineStr">
        <is>
          <t>CF694</t>
        </is>
      </c>
      <c r="E271" s="221" t="inlineStr">
        <is>
          <t>兰理工彭家坪北村食堂</t>
        </is>
      </c>
      <c r="F271" s="219" t="inlineStr">
        <is>
          <t>分组作业</t>
        </is>
      </c>
      <c r="G271" s="222" t="inlineStr">
        <is>
          <t>陆琪</t>
        </is>
      </c>
      <c r="H271" s="503" t="inlineStr">
        <is>
          <t>/</t>
        </is>
      </c>
      <c r="I271" s="237" t="inlineStr">
        <is>
          <t>脆皮鸡</t>
        </is>
      </c>
      <c r="J271" s="503" t="inlineStr">
        <is>
          <t>汤瑞珍</t>
        </is>
      </c>
      <c r="K271" s="224" t="inlineStr">
        <is>
          <t>/</t>
        </is>
      </c>
      <c r="L271" s="651" t="n">
        <v>595200</v>
      </c>
      <c r="M271" s="147" t="n">
        <v>0.2</v>
      </c>
      <c r="N271" s="512" t="inlineStr">
        <is>
          <t>/</t>
        </is>
      </c>
      <c r="O271" s="512" t="inlineStr">
        <is>
          <t>/</t>
        </is>
      </c>
      <c r="P271" s="512" t="inlineStr">
        <is>
          <t>/</t>
        </is>
      </c>
      <c r="Q271" s="512" t="inlineStr">
        <is>
          <t>/</t>
        </is>
      </c>
      <c r="R271" s="512" t="inlineStr">
        <is>
          <t>/</t>
        </is>
      </c>
      <c r="S271" s="512" t="inlineStr">
        <is>
          <t>/</t>
        </is>
      </c>
      <c r="T271" s="97" t="n">
        <v>0.03</v>
      </c>
      <c r="U271" s="147" t="n">
        <v>0.03</v>
      </c>
      <c r="V271" s="512" t="inlineStr">
        <is>
          <t>/</t>
        </is>
      </c>
      <c r="W271" s="80" t="n"/>
      <c r="X271" s="146" t="inlineStr">
        <is>
          <t>/</t>
        </is>
      </c>
      <c r="Y271" s="146" t="inlineStr">
        <is>
          <t>/</t>
        </is>
      </c>
      <c r="Z271" s="146" t="inlineStr">
        <is>
          <t>/</t>
        </is>
      </c>
      <c r="AA271" s="146" t="inlineStr">
        <is>
          <t>/</t>
        </is>
      </c>
      <c r="AB271" s="51" t="inlineStr">
        <is>
          <t>/</t>
        </is>
      </c>
      <c r="AC271" s="46" t="inlineStr">
        <is>
          <t>/</t>
        </is>
      </c>
      <c r="AD271" s="15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1" s="25" t="inlineStr">
        <is>
          <t>1、签订期间：2026.3.1-2026.7.20；
2、指标按照全年换算；</t>
        </is>
      </c>
    </row>
    <row r="272" ht="72" customFormat="1" customHeight="1" s="209">
      <c r="A272" s="219" t="n">
        <v>277</v>
      </c>
      <c r="B272" s="14" t="inlineStr">
        <is>
          <t>KQCY0277</t>
        </is>
      </c>
      <c r="C272" s="221" t="inlineStr">
        <is>
          <t>餐饮五分部</t>
        </is>
      </c>
      <c r="D272" s="221" t="inlineStr">
        <is>
          <t>CF694</t>
        </is>
      </c>
      <c r="E272" s="221" t="inlineStr">
        <is>
          <t>兰理工彭家坪北村食堂</t>
        </is>
      </c>
      <c r="F272" s="219" t="inlineStr">
        <is>
          <t>分组作业</t>
        </is>
      </c>
      <c r="G272" s="222" t="inlineStr">
        <is>
          <t>陆琪</t>
        </is>
      </c>
      <c r="H272" s="503" t="inlineStr">
        <is>
          <t>/</t>
        </is>
      </c>
      <c r="I272" s="237" t="inlineStr">
        <is>
          <t>小笼包（渔粉）</t>
        </is>
      </c>
      <c r="J272" s="503" t="inlineStr">
        <is>
          <t>庞大江</t>
        </is>
      </c>
      <c r="K272" s="224" t="inlineStr">
        <is>
          <t>/</t>
        </is>
      </c>
      <c r="L272" s="651" t="n">
        <v>626400</v>
      </c>
      <c r="M272" s="147" t="n">
        <v>0.19</v>
      </c>
      <c r="N272" s="512" t="inlineStr">
        <is>
          <t>/</t>
        </is>
      </c>
      <c r="O272" s="512" t="inlineStr">
        <is>
          <t>/</t>
        </is>
      </c>
      <c r="P272" s="512" t="inlineStr">
        <is>
          <t>/</t>
        </is>
      </c>
      <c r="Q272" s="512" t="inlineStr">
        <is>
          <t>/</t>
        </is>
      </c>
      <c r="R272" s="512" t="inlineStr">
        <is>
          <t>/</t>
        </is>
      </c>
      <c r="S272" s="512" t="inlineStr">
        <is>
          <t>/</t>
        </is>
      </c>
      <c r="T272" s="97" t="n">
        <v>0.03</v>
      </c>
      <c r="U272" s="147" t="n">
        <v>0.03</v>
      </c>
      <c r="V272" s="512" t="inlineStr">
        <is>
          <t>/</t>
        </is>
      </c>
      <c r="W272" s="80" t="n"/>
      <c r="X272" s="146" t="inlineStr">
        <is>
          <t>/</t>
        </is>
      </c>
      <c r="Y272" s="146" t="inlineStr">
        <is>
          <t>/</t>
        </is>
      </c>
      <c r="Z272" s="146" t="inlineStr">
        <is>
          <t>/</t>
        </is>
      </c>
      <c r="AA272" s="146" t="inlineStr">
        <is>
          <t>/</t>
        </is>
      </c>
      <c r="AB272" s="51" t="inlineStr">
        <is>
          <t>/</t>
        </is>
      </c>
      <c r="AC272" s="46" t="inlineStr">
        <is>
          <t>/</t>
        </is>
      </c>
      <c r="AD272" s="15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2" s="25" t="inlineStr">
        <is>
          <t>1、签订期间：2026.3.1-2026.7.20；
2、指标按照全年换算；</t>
        </is>
      </c>
    </row>
    <row r="273" ht="72" customFormat="1" customHeight="1" s="209">
      <c r="A273" s="219" t="n">
        <v>278</v>
      </c>
      <c r="B273" s="14" t="inlineStr">
        <is>
          <t>KQCY0278</t>
        </is>
      </c>
      <c r="C273" s="221" t="inlineStr">
        <is>
          <t>餐饮五分部</t>
        </is>
      </c>
      <c r="D273" s="221" t="inlineStr">
        <is>
          <t>CF694</t>
        </is>
      </c>
      <c r="E273" s="221" t="inlineStr">
        <is>
          <t>兰理工彭家坪北村食堂</t>
        </is>
      </c>
      <c r="F273" s="219" t="inlineStr">
        <is>
          <t>分组作业</t>
        </is>
      </c>
      <c r="G273" s="222" t="inlineStr">
        <is>
          <t>陆琪</t>
        </is>
      </c>
      <c r="H273" s="503" t="inlineStr">
        <is>
          <t>/</t>
        </is>
      </c>
      <c r="I273" s="237" t="inlineStr">
        <is>
          <t>早点</t>
        </is>
      </c>
      <c r="J273" s="503" t="inlineStr">
        <is>
          <t>陶红喜</t>
        </is>
      </c>
      <c r="K273" s="224" t="inlineStr">
        <is>
          <t>/</t>
        </is>
      </c>
      <c r="L273" s="651" t="n">
        <v>984000</v>
      </c>
      <c r="M273" s="147" t="n">
        <v>0.2</v>
      </c>
      <c r="N273" s="512" t="inlineStr">
        <is>
          <t>/</t>
        </is>
      </c>
      <c r="O273" s="512" t="inlineStr">
        <is>
          <t>/</t>
        </is>
      </c>
      <c r="P273" s="512" t="inlineStr">
        <is>
          <t>/</t>
        </is>
      </c>
      <c r="Q273" s="512" t="inlineStr">
        <is>
          <t>/</t>
        </is>
      </c>
      <c r="R273" s="512" t="inlineStr">
        <is>
          <t>/</t>
        </is>
      </c>
      <c r="S273" s="512" t="inlineStr">
        <is>
          <t>/</t>
        </is>
      </c>
      <c r="T273" s="97" t="n">
        <v>0.03</v>
      </c>
      <c r="U273" s="147" t="n">
        <v>0.03</v>
      </c>
      <c r="V273" s="512" t="inlineStr">
        <is>
          <t>/</t>
        </is>
      </c>
      <c r="W273" s="80" t="n"/>
      <c r="X273" s="146" t="inlineStr">
        <is>
          <t>/</t>
        </is>
      </c>
      <c r="Y273" s="146" t="inlineStr">
        <is>
          <t>/</t>
        </is>
      </c>
      <c r="Z273" s="146" t="inlineStr">
        <is>
          <t>/</t>
        </is>
      </c>
      <c r="AA273" s="146" t="inlineStr">
        <is>
          <t>/</t>
        </is>
      </c>
      <c r="AB273" s="51" t="inlineStr">
        <is>
          <t>/</t>
        </is>
      </c>
      <c r="AC273" s="46" t="inlineStr">
        <is>
          <t>/</t>
        </is>
      </c>
      <c r="AD273" s="15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3" s="25" t="inlineStr">
        <is>
          <t>1、签订期间：2026.3.1-2026.7.20；
2、指标按照全年换算；</t>
        </is>
      </c>
    </row>
    <row r="274" ht="72" customFormat="1" customHeight="1" s="209">
      <c r="A274" s="219" t="n">
        <v>279</v>
      </c>
      <c r="B274" s="14" t="inlineStr">
        <is>
          <t>KQCY0279</t>
        </is>
      </c>
      <c r="C274" s="221" t="inlineStr">
        <is>
          <t>餐饮五分部</t>
        </is>
      </c>
      <c r="D274" s="221" t="inlineStr">
        <is>
          <t>CF694</t>
        </is>
      </c>
      <c r="E274" s="221" t="inlineStr">
        <is>
          <t>兰理工彭家坪北村食堂</t>
        </is>
      </c>
      <c r="F274" s="219" t="inlineStr">
        <is>
          <t>分组作业</t>
        </is>
      </c>
      <c r="G274" s="222" t="inlineStr">
        <is>
          <t>陆琪</t>
        </is>
      </c>
      <c r="H274" s="503" t="inlineStr">
        <is>
          <t>/</t>
        </is>
      </c>
      <c r="I274" s="237" t="inlineStr">
        <is>
          <t>湘式小炒</t>
        </is>
      </c>
      <c r="J274" s="503" t="inlineStr">
        <is>
          <t>李雪婷</t>
        </is>
      </c>
      <c r="K274" s="224" t="inlineStr">
        <is>
          <t>/</t>
        </is>
      </c>
      <c r="L274" s="651" t="n">
        <v>626400</v>
      </c>
      <c r="M274" s="113" t="n">
        <v>0.19</v>
      </c>
      <c r="N274" s="502" t="inlineStr">
        <is>
          <t>/</t>
        </is>
      </c>
      <c r="O274" s="502" t="inlineStr">
        <is>
          <t>/</t>
        </is>
      </c>
      <c r="P274" s="502" t="inlineStr">
        <is>
          <t>/</t>
        </is>
      </c>
      <c r="Q274" s="502" t="inlineStr">
        <is>
          <t>/</t>
        </is>
      </c>
      <c r="R274" s="502" t="inlineStr">
        <is>
          <t>/</t>
        </is>
      </c>
      <c r="S274" s="502" t="inlineStr">
        <is>
          <t>/</t>
        </is>
      </c>
      <c r="T274" s="224" t="n">
        <v>0.03</v>
      </c>
      <c r="U274" s="113" t="n">
        <v>0.03</v>
      </c>
      <c r="V274" s="502" t="inlineStr">
        <is>
          <t>/</t>
        </is>
      </c>
      <c r="W274" s="44" t="n"/>
      <c r="X274" s="51" t="inlineStr">
        <is>
          <t>/</t>
        </is>
      </c>
      <c r="Y274" s="51" t="inlineStr">
        <is>
          <t>/</t>
        </is>
      </c>
      <c r="Z274" s="51" t="inlineStr">
        <is>
          <t>/</t>
        </is>
      </c>
      <c r="AA274" s="51" t="inlineStr">
        <is>
          <t>/</t>
        </is>
      </c>
      <c r="AB274" s="51" t="inlineStr">
        <is>
          <t>/</t>
        </is>
      </c>
      <c r="AC274" s="46" t="inlineStr">
        <is>
          <t>/</t>
        </is>
      </c>
      <c r="AD274"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4" s="25" t="inlineStr">
        <is>
          <t>1、签订期间：2026.3.1-2026.7.20；
2、指标按照全年换算；</t>
        </is>
      </c>
    </row>
    <row r="275" ht="72" customFormat="1" customHeight="1" s="209">
      <c r="A275" s="219" t="n">
        <v>280</v>
      </c>
      <c r="B275" s="14" t="inlineStr">
        <is>
          <t>KQCY0280</t>
        </is>
      </c>
      <c r="C275" s="221" t="inlineStr">
        <is>
          <t>餐饮五分部</t>
        </is>
      </c>
      <c r="D275" s="221" t="inlineStr">
        <is>
          <t>CF694</t>
        </is>
      </c>
      <c r="E275" s="221" t="inlineStr">
        <is>
          <t>兰理工彭家坪北村食堂</t>
        </is>
      </c>
      <c r="F275" s="219" t="inlineStr">
        <is>
          <t>分组作业</t>
        </is>
      </c>
      <c r="G275" s="222" t="inlineStr">
        <is>
          <t>陆琪</t>
        </is>
      </c>
      <c r="H275" s="503" t="inlineStr">
        <is>
          <t>/</t>
        </is>
      </c>
      <c r="I275" s="237" t="inlineStr">
        <is>
          <t>饸饹面</t>
        </is>
      </c>
      <c r="J275" s="494" t="inlineStr">
        <is>
          <t>高维秦</t>
        </is>
      </c>
      <c r="K275" s="224" t="inlineStr">
        <is>
          <t>/</t>
        </is>
      </c>
      <c r="L275" s="651" t="n">
        <v>626400</v>
      </c>
      <c r="M275" s="113" t="n">
        <v>0.2</v>
      </c>
      <c r="N275" s="502" t="inlineStr">
        <is>
          <t>/</t>
        </is>
      </c>
      <c r="O275" s="502" t="inlineStr">
        <is>
          <t>/</t>
        </is>
      </c>
      <c r="P275" s="502" t="inlineStr">
        <is>
          <t>/</t>
        </is>
      </c>
      <c r="Q275" s="502" t="inlineStr">
        <is>
          <t>/</t>
        </is>
      </c>
      <c r="R275" s="502" t="inlineStr">
        <is>
          <t>/</t>
        </is>
      </c>
      <c r="S275" s="502" t="inlineStr">
        <is>
          <t>/</t>
        </is>
      </c>
      <c r="T275" s="224" t="n">
        <v>0.03</v>
      </c>
      <c r="U275" s="113" t="n">
        <v>0.03</v>
      </c>
      <c r="V275" s="502" t="inlineStr">
        <is>
          <t>/</t>
        </is>
      </c>
      <c r="W275" s="44" t="n"/>
      <c r="X275" s="51" t="inlineStr">
        <is>
          <t>/</t>
        </is>
      </c>
      <c r="Y275" s="51" t="inlineStr">
        <is>
          <t>/</t>
        </is>
      </c>
      <c r="Z275" s="51" t="inlineStr">
        <is>
          <t>/</t>
        </is>
      </c>
      <c r="AA275" s="51" t="inlineStr">
        <is>
          <t>/</t>
        </is>
      </c>
      <c r="AB275" s="51" t="inlineStr">
        <is>
          <t>/</t>
        </is>
      </c>
      <c r="AC275" s="46" t="inlineStr">
        <is>
          <t>/</t>
        </is>
      </c>
      <c r="AD275"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5" s="25" t="inlineStr">
        <is>
          <t>1、签订期间：2026.3.1-2026.7.20；
2、指标按照全年换算；</t>
        </is>
      </c>
    </row>
    <row r="276" ht="72" customFormat="1" customHeight="1" s="209">
      <c r="A276" s="219" t="n">
        <v>281</v>
      </c>
      <c r="B276" s="14" t="inlineStr">
        <is>
          <t>KQCY0281</t>
        </is>
      </c>
      <c r="C276" s="221" t="inlineStr">
        <is>
          <t>餐饮五分部</t>
        </is>
      </c>
      <c r="D276" s="221" t="inlineStr">
        <is>
          <t>CF694</t>
        </is>
      </c>
      <c r="E276" s="221" t="inlineStr">
        <is>
          <t>兰理工彭家坪北村食堂</t>
        </is>
      </c>
      <c r="F276" s="219" t="inlineStr">
        <is>
          <t>分组作业</t>
        </is>
      </c>
      <c r="G276" s="222" t="inlineStr">
        <is>
          <t>陆琪</t>
        </is>
      </c>
      <c r="H276" s="503" t="inlineStr">
        <is>
          <t>/</t>
        </is>
      </c>
      <c r="I276" s="237" t="inlineStr">
        <is>
          <t>石锅饭</t>
        </is>
      </c>
      <c r="J276" s="494" t="inlineStr">
        <is>
          <t>杨方红</t>
        </is>
      </c>
      <c r="K276" s="224" t="inlineStr">
        <is>
          <t>/</t>
        </is>
      </c>
      <c r="L276" s="651" t="n">
        <v>408000</v>
      </c>
      <c r="M276" s="113" t="n">
        <v>0.18</v>
      </c>
      <c r="N276" s="502" t="inlineStr">
        <is>
          <t>/</t>
        </is>
      </c>
      <c r="O276" s="502" t="inlineStr">
        <is>
          <t>/</t>
        </is>
      </c>
      <c r="P276" s="502" t="inlineStr">
        <is>
          <t>/</t>
        </is>
      </c>
      <c r="Q276" s="502" t="inlineStr">
        <is>
          <t>/</t>
        </is>
      </c>
      <c r="R276" s="502" t="inlineStr">
        <is>
          <t>/</t>
        </is>
      </c>
      <c r="S276" s="502" t="inlineStr">
        <is>
          <t>/</t>
        </is>
      </c>
      <c r="T276" s="224" t="n">
        <v>0.03</v>
      </c>
      <c r="U276" s="113" t="n">
        <v>0.03</v>
      </c>
      <c r="V276" s="502" t="inlineStr">
        <is>
          <t>/</t>
        </is>
      </c>
      <c r="W276" s="44" t="n"/>
      <c r="X276" s="51" t="inlineStr">
        <is>
          <t>/</t>
        </is>
      </c>
      <c r="Y276" s="51" t="inlineStr">
        <is>
          <t>/</t>
        </is>
      </c>
      <c r="Z276" s="51" t="inlineStr">
        <is>
          <t>/</t>
        </is>
      </c>
      <c r="AA276" s="51" t="inlineStr">
        <is>
          <t>/</t>
        </is>
      </c>
      <c r="AB276" s="51" t="inlineStr">
        <is>
          <t>/</t>
        </is>
      </c>
      <c r="AC276" s="46" t="inlineStr">
        <is>
          <t>/</t>
        </is>
      </c>
      <c r="AD276"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6" s="25" t="inlineStr">
        <is>
          <t>1、签订期间：2026.3.1-2026.7.20；
2、指标按照全年换算；</t>
        </is>
      </c>
    </row>
    <row r="277" ht="72" customFormat="1" customHeight="1" s="209">
      <c r="A277" s="219" t="n">
        <v>282</v>
      </c>
      <c r="B277" s="14" t="inlineStr">
        <is>
          <t>KQCY0282</t>
        </is>
      </c>
      <c r="C277" s="221" t="inlineStr">
        <is>
          <t>餐饮五分部</t>
        </is>
      </c>
      <c r="D277" s="221" t="inlineStr">
        <is>
          <t>CF694</t>
        </is>
      </c>
      <c r="E277" s="221" t="inlineStr">
        <is>
          <t>兰理工彭家坪北村食堂</t>
        </is>
      </c>
      <c r="F277" s="219" t="inlineStr">
        <is>
          <t>分组作业</t>
        </is>
      </c>
      <c r="G277" s="222" t="inlineStr">
        <is>
          <t>陆琪</t>
        </is>
      </c>
      <c r="H277" s="503" t="inlineStr">
        <is>
          <t>/</t>
        </is>
      </c>
      <c r="I277" s="237" t="inlineStr">
        <is>
          <t>猪脚饭</t>
        </is>
      </c>
      <c r="J277" s="494" t="inlineStr">
        <is>
          <t>陈发全</t>
        </is>
      </c>
      <c r="K277" s="224" t="inlineStr">
        <is>
          <t>/</t>
        </is>
      </c>
      <c r="L277" s="651" t="n">
        <v>626400</v>
      </c>
      <c r="M277" s="113" t="n">
        <v>0.2</v>
      </c>
      <c r="N277" s="502" t="inlineStr">
        <is>
          <t>/</t>
        </is>
      </c>
      <c r="O277" s="502" t="inlineStr">
        <is>
          <t>/</t>
        </is>
      </c>
      <c r="P277" s="502" t="inlineStr">
        <is>
          <t>/</t>
        </is>
      </c>
      <c r="Q277" s="502" t="inlineStr">
        <is>
          <t>/</t>
        </is>
      </c>
      <c r="R277" s="502" t="inlineStr">
        <is>
          <t>/</t>
        </is>
      </c>
      <c r="S277" s="502" t="inlineStr">
        <is>
          <t>/</t>
        </is>
      </c>
      <c r="T277" s="224" t="n">
        <v>0.03</v>
      </c>
      <c r="U277" s="113" t="n">
        <v>0.03</v>
      </c>
      <c r="V277" s="502" t="inlineStr">
        <is>
          <t>/</t>
        </is>
      </c>
      <c r="W277" s="44" t="n"/>
      <c r="X277" s="51" t="inlineStr">
        <is>
          <t>/</t>
        </is>
      </c>
      <c r="Y277" s="51" t="inlineStr">
        <is>
          <t>/</t>
        </is>
      </c>
      <c r="Z277" s="51" t="inlineStr">
        <is>
          <t>/</t>
        </is>
      </c>
      <c r="AA277" s="51" t="inlineStr">
        <is>
          <t>/</t>
        </is>
      </c>
      <c r="AB277" s="51" t="inlineStr">
        <is>
          <t>/</t>
        </is>
      </c>
      <c r="AC277" s="46" t="inlineStr">
        <is>
          <t>/</t>
        </is>
      </c>
      <c r="AD277"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7" s="25" t="inlineStr">
        <is>
          <t>1、签订期间：2026.3.1-2026.7.20；
2、指标按照全年换算；</t>
        </is>
      </c>
    </row>
    <row r="278" ht="72" customFormat="1" customHeight="1" s="209">
      <c r="A278" s="219" t="n">
        <v>283</v>
      </c>
      <c r="B278" s="14" t="inlineStr">
        <is>
          <t>KQCY0283</t>
        </is>
      </c>
      <c r="C278" s="221" t="inlineStr">
        <is>
          <t>餐饮五分部</t>
        </is>
      </c>
      <c r="D278" s="221" t="inlineStr">
        <is>
          <t>CF694</t>
        </is>
      </c>
      <c r="E278" s="221" t="inlineStr">
        <is>
          <t>兰理工彭家坪北村食堂</t>
        </is>
      </c>
      <c r="F278" s="219" t="inlineStr">
        <is>
          <t>分组作业</t>
        </is>
      </c>
      <c r="G278" s="222" t="inlineStr">
        <is>
          <t>陆琪</t>
        </is>
      </c>
      <c r="H278" s="503" t="inlineStr">
        <is>
          <t>/</t>
        </is>
      </c>
      <c r="I278" s="237" t="inlineStr">
        <is>
          <t>水吧</t>
        </is>
      </c>
      <c r="J278" s="494" t="inlineStr">
        <is>
          <t>陈发全</t>
        </is>
      </c>
      <c r="K278" s="224" t="inlineStr">
        <is>
          <t>/</t>
        </is>
      </c>
      <c r="L278" s="651" t="n">
        <v>319200</v>
      </c>
      <c r="M278" s="113" t="n">
        <v>0.12</v>
      </c>
      <c r="N278" s="502" t="inlineStr">
        <is>
          <t>/</t>
        </is>
      </c>
      <c r="O278" s="502" t="inlineStr">
        <is>
          <t>/</t>
        </is>
      </c>
      <c r="P278" s="502" t="inlineStr">
        <is>
          <t>/</t>
        </is>
      </c>
      <c r="Q278" s="502" t="inlineStr">
        <is>
          <t>/</t>
        </is>
      </c>
      <c r="R278" s="502" t="inlineStr">
        <is>
          <t>/</t>
        </is>
      </c>
      <c r="S278" s="502" t="inlineStr">
        <is>
          <t>/</t>
        </is>
      </c>
      <c r="T278" s="502" t="inlineStr">
        <is>
          <t>/</t>
        </is>
      </c>
      <c r="U278" s="116" t="inlineStr">
        <is>
          <t>/</t>
        </is>
      </c>
      <c r="V278" s="502" t="inlineStr">
        <is>
          <t>/</t>
        </is>
      </c>
      <c r="W278" s="44" t="n"/>
      <c r="X278" s="51" t="inlineStr">
        <is>
          <t>/</t>
        </is>
      </c>
      <c r="Y278" s="51" t="inlineStr">
        <is>
          <t>/</t>
        </is>
      </c>
      <c r="Z278" s="51" t="inlineStr">
        <is>
          <t>/</t>
        </is>
      </c>
      <c r="AA278" s="51" t="inlineStr">
        <is>
          <t>/</t>
        </is>
      </c>
      <c r="AB278" s="51" t="inlineStr">
        <is>
          <t>/</t>
        </is>
      </c>
      <c r="AC278" s="46" t="inlineStr">
        <is>
          <t>/</t>
        </is>
      </c>
      <c r="AD278"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8" s="25" t="inlineStr">
        <is>
          <t>1、签订期间：2026.3.1-2026.7.20；
2、指标按照全年换算；</t>
        </is>
      </c>
    </row>
    <row r="279" ht="72" customFormat="1" customHeight="1" s="209">
      <c r="A279" s="219" t="n">
        <v>284</v>
      </c>
      <c r="B279" s="14" t="inlineStr">
        <is>
          <t>KQCY0284</t>
        </is>
      </c>
      <c r="C279" s="221" t="inlineStr">
        <is>
          <t>餐饮五分部</t>
        </is>
      </c>
      <c r="D279" s="221" t="inlineStr">
        <is>
          <t>CF694</t>
        </is>
      </c>
      <c r="E279" s="221" t="inlineStr">
        <is>
          <t>兰理工彭家坪北村食堂</t>
        </is>
      </c>
      <c r="F279" s="219" t="inlineStr">
        <is>
          <t>分组作业</t>
        </is>
      </c>
      <c r="G279" s="222" t="inlineStr">
        <is>
          <t>陆琪</t>
        </is>
      </c>
      <c r="H279" s="503" t="inlineStr">
        <is>
          <t>/</t>
        </is>
      </c>
      <c r="I279" s="237" t="inlineStr">
        <is>
          <t>小火锅</t>
        </is>
      </c>
      <c r="J279" s="494" t="inlineStr">
        <is>
          <t>韩玉红</t>
        </is>
      </c>
      <c r="K279" s="224" t="inlineStr">
        <is>
          <t>/</t>
        </is>
      </c>
      <c r="L279" s="651" t="n">
        <v>592800</v>
      </c>
      <c r="M279" s="113" t="n">
        <v>0.18</v>
      </c>
      <c r="N279" s="502" t="inlineStr">
        <is>
          <t>/</t>
        </is>
      </c>
      <c r="O279" s="502" t="inlineStr">
        <is>
          <t>/</t>
        </is>
      </c>
      <c r="P279" s="502" t="inlineStr">
        <is>
          <t>/</t>
        </is>
      </c>
      <c r="Q279" s="502" t="inlineStr">
        <is>
          <t>/</t>
        </is>
      </c>
      <c r="R279" s="502" t="inlineStr">
        <is>
          <t>/</t>
        </is>
      </c>
      <c r="S279" s="502" t="inlineStr">
        <is>
          <t>/</t>
        </is>
      </c>
      <c r="T279" s="224" t="n">
        <v>0.03</v>
      </c>
      <c r="U279" s="113" t="n">
        <v>0.03</v>
      </c>
      <c r="V279" s="502" t="inlineStr">
        <is>
          <t>/</t>
        </is>
      </c>
      <c r="W279" s="44" t="n"/>
      <c r="X279" s="51" t="inlineStr">
        <is>
          <t>/</t>
        </is>
      </c>
      <c r="Y279" s="51" t="inlineStr">
        <is>
          <t>/</t>
        </is>
      </c>
      <c r="Z279" s="51" t="inlineStr">
        <is>
          <t>/</t>
        </is>
      </c>
      <c r="AA279" s="51" t="inlineStr">
        <is>
          <t>/</t>
        </is>
      </c>
      <c r="AB279" s="51" t="inlineStr">
        <is>
          <t>/</t>
        </is>
      </c>
      <c r="AC279" s="46" t="inlineStr">
        <is>
          <t>/</t>
        </is>
      </c>
      <c r="AD279"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9" s="25" t="inlineStr">
        <is>
          <t>1、签订期间：2026.3.1-2026.7.20；
2、指标按照全年换算；</t>
        </is>
      </c>
    </row>
    <row r="280" ht="12" customFormat="1" customHeight="1" s="209">
      <c r="A280" s="219" t="n">
        <v>285</v>
      </c>
      <c r="B280" s="14" t="inlineStr">
        <is>
          <t>KQCY0285</t>
        </is>
      </c>
      <c r="C280" s="221" t="n"/>
      <c r="D280" s="221" t="n"/>
      <c r="E280" s="221" t="inlineStr">
        <is>
          <t>兰理工彭家坪北村食堂</t>
        </is>
      </c>
      <c r="F280" s="219" t="inlineStr">
        <is>
          <t>分组作业</t>
        </is>
      </c>
      <c r="G280" s="222" t="inlineStr">
        <is>
          <t>陆琪</t>
        </is>
      </c>
      <c r="H280" s="335" t="inlineStr">
        <is>
          <t>/</t>
        </is>
      </c>
      <c r="I280" s="232" t="inlineStr">
        <is>
          <t>牛肉面</t>
        </is>
      </c>
      <c r="J280" s="494" t="inlineStr">
        <is>
          <t>石磊</t>
        </is>
      </c>
      <c r="K280" s="224" t="n"/>
      <c r="L280" s="651" t="n"/>
      <c r="M280" s="502" t="n"/>
      <c r="N280" s="502" t="n"/>
      <c r="O280" s="502" t="n"/>
      <c r="P280" s="502" t="n"/>
      <c r="Q280" s="502" t="n"/>
      <c r="R280" s="502" t="n"/>
      <c r="S280" s="502" t="n"/>
      <c r="T280" s="503" t="n"/>
      <c r="U280" s="502" t="n"/>
      <c r="V280" s="502" t="n"/>
      <c r="W280" s="503" t="n"/>
      <c r="X280" s="51" t="n"/>
      <c r="Y280" s="51" t="n"/>
      <c r="Z280" s="51" t="n"/>
      <c r="AA280" s="51" t="n"/>
      <c r="AB280" s="46" t="n"/>
      <c r="AC280" s="46" t="n"/>
      <c r="AD280" s="232" t="n"/>
      <c r="AE280" s="25" t="n"/>
    </row>
    <row r="281" ht="12" customFormat="1" customHeight="1" s="209">
      <c r="A281" s="219" t="n">
        <v>286</v>
      </c>
      <c r="B281" s="14" t="inlineStr">
        <is>
          <t>KQCY0286</t>
        </is>
      </c>
      <c r="C281" s="221" t="inlineStr">
        <is>
          <t>餐饮五分部</t>
        </is>
      </c>
      <c r="D281" s="221" t="inlineStr">
        <is>
          <t>CF696</t>
        </is>
      </c>
      <c r="E281" s="221" t="inlineStr">
        <is>
          <t>甘肃省气象局</t>
        </is>
      </c>
      <c r="F281" s="219" t="inlineStr">
        <is>
          <t>人员服务外包</t>
        </is>
      </c>
      <c r="G281" s="222" t="inlineStr">
        <is>
          <t>陆琪</t>
        </is>
      </c>
      <c r="H281" s="219" t="inlineStr">
        <is>
          <t>/</t>
        </is>
      </c>
      <c r="I281" s="232" t="inlineStr">
        <is>
          <t>/</t>
        </is>
      </c>
      <c r="J281" s="494" t="inlineStr">
        <is>
          <t>/</t>
        </is>
      </c>
      <c r="K281" s="224" t="inlineStr">
        <is>
          <t>/</t>
        </is>
      </c>
      <c r="L281" s="651" t="n">
        <v>908000</v>
      </c>
      <c r="M281" s="502" t="inlineStr">
        <is>
          <t>/</t>
        </is>
      </c>
      <c r="N281" s="502" t="inlineStr">
        <is>
          <t>/</t>
        </is>
      </c>
      <c r="O281" s="502" t="inlineStr">
        <is>
          <t>/</t>
        </is>
      </c>
      <c r="P281" s="502" t="inlineStr">
        <is>
          <t>/</t>
        </is>
      </c>
      <c r="Q281" s="502" t="inlineStr">
        <is>
          <t>/</t>
        </is>
      </c>
      <c r="R281" s="502" t="inlineStr">
        <is>
          <t>/</t>
        </is>
      </c>
      <c r="S281" s="502" t="inlineStr">
        <is>
          <t>/</t>
        </is>
      </c>
      <c r="T281" s="503" t="inlineStr">
        <is>
          <t>/</t>
        </is>
      </c>
      <c r="U281" s="502" t="inlineStr">
        <is>
          <t>/</t>
        </is>
      </c>
      <c r="V281" s="502" t="inlineStr">
        <is>
          <t>/</t>
        </is>
      </c>
      <c r="W281" s="503" t="inlineStr">
        <is>
          <t>/</t>
        </is>
      </c>
      <c r="X281" s="51" t="inlineStr">
        <is>
          <t>/</t>
        </is>
      </c>
      <c r="Y281" s="51" t="inlineStr">
        <is>
          <t>/</t>
        </is>
      </c>
      <c r="Z281" s="51" t="inlineStr">
        <is>
          <t>/</t>
        </is>
      </c>
      <c r="AA281" s="51" t="inlineStr">
        <is>
          <t>/</t>
        </is>
      </c>
      <c r="AB281" s="46" t="n">
        <v>0.11</v>
      </c>
      <c r="AC281" s="46" t="inlineStr">
        <is>
          <t>/</t>
        </is>
      </c>
      <c r="AD281" s="232" t="n"/>
      <c r="AE281" s="25" t="n"/>
    </row>
    <row r="282" ht="12" customFormat="1" customHeight="1" s="209">
      <c r="A282" s="219" t="n">
        <v>287</v>
      </c>
      <c r="B282" s="14" t="inlineStr">
        <is>
          <t>KQCY0287</t>
        </is>
      </c>
      <c r="C282" s="221" t="inlineStr">
        <is>
          <t>餐饮五分部</t>
        </is>
      </c>
      <c r="D282" s="221" t="inlineStr">
        <is>
          <t>CF620</t>
        </is>
      </c>
      <c r="E282" s="221" t="inlineStr">
        <is>
          <t>山西大学B6食堂三层</t>
        </is>
      </c>
      <c r="F282" s="219" t="inlineStr">
        <is>
          <t>强责</t>
        </is>
      </c>
      <c r="G282" s="222" t="inlineStr">
        <is>
          <t>陆琪</t>
        </is>
      </c>
      <c r="H282" s="222" t="inlineStr">
        <is>
          <t>/</t>
        </is>
      </c>
      <c r="I282" s="232" t="inlineStr">
        <is>
          <t>冒菜</t>
        </is>
      </c>
      <c r="J282" s="494" t="inlineStr">
        <is>
          <t>陈祥</t>
        </is>
      </c>
      <c r="K282" s="224" t="inlineStr">
        <is>
          <t>/</t>
        </is>
      </c>
      <c r="L282" s="651" t="inlineStr">
        <is>
          <t>/</t>
        </is>
      </c>
      <c r="M282" s="502" t="inlineStr">
        <is>
          <t>/</t>
        </is>
      </c>
      <c r="N282" s="502" t="inlineStr">
        <is>
          <t>/</t>
        </is>
      </c>
      <c r="O282" s="502" t="inlineStr">
        <is>
          <t>/</t>
        </is>
      </c>
      <c r="P282" s="502" t="inlineStr">
        <is>
          <t>/</t>
        </is>
      </c>
      <c r="Q282" s="502" t="inlineStr">
        <is>
          <t>/</t>
        </is>
      </c>
      <c r="R282" s="502" t="inlineStr">
        <is>
          <t>/</t>
        </is>
      </c>
      <c r="S282" s="502" t="inlineStr">
        <is>
          <t>/</t>
        </is>
      </c>
      <c r="T282" s="503" t="inlineStr">
        <is>
          <t>/</t>
        </is>
      </c>
      <c r="U282" s="502" t="inlineStr">
        <is>
          <t>/</t>
        </is>
      </c>
      <c r="V282" s="502" t="inlineStr">
        <is>
          <t>/</t>
        </is>
      </c>
      <c r="W282" s="50" t="n"/>
      <c r="X282" s="51" t="inlineStr">
        <is>
          <t>/</t>
        </is>
      </c>
      <c r="Y282" s="51" t="inlineStr">
        <is>
          <t>/</t>
        </is>
      </c>
      <c r="Z282" s="51" t="inlineStr">
        <is>
          <t>/</t>
        </is>
      </c>
      <c r="AA282" s="51" t="inlineStr">
        <is>
          <t>/</t>
        </is>
      </c>
      <c r="AB282" s="46" t="n">
        <v>0.035</v>
      </c>
      <c r="AC282" s="46" t="inlineStr">
        <is>
          <t>/</t>
        </is>
      </c>
      <c r="AD282" s="232" t="n"/>
      <c r="AE282" s="25" t="n"/>
    </row>
    <row r="283" ht="12" customFormat="1" customHeight="1" s="209">
      <c r="A283" s="219" t="n">
        <v>288</v>
      </c>
      <c r="B283" s="14" t="inlineStr">
        <is>
          <t>KQCY0288</t>
        </is>
      </c>
      <c r="C283" s="221" t="inlineStr">
        <is>
          <t>餐饮五分部</t>
        </is>
      </c>
      <c r="D283" s="221" t="inlineStr">
        <is>
          <t>CF620</t>
        </is>
      </c>
      <c r="E283" s="221" t="inlineStr">
        <is>
          <t>山西大学B6食堂三层</t>
        </is>
      </c>
      <c r="F283" s="219" t="inlineStr">
        <is>
          <t>强责</t>
        </is>
      </c>
      <c r="G283" s="222" t="inlineStr">
        <is>
          <t>陆琪</t>
        </is>
      </c>
      <c r="H283" s="222" t="inlineStr">
        <is>
          <t>/</t>
        </is>
      </c>
      <c r="I283" s="232" t="inlineStr">
        <is>
          <t>烤盘菜</t>
        </is>
      </c>
      <c r="J283" s="494" t="inlineStr">
        <is>
          <t>陈祥</t>
        </is>
      </c>
      <c r="K283" s="224" t="inlineStr">
        <is>
          <t>/</t>
        </is>
      </c>
      <c r="L283" s="651" t="inlineStr">
        <is>
          <t>/</t>
        </is>
      </c>
      <c r="M283" s="502" t="inlineStr">
        <is>
          <t>/</t>
        </is>
      </c>
      <c r="N283" s="502" t="inlineStr">
        <is>
          <t>/</t>
        </is>
      </c>
      <c r="O283" s="502" t="inlineStr">
        <is>
          <t>/</t>
        </is>
      </c>
      <c r="P283" s="502" t="inlineStr">
        <is>
          <t>/</t>
        </is>
      </c>
      <c r="Q283" s="502" t="inlineStr">
        <is>
          <t>/</t>
        </is>
      </c>
      <c r="R283" s="502" t="inlineStr">
        <is>
          <t>/</t>
        </is>
      </c>
      <c r="S283" s="502" t="inlineStr">
        <is>
          <t>/</t>
        </is>
      </c>
      <c r="T283" s="503" t="inlineStr">
        <is>
          <t>/</t>
        </is>
      </c>
      <c r="U283" s="502" t="inlineStr">
        <is>
          <t>/</t>
        </is>
      </c>
      <c r="V283" s="502" t="inlineStr">
        <is>
          <t>/</t>
        </is>
      </c>
      <c r="W283" s="50" t="n"/>
      <c r="X283" s="51" t="inlineStr">
        <is>
          <t>/</t>
        </is>
      </c>
      <c r="Y283" s="51" t="inlineStr">
        <is>
          <t>/</t>
        </is>
      </c>
      <c r="Z283" s="51" t="inlineStr">
        <is>
          <t>/</t>
        </is>
      </c>
      <c r="AA283" s="51" t="inlineStr">
        <is>
          <t>/</t>
        </is>
      </c>
      <c r="AB283" s="46" t="n">
        <v>0.035</v>
      </c>
      <c r="AC283" s="46" t="inlineStr">
        <is>
          <t>/</t>
        </is>
      </c>
      <c r="AD283" s="232" t="n"/>
      <c r="AE283" s="25" t="n"/>
    </row>
    <row r="284" ht="12" customFormat="1" customHeight="1" s="209">
      <c r="A284" s="219" t="n">
        <v>289</v>
      </c>
      <c r="B284" s="14" t="inlineStr">
        <is>
          <t>KQCY0289</t>
        </is>
      </c>
      <c r="C284" s="221" t="inlineStr">
        <is>
          <t>餐饮五分部</t>
        </is>
      </c>
      <c r="D284" s="221" t="inlineStr">
        <is>
          <t>CF620</t>
        </is>
      </c>
      <c r="E284" s="221" t="inlineStr">
        <is>
          <t>山西大学B6食堂三层</t>
        </is>
      </c>
      <c r="F284" s="219" t="inlineStr">
        <is>
          <t>强责</t>
        </is>
      </c>
      <c r="G284" s="222" t="inlineStr">
        <is>
          <t>陆琪</t>
        </is>
      </c>
      <c r="H284" s="222" t="inlineStr">
        <is>
          <t>/</t>
        </is>
      </c>
      <c r="I284" s="232" t="inlineStr">
        <is>
          <t>大盘鸡</t>
        </is>
      </c>
      <c r="J284" s="494" t="inlineStr">
        <is>
          <t>陈祥</t>
        </is>
      </c>
      <c r="K284" s="224" t="inlineStr">
        <is>
          <t>/</t>
        </is>
      </c>
      <c r="L284" s="651" t="inlineStr">
        <is>
          <t>/</t>
        </is>
      </c>
      <c r="M284" s="502" t="inlineStr">
        <is>
          <t>/</t>
        </is>
      </c>
      <c r="N284" s="502" t="inlineStr">
        <is>
          <t>/</t>
        </is>
      </c>
      <c r="O284" s="502" t="inlineStr">
        <is>
          <t>/</t>
        </is>
      </c>
      <c r="P284" s="502" t="inlineStr">
        <is>
          <t>/</t>
        </is>
      </c>
      <c r="Q284" s="502" t="inlineStr">
        <is>
          <t>/</t>
        </is>
      </c>
      <c r="R284" s="502" t="inlineStr">
        <is>
          <t>/</t>
        </is>
      </c>
      <c r="S284" s="502" t="inlineStr">
        <is>
          <t>/</t>
        </is>
      </c>
      <c r="T284" s="503" t="inlineStr">
        <is>
          <t>/</t>
        </is>
      </c>
      <c r="U284" s="502" t="inlineStr">
        <is>
          <t>/</t>
        </is>
      </c>
      <c r="V284" s="502" t="inlineStr">
        <is>
          <t>/</t>
        </is>
      </c>
      <c r="W284" s="50" t="n"/>
      <c r="X284" s="51" t="inlineStr">
        <is>
          <t>/</t>
        </is>
      </c>
      <c r="Y284" s="51" t="inlineStr">
        <is>
          <t>/</t>
        </is>
      </c>
      <c r="Z284" s="51" t="inlineStr">
        <is>
          <t>/</t>
        </is>
      </c>
      <c r="AA284" s="51" t="inlineStr">
        <is>
          <t>/</t>
        </is>
      </c>
      <c r="AB284" s="46" t="n">
        <v>0.035</v>
      </c>
      <c r="AC284" s="46" t="inlineStr">
        <is>
          <t>/</t>
        </is>
      </c>
      <c r="AD284" s="232" t="n"/>
      <c r="AE284" s="25" t="n"/>
    </row>
    <row r="285" ht="12" customFormat="1" customHeight="1" s="209">
      <c r="A285" s="219" t="n">
        <v>290</v>
      </c>
      <c r="B285" s="14" t="inlineStr">
        <is>
          <t>KQCY0290</t>
        </is>
      </c>
      <c r="C285" s="221" t="inlineStr">
        <is>
          <t>餐饮五分部</t>
        </is>
      </c>
      <c r="D285" s="221" t="inlineStr">
        <is>
          <t>CF620</t>
        </is>
      </c>
      <c r="E285" s="221" t="inlineStr">
        <is>
          <t>山西大学B6食堂三层</t>
        </is>
      </c>
      <c r="F285" s="219" t="inlineStr">
        <is>
          <t>强责</t>
        </is>
      </c>
      <c r="G285" s="222" t="inlineStr">
        <is>
          <t>陆琪</t>
        </is>
      </c>
      <c r="H285" s="222" t="inlineStr">
        <is>
          <t>/</t>
        </is>
      </c>
      <c r="I285" s="232" t="inlineStr">
        <is>
          <t>小碗菜</t>
        </is>
      </c>
      <c r="J285" s="494" t="inlineStr">
        <is>
          <t>陈祥</t>
        </is>
      </c>
      <c r="K285" s="224" t="inlineStr">
        <is>
          <t>/</t>
        </is>
      </c>
      <c r="L285" s="651" t="inlineStr">
        <is>
          <t>/</t>
        </is>
      </c>
      <c r="M285" s="502" t="inlineStr">
        <is>
          <t>/</t>
        </is>
      </c>
      <c r="N285" s="502" t="inlineStr">
        <is>
          <t>/</t>
        </is>
      </c>
      <c r="O285" s="502" t="inlineStr">
        <is>
          <t>/</t>
        </is>
      </c>
      <c r="P285" s="502" t="inlineStr">
        <is>
          <t>/</t>
        </is>
      </c>
      <c r="Q285" s="502" t="inlineStr">
        <is>
          <t>/</t>
        </is>
      </c>
      <c r="R285" s="502" t="inlineStr">
        <is>
          <t>/</t>
        </is>
      </c>
      <c r="S285" s="502" t="inlineStr">
        <is>
          <t>/</t>
        </is>
      </c>
      <c r="T285" s="503" t="inlineStr">
        <is>
          <t>/</t>
        </is>
      </c>
      <c r="U285" s="502" t="inlineStr">
        <is>
          <t>/</t>
        </is>
      </c>
      <c r="V285" s="502" t="inlineStr">
        <is>
          <t>/</t>
        </is>
      </c>
      <c r="W285" s="50" t="n"/>
      <c r="X285" s="51" t="inlineStr">
        <is>
          <t>/</t>
        </is>
      </c>
      <c r="Y285" s="51" t="inlineStr">
        <is>
          <t>/</t>
        </is>
      </c>
      <c r="Z285" s="51" t="inlineStr">
        <is>
          <t>/</t>
        </is>
      </c>
      <c r="AA285" s="51" t="inlineStr">
        <is>
          <t>/</t>
        </is>
      </c>
      <c r="AB285" s="46" t="n">
        <v>0.035</v>
      </c>
      <c r="AC285" s="46" t="inlineStr">
        <is>
          <t>/</t>
        </is>
      </c>
      <c r="AD285" s="232" t="n"/>
      <c r="AE285" s="25" t="n"/>
    </row>
    <row r="286" ht="36" customFormat="1" customHeight="1" s="209">
      <c r="A286" s="219" t="n">
        <v>291</v>
      </c>
      <c r="B286" s="14" t="inlineStr">
        <is>
          <t>KQCY0291</t>
        </is>
      </c>
      <c r="C286" s="221" t="inlineStr">
        <is>
          <t>餐饮五分部</t>
        </is>
      </c>
      <c r="D286" s="221" t="inlineStr">
        <is>
          <t>CF620</t>
        </is>
      </c>
      <c r="E286" s="221" t="inlineStr">
        <is>
          <t>山西大学B6食堂三层</t>
        </is>
      </c>
      <c r="F286" s="219" t="inlineStr">
        <is>
          <t>强责</t>
        </is>
      </c>
      <c r="G286" s="222" t="inlineStr">
        <is>
          <t>陆琪</t>
        </is>
      </c>
      <c r="H286" s="503" t="inlineStr">
        <is>
          <t>第一班组</t>
        </is>
      </c>
      <c r="I286" s="237" t="inlineStr">
        <is>
          <t>辣椒炒肉汉堡</t>
        </is>
      </c>
      <c r="J286" s="494" t="inlineStr">
        <is>
          <t>胡星丽</t>
        </is>
      </c>
      <c r="K286" s="224" t="inlineStr">
        <is>
          <t>/</t>
        </is>
      </c>
      <c r="L286" s="651" t="n">
        <v>1200000</v>
      </c>
      <c r="M286" s="113" t="n">
        <v>0.13</v>
      </c>
      <c r="N286" s="502" t="inlineStr">
        <is>
          <t>/</t>
        </is>
      </c>
      <c r="O286" s="502" t="inlineStr">
        <is>
          <t>/</t>
        </is>
      </c>
      <c r="P286" s="502" t="inlineStr">
        <is>
          <t>/</t>
        </is>
      </c>
      <c r="Q286" s="502" t="inlineStr">
        <is>
          <t>/</t>
        </is>
      </c>
      <c r="R286" s="502" t="inlineStr">
        <is>
          <t>/</t>
        </is>
      </c>
      <c r="S286" s="502" t="inlineStr">
        <is>
          <t>/</t>
        </is>
      </c>
      <c r="T286" s="503" t="n">
        <v>3000</v>
      </c>
      <c r="U286" s="502" t="n">
        <v>4000</v>
      </c>
      <c r="V286" s="502" t="inlineStr">
        <is>
          <t>/</t>
        </is>
      </c>
      <c r="W286" s="503" t="inlineStr">
        <is>
          <t xml:space="preserve">
40%</t>
        </is>
      </c>
      <c r="X286" s="51" t="inlineStr">
        <is>
          <t>/</t>
        </is>
      </c>
      <c r="Y286" s="51" t="inlineStr">
        <is>
          <t>/</t>
        </is>
      </c>
      <c r="Z286" s="51" t="inlineStr">
        <is>
          <t>/</t>
        </is>
      </c>
      <c r="AA286" s="51" t="inlineStr">
        <is>
          <t>/</t>
        </is>
      </c>
      <c r="AB286" s="51" t="inlineStr">
        <is>
          <t>/</t>
        </is>
      </c>
      <c r="AC286" s="46" t="inlineStr">
        <is>
          <t>/</t>
        </is>
      </c>
      <c r="AD286" s="232" t="n"/>
      <c r="AE286" s="25" t="inlineStr">
        <is>
          <t xml:space="preserve">
1、签订期间：2026.2.1-2026.7.15；
2、指标按照全年换算；</t>
        </is>
      </c>
    </row>
    <row r="287" ht="36" customFormat="1" customHeight="1" s="209">
      <c r="A287" s="219" t="n">
        <v>292</v>
      </c>
      <c r="B287" s="14" t="inlineStr">
        <is>
          <t>KQCY0292</t>
        </is>
      </c>
      <c r="C287" s="221" t="inlineStr">
        <is>
          <t>餐饮五分部</t>
        </is>
      </c>
      <c r="D287" s="221" t="inlineStr">
        <is>
          <t>CF620</t>
        </is>
      </c>
      <c r="E287" s="221" t="inlineStr">
        <is>
          <t>山西大学B6食堂三层</t>
        </is>
      </c>
      <c r="F287" s="219" t="inlineStr">
        <is>
          <t>强责</t>
        </is>
      </c>
      <c r="G287" s="222" t="inlineStr">
        <is>
          <t>陆琪</t>
        </is>
      </c>
      <c r="H287" s="503" t="inlineStr">
        <is>
          <t>第二班组</t>
        </is>
      </c>
      <c r="I287" s="237" t="inlineStr">
        <is>
          <t>石锅菜</t>
        </is>
      </c>
      <c r="J287" s="494" t="inlineStr">
        <is>
          <t>穆瑞霞</t>
        </is>
      </c>
      <c r="K287" s="224" t="inlineStr">
        <is>
          <t>/</t>
        </is>
      </c>
      <c r="L287" s="651" t="n">
        <v>540000</v>
      </c>
      <c r="M287" s="113" t="n">
        <v>0.23</v>
      </c>
      <c r="N287" s="502" t="inlineStr">
        <is>
          <t>/</t>
        </is>
      </c>
      <c r="O287" s="502" t="inlineStr">
        <is>
          <t>/</t>
        </is>
      </c>
      <c r="P287" s="502" t="inlineStr">
        <is>
          <t>/</t>
        </is>
      </c>
      <c r="Q287" s="502" t="inlineStr">
        <is>
          <t>/</t>
        </is>
      </c>
      <c r="R287" s="502" t="inlineStr">
        <is>
          <t>/</t>
        </is>
      </c>
      <c r="S287" s="502" t="inlineStr">
        <is>
          <t>/</t>
        </is>
      </c>
      <c r="T287" s="502" t="inlineStr">
        <is>
          <t>/</t>
        </is>
      </c>
      <c r="U287" s="502" t="inlineStr">
        <is>
          <t>/</t>
        </is>
      </c>
      <c r="V287" s="502" t="inlineStr">
        <is>
          <t>/</t>
        </is>
      </c>
      <c r="W287" s="503" t="inlineStr">
        <is>
          <t xml:space="preserve">
40%</t>
        </is>
      </c>
      <c r="X287" s="51" t="inlineStr">
        <is>
          <t>/</t>
        </is>
      </c>
      <c r="Y287" s="51" t="inlineStr">
        <is>
          <t>/</t>
        </is>
      </c>
      <c r="Z287" s="51" t="inlineStr">
        <is>
          <t>/</t>
        </is>
      </c>
      <c r="AA287" s="51" t="inlineStr">
        <is>
          <t>/</t>
        </is>
      </c>
      <c r="AB287" s="51" t="inlineStr">
        <is>
          <t>/</t>
        </is>
      </c>
      <c r="AC287" s="46" t="inlineStr">
        <is>
          <t>/</t>
        </is>
      </c>
      <c r="AD287" s="232" t="n"/>
      <c r="AE287" s="25" t="inlineStr">
        <is>
          <t xml:space="preserve">
1、签订期间：2026.2.1-2026.7.15；
2、指标按照全年换算；</t>
        </is>
      </c>
    </row>
    <row r="288" ht="36" customFormat="1" customHeight="1" s="209">
      <c r="A288" s="219" t="n">
        <v>293</v>
      </c>
      <c r="B288" s="14" t="inlineStr">
        <is>
          <t>KQCY0293</t>
        </is>
      </c>
      <c r="C288" s="221" t="inlineStr">
        <is>
          <t>餐饮五分部</t>
        </is>
      </c>
      <c r="D288" s="221" t="inlineStr">
        <is>
          <t>CF620</t>
        </is>
      </c>
      <c r="E288" s="221" t="inlineStr">
        <is>
          <t>山西大学B6食堂三层</t>
        </is>
      </c>
      <c r="F288" s="219" t="inlineStr">
        <is>
          <t>强责</t>
        </is>
      </c>
      <c r="G288" s="222" t="inlineStr">
        <is>
          <t>陆琪</t>
        </is>
      </c>
      <c r="H288" s="503" t="inlineStr">
        <is>
          <t>第三班组</t>
        </is>
      </c>
      <c r="I288" s="237" t="inlineStr">
        <is>
          <t>方圆便利</t>
        </is>
      </c>
      <c r="J288" s="494" t="inlineStr">
        <is>
          <t>张志洁</t>
        </is>
      </c>
      <c r="K288" s="224" t="inlineStr">
        <is>
          <t>/</t>
        </is>
      </c>
      <c r="L288" s="651" t="n">
        <v>720000</v>
      </c>
      <c r="M288" s="113" t="n">
        <v>0.05</v>
      </c>
      <c r="N288" s="502" t="inlineStr">
        <is>
          <t>/</t>
        </is>
      </c>
      <c r="O288" s="502" t="inlineStr">
        <is>
          <t>/</t>
        </is>
      </c>
      <c r="P288" s="502" t="inlineStr">
        <is>
          <t>/</t>
        </is>
      </c>
      <c r="Q288" s="502" t="inlineStr">
        <is>
          <t>/</t>
        </is>
      </c>
      <c r="R288" s="502" t="inlineStr">
        <is>
          <t>/</t>
        </is>
      </c>
      <c r="S288" s="502" t="inlineStr">
        <is>
          <t>/</t>
        </is>
      </c>
      <c r="T288" s="502" t="inlineStr">
        <is>
          <t>/</t>
        </is>
      </c>
      <c r="U288" s="502" t="inlineStr">
        <is>
          <t>/</t>
        </is>
      </c>
      <c r="V288" s="502" t="inlineStr">
        <is>
          <t>/</t>
        </is>
      </c>
      <c r="W288" s="503" t="inlineStr">
        <is>
          <t xml:space="preserve">
40%</t>
        </is>
      </c>
      <c r="X288" s="51" t="inlineStr">
        <is>
          <t>/</t>
        </is>
      </c>
      <c r="Y288" s="51" t="inlineStr">
        <is>
          <t>/</t>
        </is>
      </c>
      <c r="Z288" s="51" t="inlineStr">
        <is>
          <t>/</t>
        </is>
      </c>
      <c r="AA288" s="51" t="inlineStr">
        <is>
          <t>/</t>
        </is>
      </c>
      <c r="AB288" s="51" t="inlineStr">
        <is>
          <t>/</t>
        </is>
      </c>
      <c r="AC288" s="46" t="inlineStr">
        <is>
          <t>/</t>
        </is>
      </c>
      <c r="AD288" s="232" t="n"/>
      <c r="AE288" s="25" t="inlineStr">
        <is>
          <t xml:space="preserve">
1、签订期间：2026.2.1-2026.7.15；
2、指标按照全年换算；</t>
        </is>
      </c>
    </row>
    <row r="289" ht="36" customFormat="1" customHeight="1" s="209">
      <c r="A289" s="219" t="n">
        <v>294</v>
      </c>
      <c r="B289" s="14" t="inlineStr">
        <is>
          <t>KQCY0294</t>
        </is>
      </c>
      <c r="C289" s="221" t="inlineStr">
        <is>
          <t>餐饮五分部</t>
        </is>
      </c>
      <c r="D289" s="221" t="inlineStr">
        <is>
          <t>CF620</t>
        </is>
      </c>
      <c r="E289" s="221" t="inlineStr">
        <is>
          <t>山西大学B6食堂三层</t>
        </is>
      </c>
      <c r="F289" s="219" t="inlineStr">
        <is>
          <t>强责</t>
        </is>
      </c>
      <c r="G289" s="222" t="inlineStr">
        <is>
          <t>陆琪</t>
        </is>
      </c>
      <c r="H289" s="503" t="inlineStr">
        <is>
          <t>第四班组</t>
        </is>
      </c>
      <c r="I289" s="237" t="inlineStr">
        <is>
          <t>私抹制茶</t>
        </is>
      </c>
      <c r="J289" s="494" t="inlineStr">
        <is>
          <t>韩美珍</t>
        </is>
      </c>
      <c r="K289" s="224" t="inlineStr">
        <is>
          <t>/</t>
        </is>
      </c>
      <c r="L289" s="651" t="n">
        <v>360000</v>
      </c>
      <c r="M289" s="113" t="n">
        <v>0.1</v>
      </c>
      <c r="N289" s="502" t="inlineStr">
        <is>
          <t>/</t>
        </is>
      </c>
      <c r="O289" s="502" t="inlineStr">
        <is>
          <t>/</t>
        </is>
      </c>
      <c r="P289" s="502" t="inlineStr">
        <is>
          <t>/</t>
        </is>
      </c>
      <c r="Q289" s="502" t="inlineStr">
        <is>
          <t>/</t>
        </is>
      </c>
      <c r="R289" s="502" t="inlineStr">
        <is>
          <t>/</t>
        </is>
      </c>
      <c r="S289" s="502" t="inlineStr">
        <is>
          <t>/</t>
        </is>
      </c>
      <c r="T289" s="502" t="inlineStr">
        <is>
          <t>/</t>
        </is>
      </c>
      <c r="U289" s="502" t="inlineStr">
        <is>
          <t>/</t>
        </is>
      </c>
      <c r="V289" s="502" t="inlineStr">
        <is>
          <t>/</t>
        </is>
      </c>
      <c r="W289" s="503" t="inlineStr">
        <is>
          <t xml:space="preserve">
40%</t>
        </is>
      </c>
      <c r="X289" s="51" t="inlineStr">
        <is>
          <t>/</t>
        </is>
      </c>
      <c r="Y289" s="51" t="inlineStr">
        <is>
          <t>/</t>
        </is>
      </c>
      <c r="Z289" s="51" t="inlineStr">
        <is>
          <t>/</t>
        </is>
      </c>
      <c r="AA289" s="51" t="inlineStr">
        <is>
          <t>/</t>
        </is>
      </c>
      <c r="AB289" s="51" t="inlineStr">
        <is>
          <t>/</t>
        </is>
      </c>
      <c r="AC289" s="46" t="inlineStr">
        <is>
          <t>/</t>
        </is>
      </c>
      <c r="AD289" s="232" t="n"/>
      <c r="AE289" s="25" t="inlineStr">
        <is>
          <t xml:space="preserve">
1、签订期间：2026.2.1-2026.7.15；
2、指标按照全年换算；</t>
        </is>
      </c>
    </row>
    <row r="290" ht="12" customFormat="1" customHeight="1" s="209">
      <c r="A290" s="219" t="n">
        <v>295</v>
      </c>
      <c r="B290" s="14" t="inlineStr">
        <is>
          <t>KQCY0295</t>
        </is>
      </c>
      <c r="C290" s="221" t="inlineStr">
        <is>
          <t>餐饮五分部</t>
        </is>
      </c>
      <c r="D290" s="221" t="inlineStr">
        <is>
          <t>CF697</t>
        </is>
      </c>
      <c r="E290" s="221" t="inlineStr">
        <is>
          <t>兰交大百苑二楼食堂</t>
        </is>
      </c>
      <c r="F290" s="219" t="inlineStr">
        <is>
          <t>自营</t>
        </is>
      </c>
      <c r="G290" s="222" t="inlineStr">
        <is>
          <t>陆琪</t>
        </is>
      </c>
      <c r="H290" s="222" t="inlineStr">
        <is>
          <t>/</t>
        </is>
      </c>
      <c r="I290" s="237" t="inlineStr">
        <is>
          <t>/</t>
        </is>
      </c>
      <c r="J290" s="134" t="inlineStr">
        <is>
          <t>/</t>
        </is>
      </c>
      <c r="K290" s="224" t="inlineStr">
        <is>
          <t>/</t>
        </is>
      </c>
      <c r="L290" s="651" t="inlineStr">
        <is>
          <t>/</t>
        </is>
      </c>
      <c r="M290" s="224" t="inlineStr">
        <is>
          <t>/</t>
        </is>
      </c>
      <c r="N290" s="224" t="inlineStr">
        <is>
          <t>/</t>
        </is>
      </c>
      <c r="O290" s="224" t="inlineStr">
        <is>
          <t>/</t>
        </is>
      </c>
      <c r="P290" s="224" t="inlineStr">
        <is>
          <t>/</t>
        </is>
      </c>
      <c r="Q290" s="224" t="inlineStr">
        <is>
          <t>/</t>
        </is>
      </c>
      <c r="R290" s="224" t="inlineStr">
        <is>
          <t>/</t>
        </is>
      </c>
      <c r="S290" s="224" t="inlineStr">
        <is>
          <t>/</t>
        </is>
      </c>
      <c r="T290" s="224" t="inlineStr">
        <is>
          <t>/</t>
        </is>
      </c>
      <c r="U290" s="502" t="inlineStr">
        <is>
          <t>/</t>
        </is>
      </c>
      <c r="V290" s="224" t="inlineStr">
        <is>
          <t>/</t>
        </is>
      </c>
      <c r="W290" s="51" t="inlineStr">
        <is>
          <t>/</t>
        </is>
      </c>
      <c r="X290" s="51" t="inlineStr">
        <is>
          <t>/</t>
        </is>
      </c>
      <c r="Y290" s="51" t="inlineStr">
        <is>
          <t>/</t>
        </is>
      </c>
      <c r="Z290" s="51" t="inlineStr">
        <is>
          <t>/</t>
        </is>
      </c>
      <c r="AA290" s="51" t="inlineStr">
        <is>
          <t>/</t>
        </is>
      </c>
      <c r="AB290" s="46" t="n">
        <v>0.045</v>
      </c>
      <c r="AC290" s="46" t="inlineStr">
        <is>
          <t>/</t>
        </is>
      </c>
      <c r="AD290" s="232" t="n"/>
      <c r="AE290" s="25" t="n"/>
    </row>
    <row r="291" ht="24" customFormat="1" customHeight="1" s="209">
      <c r="A291" s="219" t="n">
        <v>296</v>
      </c>
      <c r="B291" s="14" t="inlineStr">
        <is>
          <t>KQCY0296</t>
        </is>
      </c>
      <c r="C291" s="221" t="inlineStr">
        <is>
          <t>餐饮五分部</t>
        </is>
      </c>
      <c r="D291" s="221" t="inlineStr">
        <is>
          <t>CF697</t>
        </is>
      </c>
      <c r="E291" s="221" t="inlineStr">
        <is>
          <t>兰交大百苑二楼食堂</t>
        </is>
      </c>
      <c r="F291" s="219" t="inlineStr">
        <is>
          <t>分组作业</t>
        </is>
      </c>
      <c r="G291" s="222" t="inlineStr">
        <is>
          <t>陆琪</t>
        </is>
      </c>
      <c r="H291" s="503" t="inlineStr">
        <is>
          <t>/</t>
        </is>
      </c>
      <c r="I291" s="237" t="inlineStr">
        <is>
          <t>快餐</t>
        </is>
      </c>
      <c r="J291" s="503" t="inlineStr">
        <is>
          <t>胡小娟</t>
        </is>
      </c>
      <c r="K291" s="224" t="inlineStr">
        <is>
          <t>/</t>
        </is>
      </c>
      <c r="L291" s="651" t="n">
        <v>1488000</v>
      </c>
      <c r="M291" s="113" t="n">
        <v>0.11</v>
      </c>
      <c r="N291" s="113" t="n">
        <v>0.01</v>
      </c>
      <c r="O291" s="502" t="inlineStr">
        <is>
          <t>/</t>
        </is>
      </c>
      <c r="P291" s="113" t="n">
        <v>0.02</v>
      </c>
      <c r="Q291" s="113" t="n">
        <v>0.01</v>
      </c>
      <c r="R291" s="113" t="n">
        <v>0.01</v>
      </c>
      <c r="S291" s="502" t="inlineStr">
        <is>
          <t>/</t>
        </is>
      </c>
      <c r="T291" s="653" t="n"/>
      <c r="U291" s="653" t="n"/>
      <c r="V291" s="502" t="inlineStr">
        <is>
          <t>/</t>
        </is>
      </c>
      <c r="W291" s="224" t="n">
        <v>0.5</v>
      </c>
      <c r="X291" s="51" t="inlineStr">
        <is>
          <t>/</t>
        </is>
      </c>
      <c r="Y291" s="51" t="inlineStr">
        <is>
          <t>/</t>
        </is>
      </c>
      <c r="Z291" s="51" t="inlineStr">
        <is>
          <t>/</t>
        </is>
      </c>
      <c r="AA291" s="51" t="inlineStr">
        <is>
          <t>/</t>
        </is>
      </c>
      <c r="AB291" s="51" t="inlineStr">
        <is>
          <t>/</t>
        </is>
      </c>
      <c r="AC291" s="46" t="inlineStr">
        <is>
          <t>/</t>
        </is>
      </c>
      <c r="AD291" s="232" t="n"/>
      <c r="AE291" s="25" t="inlineStr">
        <is>
          <t>1、签订期间：2026.2.1-2026.7.31；
2、指标按照全年换算；</t>
        </is>
      </c>
    </row>
    <row r="292" ht="24" customFormat="1" customHeight="1" s="209">
      <c r="A292" s="219" t="n">
        <v>297</v>
      </c>
      <c r="B292" s="14" t="inlineStr">
        <is>
          <t>KQCY0297</t>
        </is>
      </c>
      <c r="C292" s="221" t="inlineStr">
        <is>
          <t>餐饮五分部</t>
        </is>
      </c>
      <c r="D292" s="221" t="inlineStr">
        <is>
          <t>CF697</t>
        </is>
      </c>
      <c r="E292" s="221" t="inlineStr">
        <is>
          <t>兰交大百苑二楼食堂</t>
        </is>
      </c>
      <c r="F292" s="219" t="inlineStr">
        <is>
          <t>分组作业</t>
        </is>
      </c>
      <c r="G292" s="222" t="inlineStr">
        <is>
          <t>陆琪</t>
        </is>
      </c>
      <c r="H292" s="503" t="inlineStr">
        <is>
          <t>/</t>
        </is>
      </c>
      <c r="I292" s="237" t="inlineStr">
        <is>
          <t>热卤饭</t>
        </is>
      </c>
      <c r="J292" s="503" t="inlineStr">
        <is>
          <t>郭建琴</t>
        </is>
      </c>
      <c r="K292" s="224" t="inlineStr">
        <is>
          <t>/</t>
        </is>
      </c>
      <c r="L292" s="651" t="n">
        <v>510000</v>
      </c>
      <c r="M292" s="113" t="n">
        <v>0.13</v>
      </c>
      <c r="N292" s="113" t="n">
        <v>0.01</v>
      </c>
      <c r="O292" s="502" t="inlineStr">
        <is>
          <t>/</t>
        </is>
      </c>
      <c r="P292" s="113" t="n">
        <v>0.02</v>
      </c>
      <c r="Q292" s="113" t="n">
        <v>0.01</v>
      </c>
      <c r="R292" s="113" t="n">
        <v>0.01</v>
      </c>
      <c r="S292" s="502" t="inlineStr">
        <is>
          <t>/</t>
        </is>
      </c>
      <c r="T292" s="224" t="n">
        <v>0.04</v>
      </c>
      <c r="U292" s="113" t="n">
        <v>0.01</v>
      </c>
      <c r="V292" s="502" t="inlineStr">
        <is>
          <t>/</t>
        </is>
      </c>
      <c r="W292" s="224" t="n">
        <v>0.5</v>
      </c>
      <c r="X292" s="51" t="inlineStr">
        <is>
          <t>/</t>
        </is>
      </c>
      <c r="Y292" s="51" t="inlineStr">
        <is>
          <t>/</t>
        </is>
      </c>
      <c r="Z292" s="51" t="inlineStr">
        <is>
          <t>/</t>
        </is>
      </c>
      <c r="AA292" s="51" t="inlineStr">
        <is>
          <t>/</t>
        </is>
      </c>
      <c r="AB292" s="51" t="inlineStr">
        <is>
          <t>/</t>
        </is>
      </c>
      <c r="AC292" s="46" t="inlineStr">
        <is>
          <t>/</t>
        </is>
      </c>
      <c r="AD292" s="232" t="n"/>
      <c r="AE292" s="25" t="inlineStr">
        <is>
          <t>1、签订期间：2026.2.1-2026.7.31；
2、指标按照全年换算；</t>
        </is>
      </c>
    </row>
    <row r="293" ht="24" customFormat="1" customHeight="1" s="209">
      <c r="A293" s="219" t="n">
        <v>298</v>
      </c>
      <c r="B293" s="14" t="inlineStr">
        <is>
          <t>KQCY0298</t>
        </is>
      </c>
      <c r="C293" s="221" t="inlineStr">
        <is>
          <t>餐饮五分部</t>
        </is>
      </c>
      <c r="D293" s="221" t="inlineStr">
        <is>
          <t>CF697</t>
        </is>
      </c>
      <c r="E293" s="221" t="inlineStr">
        <is>
          <t>兰交大百苑二楼食堂</t>
        </is>
      </c>
      <c r="F293" s="219" t="inlineStr">
        <is>
          <t>分组作业</t>
        </is>
      </c>
      <c r="G293" s="222" t="inlineStr">
        <is>
          <t>陆琪</t>
        </is>
      </c>
      <c r="H293" s="503" t="inlineStr">
        <is>
          <t>/</t>
        </is>
      </c>
      <c r="I293" s="237" t="inlineStr">
        <is>
          <t>铁锅炖</t>
        </is>
      </c>
      <c r="J293" s="503" t="inlineStr">
        <is>
          <t>白小霞</t>
        </is>
      </c>
      <c r="K293" s="224" t="inlineStr">
        <is>
          <t>/</t>
        </is>
      </c>
      <c r="L293" s="651" t="n">
        <v>510000</v>
      </c>
      <c r="M293" s="113" t="n">
        <v>0.11</v>
      </c>
      <c r="N293" s="113" t="n">
        <v>0.01</v>
      </c>
      <c r="O293" s="502" t="inlineStr">
        <is>
          <t>/</t>
        </is>
      </c>
      <c r="P293" s="113" t="n">
        <v>0.02</v>
      </c>
      <c r="Q293" s="113" t="n">
        <v>0.01</v>
      </c>
      <c r="R293" s="113" t="n">
        <v>0.01</v>
      </c>
      <c r="S293" s="502" t="inlineStr">
        <is>
          <t>/</t>
        </is>
      </c>
      <c r="T293" s="653" t="n"/>
      <c r="U293" s="653" t="n"/>
      <c r="V293" s="502" t="inlineStr">
        <is>
          <t>/</t>
        </is>
      </c>
      <c r="W293" s="224" t="n">
        <v>0.5</v>
      </c>
      <c r="X293" s="51" t="inlineStr">
        <is>
          <t>/</t>
        </is>
      </c>
      <c r="Y293" s="51" t="inlineStr">
        <is>
          <t>/</t>
        </is>
      </c>
      <c r="Z293" s="51" t="inlineStr">
        <is>
          <t>/</t>
        </is>
      </c>
      <c r="AA293" s="51" t="inlineStr">
        <is>
          <t>/</t>
        </is>
      </c>
      <c r="AB293" s="51" t="inlineStr">
        <is>
          <t>/</t>
        </is>
      </c>
      <c r="AC293" s="46" t="inlineStr">
        <is>
          <t>/</t>
        </is>
      </c>
      <c r="AD293" s="232" t="n"/>
      <c r="AE293" s="25" t="inlineStr">
        <is>
          <t>1、签订期间：2026.2.1-2026.7.31；
2、指标按照全年换算；</t>
        </is>
      </c>
    </row>
    <row r="294" ht="24" customFormat="1" customHeight="1" s="209">
      <c r="A294" s="219" t="n">
        <v>299</v>
      </c>
      <c r="B294" s="14" t="inlineStr">
        <is>
          <t>KQCY0299</t>
        </is>
      </c>
      <c r="C294" s="221" t="inlineStr">
        <is>
          <t>餐饮五分部</t>
        </is>
      </c>
      <c r="D294" s="221" t="inlineStr">
        <is>
          <t>CF697</t>
        </is>
      </c>
      <c r="E294" s="221" t="inlineStr">
        <is>
          <t>兰交大百苑二楼食堂</t>
        </is>
      </c>
      <c r="F294" s="219" t="inlineStr">
        <is>
          <t>分组作业</t>
        </is>
      </c>
      <c r="G294" s="222" t="inlineStr">
        <is>
          <t>陆琪</t>
        </is>
      </c>
      <c r="H294" s="503" t="inlineStr">
        <is>
          <t>/</t>
        </is>
      </c>
      <c r="I294" s="237" t="inlineStr">
        <is>
          <t>绝世皇鸭</t>
        </is>
      </c>
      <c r="J294" s="503" t="inlineStr">
        <is>
          <t>魏路虎</t>
        </is>
      </c>
      <c r="K294" s="224" t="inlineStr">
        <is>
          <t>/</t>
        </is>
      </c>
      <c r="L294" s="651" t="n">
        <v>759428.571428571</v>
      </c>
      <c r="M294" s="113" t="n">
        <v>0.13</v>
      </c>
      <c r="N294" s="113" t="n">
        <v>0.01</v>
      </c>
      <c r="O294" s="502" t="inlineStr">
        <is>
          <t>/</t>
        </is>
      </c>
      <c r="P294" s="113" t="n">
        <v>0.02</v>
      </c>
      <c r="Q294" s="113" t="n">
        <v>0.01</v>
      </c>
      <c r="R294" s="113" t="n">
        <v>0.01</v>
      </c>
      <c r="S294" s="502" t="inlineStr">
        <is>
          <t>/</t>
        </is>
      </c>
      <c r="T294" s="653" t="n"/>
      <c r="U294" s="653" t="n"/>
      <c r="V294" s="502" t="inlineStr">
        <is>
          <t>/</t>
        </is>
      </c>
      <c r="W294" s="224" t="n">
        <v>0.5</v>
      </c>
      <c r="X294" s="51" t="inlineStr">
        <is>
          <t>/</t>
        </is>
      </c>
      <c r="Y294" s="51" t="inlineStr">
        <is>
          <t>/</t>
        </is>
      </c>
      <c r="Z294" s="51" t="inlineStr">
        <is>
          <t>/</t>
        </is>
      </c>
      <c r="AA294" s="51" t="inlineStr">
        <is>
          <t>/</t>
        </is>
      </c>
      <c r="AB294" s="51" t="inlineStr">
        <is>
          <t>/</t>
        </is>
      </c>
      <c r="AC294" s="46" t="inlineStr">
        <is>
          <t>/</t>
        </is>
      </c>
      <c r="AD294" s="232" t="n"/>
      <c r="AE294" s="25" t="inlineStr">
        <is>
          <t>1、签订期间：2026.2.1-2026.7.31；
2、指标按照全年换算；</t>
        </is>
      </c>
    </row>
    <row r="295" ht="24" customFormat="1" customHeight="1" s="209">
      <c r="A295" s="219" t="n">
        <v>300</v>
      </c>
      <c r="B295" s="14" t="inlineStr">
        <is>
          <t>KQCY0300</t>
        </is>
      </c>
      <c r="C295" s="221" t="inlineStr">
        <is>
          <t>餐饮五分部</t>
        </is>
      </c>
      <c r="D295" s="221" t="inlineStr">
        <is>
          <t>CF697</t>
        </is>
      </c>
      <c r="E295" s="221" t="inlineStr">
        <is>
          <t>兰交大百苑二楼食堂</t>
        </is>
      </c>
      <c r="F295" s="219" t="inlineStr">
        <is>
          <t>分组作业</t>
        </is>
      </c>
      <c r="G295" s="222" t="inlineStr">
        <is>
          <t>陆琪</t>
        </is>
      </c>
      <c r="H295" s="503" t="inlineStr">
        <is>
          <t>/</t>
        </is>
      </c>
      <c r="I295" s="237" t="inlineStr">
        <is>
          <t>螺蛳粉</t>
        </is>
      </c>
      <c r="J295" s="503" t="inlineStr">
        <is>
          <t>孟庆玲</t>
        </is>
      </c>
      <c r="K295" s="224" t="inlineStr">
        <is>
          <t>/</t>
        </is>
      </c>
      <c r="L295" s="651" t="n">
        <v>807428.571428571</v>
      </c>
      <c r="M295" s="113" t="n">
        <v>0.13</v>
      </c>
      <c r="N295" s="113" t="n">
        <v>0.01</v>
      </c>
      <c r="O295" s="502" t="inlineStr">
        <is>
          <t>/</t>
        </is>
      </c>
      <c r="P295" s="113" t="n">
        <v>0.02</v>
      </c>
      <c r="Q295" s="113" t="n">
        <v>0.01</v>
      </c>
      <c r="R295" s="113" t="n">
        <v>0.01</v>
      </c>
      <c r="S295" s="502" t="inlineStr">
        <is>
          <t>/</t>
        </is>
      </c>
      <c r="T295" s="653" t="n"/>
      <c r="U295" s="653" t="n"/>
      <c r="V295" s="502" t="inlineStr">
        <is>
          <t>/</t>
        </is>
      </c>
      <c r="W295" s="224" t="n">
        <v>0.5</v>
      </c>
      <c r="X295" s="51" t="inlineStr">
        <is>
          <t>/</t>
        </is>
      </c>
      <c r="Y295" s="51" t="inlineStr">
        <is>
          <t>/</t>
        </is>
      </c>
      <c r="Z295" s="51" t="inlineStr">
        <is>
          <t>/</t>
        </is>
      </c>
      <c r="AA295" s="51" t="inlineStr">
        <is>
          <t>/</t>
        </is>
      </c>
      <c r="AB295" s="51" t="inlineStr">
        <is>
          <t>/</t>
        </is>
      </c>
      <c r="AC295" s="46" t="inlineStr">
        <is>
          <t>/</t>
        </is>
      </c>
      <c r="AD295" s="232" t="n"/>
      <c r="AE295" s="25" t="inlineStr">
        <is>
          <t>1、签订期间：2026.2.1-2026.7.31；
2、指标按照全年换算；</t>
        </is>
      </c>
    </row>
    <row r="296" ht="24" customFormat="1" customHeight="1" s="209">
      <c r="A296" s="219" t="n">
        <v>301</v>
      </c>
      <c r="B296" s="14" t="inlineStr">
        <is>
          <t>KQCY0301</t>
        </is>
      </c>
      <c r="C296" s="221" t="inlineStr">
        <is>
          <t>餐饮五分部</t>
        </is>
      </c>
      <c r="D296" s="221" t="inlineStr">
        <is>
          <t>CF697</t>
        </is>
      </c>
      <c r="E296" s="221" t="inlineStr">
        <is>
          <t>兰交大百苑二楼食堂</t>
        </is>
      </c>
      <c r="F296" s="219" t="inlineStr">
        <is>
          <t>分组作业</t>
        </is>
      </c>
      <c r="G296" s="222" t="inlineStr">
        <is>
          <t>陆琪</t>
        </is>
      </c>
      <c r="H296" s="503" t="inlineStr">
        <is>
          <t>/</t>
        </is>
      </c>
      <c r="I296" s="237" t="inlineStr">
        <is>
          <t>麻辣烫</t>
        </is>
      </c>
      <c r="J296" s="503" t="inlineStr">
        <is>
          <t>姚春</t>
        </is>
      </c>
      <c r="K296" s="224" t="inlineStr">
        <is>
          <t>/</t>
        </is>
      </c>
      <c r="L296" s="651" t="n">
        <v>1014857.14285714</v>
      </c>
      <c r="M296" s="113" t="n">
        <v>0.12</v>
      </c>
      <c r="N296" s="113" t="n">
        <v>0.01</v>
      </c>
      <c r="O296" s="502" t="inlineStr">
        <is>
          <t>/</t>
        </is>
      </c>
      <c r="P296" s="113" t="n">
        <v>0.02</v>
      </c>
      <c r="Q296" s="113" t="n">
        <v>0.01</v>
      </c>
      <c r="R296" s="113" t="n">
        <v>0.01</v>
      </c>
      <c r="S296" s="502" t="inlineStr">
        <is>
          <t>/</t>
        </is>
      </c>
      <c r="T296" s="653" t="n"/>
      <c r="U296" s="653" t="n"/>
      <c r="V296" s="502" t="inlineStr">
        <is>
          <t>/</t>
        </is>
      </c>
      <c r="W296" s="224" t="n">
        <v>0.5</v>
      </c>
      <c r="X296" s="51" t="inlineStr">
        <is>
          <t>/</t>
        </is>
      </c>
      <c r="Y296" s="51" t="inlineStr">
        <is>
          <t>/</t>
        </is>
      </c>
      <c r="Z296" s="51" t="inlineStr">
        <is>
          <t>/</t>
        </is>
      </c>
      <c r="AA296" s="51" t="inlineStr">
        <is>
          <t>/</t>
        </is>
      </c>
      <c r="AB296" s="51" t="inlineStr">
        <is>
          <t>/</t>
        </is>
      </c>
      <c r="AC296" s="46" t="inlineStr">
        <is>
          <t>/</t>
        </is>
      </c>
      <c r="AD296" s="232" t="n"/>
      <c r="AE296" s="25" t="inlineStr">
        <is>
          <t>1、签订期间：2026.2.1-2026.7.31；
2、指标按照全年换算；</t>
        </is>
      </c>
    </row>
    <row r="297" ht="24" customFormat="1" customHeight="1" s="209">
      <c r="A297" s="219" t="n">
        <v>302</v>
      </c>
      <c r="B297" s="14" t="inlineStr">
        <is>
          <t>KQCY0302</t>
        </is>
      </c>
      <c r="C297" s="221" t="inlineStr">
        <is>
          <t>餐饮五分部</t>
        </is>
      </c>
      <c r="D297" s="221" t="inlineStr">
        <is>
          <t>CF697</t>
        </is>
      </c>
      <c r="E297" s="221" t="inlineStr">
        <is>
          <t>兰交大百苑二楼食堂</t>
        </is>
      </c>
      <c r="F297" s="219" t="inlineStr">
        <is>
          <t>分组作业</t>
        </is>
      </c>
      <c r="G297" s="222" t="inlineStr">
        <is>
          <t>陆琪</t>
        </is>
      </c>
      <c r="H297" s="503" t="inlineStr">
        <is>
          <t>/</t>
        </is>
      </c>
      <c r="I297" s="237" t="inlineStr">
        <is>
          <t>脆皮鸡米饭</t>
        </is>
      </c>
      <c r="J297" s="503" t="inlineStr">
        <is>
          <t>王燕</t>
        </is>
      </c>
      <c r="K297" s="224" t="inlineStr">
        <is>
          <t>/</t>
        </is>
      </c>
      <c r="L297" s="651" t="n">
        <v>750857.142857143</v>
      </c>
      <c r="M297" s="113" t="n">
        <v>0.15</v>
      </c>
      <c r="N297" s="113" t="n">
        <v>0.01</v>
      </c>
      <c r="O297" s="502" t="inlineStr">
        <is>
          <t>/</t>
        </is>
      </c>
      <c r="P297" s="113" t="n">
        <v>0.02</v>
      </c>
      <c r="Q297" s="113" t="n">
        <v>0.01</v>
      </c>
      <c r="R297" s="113" t="n">
        <v>0.01</v>
      </c>
      <c r="S297" s="502" t="inlineStr">
        <is>
          <t>/</t>
        </is>
      </c>
      <c r="T297" s="653" t="n"/>
      <c r="U297" s="653" t="n"/>
      <c r="V297" s="502" t="inlineStr">
        <is>
          <t>/</t>
        </is>
      </c>
      <c r="W297" s="224" t="n">
        <v>0.5</v>
      </c>
      <c r="X297" s="51" t="inlineStr">
        <is>
          <t>/</t>
        </is>
      </c>
      <c r="Y297" s="51" t="inlineStr">
        <is>
          <t>/</t>
        </is>
      </c>
      <c r="Z297" s="51" t="inlineStr">
        <is>
          <t>/</t>
        </is>
      </c>
      <c r="AA297" s="51" t="inlineStr">
        <is>
          <t>/</t>
        </is>
      </c>
      <c r="AB297" s="51" t="inlineStr">
        <is>
          <t>/</t>
        </is>
      </c>
      <c r="AC297" s="46" t="inlineStr">
        <is>
          <t>/</t>
        </is>
      </c>
      <c r="AD297" s="232" t="n"/>
      <c r="AE297" s="25" t="inlineStr">
        <is>
          <t>1、签订期间：2026.2.1-2026.7.31；
2、指标按照全年换算；</t>
        </is>
      </c>
    </row>
    <row r="298" ht="24" customFormat="1" customHeight="1" s="209">
      <c r="A298" s="219" t="n">
        <v>303</v>
      </c>
      <c r="B298" s="14" t="inlineStr">
        <is>
          <t>KQCY0303</t>
        </is>
      </c>
      <c r="C298" s="221" t="inlineStr">
        <is>
          <t>餐饮五分部</t>
        </is>
      </c>
      <c r="D298" s="221" t="inlineStr">
        <is>
          <t>CF697</t>
        </is>
      </c>
      <c r="E298" s="221" t="inlineStr">
        <is>
          <t>兰交大百苑二楼食堂</t>
        </is>
      </c>
      <c r="F298" s="219" t="inlineStr">
        <is>
          <t>分组作业</t>
        </is>
      </c>
      <c r="G298" s="222" t="inlineStr">
        <is>
          <t>陆琪</t>
        </is>
      </c>
      <c r="H298" s="503" t="inlineStr">
        <is>
          <t>/</t>
        </is>
      </c>
      <c r="I298" s="237" t="inlineStr">
        <is>
          <t>羊杂面</t>
        </is>
      </c>
      <c r="J298" s="503" t="inlineStr">
        <is>
          <t>裴晓文</t>
        </is>
      </c>
      <c r="K298" s="224" t="inlineStr">
        <is>
          <t>/</t>
        </is>
      </c>
      <c r="L298" s="651" t="n">
        <v>992571.4285714281</v>
      </c>
      <c r="M298" s="113" t="n">
        <v>0.11</v>
      </c>
      <c r="N298" s="113" t="n">
        <v>0.01</v>
      </c>
      <c r="O298" s="502" t="inlineStr">
        <is>
          <t>/</t>
        </is>
      </c>
      <c r="P298" s="113" t="n">
        <v>0.02</v>
      </c>
      <c r="Q298" s="113" t="n">
        <v>0.01</v>
      </c>
      <c r="R298" s="113" t="n">
        <v>0.01</v>
      </c>
      <c r="S298" s="502" t="inlineStr">
        <is>
          <t>/</t>
        </is>
      </c>
      <c r="T298" s="653" t="n"/>
      <c r="U298" s="653" t="n"/>
      <c r="V298" s="502" t="inlineStr">
        <is>
          <t>/</t>
        </is>
      </c>
      <c r="W298" s="224" t="n">
        <v>0.5</v>
      </c>
      <c r="X298" s="51" t="inlineStr">
        <is>
          <t>/</t>
        </is>
      </c>
      <c r="Y298" s="51" t="inlineStr">
        <is>
          <t>/</t>
        </is>
      </c>
      <c r="Z298" s="51" t="inlineStr">
        <is>
          <t>/</t>
        </is>
      </c>
      <c r="AA298" s="51" t="inlineStr">
        <is>
          <t>/</t>
        </is>
      </c>
      <c r="AB298" s="51" t="inlineStr">
        <is>
          <t>/</t>
        </is>
      </c>
      <c r="AC298" s="46" t="inlineStr">
        <is>
          <t>/</t>
        </is>
      </c>
      <c r="AD298" s="232" t="n"/>
      <c r="AE298" s="25" t="inlineStr">
        <is>
          <t>1、签订期间：2026.2.1-2026.7.31；
2、指标按照全年换算；</t>
        </is>
      </c>
    </row>
    <row r="299" ht="24" customFormat="1" customHeight="1" s="209">
      <c r="A299" s="219" t="n">
        <v>304</v>
      </c>
      <c r="B299" s="14" t="inlineStr">
        <is>
          <t>KQCY0304</t>
        </is>
      </c>
      <c r="C299" s="221" t="inlineStr">
        <is>
          <t>餐饮五分部</t>
        </is>
      </c>
      <c r="D299" s="221" t="inlineStr">
        <is>
          <t>CF697</t>
        </is>
      </c>
      <c r="E299" s="221" t="inlineStr">
        <is>
          <t>兰交大百苑二楼食堂</t>
        </is>
      </c>
      <c r="F299" s="219" t="inlineStr">
        <is>
          <t>分组作业</t>
        </is>
      </c>
      <c r="G299" s="222" t="inlineStr">
        <is>
          <t>陆琪</t>
        </is>
      </c>
      <c r="H299" s="503" t="inlineStr">
        <is>
          <t>/</t>
        </is>
      </c>
      <c r="I299" s="237" t="inlineStr">
        <is>
          <t>快餐</t>
        </is>
      </c>
      <c r="J299" s="503" t="inlineStr">
        <is>
          <t>闫焕平</t>
        </is>
      </c>
      <c r="K299" s="224" t="inlineStr">
        <is>
          <t>/</t>
        </is>
      </c>
      <c r="L299" s="651" t="n">
        <v>480000</v>
      </c>
      <c r="M299" s="113" t="n">
        <v>0.06</v>
      </c>
      <c r="N299" s="113" t="n">
        <v>0.01</v>
      </c>
      <c r="O299" s="502" t="inlineStr">
        <is>
          <t>/</t>
        </is>
      </c>
      <c r="P299" s="113" t="n">
        <v>0.02</v>
      </c>
      <c r="Q299" s="113" t="n">
        <v>0.01</v>
      </c>
      <c r="R299" s="113" t="n">
        <v>0.01</v>
      </c>
      <c r="S299" s="502" t="inlineStr">
        <is>
          <t>/</t>
        </is>
      </c>
      <c r="T299" s="224" t="n">
        <v>0.04</v>
      </c>
      <c r="U299" s="113" t="n">
        <v>0.01</v>
      </c>
      <c r="V299" s="502" t="inlineStr">
        <is>
          <t>/</t>
        </is>
      </c>
      <c r="W299" s="224" t="n">
        <v>0.5</v>
      </c>
      <c r="X299" s="51" t="inlineStr">
        <is>
          <t>/</t>
        </is>
      </c>
      <c r="Y299" s="51" t="inlineStr">
        <is>
          <t>/</t>
        </is>
      </c>
      <c r="Z299" s="51" t="inlineStr">
        <is>
          <t>/</t>
        </is>
      </c>
      <c r="AA299" s="51" t="inlineStr">
        <is>
          <t>/</t>
        </is>
      </c>
      <c r="AB299" s="51" t="inlineStr">
        <is>
          <t>/</t>
        </is>
      </c>
      <c r="AC299" s="46" t="inlineStr">
        <is>
          <t>/</t>
        </is>
      </c>
      <c r="AD299" s="232" t="n"/>
      <c r="AE299" s="25" t="inlineStr">
        <is>
          <t>1、签订期间：2026.2.1-2026.7.31；
2、指标按照全年换算；</t>
        </is>
      </c>
    </row>
    <row r="300" ht="24" customFormat="1" customHeight="1" s="209">
      <c r="A300" s="219" t="n">
        <v>305</v>
      </c>
      <c r="B300" s="14" t="inlineStr">
        <is>
          <t>KQCY0305</t>
        </is>
      </c>
      <c r="C300" s="221" t="inlineStr">
        <is>
          <t>餐饮五分部</t>
        </is>
      </c>
      <c r="D300" s="221" t="inlineStr">
        <is>
          <t>CF697</t>
        </is>
      </c>
      <c r="E300" s="221" t="inlineStr">
        <is>
          <t>兰交大百苑二楼食堂</t>
        </is>
      </c>
      <c r="F300" s="219" t="inlineStr">
        <is>
          <t>分组作业</t>
        </is>
      </c>
      <c r="G300" s="222" t="inlineStr">
        <is>
          <t>陆琪</t>
        </is>
      </c>
      <c r="H300" s="503" t="inlineStr">
        <is>
          <t>/</t>
        </is>
      </c>
      <c r="I300" s="237" t="inlineStr">
        <is>
          <t>石锅菜</t>
        </is>
      </c>
      <c r="J300" s="503" t="inlineStr">
        <is>
          <t>李雄飞</t>
        </is>
      </c>
      <c r="K300" s="224" t="inlineStr">
        <is>
          <t>/</t>
        </is>
      </c>
      <c r="L300" s="651" t="n">
        <v>510000</v>
      </c>
      <c r="M300" s="113" t="n">
        <v>0.14</v>
      </c>
      <c r="N300" s="113" t="n">
        <v>0.01</v>
      </c>
      <c r="O300" s="502" t="inlineStr">
        <is>
          <t>/</t>
        </is>
      </c>
      <c r="P300" s="113" t="n">
        <v>0.02</v>
      </c>
      <c r="Q300" s="113" t="n">
        <v>0.01</v>
      </c>
      <c r="R300" s="113" t="n">
        <v>0.01</v>
      </c>
      <c r="S300" s="502" t="inlineStr">
        <is>
          <t>/</t>
        </is>
      </c>
      <c r="T300" s="653" t="n"/>
      <c r="U300" s="653" t="n"/>
      <c r="V300" s="502" t="inlineStr">
        <is>
          <t>/</t>
        </is>
      </c>
      <c r="W300" s="224" t="n">
        <v>0.5</v>
      </c>
      <c r="X300" s="51" t="inlineStr">
        <is>
          <t>/</t>
        </is>
      </c>
      <c r="Y300" s="51" t="inlineStr">
        <is>
          <t>/</t>
        </is>
      </c>
      <c r="Z300" s="51" t="inlineStr">
        <is>
          <t>/</t>
        </is>
      </c>
      <c r="AA300" s="51" t="inlineStr">
        <is>
          <t>/</t>
        </is>
      </c>
      <c r="AB300" s="51" t="inlineStr">
        <is>
          <t>/</t>
        </is>
      </c>
      <c r="AC300" s="46" t="inlineStr">
        <is>
          <t>/</t>
        </is>
      </c>
      <c r="AD300" s="232" t="n"/>
      <c r="AE300" s="25" t="inlineStr">
        <is>
          <t>1、签订期间：2026.2.1-2026.7.31；
2、指标按照全年换算；</t>
        </is>
      </c>
    </row>
    <row r="301" ht="24" customFormat="1" customHeight="1" s="209">
      <c r="A301" s="219" t="n">
        <v>306</v>
      </c>
      <c r="B301" s="14" t="inlineStr">
        <is>
          <t>KQCY0306</t>
        </is>
      </c>
      <c r="C301" s="221" t="inlineStr">
        <is>
          <t>餐饮五分部</t>
        </is>
      </c>
      <c r="D301" s="221" t="inlineStr">
        <is>
          <t>CF697</t>
        </is>
      </c>
      <c r="E301" s="221" t="inlineStr">
        <is>
          <t>兰交大百苑二楼食堂</t>
        </is>
      </c>
      <c r="F301" s="219" t="inlineStr">
        <is>
          <t>分组作业</t>
        </is>
      </c>
      <c r="G301" s="222" t="inlineStr">
        <is>
          <t>陆琪</t>
        </is>
      </c>
      <c r="H301" s="503" t="inlineStr">
        <is>
          <t>/</t>
        </is>
      </c>
      <c r="I301" s="237" t="inlineStr">
        <is>
          <t>米粉</t>
        </is>
      </c>
      <c r="J301" s="494" t="inlineStr">
        <is>
          <t>安平</t>
        </is>
      </c>
      <c r="K301" s="224" t="inlineStr">
        <is>
          <t>/</t>
        </is>
      </c>
      <c r="L301" s="651" t="n">
        <v>396000</v>
      </c>
      <c r="M301" s="113" t="n">
        <v>0.15</v>
      </c>
      <c r="N301" s="113" t="n">
        <v>0.01</v>
      </c>
      <c r="O301" s="502" t="inlineStr">
        <is>
          <t>/</t>
        </is>
      </c>
      <c r="P301" s="113" t="n">
        <v>0.02</v>
      </c>
      <c r="Q301" s="113" t="n">
        <v>0.01</v>
      </c>
      <c r="R301" s="113" t="n">
        <v>0.01</v>
      </c>
      <c r="S301" s="502" t="inlineStr">
        <is>
          <t>/</t>
        </is>
      </c>
      <c r="T301" s="653" t="n"/>
      <c r="U301" s="653" t="n"/>
      <c r="V301" s="502" t="inlineStr">
        <is>
          <t>/</t>
        </is>
      </c>
      <c r="W301" s="224" t="n">
        <v>0.5</v>
      </c>
      <c r="X301" s="51" t="inlineStr">
        <is>
          <t>/</t>
        </is>
      </c>
      <c r="Y301" s="51" t="inlineStr">
        <is>
          <t>/</t>
        </is>
      </c>
      <c r="Z301" s="51" t="inlineStr">
        <is>
          <t>/</t>
        </is>
      </c>
      <c r="AA301" s="51" t="inlineStr">
        <is>
          <t>/</t>
        </is>
      </c>
      <c r="AB301" s="51" t="inlineStr">
        <is>
          <t>/</t>
        </is>
      </c>
      <c r="AC301" s="46" t="inlineStr">
        <is>
          <t>/</t>
        </is>
      </c>
      <c r="AD301" s="232" t="n"/>
      <c r="AE301" s="25" t="inlineStr">
        <is>
          <t>1、签订期间：2026.2.1-2026.7.31；
2、指标按照全年换算；</t>
        </is>
      </c>
    </row>
    <row r="302" ht="24" customFormat="1" customHeight="1" s="209">
      <c r="A302" s="219" t="n">
        <v>307</v>
      </c>
      <c r="B302" s="14" t="inlineStr">
        <is>
          <t>KQCY0307</t>
        </is>
      </c>
      <c r="C302" s="221" t="inlineStr">
        <is>
          <t>餐饮五分部</t>
        </is>
      </c>
      <c r="D302" s="221" t="inlineStr">
        <is>
          <t>CF697</t>
        </is>
      </c>
      <c r="E302" s="221" t="inlineStr">
        <is>
          <t>兰交大百苑二楼食堂</t>
        </is>
      </c>
      <c r="F302" s="219" t="inlineStr">
        <is>
          <t>分组作业</t>
        </is>
      </c>
      <c r="G302" s="222" t="inlineStr">
        <is>
          <t>陆琪</t>
        </is>
      </c>
      <c r="H302" s="503" t="inlineStr">
        <is>
          <t>/</t>
        </is>
      </c>
      <c r="I302" s="237" t="inlineStr">
        <is>
          <t>猪脚饭</t>
        </is>
      </c>
      <c r="J302" s="494" t="inlineStr">
        <is>
          <t>张文权</t>
        </is>
      </c>
      <c r="K302" s="224" t="inlineStr">
        <is>
          <t>/</t>
        </is>
      </c>
      <c r="L302" s="651" t="n">
        <v>466285.714285714</v>
      </c>
      <c r="M302" s="113" t="n">
        <v>0.15</v>
      </c>
      <c r="N302" s="113" t="n">
        <v>0.01</v>
      </c>
      <c r="O302" s="502" t="inlineStr">
        <is>
          <t>/</t>
        </is>
      </c>
      <c r="P302" s="113" t="n">
        <v>0.02</v>
      </c>
      <c r="Q302" s="113" t="n">
        <v>0.01</v>
      </c>
      <c r="R302" s="113" t="n">
        <v>0.01</v>
      </c>
      <c r="S302" s="502" t="inlineStr">
        <is>
          <t>/</t>
        </is>
      </c>
      <c r="T302" s="653" t="n"/>
      <c r="U302" s="653" t="n"/>
      <c r="V302" s="502" t="inlineStr">
        <is>
          <t>/</t>
        </is>
      </c>
      <c r="W302" s="224" t="n">
        <v>0.5</v>
      </c>
      <c r="X302" s="51" t="inlineStr">
        <is>
          <t>/</t>
        </is>
      </c>
      <c r="Y302" s="51" t="inlineStr">
        <is>
          <t>/</t>
        </is>
      </c>
      <c r="Z302" s="51" t="inlineStr">
        <is>
          <t>/</t>
        </is>
      </c>
      <c r="AA302" s="51" t="inlineStr">
        <is>
          <t>/</t>
        </is>
      </c>
      <c r="AB302" s="51" t="inlineStr">
        <is>
          <t>/</t>
        </is>
      </c>
      <c r="AC302" s="46" t="inlineStr">
        <is>
          <t>/</t>
        </is>
      </c>
      <c r="AD302" s="232" t="n"/>
      <c r="AE302" s="25" t="inlineStr">
        <is>
          <t>1、签订期间：2026.2.1-2026.7.31；
2、指标按照全年换算；</t>
        </is>
      </c>
    </row>
    <row r="303" ht="24" customFormat="1" customHeight="1" s="209">
      <c r="A303" s="219" t="n">
        <v>308</v>
      </c>
      <c r="B303" s="14" t="inlineStr">
        <is>
          <t>KQCY0308</t>
        </is>
      </c>
      <c r="C303" s="221" t="inlineStr">
        <is>
          <t>餐饮五分部</t>
        </is>
      </c>
      <c r="D303" s="221" t="inlineStr">
        <is>
          <t>CF697</t>
        </is>
      </c>
      <c r="E303" s="221" t="inlineStr">
        <is>
          <t>兰交大百苑二楼食堂</t>
        </is>
      </c>
      <c r="F303" s="219" t="inlineStr">
        <is>
          <t>分组作业</t>
        </is>
      </c>
      <c r="G303" s="222" t="inlineStr">
        <is>
          <t>陆琪</t>
        </is>
      </c>
      <c r="H303" s="503" t="inlineStr">
        <is>
          <t>/</t>
        </is>
      </c>
      <c r="I303" s="237" t="inlineStr">
        <is>
          <t>宋曼烤串</t>
        </is>
      </c>
      <c r="J303" s="494" t="inlineStr">
        <is>
          <t>于金梅</t>
        </is>
      </c>
      <c r="K303" s="224" t="inlineStr">
        <is>
          <t>/</t>
        </is>
      </c>
      <c r="L303" s="651" t="n">
        <v>690857.142857143</v>
      </c>
      <c r="M303" s="113" t="n">
        <v>0.13</v>
      </c>
      <c r="N303" s="113" t="n">
        <v>0.01</v>
      </c>
      <c r="O303" s="502" t="inlineStr">
        <is>
          <t>/</t>
        </is>
      </c>
      <c r="P303" s="113" t="n">
        <v>0.02</v>
      </c>
      <c r="Q303" s="113" t="n">
        <v>0.01</v>
      </c>
      <c r="R303" s="113" t="n">
        <v>0.01</v>
      </c>
      <c r="S303" s="502" t="inlineStr">
        <is>
          <t>/</t>
        </is>
      </c>
      <c r="T303" s="653" t="n"/>
      <c r="U303" s="653" t="n"/>
      <c r="V303" s="502" t="inlineStr">
        <is>
          <t>/</t>
        </is>
      </c>
      <c r="W303" s="224" t="n">
        <v>0.5</v>
      </c>
      <c r="X303" s="51" t="inlineStr">
        <is>
          <t>/</t>
        </is>
      </c>
      <c r="Y303" s="51" t="inlineStr">
        <is>
          <t>/</t>
        </is>
      </c>
      <c r="Z303" s="51" t="inlineStr">
        <is>
          <t>/</t>
        </is>
      </c>
      <c r="AA303" s="51" t="inlineStr">
        <is>
          <t>/</t>
        </is>
      </c>
      <c r="AB303" s="51" t="inlineStr">
        <is>
          <t>/</t>
        </is>
      </c>
      <c r="AC303" s="46" t="inlineStr">
        <is>
          <t>/</t>
        </is>
      </c>
      <c r="AD303" s="232" t="n"/>
      <c r="AE303" s="25" t="inlineStr">
        <is>
          <t>1、签订期间：2026.2.1-2026.7.31；
2、指标按照全年换算；</t>
        </is>
      </c>
    </row>
    <row r="304" ht="24" customFormat="1" customHeight="1" s="209">
      <c r="A304" s="219" t="n">
        <v>309</v>
      </c>
      <c r="B304" s="14" t="inlineStr">
        <is>
          <t>KQCY0309</t>
        </is>
      </c>
      <c r="C304" s="221" t="inlineStr">
        <is>
          <t>餐饮五分部</t>
        </is>
      </c>
      <c r="D304" s="221" t="inlineStr">
        <is>
          <t>CF697</t>
        </is>
      </c>
      <c r="E304" s="221" t="inlineStr">
        <is>
          <t>兰交大百苑二楼食堂</t>
        </is>
      </c>
      <c r="F304" s="219" t="inlineStr">
        <is>
          <t>分组作业</t>
        </is>
      </c>
      <c r="G304" s="222" t="inlineStr">
        <is>
          <t>陆琪</t>
        </is>
      </c>
      <c r="H304" s="503" t="inlineStr">
        <is>
          <t>/</t>
        </is>
      </c>
      <c r="I304" s="237" t="inlineStr">
        <is>
          <t>汉堡</t>
        </is>
      </c>
      <c r="J304" s="494" t="inlineStr">
        <is>
          <t>陈发权</t>
        </is>
      </c>
      <c r="K304" s="224" t="inlineStr">
        <is>
          <t>/</t>
        </is>
      </c>
      <c r="L304" s="651" t="n">
        <v>459428.571428571</v>
      </c>
      <c r="M304" s="113" t="n">
        <v>0.07000000000000001</v>
      </c>
      <c r="N304" s="113" t="n">
        <v>0.01</v>
      </c>
      <c r="O304" s="502" t="inlineStr">
        <is>
          <t>/</t>
        </is>
      </c>
      <c r="P304" s="502" t="inlineStr">
        <is>
          <t>/</t>
        </is>
      </c>
      <c r="Q304" s="113" t="n">
        <v>0.01</v>
      </c>
      <c r="R304" s="113" t="n">
        <v>0.01</v>
      </c>
      <c r="S304" s="502" t="inlineStr">
        <is>
          <t>/</t>
        </is>
      </c>
      <c r="T304" s="653" t="n"/>
      <c r="U304" s="653" t="n"/>
      <c r="V304" s="502" t="inlineStr">
        <is>
          <t>/</t>
        </is>
      </c>
      <c r="W304" s="224" t="n">
        <v>0.5</v>
      </c>
      <c r="X304" s="51" t="inlineStr">
        <is>
          <t>/</t>
        </is>
      </c>
      <c r="Y304" s="51" t="inlineStr">
        <is>
          <t>/</t>
        </is>
      </c>
      <c r="Z304" s="51" t="inlineStr">
        <is>
          <t>/</t>
        </is>
      </c>
      <c r="AA304" s="51" t="inlineStr">
        <is>
          <t>/</t>
        </is>
      </c>
      <c r="AB304" s="51" t="inlineStr">
        <is>
          <t>/</t>
        </is>
      </c>
      <c r="AC304" s="46" t="inlineStr">
        <is>
          <t>/</t>
        </is>
      </c>
      <c r="AD304" s="232" t="n"/>
      <c r="AE304" s="25" t="inlineStr">
        <is>
          <t>1、签订期间：2026.2.1-2026.7.31；
2、指标按照全年换算；</t>
        </is>
      </c>
    </row>
    <row r="305" ht="12" customFormat="1" customHeight="1" s="209">
      <c r="A305" s="219" t="n">
        <v>310</v>
      </c>
      <c r="B305" s="14" t="inlineStr">
        <is>
          <t>KQCY0310</t>
        </is>
      </c>
      <c r="C305" s="221" t="inlineStr">
        <is>
          <t>餐饮五分部</t>
        </is>
      </c>
      <c r="D305" s="221" t="inlineStr">
        <is>
          <t>CF698</t>
        </is>
      </c>
      <c r="E305" s="221" t="inlineStr">
        <is>
          <t>兰理工兰工坪校区一食堂</t>
        </is>
      </c>
      <c r="F305" s="219" t="inlineStr">
        <is>
          <t>自营</t>
        </is>
      </c>
      <c r="G305" s="222" t="inlineStr">
        <is>
          <t>陆琪</t>
        </is>
      </c>
      <c r="H305" s="222" t="inlineStr">
        <is>
          <t>/</t>
        </is>
      </c>
      <c r="I305" s="237" t="inlineStr">
        <is>
          <t>/</t>
        </is>
      </c>
      <c r="J305" s="134" t="inlineStr">
        <is>
          <t>/</t>
        </is>
      </c>
      <c r="K305" s="224" t="inlineStr">
        <is>
          <t>/</t>
        </is>
      </c>
      <c r="L305" s="651" t="inlineStr">
        <is>
          <t>/</t>
        </is>
      </c>
      <c r="M305" s="224" t="inlineStr">
        <is>
          <t>/</t>
        </is>
      </c>
      <c r="N305" s="224" t="inlineStr">
        <is>
          <t>/</t>
        </is>
      </c>
      <c r="O305" s="224" t="inlineStr">
        <is>
          <t>/</t>
        </is>
      </c>
      <c r="P305" s="224" t="inlineStr">
        <is>
          <t>/</t>
        </is>
      </c>
      <c r="Q305" s="224" t="inlineStr">
        <is>
          <t>/</t>
        </is>
      </c>
      <c r="R305" s="224" t="inlineStr">
        <is>
          <t>/</t>
        </is>
      </c>
      <c r="S305" s="224" t="inlineStr">
        <is>
          <t>/</t>
        </is>
      </c>
      <c r="T305" s="224" t="inlineStr">
        <is>
          <t>/</t>
        </is>
      </c>
      <c r="U305" s="503" t="inlineStr">
        <is>
          <t>/</t>
        </is>
      </c>
      <c r="V305" s="224" t="inlineStr">
        <is>
          <t>/</t>
        </is>
      </c>
      <c r="W305" s="503" t="inlineStr">
        <is>
          <t>/</t>
        </is>
      </c>
      <c r="X305" s="51" t="inlineStr">
        <is>
          <t>/</t>
        </is>
      </c>
      <c r="Y305" s="51" t="inlineStr">
        <is>
          <t>/</t>
        </is>
      </c>
      <c r="Z305" s="51" t="inlineStr">
        <is>
          <t>/</t>
        </is>
      </c>
      <c r="AA305" s="51" t="inlineStr">
        <is>
          <t>/</t>
        </is>
      </c>
      <c r="AB305" s="46" t="n">
        <v>0.045</v>
      </c>
      <c r="AC305" s="46" t="inlineStr">
        <is>
          <t>/</t>
        </is>
      </c>
      <c r="AD305" s="232" t="n"/>
      <c r="AE305" s="25" t="n"/>
    </row>
    <row r="306" ht="24" customFormat="1" customHeight="1" s="209">
      <c r="A306" s="219" t="n">
        <v>311</v>
      </c>
      <c r="B306" s="14" t="inlineStr">
        <is>
          <t>KQCY0311</t>
        </is>
      </c>
      <c r="C306" s="221" t="inlineStr">
        <is>
          <t>餐饮五分部</t>
        </is>
      </c>
      <c r="D306" s="221" t="inlineStr">
        <is>
          <t>CF698</t>
        </is>
      </c>
      <c r="E306" s="221" t="inlineStr">
        <is>
          <t>兰理工兰工坪校区一食堂</t>
        </is>
      </c>
      <c r="F306" s="219" t="inlineStr">
        <is>
          <t>分组作业</t>
        </is>
      </c>
      <c r="G306" s="222" t="inlineStr">
        <is>
          <t>陆琪</t>
        </is>
      </c>
      <c r="H306" s="503" t="inlineStr">
        <is>
          <t>/</t>
        </is>
      </c>
      <c r="I306" s="237" t="inlineStr">
        <is>
          <t>早餐（包子、粥、馅饼、饺子）</t>
        </is>
      </c>
      <c r="J306" s="494" t="inlineStr">
        <is>
          <t>杨文宏</t>
        </is>
      </c>
      <c r="K306" s="224" t="inlineStr">
        <is>
          <t>/</t>
        </is>
      </c>
      <c r="L306" s="651" t="n">
        <v>1140000</v>
      </c>
      <c r="M306" s="113" t="n">
        <v>0.17</v>
      </c>
      <c r="N306" s="502" t="inlineStr">
        <is>
          <t>/</t>
        </is>
      </c>
      <c r="O306" s="502" t="inlineStr">
        <is>
          <t>/</t>
        </is>
      </c>
      <c r="P306" s="502" t="inlineStr">
        <is>
          <t>/</t>
        </is>
      </c>
      <c r="Q306" s="502" t="inlineStr">
        <is>
          <t>/</t>
        </is>
      </c>
      <c r="R306" s="502" t="inlineStr">
        <is>
          <t>/</t>
        </is>
      </c>
      <c r="S306" s="502" t="inlineStr">
        <is>
          <t>/</t>
        </is>
      </c>
      <c r="T306" s="653" t="n"/>
      <c r="U306" s="653" t="n"/>
      <c r="V306" s="502" t="inlineStr">
        <is>
          <t>/</t>
        </is>
      </c>
      <c r="W306" s="224" t="n">
        <v>0.4</v>
      </c>
      <c r="X306" s="51" t="inlineStr">
        <is>
          <t>/</t>
        </is>
      </c>
      <c r="Y306" s="51" t="inlineStr">
        <is>
          <t>/</t>
        </is>
      </c>
      <c r="Z306" s="51" t="inlineStr">
        <is>
          <t>/</t>
        </is>
      </c>
      <c r="AA306" s="51" t="inlineStr">
        <is>
          <t>/</t>
        </is>
      </c>
      <c r="AB306" s="51" t="inlineStr">
        <is>
          <t>/</t>
        </is>
      </c>
      <c r="AC306" s="46" t="inlineStr">
        <is>
          <t>/</t>
        </is>
      </c>
      <c r="AD306" s="232" t="n"/>
      <c r="AE306" s="25" t="inlineStr">
        <is>
          <t>1、签订期间：2026.2.1-2026.7.31；
2、指标按照全年换算；</t>
        </is>
      </c>
    </row>
    <row r="307" ht="24" customFormat="1" customHeight="1" s="209">
      <c r="A307" s="219" t="n">
        <v>312</v>
      </c>
      <c r="B307" s="14" t="inlineStr">
        <is>
          <t>KQCY0312</t>
        </is>
      </c>
      <c r="C307" s="221" t="inlineStr">
        <is>
          <t>餐饮五分部</t>
        </is>
      </c>
      <c r="D307" s="221" t="inlineStr">
        <is>
          <t>CF698</t>
        </is>
      </c>
      <c r="E307" s="221" t="inlineStr">
        <is>
          <t>兰理工兰工坪校区一食堂</t>
        </is>
      </c>
      <c r="F307" s="219" t="inlineStr">
        <is>
          <t>分组作业</t>
        </is>
      </c>
      <c r="G307" s="222" t="inlineStr">
        <is>
          <t>陆琪</t>
        </is>
      </c>
      <c r="H307" s="503" t="inlineStr">
        <is>
          <t>/</t>
        </is>
      </c>
      <c r="I307" s="237" t="inlineStr">
        <is>
          <t>快餐（盖浇饭、锅仔）</t>
        </is>
      </c>
      <c r="J307" s="494" t="inlineStr">
        <is>
          <t>宋玉琴</t>
        </is>
      </c>
      <c r="K307" s="224" t="inlineStr">
        <is>
          <t>/</t>
        </is>
      </c>
      <c r="L307" s="651" t="n">
        <v>1106000</v>
      </c>
      <c r="M307" s="113" t="n">
        <v>0.17</v>
      </c>
      <c r="N307" s="502" t="inlineStr">
        <is>
          <t>/</t>
        </is>
      </c>
      <c r="O307" s="502" t="inlineStr">
        <is>
          <t>/</t>
        </is>
      </c>
      <c r="P307" s="502" t="inlineStr">
        <is>
          <t>/</t>
        </is>
      </c>
      <c r="Q307" s="502" t="inlineStr">
        <is>
          <t>/</t>
        </is>
      </c>
      <c r="R307" s="502" t="inlineStr">
        <is>
          <t>/</t>
        </is>
      </c>
      <c r="S307" s="502" t="inlineStr">
        <is>
          <t>/</t>
        </is>
      </c>
      <c r="T307" s="653" t="n"/>
      <c r="U307" s="653" t="n"/>
      <c r="V307" s="502" t="inlineStr">
        <is>
          <t>/</t>
        </is>
      </c>
      <c r="W307" s="224" t="n">
        <v>0.4</v>
      </c>
      <c r="X307" s="51" t="inlineStr">
        <is>
          <t>/</t>
        </is>
      </c>
      <c r="Y307" s="51" t="inlineStr">
        <is>
          <t>/</t>
        </is>
      </c>
      <c r="Z307" s="51" t="inlineStr">
        <is>
          <t>/</t>
        </is>
      </c>
      <c r="AA307" s="51" t="inlineStr">
        <is>
          <t>/</t>
        </is>
      </c>
      <c r="AB307" s="51" t="inlineStr">
        <is>
          <t>/</t>
        </is>
      </c>
      <c r="AC307" s="46" t="inlineStr">
        <is>
          <t>/</t>
        </is>
      </c>
      <c r="AD307" s="232" t="n"/>
      <c r="AE307" s="25" t="inlineStr">
        <is>
          <t>1、签订期间：2026.2.1-2026.7.31；
2、指标按照全年换算；</t>
        </is>
      </c>
    </row>
    <row r="308" ht="24" customFormat="1" customHeight="1" s="209">
      <c r="A308" s="219" t="n">
        <v>313</v>
      </c>
      <c r="B308" s="14" t="inlineStr">
        <is>
          <t>KQCY0313</t>
        </is>
      </c>
      <c r="C308" s="221" t="inlineStr">
        <is>
          <t>餐饮五分部</t>
        </is>
      </c>
      <c r="D308" s="221" t="inlineStr">
        <is>
          <t>CF698</t>
        </is>
      </c>
      <c r="E308" s="221" t="inlineStr">
        <is>
          <t>兰理工兰工坪校区一食堂</t>
        </is>
      </c>
      <c r="F308" s="219" t="inlineStr">
        <is>
          <t>分组作业</t>
        </is>
      </c>
      <c r="G308" s="222" t="inlineStr">
        <is>
          <t>陆琪</t>
        </is>
      </c>
      <c r="H308" s="503" t="inlineStr">
        <is>
          <t>/</t>
        </is>
      </c>
      <c r="I308" s="237" t="inlineStr">
        <is>
          <t>米粉</t>
        </is>
      </c>
      <c r="J308" s="494" t="inlineStr">
        <is>
          <t>尚伟伟</t>
        </is>
      </c>
      <c r="K308" s="224" t="inlineStr">
        <is>
          <t>/</t>
        </is>
      </c>
      <c r="L308" s="651" t="n">
        <v>680000</v>
      </c>
      <c r="M308" s="113" t="n">
        <v>0.2</v>
      </c>
      <c r="N308" s="502" t="inlineStr">
        <is>
          <t>/</t>
        </is>
      </c>
      <c r="O308" s="502" t="inlineStr">
        <is>
          <t>/</t>
        </is>
      </c>
      <c r="P308" s="502" t="inlineStr">
        <is>
          <t>/</t>
        </is>
      </c>
      <c r="Q308" s="502" t="inlineStr">
        <is>
          <t>/</t>
        </is>
      </c>
      <c r="R308" s="502" t="inlineStr">
        <is>
          <t>/</t>
        </is>
      </c>
      <c r="S308" s="502" t="inlineStr">
        <is>
          <t>/</t>
        </is>
      </c>
      <c r="T308" s="653" t="n"/>
      <c r="U308" s="653" t="n"/>
      <c r="V308" s="502" t="inlineStr">
        <is>
          <t>/</t>
        </is>
      </c>
      <c r="W308" s="224" t="n">
        <v>0.4</v>
      </c>
      <c r="X308" s="51" t="inlineStr">
        <is>
          <t>/</t>
        </is>
      </c>
      <c r="Y308" s="51" t="inlineStr">
        <is>
          <t>/</t>
        </is>
      </c>
      <c r="Z308" s="51" t="inlineStr">
        <is>
          <t>/</t>
        </is>
      </c>
      <c r="AA308" s="51" t="inlineStr">
        <is>
          <t>/</t>
        </is>
      </c>
      <c r="AB308" s="51" t="inlineStr">
        <is>
          <t>/</t>
        </is>
      </c>
      <c r="AC308" s="46" t="inlineStr">
        <is>
          <t>/</t>
        </is>
      </c>
      <c r="AD308" s="232" t="n"/>
      <c r="AE308" s="25" t="inlineStr">
        <is>
          <t>1、签订期间：2026.2.1-2026.7.31；
2、指标按照全年换算；</t>
        </is>
      </c>
    </row>
    <row r="309" ht="24" customFormat="1" customHeight="1" s="209">
      <c r="A309" s="219" t="n">
        <v>314</v>
      </c>
      <c r="B309" s="14" t="inlineStr">
        <is>
          <t>KQCY0314</t>
        </is>
      </c>
      <c r="C309" s="221" t="inlineStr">
        <is>
          <t>餐饮五分部</t>
        </is>
      </c>
      <c r="D309" s="221" t="inlineStr">
        <is>
          <t>CF698</t>
        </is>
      </c>
      <c r="E309" s="221" t="inlineStr">
        <is>
          <t>兰理工兰工坪校区一食堂</t>
        </is>
      </c>
      <c r="F309" s="219" t="inlineStr">
        <is>
          <t>分组作业</t>
        </is>
      </c>
      <c r="G309" s="222" t="inlineStr">
        <is>
          <t>陆琪</t>
        </is>
      </c>
      <c r="H309" s="503" t="inlineStr">
        <is>
          <t>/</t>
        </is>
      </c>
      <c r="I309" s="237" t="inlineStr">
        <is>
          <t>烤鸭饭</t>
        </is>
      </c>
      <c r="J309" s="494" t="inlineStr">
        <is>
          <t>何启发</t>
        </is>
      </c>
      <c r="K309" s="224" t="inlineStr">
        <is>
          <t>/</t>
        </is>
      </c>
      <c r="L309" s="651" t="n">
        <v>780000</v>
      </c>
      <c r="M309" s="113" t="n">
        <v>0.2</v>
      </c>
      <c r="N309" s="502" t="inlineStr">
        <is>
          <t>/</t>
        </is>
      </c>
      <c r="O309" s="502" t="inlineStr">
        <is>
          <t>/</t>
        </is>
      </c>
      <c r="P309" s="502" t="inlineStr">
        <is>
          <t>/</t>
        </is>
      </c>
      <c r="Q309" s="502" t="inlineStr">
        <is>
          <t>/</t>
        </is>
      </c>
      <c r="R309" s="502" t="inlineStr">
        <is>
          <t>/</t>
        </is>
      </c>
      <c r="S309" s="502" t="inlineStr">
        <is>
          <t>/</t>
        </is>
      </c>
      <c r="T309" s="653" t="n"/>
      <c r="U309" s="653" t="n"/>
      <c r="V309" s="502" t="inlineStr">
        <is>
          <t>/</t>
        </is>
      </c>
      <c r="W309" s="224" t="n">
        <v>0.4</v>
      </c>
      <c r="X309" s="51" t="inlineStr">
        <is>
          <t>/</t>
        </is>
      </c>
      <c r="Y309" s="51" t="inlineStr">
        <is>
          <t>/</t>
        </is>
      </c>
      <c r="Z309" s="51" t="inlineStr">
        <is>
          <t>/</t>
        </is>
      </c>
      <c r="AA309" s="51" t="inlineStr">
        <is>
          <t>/</t>
        </is>
      </c>
      <c r="AB309" s="51" t="inlineStr">
        <is>
          <t>/</t>
        </is>
      </c>
      <c r="AC309" s="46" t="inlineStr">
        <is>
          <t>/</t>
        </is>
      </c>
      <c r="AD309" s="232" t="n"/>
      <c r="AE309" s="25" t="inlineStr">
        <is>
          <t>1、签订期间：2026.2.1-2026.7.31；
2、指标按照全年换算；</t>
        </is>
      </c>
    </row>
    <row r="310" ht="24" customFormat="1" customHeight="1" s="209">
      <c r="A310" s="219" t="n">
        <v>315</v>
      </c>
      <c r="B310" s="14" t="inlineStr">
        <is>
          <t>KQCY0315</t>
        </is>
      </c>
      <c r="C310" s="221" t="inlineStr">
        <is>
          <t>餐饮五分部</t>
        </is>
      </c>
      <c r="D310" s="221" t="inlineStr">
        <is>
          <t>CF698</t>
        </is>
      </c>
      <c r="E310" s="221" t="inlineStr">
        <is>
          <t>兰理工兰工坪校区一食堂</t>
        </is>
      </c>
      <c r="F310" s="219" t="inlineStr">
        <is>
          <t>分组作业</t>
        </is>
      </c>
      <c r="G310" s="222" t="inlineStr">
        <is>
          <t>陆琪</t>
        </is>
      </c>
      <c r="H310" s="503" t="inlineStr">
        <is>
          <t>/</t>
        </is>
      </c>
      <c r="I310" s="237" t="inlineStr">
        <is>
          <t>香肉拌饭</t>
        </is>
      </c>
      <c r="J310" s="494" t="inlineStr">
        <is>
          <t>尚晓强</t>
        </is>
      </c>
      <c r="K310" s="224" t="inlineStr">
        <is>
          <t>/</t>
        </is>
      </c>
      <c r="L310" s="651" t="n">
        <v>700000</v>
      </c>
      <c r="M310" s="113" t="n">
        <v>0.2</v>
      </c>
      <c r="N310" s="502" t="inlineStr">
        <is>
          <t>/</t>
        </is>
      </c>
      <c r="O310" s="502" t="inlineStr">
        <is>
          <t>/</t>
        </is>
      </c>
      <c r="P310" s="502" t="inlineStr">
        <is>
          <t>/</t>
        </is>
      </c>
      <c r="Q310" s="502" t="inlineStr">
        <is>
          <t>/</t>
        </is>
      </c>
      <c r="R310" s="502" t="inlineStr">
        <is>
          <t>/</t>
        </is>
      </c>
      <c r="S310" s="502" t="inlineStr">
        <is>
          <t>/</t>
        </is>
      </c>
      <c r="T310" s="653" t="n"/>
      <c r="U310" s="653" t="n"/>
      <c r="V310" s="502" t="inlineStr">
        <is>
          <t>/</t>
        </is>
      </c>
      <c r="W310" s="224" t="n">
        <v>0.4</v>
      </c>
      <c r="X310" s="51" t="inlineStr">
        <is>
          <t>/</t>
        </is>
      </c>
      <c r="Y310" s="51" t="inlineStr">
        <is>
          <t>/</t>
        </is>
      </c>
      <c r="Z310" s="51" t="inlineStr">
        <is>
          <t>/</t>
        </is>
      </c>
      <c r="AA310" s="51" t="inlineStr">
        <is>
          <t>/</t>
        </is>
      </c>
      <c r="AB310" s="51" t="inlineStr">
        <is>
          <t>/</t>
        </is>
      </c>
      <c r="AC310" s="46" t="inlineStr">
        <is>
          <t>/</t>
        </is>
      </c>
      <c r="AD310" s="232" t="n"/>
      <c r="AE310" s="25" t="inlineStr">
        <is>
          <t>1、签订期间：2026.2.1-2026.7.31；
2、指标按照全年换算；</t>
        </is>
      </c>
    </row>
    <row r="311" ht="24" customFormat="1" customHeight="1" s="209">
      <c r="A311" s="219" t="n">
        <v>316</v>
      </c>
      <c r="B311" s="14" t="inlineStr">
        <is>
          <t>KQCY0316</t>
        </is>
      </c>
      <c r="C311" s="221" t="inlineStr">
        <is>
          <t>餐饮五分部</t>
        </is>
      </c>
      <c r="D311" s="221" t="inlineStr">
        <is>
          <t>CF698</t>
        </is>
      </c>
      <c r="E311" s="221" t="inlineStr">
        <is>
          <t>兰理工兰工坪校区一食堂</t>
        </is>
      </c>
      <c r="F311" s="219" t="inlineStr">
        <is>
          <t>分组作业</t>
        </is>
      </c>
      <c r="G311" s="222" t="inlineStr">
        <is>
          <t>陆琪</t>
        </is>
      </c>
      <c r="H311" s="503" t="inlineStr">
        <is>
          <t>/</t>
        </is>
      </c>
      <c r="I311" s="237" t="inlineStr">
        <is>
          <t>面夫子包子（煎饺）</t>
        </is>
      </c>
      <c r="J311" s="494" t="inlineStr">
        <is>
          <t>景波波</t>
        </is>
      </c>
      <c r="K311" s="224" t="inlineStr">
        <is>
          <t>/</t>
        </is>
      </c>
      <c r="L311" s="651" t="n">
        <v>620000</v>
      </c>
      <c r="M311" s="113" t="n">
        <v>0.17</v>
      </c>
      <c r="N311" s="502" t="inlineStr">
        <is>
          <t>/</t>
        </is>
      </c>
      <c r="O311" s="502" t="inlineStr">
        <is>
          <t>/</t>
        </is>
      </c>
      <c r="P311" s="502" t="inlineStr">
        <is>
          <t>/</t>
        </is>
      </c>
      <c r="Q311" s="502" t="inlineStr">
        <is>
          <t>/</t>
        </is>
      </c>
      <c r="R311" s="502" t="inlineStr">
        <is>
          <t>/</t>
        </is>
      </c>
      <c r="S311" s="502" t="inlineStr">
        <is>
          <t>/</t>
        </is>
      </c>
      <c r="T311" s="653" t="n"/>
      <c r="U311" s="653" t="n"/>
      <c r="V311" s="502" t="inlineStr">
        <is>
          <t>/</t>
        </is>
      </c>
      <c r="W311" s="224" t="n">
        <v>0.4</v>
      </c>
      <c r="X311" s="51" t="inlineStr">
        <is>
          <t>/</t>
        </is>
      </c>
      <c r="Y311" s="51" t="inlineStr">
        <is>
          <t>/</t>
        </is>
      </c>
      <c r="Z311" s="51" t="inlineStr">
        <is>
          <t>/</t>
        </is>
      </c>
      <c r="AA311" s="51" t="inlineStr">
        <is>
          <t>/</t>
        </is>
      </c>
      <c r="AB311" s="51" t="inlineStr">
        <is>
          <t>/</t>
        </is>
      </c>
      <c r="AC311" s="46" t="inlineStr">
        <is>
          <t>/</t>
        </is>
      </c>
      <c r="AD311" s="232" t="n"/>
      <c r="AE311" s="25" t="inlineStr">
        <is>
          <t>1、签订期间：2026.2.1-2026.7.31；
2、指标按照全年换算；</t>
        </is>
      </c>
    </row>
    <row r="312" ht="24" customFormat="1" customHeight="1" s="209">
      <c r="A312" s="219" t="n">
        <v>317</v>
      </c>
      <c r="B312" s="14" t="inlineStr">
        <is>
          <t>KQCY0317</t>
        </is>
      </c>
      <c r="C312" s="221" t="inlineStr">
        <is>
          <t>餐饮五分部</t>
        </is>
      </c>
      <c r="D312" s="221" t="inlineStr">
        <is>
          <t>CF698</t>
        </is>
      </c>
      <c r="E312" s="221" t="inlineStr">
        <is>
          <t>兰理工兰工坪校区一食堂</t>
        </is>
      </c>
      <c r="F312" s="219" t="inlineStr">
        <is>
          <t>分组作业</t>
        </is>
      </c>
      <c r="G312" s="222" t="inlineStr">
        <is>
          <t>陆琪</t>
        </is>
      </c>
      <c r="H312" s="503" t="inlineStr">
        <is>
          <t>/</t>
        </is>
      </c>
      <c r="I312" s="237" t="inlineStr">
        <is>
          <t>面小福菜拌面</t>
        </is>
      </c>
      <c r="J312" s="494" t="inlineStr">
        <is>
          <t>蔡晓娟</t>
        </is>
      </c>
      <c r="K312" s="224" t="inlineStr">
        <is>
          <t>/</t>
        </is>
      </c>
      <c r="L312" s="651" t="n">
        <v>620000</v>
      </c>
      <c r="M312" s="113" t="n">
        <v>0.19</v>
      </c>
      <c r="N312" s="502" t="inlineStr">
        <is>
          <t>/</t>
        </is>
      </c>
      <c r="O312" s="502" t="inlineStr">
        <is>
          <t>/</t>
        </is>
      </c>
      <c r="P312" s="502" t="inlineStr">
        <is>
          <t>/</t>
        </is>
      </c>
      <c r="Q312" s="502" t="inlineStr">
        <is>
          <t>/</t>
        </is>
      </c>
      <c r="R312" s="502" t="inlineStr">
        <is>
          <t>/</t>
        </is>
      </c>
      <c r="S312" s="502" t="inlineStr">
        <is>
          <t>/</t>
        </is>
      </c>
      <c r="T312" s="653" t="n"/>
      <c r="U312" s="653" t="n"/>
      <c r="V312" s="502" t="inlineStr">
        <is>
          <t>/</t>
        </is>
      </c>
      <c r="W312" s="224" t="n">
        <v>0.4</v>
      </c>
      <c r="X312" s="51" t="inlineStr">
        <is>
          <t>/</t>
        </is>
      </c>
      <c r="Y312" s="51" t="inlineStr">
        <is>
          <t>/</t>
        </is>
      </c>
      <c r="Z312" s="51" t="inlineStr">
        <is>
          <t>/</t>
        </is>
      </c>
      <c r="AA312" s="51" t="inlineStr">
        <is>
          <t>/</t>
        </is>
      </c>
      <c r="AB312" s="51" t="inlineStr">
        <is>
          <t>/</t>
        </is>
      </c>
      <c r="AC312" s="46" t="inlineStr">
        <is>
          <t>/</t>
        </is>
      </c>
      <c r="AD312" s="232" t="n"/>
      <c r="AE312" s="25" t="inlineStr">
        <is>
          <t>1、签订期间：2026.2.1-2026.7.31；
2、指标按照全年换算；</t>
        </is>
      </c>
    </row>
    <row r="313" ht="24" customFormat="1" customHeight="1" s="209">
      <c r="A313" s="219" t="n">
        <v>318</v>
      </c>
      <c r="B313" s="14" t="inlineStr">
        <is>
          <t>KQCY0318</t>
        </is>
      </c>
      <c r="C313" s="221" t="inlineStr">
        <is>
          <t>餐饮五分部</t>
        </is>
      </c>
      <c r="D313" s="221" t="inlineStr">
        <is>
          <t>CF698</t>
        </is>
      </c>
      <c r="E313" s="221" t="inlineStr">
        <is>
          <t>兰理工兰工坪校区一食堂</t>
        </is>
      </c>
      <c r="F313" s="219" t="inlineStr">
        <is>
          <t>分组作业</t>
        </is>
      </c>
      <c r="G313" s="222" t="inlineStr">
        <is>
          <t>陆琪</t>
        </is>
      </c>
      <c r="H313" s="503" t="inlineStr">
        <is>
          <t>/</t>
        </is>
      </c>
      <c r="I313" s="237" t="inlineStr">
        <is>
          <t>饶城湘辣椒炒肉</t>
        </is>
      </c>
      <c r="J313" s="494" t="inlineStr">
        <is>
          <t>蔡晓娟</t>
        </is>
      </c>
      <c r="K313" s="224" t="inlineStr">
        <is>
          <t>/</t>
        </is>
      </c>
      <c r="L313" s="651" t="n">
        <v>640000</v>
      </c>
      <c r="M313" s="113" t="n">
        <v>0.19</v>
      </c>
      <c r="N313" s="502" t="inlineStr">
        <is>
          <t>/</t>
        </is>
      </c>
      <c r="O313" s="502" t="inlineStr">
        <is>
          <t>/</t>
        </is>
      </c>
      <c r="P313" s="502" t="inlineStr">
        <is>
          <t>/</t>
        </is>
      </c>
      <c r="Q313" s="502" t="inlineStr">
        <is>
          <t>/</t>
        </is>
      </c>
      <c r="R313" s="502" t="inlineStr">
        <is>
          <t>/</t>
        </is>
      </c>
      <c r="S313" s="502" t="inlineStr">
        <is>
          <t>/</t>
        </is>
      </c>
      <c r="T313" s="653" t="n"/>
      <c r="U313" s="653" t="n"/>
      <c r="V313" s="502" t="inlineStr">
        <is>
          <t>/</t>
        </is>
      </c>
      <c r="W313" s="224" t="n">
        <v>0.4</v>
      </c>
      <c r="X313" s="51" t="inlineStr">
        <is>
          <t>/</t>
        </is>
      </c>
      <c r="Y313" s="51" t="inlineStr">
        <is>
          <t>/</t>
        </is>
      </c>
      <c r="Z313" s="51" t="inlineStr">
        <is>
          <t>/</t>
        </is>
      </c>
      <c r="AA313" s="51" t="inlineStr">
        <is>
          <t>/</t>
        </is>
      </c>
      <c r="AB313" s="51" t="inlineStr">
        <is>
          <t>/</t>
        </is>
      </c>
      <c r="AC313" s="46" t="inlineStr">
        <is>
          <t>/</t>
        </is>
      </c>
      <c r="AD313" s="232" t="n"/>
      <c r="AE313" s="25" t="inlineStr">
        <is>
          <t>1、签订期间：2026.2.1-2026.7.31；
2、指标按照全年换算；</t>
        </is>
      </c>
    </row>
    <row r="314" ht="24" customFormat="1" customHeight="1" s="209">
      <c r="A314" s="219" t="n">
        <v>319</v>
      </c>
      <c r="B314" s="14" t="inlineStr">
        <is>
          <t>KQCY0319</t>
        </is>
      </c>
      <c r="C314" s="221" t="inlineStr">
        <is>
          <t>餐饮五分部</t>
        </is>
      </c>
      <c r="D314" s="221" t="inlineStr">
        <is>
          <t>CF698</t>
        </is>
      </c>
      <c r="E314" s="221" t="inlineStr">
        <is>
          <t>兰理工兰工坪校区一食堂</t>
        </is>
      </c>
      <c r="F314" s="219" t="inlineStr">
        <is>
          <t>分组作业</t>
        </is>
      </c>
      <c r="G314" s="222" t="inlineStr">
        <is>
          <t>陆琪</t>
        </is>
      </c>
      <c r="H314" s="503" t="inlineStr">
        <is>
          <t>/</t>
        </is>
      </c>
      <c r="I314" s="237" t="inlineStr">
        <is>
          <t>一纸鸡牛肉饭</t>
        </is>
      </c>
      <c r="J314" s="494" t="inlineStr">
        <is>
          <t>王燕</t>
        </is>
      </c>
      <c r="K314" s="224" t="inlineStr">
        <is>
          <t>/</t>
        </is>
      </c>
      <c r="L314" s="651" t="n">
        <v>560000</v>
      </c>
      <c r="M314" s="113" t="n">
        <v>0.2</v>
      </c>
      <c r="N314" s="502" t="inlineStr">
        <is>
          <t>/</t>
        </is>
      </c>
      <c r="O314" s="502" t="inlineStr">
        <is>
          <t>/</t>
        </is>
      </c>
      <c r="P314" s="502" t="inlineStr">
        <is>
          <t>/</t>
        </is>
      </c>
      <c r="Q314" s="502" t="inlineStr">
        <is>
          <t>/</t>
        </is>
      </c>
      <c r="R314" s="502" t="inlineStr">
        <is>
          <t>/</t>
        </is>
      </c>
      <c r="S314" s="502" t="inlineStr">
        <is>
          <t>/</t>
        </is>
      </c>
      <c r="T314" s="653" t="n"/>
      <c r="U314" s="653" t="n"/>
      <c r="V314" s="502" t="inlineStr">
        <is>
          <t>/</t>
        </is>
      </c>
      <c r="W314" s="224" t="n">
        <v>0.4</v>
      </c>
      <c r="X314" s="51" t="inlineStr">
        <is>
          <t>/</t>
        </is>
      </c>
      <c r="Y314" s="51" t="inlineStr">
        <is>
          <t>/</t>
        </is>
      </c>
      <c r="Z314" s="51" t="inlineStr">
        <is>
          <t>/</t>
        </is>
      </c>
      <c r="AA314" s="51" t="inlineStr">
        <is>
          <t>/</t>
        </is>
      </c>
      <c r="AB314" s="51" t="inlineStr">
        <is>
          <t>/</t>
        </is>
      </c>
      <c r="AC314" s="46" t="inlineStr">
        <is>
          <t>/</t>
        </is>
      </c>
      <c r="AD314" s="232" t="n"/>
      <c r="AE314" s="25" t="inlineStr">
        <is>
          <t>1、签订期间：2026.2.1-2026.7.31；
2、指标按照全年换算；</t>
        </is>
      </c>
    </row>
    <row r="315" ht="24" customFormat="1" customHeight="1" s="209">
      <c r="A315" s="219" t="n">
        <v>320</v>
      </c>
      <c r="B315" s="14" t="inlineStr">
        <is>
          <t>KQCY0320</t>
        </is>
      </c>
      <c r="C315" s="221" t="inlineStr">
        <is>
          <t>餐饮五分部</t>
        </is>
      </c>
      <c r="D315" s="221" t="inlineStr">
        <is>
          <t>CF698</t>
        </is>
      </c>
      <c r="E315" s="221" t="inlineStr">
        <is>
          <t>兰理工兰工坪校区一食堂</t>
        </is>
      </c>
      <c r="F315" s="219" t="inlineStr">
        <is>
          <t>分组作业</t>
        </is>
      </c>
      <c r="G315" s="222" t="inlineStr">
        <is>
          <t>陆琪</t>
        </is>
      </c>
      <c r="H315" s="503" t="inlineStr">
        <is>
          <t>/</t>
        </is>
      </c>
      <c r="I315" s="237" t="inlineStr">
        <is>
          <t>波乐宝炸鸡汉堡</t>
        </is>
      </c>
      <c r="J315" s="503" t="inlineStr">
        <is>
          <t>周小鹏</t>
        </is>
      </c>
      <c r="K315" s="224" t="inlineStr">
        <is>
          <t>/</t>
        </is>
      </c>
      <c r="L315" s="651" t="n">
        <v>360000</v>
      </c>
      <c r="M315" s="502" t="n">
        <v>120000</v>
      </c>
      <c r="N315" s="502" t="inlineStr">
        <is>
          <t>/</t>
        </is>
      </c>
      <c r="O315" s="502" t="inlineStr">
        <is>
          <t>/</t>
        </is>
      </c>
      <c r="P315" s="116" t="n">
        <v>0.045</v>
      </c>
      <c r="Q315" s="502" t="inlineStr">
        <is>
          <t>/</t>
        </is>
      </c>
      <c r="R315" s="502" t="inlineStr">
        <is>
          <t>/</t>
        </is>
      </c>
      <c r="S315" s="502" t="inlineStr">
        <is>
          <t>/</t>
        </is>
      </c>
      <c r="T315" s="662" t="inlineStr">
        <is>
          <t>/</t>
        </is>
      </c>
      <c r="U315" s="653" t="n"/>
      <c r="V315" s="502" t="inlineStr">
        <is>
          <t>/</t>
        </is>
      </c>
      <c r="W315" s="224" t="n">
        <v>0.4</v>
      </c>
      <c r="X315" s="51" t="inlineStr">
        <is>
          <t>/</t>
        </is>
      </c>
      <c r="Y315" s="51" t="inlineStr">
        <is>
          <t>/</t>
        </is>
      </c>
      <c r="Z315" s="51" t="inlineStr">
        <is>
          <t>/</t>
        </is>
      </c>
      <c r="AA315" s="51" t="inlineStr">
        <is>
          <t>/</t>
        </is>
      </c>
      <c r="AB315" s="51" t="inlineStr">
        <is>
          <t>/</t>
        </is>
      </c>
      <c r="AC315" s="46" t="inlineStr">
        <is>
          <t>/</t>
        </is>
      </c>
      <c r="AD315" s="48" t="inlineStr">
        <is>
          <t>1、服务费：12万/年
2、项目确认不收卫生费</t>
        </is>
      </c>
      <c r="AE315" s="25" t="inlineStr">
        <is>
          <t>1、签订期间：2026.2.1-2026.7.31；
2、指标按照全年换算；</t>
        </is>
      </c>
    </row>
    <row r="316" ht="24" customFormat="1" customHeight="1" s="209">
      <c r="A316" s="219" t="n">
        <v>321</v>
      </c>
      <c r="B316" s="14" t="inlineStr">
        <is>
          <t>KQCY0321</t>
        </is>
      </c>
      <c r="C316" s="221" t="inlineStr">
        <is>
          <t>餐饮五分部</t>
        </is>
      </c>
      <c r="D316" s="221" t="inlineStr">
        <is>
          <t>CF698</t>
        </is>
      </c>
      <c r="E316" s="221" t="inlineStr">
        <is>
          <t>兰理工兰工坪校区一食堂</t>
        </is>
      </c>
      <c r="F316" s="219" t="inlineStr">
        <is>
          <t>分组作业</t>
        </is>
      </c>
      <c r="G316" s="222" t="inlineStr">
        <is>
          <t>陆琪</t>
        </is>
      </c>
      <c r="H316" s="503" t="inlineStr">
        <is>
          <t>/</t>
        </is>
      </c>
      <c r="I316" s="237" t="inlineStr">
        <is>
          <t>冒菜（小火锅）</t>
        </is>
      </c>
      <c r="J316" s="494" t="inlineStr">
        <is>
          <t>马娟娟</t>
        </is>
      </c>
      <c r="K316" s="224" t="inlineStr">
        <is>
          <t>/</t>
        </is>
      </c>
      <c r="L316" s="651" t="n">
        <v>920000</v>
      </c>
      <c r="M316" s="113" t="n">
        <v>0.2</v>
      </c>
      <c r="N316" s="502" t="inlineStr">
        <is>
          <t>/</t>
        </is>
      </c>
      <c r="O316" s="502" t="inlineStr">
        <is>
          <t>/</t>
        </is>
      </c>
      <c r="P316" s="502" t="inlineStr">
        <is>
          <t>/</t>
        </is>
      </c>
      <c r="Q316" s="502" t="inlineStr">
        <is>
          <t>/</t>
        </is>
      </c>
      <c r="R316" s="502" t="inlineStr">
        <is>
          <t>/</t>
        </is>
      </c>
      <c r="S316" s="502" t="inlineStr">
        <is>
          <t>/</t>
        </is>
      </c>
      <c r="T316" s="653" t="n"/>
      <c r="U316" s="653" t="n"/>
      <c r="V316" s="502" t="inlineStr">
        <is>
          <t>/</t>
        </is>
      </c>
      <c r="W316" s="224" t="n">
        <v>0.4</v>
      </c>
      <c r="X316" s="51" t="inlineStr">
        <is>
          <t>/</t>
        </is>
      </c>
      <c r="Y316" s="51" t="inlineStr">
        <is>
          <t>/</t>
        </is>
      </c>
      <c r="Z316" s="51" t="inlineStr">
        <is>
          <t>/</t>
        </is>
      </c>
      <c r="AA316" s="51" t="inlineStr">
        <is>
          <t>/</t>
        </is>
      </c>
      <c r="AB316" s="51" t="inlineStr">
        <is>
          <t>/</t>
        </is>
      </c>
      <c r="AC316" s="46" t="inlineStr">
        <is>
          <t>/</t>
        </is>
      </c>
      <c r="AD316" s="232" t="n"/>
      <c r="AE316" s="25" t="inlineStr">
        <is>
          <t>1、签订期间：2026.2.1-2026.7.31；
2、指标按照全年换算；</t>
        </is>
      </c>
    </row>
    <row r="317" ht="24" customFormat="1" customHeight="1" s="209">
      <c r="A317" s="219" t="n">
        <v>322</v>
      </c>
      <c r="B317" s="14" t="inlineStr">
        <is>
          <t>KQCY0322</t>
        </is>
      </c>
      <c r="C317" s="221" t="inlineStr">
        <is>
          <t>餐饮五分部</t>
        </is>
      </c>
      <c r="D317" s="221" t="inlineStr">
        <is>
          <t>CF698</t>
        </is>
      </c>
      <c r="E317" s="221" t="inlineStr">
        <is>
          <t>兰理工兰工坪校区一食堂</t>
        </is>
      </c>
      <c r="F317" s="219" t="inlineStr">
        <is>
          <t>分组作业</t>
        </is>
      </c>
      <c r="G317" s="222" t="inlineStr">
        <is>
          <t>陆琪</t>
        </is>
      </c>
      <c r="H317" s="503" t="inlineStr">
        <is>
          <t>/</t>
        </is>
      </c>
      <c r="I317" s="237" t="inlineStr">
        <is>
          <t>牛肉面（炒面）</t>
        </is>
      </c>
      <c r="J317" s="494" t="inlineStr">
        <is>
          <t>马娟娟</t>
        </is>
      </c>
      <c r="K317" s="224" t="inlineStr">
        <is>
          <t>/</t>
        </is>
      </c>
      <c r="L317" s="651" t="n">
        <v>700000</v>
      </c>
      <c r="M317" s="113" t="n">
        <v>0.1</v>
      </c>
      <c r="N317" s="502" t="inlineStr">
        <is>
          <t>/</t>
        </is>
      </c>
      <c r="O317" s="502" t="inlineStr">
        <is>
          <t>/</t>
        </is>
      </c>
      <c r="P317" s="502" t="inlineStr">
        <is>
          <t>/</t>
        </is>
      </c>
      <c r="Q317" s="502" t="inlineStr">
        <is>
          <t>/</t>
        </is>
      </c>
      <c r="R317" s="502" t="inlineStr">
        <is>
          <t>/</t>
        </is>
      </c>
      <c r="S317" s="502" t="inlineStr">
        <is>
          <t>/</t>
        </is>
      </c>
      <c r="T317" s="653" t="n"/>
      <c r="U317" s="653" t="n"/>
      <c r="V317" s="502" t="inlineStr">
        <is>
          <t>/</t>
        </is>
      </c>
      <c r="W317" s="224" t="n">
        <v>0.4</v>
      </c>
      <c r="X317" s="51" t="inlineStr">
        <is>
          <t>/</t>
        </is>
      </c>
      <c r="Y317" s="51" t="inlineStr">
        <is>
          <t>/</t>
        </is>
      </c>
      <c r="Z317" s="51" t="inlineStr">
        <is>
          <t>/</t>
        </is>
      </c>
      <c r="AA317" s="51" t="inlineStr">
        <is>
          <t>/</t>
        </is>
      </c>
      <c r="AB317" s="51" t="inlineStr">
        <is>
          <t>/</t>
        </is>
      </c>
      <c r="AC317" s="46" t="inlineStr">
        <is>
          <t>/</t>
        </is>
      </c>
      <c r="AD317" s="232" t="n"/>
      <c r="AE317" s="25" t="inlineStr">
        <is>
          <t>1、签订期间：2026.2.1-2026.7.31；
2、指标按照全年换算；</t>
        </is>
      </c>
    </row>
    <row r="318" ht="24" customFormat="1" customHeight="1" s="209">
      <c r="A318" s="219" t="n">
        <v>323</v>
      </c>
      <c r="B318" s="14" t="inlineStr">
        <is>
          <t>KQCY0323</t>
        </is>
      </c>
      <c r="C318" s="221" t="inlineStr">
        <is>
          <t>餐饮五分部</t>
        </is>
      </c>
      <c r="D318" s="221" t="inlineStr">
        <is>
          <t>CF698</t>
        </is>
      </c>
      <c r="E318" s="221" t="inlineStr">
        <is>
          <t>兰理工兰工坪校区一食堂</t>
        </is>
      </c>
      <c r="F318" s="219" t="inlineStr">
        <is>
          <t>分组作业</t>
        </is>
      </c>
      <c r="G318" s="222" t="inlineStr">
        <is>
          <t>陆琪</t>
        </is>
      </c>
      <c r="H318" s="503" t="inlineStr">
        <is>
          <t>/</t>
        </is>
      </c>
      <c r="I318" s="237" t="inlineStr">
        <is>
          <t>杂粮煎饼</t>
        </is>
      </c>
      <c r="J318" s="494" t="inlineStr">
        <is>
          <t>李超</t>
        </is>
      </c>
      <c r="K318" s="224" t="inlineStr">
        <is>
          <t>/</t>
        </is>
      </c>
      <c r="L318" s="651" t="n">
        <v>230000</v>
      </c>
      <c r="M318" s="113" t="n">
        <v>0.18</v>
      </c>
      <c r="N318" s="502" t="inlineStr">
        <is>
          <t>/</t>
        </is>
      </c>
      <c r="O318" s="502" t="inlineStr">
        <is>
          <t>/</t>
        </is>
      </c>
      <c r="P318" s="502" t="inlineStr">
        <is>
          <t>/</t>
        </is>
      </c>
      <c r="Q318" s="502" t="inlineStr">
        <is>
          <t>/</t>
        </is>
      </c>
      <c r="R318" s="502" t="inlineStr">
        <is>
          <t>/</t>
        </is>
      </c>
      <c r="S318" s="502" t="inlineStr">
        <is>
          <t>/</t>
        </is>
      </c>
      <c r="T318" s="653" t="n"/>
      <c r="U318" s="653" t="n"/>
      <c r="V318" s="502" t="inlineStr">
        <is>
          <t>/</t>
        </is>
      </c>
      <c r="W318" s="224" t="n">
        <v>0.4</v>
      </c>
      <c r="X318" s="51" t="inlineStr">
        <is>
          <t>/</t>
        </is>
      </c>
      <c r="Y318" s="51" t="inlineStr">
        <is>
          <t>/</t>
        </is>
      </c>
      <c r="Z318" s="51" t="inlineStr">
        <is>
          <t>/</t>
        </is>
      </c>
      <c r="AA318" s="51" t="inlineStr">
        <is>
          <t>/</t>
        </is>
      </c>
      <c r="AB318" s="51" t="inlineStr">
        <is>
          <t>/</t>
        </is>
      </c>
      <c r="AC318" s="46" t="inlineStr">
        <is>
          <t>/</t>
        </is>
      </c>
      <c r="AD318" s="232" t="n"/>
      <c r="AE318" s="25" t="inlineStr">
        <is>
          <t>1、签订期间：2026.2.1-2026.7.31；
2、指标按照全年换算；</t>
        </is>
      </c>
    </row>
    <row r="319" ht="24" customFormat="1" customHeight="1" s="209">
      <c r="A319" s="219" t="n">
        <v>324</v>
      </c>
      <c r="B319" s="14" t="inlineStr">
        <is>
          <t>KQCY0324</t>
        </is>
      </c>
      <c r="C319" s="221" t="inlineStr">
        <is>
          <t>餐饮五分部</t>
        </is>
      </c>
      <c r="D319" s="221" t="inlineStr">
        <is>
          <t>CF698</t>
        </is>
      </c>
      <c r="E319" s="221" t="inlineStr">
        <is>
          <t>兰理工兰工坪校区一食堂</t>
        </is>
      </c>
      <c r="F319" s="219" t="inlineStr">
        <is>
          <t>分组作业</t>
        </is>
      </c>
      <c r="G319" s="222" t="inlineStr">
        <is>
          <t>陆琪</t>
        </is>
      </c>
      <c r="H319" s="503" t="inlineStr">
        <is>
          <t>/</t>
        </is>
      </c>
      <c r="I319" s="237" t="inlineStr">
        <is>
          <t>蜜雪冰城</t>
        </is>
      </c>
      <c r="J319" s="494" t="inlineStr">
        <is>
          <t>陈发全</t>
        </is>
      </c>
      <c r="K319" s="224" t="inlineStr">
        <is>
          <t>/</t>
        </is>
      </c>
      <c r="L319" s="651" t="n">
        <v>520000</v>
      </c>
      <c r="M319" s="502" t="n">
        <v>200000</v>
      </c>
      <c r="N319" s="502" t="inlineStr">
        <is>
          <t>/</t>
        </is>
      </c>
      <c r="O319" s="502" t="inlineStr">
        <is>
          <t>/</t>
        </is>
      </c>
      <c r="P319" s="502" t="inlineStr">
        <is>
          <t>/</t>
        </is>
      </c>
      <c r="Q319" s="502" t="inlineStr">
        <is>
          <t>/</t>
        </is>
      </c>
      <c r="R319" s="502" t="inlineStr">
        <is>
          <t>/</t>
        </is>
      </c>
      <c r="S319" s="502" t="inlineStr">
        <is>
          <t>/</t>
        </is>
      </c>
      <c r="T319" s="480" t="inlineStr">
        <is>
          <t>/</t>
        </is>
      </c>
      <c r="U319" s="503" t="n"/>
      <c r="V319" s="502" t="inlineStr">
        <is>
          <t>/</t>
        </is>
      </c>
      <c r="W319" s="480" t="inlineStr">
        <is>
          <t>/</t>
        </is>
      </c>
      <c r="X319" s="51" t="inlineStr">
        <is>
          <t>/</t>
        </is>
      </c>
      <c r="Y319" s="51" t="inlineStr">
        <is>
          <t>/</t>
        </is>
      </c>
      <c r="Z319" s="51" t="inlineStr">
        <is>
          <t>/</t>
        </is>
      </c>
      <c r="AA319" s="51" t="inlineStr">
        <is>
          <t>/</t>
        </is>
      </c>
      <c r="AB319" s="51" t="inlineStr">
        <is>
          <t>/</t>
        </is>
      </c>
      <c r="AC319" s="46" t="inlineStr">
        <is>
          <t>/</t>
        </is>
      </c>
      <c r="AD319" s="48" t="inlineStr">
        <is>
          <t>1、服务费：20万/年
2、项目确认不收卫生费和原材料</t>
        </is>
      </c>
      <c r="AE319" s="25" t="inlineStr">
        <is>
          <t>1、签订期间：2025.8.1-2026.7.30；
2、指标按照会议纪要全年列示金额；</t>
        </is>
      </c>
    </row>
    <row r="320" ht="12" customFormat="1" customHeight="1" s="209">
      <c r="A320" s="219" t="n">
        <v>325</v>
      </c>
      <c r="B320" s="14" t="inlineStr">
        <is>
          <t>KQCY0325</t>
        </is>
      </c>
      <c r="C320" s="221" t="inlineStr">
        <is>
          <t>餐饮五分部</t>
        </is>
      </c>
      <c r="D320" s="221" t="inlineStr">
        <is>
          <t>CF102</t>
        </is>
      </c>
      <c r="E320" s="221" t="inlineStr">
        <is>
          <t>苏大东区四食堂</t>
        </is>
      </c>
      <c r="F320" s="219" t="inlineStr">
        <is>
          <t>自营</t>
        </is>
      </c>
      <c r="G320" s="222" t="inlineStr">
        <is>
          <t>卫屹</t>
        </is>
      </c>
      <c r="H320" s="503" t="inlineStr">
        <is>
          <t>/</t>
        </is>
      </c>
      <c r="I320" s="237" t="inlineStr">
        <is>
          <t>/</t>
        </is>
      </c>
      <c r="J320" s="134" t="inlineStr">
        <is>
          <t>/</t>
        </is>
      </c>
      <c r="K320" s="224" t="inlineStr">
        <is>
          <t>/</t>
        </is>
      </c>
      <c r="L320" s="651" t="inlineStr">
        <is>
          <t>/</t>
        </is>
      </c>
      <c r="M320" s="224" t="inlineStr">
        <is>
          <t>/</t>
        </is>
      </c>
      <c r="N320" s="224" t="inlineStr">
        <is>
          <t>/</t>
        </is>
      </c>
      <c r="O320" s="224" t="inlineStr">
        <is>
          <t>/</t>
        </is>
      </c>
      <c r="P320" s="224" t="inlineStr">
        <is>
          <t>/</t>
        </is>
      </c>
      <c r="Q320" s="224" t="inlineStr">
        <is>
          <t>/</t>
        </is>
      </c>
      <c r="R320" s="224" t="inlineStr">
        <is>
          <t>/</t>
        </is>
      </c>
      <c r="S320" s="224" t="inlineStr">
        <is>
          <t>/</t>
        </is>
      </c>
      <c r="T320" s="224" t="inlineStr">
        <is>
          <t>/</t>
        </is>
      </c>
      <c r="U320" s="224" t="inlineStr">
        <is>
          <t>/</t>
        </is>
      </c>
      <c r="V320" s="224" t="inlineStr">
        <is>
          <t>/</t>
        </is>
      </c>
      <c r="W320" s="151" t="n">
        <v>0.52</v>
      </c>
      <c r="X320" s="461" t="inlineStr">
        <is>
          <t>/</t>
        </is>
      </c>
      <c r="Y320" s="461" t="inlineStr">
        <is>
          <t>/</t>
        </is>
      </c>
      <c r="Z320" s="461" t="inlineStr">
        <is>
          <t>/</t>
        </is>
      </c>
      <c r="AA320" s="461" t="inlineStr">
        <is>
          <t>/</t>
        </is>
      </c>
      <c r="AB320" s="46" t="n">
        <v>0.06</v>
      </c>
      <c r="AC320" s="46" t="n">
        <v>0.005</v>
      </c>
      <c r="AD320" s="232" t="inlineStr">
        <is>
          <t>1、原材料：根据与甲方合同约定执行；</t>
        </is>
      </c>
      <c r="AE320" s="25" t="n"/>
    </row>
    <row r="321" ht="36" customFormat="1" customHeight="1" s="209">
      <c r="A321" s="219" t="n">
        <v>326</v>
      </c>
      <c r="B321" s="14" t="inlineStr">
        <is>
          <t>KQCY0326</t>
        </is>
      </c>
      <c r="C321" s="221" t="inlineStr">
        <is>
          <t>餐饮五分部</t>
        </is>
      </c>
      <c r="D321" s="221" t="inlineStr">
        <is>
          <t>CF102</t>
        </is>
      </c>
      <c r="E321" s="221" t="inlineStr">
        <is>
          <t>苏大东区四食堂</t>
        </is>
      </c>
      <c r="F321" s="219" t="inlineStr">
        <is>
          <t>分组作业</t>
        </is>
      </c>
      <c r="G321" s="222" t="inlineStr">
        <is>
          <t>卫屹</t>
        </is>
      </c>
      <c r="H321" s="503" t="inlineStr">
        <is>
          <t>/</t>
        </is>
      </c>
      <c r="I321" s="237" t="inlineStr">
        <is>
          <t>苏秦味馆</t>
        </is>
      </c>
      <c r="J321" s="494" t="inlineStr">
        <is>
          <t>胡朝阳</t>
        </is>
      </c>
      <c r="K321" s="224" t="inlineStr">
        <is>
          <t>/</t>
        </is>
      </c>
      <c r="L321" s="651" t="n">
        <v>1080000</v>
      </c>
      <c r="M321" s="224" t="n">
        <v>0.14</v>
      </c>
      <c r="N321" s="224" t="inlineStr">
        <is>
          <t>/</t>
        </is>
      </c>
      <c r="O321" s="224" t="n">
        <v>0.02</v>
      </c>
      <c r="P321" s="224" t="inlineStr">
        <is>
          <t>/</t>
        </is>
      </c>
      <c r="Q321" s="224" t="inlineStr">
        <is>
          <t>/</t>
        </is>
      </c>
      <c r="R321" s="224" t="inlineStr">
        <is>
          <t>/</t>
        </is>
      </c>
      <c r="S321" s="224" t="inlineStr">
        <is>
          <t>/</t>
        </is>
      </c>
      <c r="T321" s="224" t="n">
        <v>0.02</v>
      </c>
      <c r="U321" s="224" t="n">
        <v>0.07000000000000001</v>
      </c>
      <c r="V321" s="224" t="inlineStr">
        <is>
          <t>/</t>
        </is>
      </c>
      <c r="W321" s="224" t="n">
        <v>0.52</v>
      </c>
      <c r="X321" s="461" t="inlineStr">
        <is>
          <t>/</t>
        </is>
      </c>
      <c r="Y321" s="461" t="inlineStr">
        <is>
          <t>/</t>
        </is>
      </c>
      <c r="Z321" s="461" t="inlineStr">
        <is>
          <t>/</t>
        </is>
      </c>
      <c r="AA321" s="461" t="inlineStr">
        <is>
          <t>/</t>
        </is>
      </c>
      <c r="AB321" s="652" t="inlineStr">
        <is>
          <t>/</t>
        </is>
      </c>
      <c r="AC321" s="652" t="inlineStr">
        <is>
          <t>/</t>
        </is>
      </c>
      <c r="AD321" s="48" t="inlineStr">
        <is>
          <t xml:space="preserve">
1、管理人员费：项目反馈不收取，包含在服务费中；
</t>
        </is>
      </c>
      <c r="AE321" s="25" t="inlineStr">
        <is>
          <t>1、签订期间：2026.2.26-2026.8.25；
2、指标按照全年换算；</t>
        </is>
      </c>
    </row>
    <row r="322" ht="36" customFormat="1" customHeight="1" s="209">
      <c r="A322" s="219" t="n">
        <v>327</v>
      </c>
      <c r="B322" s="14" t="inlineStr">
        <is>
          <t>KQCY0327</t>
        </is>
      </c>
      <c r="C322" s="221" t="inlineStr">
        <is>
          <t>餐饮五分部</t>
        </is>
      </c>
      <c r="D322" s="221" t="inlineStr">
        <is>
          <t>CF102</t>
        </is>
      </c>
      <c r="E322" s="221" t="inlineStr">
        <is>
          <t>苏大东区四食堂</t>
        </is>
      </c>
      <c r="F322" s="219" t="inlineStr">
        <is>
          <t>分组作业</t>
        </is>
      </c>
      <c r="G322" s="222" t="inlineStr">
        <is>
          <t>卫屹</t>
        </is>
      </c>
      <c r="H322" s="503" t="inlineStr">
        <is>
          <t>/</t>
        </is>
      </c>
      <c r="I322" s="237" t="inlineStr">
        <is>
          <t>麻辣香锅</t>
        </is>
      </c>
      <c r="J322" s="134" t="inlineStr">
        <is>
          <t>祁从忙</t>
        </is>
      </c>
      <c r="K322" s="224" t="inlineStr">
        <is>
          <t>/</t>
        </is>
      </c>
      <c r="L322" s="651" t="n">
        <v>800000</v>
      </c>
      <c r="M322" s="224" t="n">
        <v>0.15</v>
      </c>
      <c r="N322" s="224" t="inlineStr">
        <is>
          <t>/</t>
        </is>
      </c>
      <c r="O322" s="224" t="n">
        <v>0.02</v>
      </c>
      <c r="P322" s="224" t="inlineStr">
        <is>
          <t>/</t>
        </is>
      </c>
      <c r="Q322" s="224" t="inlineStr">
        <is>
          <t>/</t>
        </is>
      </c>
      <c r="R322" s="224" t="inlineStr">
        <is>
          <t>/</t>
        </is>
      </c>
      <c r="S322" s="224" t="inlineStr">
        <is>
          <t>/</t>
        </is>
      </c>
      <c r="T322" s="224" t="n">
        <v>0.02</v>
      </c>
      <c r="U322" s="224" t="n">
        <v>0.07000000000000001</v>
      </c>
      <c r="V322" s="224" t="inlineStr">
        <is>
          <t>/</t>
        </is>
      </c>
      <c r="W322" s="224" t="n">
        <v>0.3</v>
      </c>
      <c r="X322" s="461" t="inlineStr">
        <is>
          <t>/</t>
        </is>
      </c>
      <c r="Y322" s="461" t="inlineStr">
        <is>
          <t>/</t>
        </is>
      </c>
      <c r="Z322" s="461" t="inlineStr">
        <is>
          <t>/</t>
        </is>
      </c>
      <c r="AA322" s="461" t="inlineStr">
        <is>
          <t>/</t>
        </is>
      </c>
      <c r="AB322" s="652" t="inlineStr">
        <is>
          <t>/</t>
        </is>
      </c>
      <c r="AC322" s="652" t="inlineStr">
        <is>
          <t>/</t>
        </is>
      </c>
      <c r="AD322" s="48" t="inlineStr">
        <is>
          <t xml:space="preserve">
1、管理人员费：项目反馈不收取，包含在服务费中；
</t>
        </is>
      </c>
      <c r="AE322" s="25" t="inlineStr">
        <is>
          <t>1、签订期间：2026.2.26-2026.8.25；
2、指标按照全年换算；</t>
        </is>
      </c>
    </row>
    <row r="323" ht="36" customFormat="1" customHeight="1" s="209">
      <c r="A323" s="219" t="n">
        <v>328</v>
      </c>
      <c r="B323" s="14" t="inlineStr">
        <is>
          <t>KQCY0328</t>
        </is>
      </c>
      <c r="C323" s="221" t="inlineStr">
        <is>
          <t>餐饮五分部</t>
        </is>
      </c>
      <c r="D323" s="221" t="inlineStr">
        <is>
          <t>CF102</t>
        </is>
      </c>
      <c r="E323" s="221" t="inlineStr">
        <is>
          <t>苏大东区四食堂</t>
        </is>
      </c>
      <c r="F323" s="219" t="inlineStr">
        <is>
          <t>分组作业</t>
        </is>
      </c>
      <c r="G323" s="222" t="inlineStr">
        <is>
          <t>卫屹</t>
        </is>
      </c>
      <c r="H323" s="503" t="inlineStr">
        <is>
          <t>/</t>
        </is>
      </c>
      <c r="I323" s="237" t="inlineStr">
        <is>
          <t>奉天朱家小馆</t>
        </is>
      </c>
      <c r="J323" s="134" t="inlineStr">
        <is>
          <t>闫闪闪</t>
        </is>
      </c>
      <c r="K323" s="224" t="inlineStr">
        <is>
          <t>/</t>
        </is>
      </c>
      <c r="L323" s="651" t="n">
        <v>800000</v>
      </c>
      <c r="M323" s="224" t="n">
        <v>0.15</v>
      </c>
      <c r="N323" s="224" t="inlineStr">
        <is>
          <t>/</t>
        </is>
      </c>
      <c r="O323" s="224" t="n">
        <v>0.02</v>
      </c>
      <c r="P323" s="224" t="inlineStr">
        <is>
          <t>/</t>
        </is>
      </c>
      <c r="Q323" s="224" t="inlineStr">
        <is>
          <t>/</t>
        </is>
      </c>
      <c r="R323" s="224" t="inlineStr">
        <is>
          <t>/</t>
        </is>
      </c>
      <c r="S323" s="224" t="inlineStr">
        <is>
          <t>/</t>
        </is>
      </c>
      <c r="T323" s="224" t="n">
        <v>0.02</v>
      </c>
      <c r="U323" s="224" t="n">
        <v>0.07000000000000001</v>
      </c>
      <c r="V323" s="224" t="inlineStr">
        <is>
          <t>/</t>
        </is>
      </c>
      <c r="W323" s="224" t="n">
        <v>0.3</v>
      </c>
      <c r="X323" s="461" t="inlineStr">
        <is>
          <t>/</t>
        </is>
      </c>
      <c r="Y323" s="461" t="inlineStr">
        <is>
          <t>/</t>
        </is>
      </c>
      <c r="Z323" s="461" t="inlineStr">
        <is>
          <t>/</t>
        </is>
      </c>
      <c r="AA323" s="461" t="inlineStr">
        <is>
          <t>/</t>
        </is>
      </c>
      <c r="AB323" s="652" t="inlineStr">
        <is>
          <t>/</t>
        </is>
      </c>
      <c r="AC323" s="652" t="inlineStr">
        <is>
          <t>/</t>
        </is>
      </c>
      <c r="AD323" s="48" t="inlineStr">
        <is>
          <t xml:space="preserve">
1、管理人员费：项目反馈不收取，包含在服务费中；
</t>
        </is>
      </c>
      <c r="AE323" s="25" t="inlineStr">
        <is>
          <t>1、签订期间：2026.2.26-2026.8.25；
2、指标按照全年换算；</t>
        </is>
      </c>
    </row>
    <row r="324" ht="36" customFormat="1" customHeight="1" s="209">
      <c r="A324" s="219" t="n">
        <v>329</v>
      </c>
      <c r="B324" s="14" t="inlineStr">
        <is>
          <t>KQCY0329</t>
        </is>
      </c>
      <c r="C324" s="221" t="inlineStr">
        <is>
          <t>餐饮五分部</t>
        </is>
      </c>
      <c r="D324" s="221" t="inlineStr">
        <is>
          <t>CF102</t>
        </is>
      </c>
      <c r="E324" s="221" t="inlineStr">
        <is>
          <t>苏大东区四食堂</t>
        </is>
      </c>
      <c r="F324" s="219" t="inlineStr">
        <is>
          <t>分组作业</t>
        </is>
      </c>
      <c r="G324" s="222" t="inlineStr">
        <is>
          <t>卫屹</t>
        </is>
      </c>
      <c r="H324" s="503" t="inlineStr">
        <is>
          <t>/</t>
        </is>
      </c>
      <c r="I324" s="237" t="inlineStr">
        <is>
          <t>李左奚香港肥汁米线</t>
        </is>
      </c>
      <c r="J324" s="134" t="inlineStr">
        <is>
          <t>杨伟明</t>
        </is>
      </c>
      <c r="K324" s="224" t="inlineStr">
        <is>
          <t>/</t>
        </is>
      </c>
      <c r="L324" s="651" t="n">
        <v>560000</v>
      </c>
      <c r="M324" s="224" t="n">
        <v>0.15</v>
      </c>
      <c r="N324" s="224" t="inlineStr">
        <is>
          <t>/</t>
        </is>
      </c>
      <c r="O324" s="224" t="n">
        <v>0.02</v>
      </c>
      <c r="P324" s="224" t="inlineStr">
        <is>
          <t>/</t>
        </is>
      </c>
      <c r="Q324" s="224" t="inlineStr">
        <is>
          <t>/</t>
        </is>
      </c>
      <c r="R324" s="224" t="inlineStr">
        <is>
          <t>/</t>
        </is>
      </c>
      <c r="S324" s="224" t="inlineStr">
        <is>
          <t>/</t>
        </is>
      </c>
      <c r="T324" s="224" t="n">
        <v>0.02</v>
      </c>
      <c r="U324" s="224" t="n">
        <v>0.07000000000000001</v>
      </c>
      <c r="V324" s="224" t="inlineStr">
        <is>
          <t>/</t>
        </is>
      </c>
      <c r="W324" s="224" t="n">
        <v>0.3</v>
      </c>
      <c r="X324" s="461" t="inlineStr">
        <is>
          <t>/</t>
        </is>
      </c>
      <c r="Y324" s="461" t="inlineStr">
        <is>
          <t>/</t>
        </is>
      </c>
      <c r="Z324" s="461" t="inlineStr">
        <is>
          <t>/</t>
        </is>
      </c>
      <c r="AA324" s="461" t="inlineStr">
        <is>
          <t>/</t>
        </is>
      </c>
      <c r="AB324" s="652" t="inlineStr">
        <is>
          <t>/</t>
        </is>
      </c>
      <c r="AC324" s="652" t="inlineStr">
        <is>
          <t>/</t>
        </is>
      </c>
      <c r="AD324" s="48" t="inlineStr">
        <is>
          <t xml:space="preserve">
1、管理人员费：项目反馈不收取，包含在服务费中；
</t>
        </is>
      </c>
      <c r="AE324" s="25" t="inlineStr">
        <is>
          <t>1、签订期间：2026.2.26-2026.8.25；
2、指标按照全年换算；</t>
        </is>
      </c>
    </row>
    <row r="325" ht="36" customFormat="1" customHeight="1" s="209">
      <c r="A325" s="219" t="n">
        <v>330</v>
      </c>
      <c r="B325" s="14" t="inlineStr">
        <is>
          <t>KQCY0330</t>
        </is>
      </c>
      <c r="C325" s="221" t="inlineStr">
        <is>
          <t>餐饮五分部</t>
        </is>
      </c>
      <c r="D325" s="221" t="inlineStr">
        <is>
          <t>CF102</t>
        </is>
      </c>
      <c r="E325" s="221" t="inlineStr">
        <is>
          <t>苏大东区四食堂</t>
        </is>
      </c>
      <c r="F325" s="219" t="inlineStr">
        <is>
          <t>分组作业</t>
        </is>
      </c>
      <c r="G325" s="222" t="inlineStr">
        <is>
          <t>卫屹</t>
        </is>
      </c>
      <c r="H325" s="503" t="inlineStr">
        <is>
          <t>/</t>
        </is>
      </c>
      <c r="I325" s="237" t="inlineStr">
        <is>
          <t>好粥道(卤味套餐饭)</t>
        </is>
      </c>
      <c r="J325" s="134" t="inlineStr">
        <is>
          <t>朱德国</t>
        </is>
      </c>
      <c r="K325" s="224" t="inlineStr">
        <is>
          <t>/</t>
        </is>
      </c>
      <c r="L325" s="651" t="n">
        <v>2760000</v>
      </c>
      <c r="M325" s="224" t="n">
        <v>0.15</v>
      </c>
      <c r="N325" s="224" t="inlineStr">
        <is>
          <t>/</t>
        </is>
      </c>
      <c r="O325" s="224" t="n">
        <v>0.02</v>
      </c>
      <c r="P325" s="224" t="inlineStr">
        <is>
          <t>/</t>
        </is>
      </c>
      <c r="Q325" s="224" t="inlineStr">
        <is>
          <t>/</t>
        </is>
      </c>
      <c r="R325" s="224" t="inlineStr">
        <is>
          <t>/</t>
        </is>
      </c>
      <c r="S325" s="224" t="inlineStr">
        <is>
          <t>/</t>
        </is>
      </c>
      <c r="T325" s="224" t="n">
        <v>0.02</v>
      </c>
      <c r="U325" s="224" t="n">
        <v>0.07000000000000001</v>
      </c>
      <c r="V325" s="224" t="inlineStr">
        <is>
          <t>/</t>
        </is>
      </c>
      <c r="W325" s="224" t="n">
        <v>0.3</v>
      </c>
      <c r="X325" s="461" t="inlineStr">
        <is>
          <t>/</t>
        </is>
      </c>
      <c r="Y325" s="461" t="inlineStr">
        <is>
          <t>/</t>
        </is>
      </c>
      <c r="Z325" s="461" t="inlineStr">
        <is>
          <t>/</t>
        </is>
      </c>
      <c r="AA325" s="461" t="inlineStr">
        <is>
          <t>/</t>
        </is>
      </c>
      <c r="AB325" s="652" t="inlineStr">
        <is>
          <t>/</t>
        </is>
      </c>
      <c r="AC325" s="652" t="inlineStr">
        <is>
          <t>/</t>
        </is>
      </c>
      <c r="AD325" s="48" t="inlineStr">
        <is>
          <t xml:space="preserve">
1、管理人员费：项目反馈不收取，包含在服务费中；
</t>
        </is>
      </c>
      <c r="AE325" s="25" t="inlineStr">
        <is>
          <t>1、签订期间：2026.2.26-2026.8.25；
2、指标按照全年换算；</t>
        </is>
      </c>
    </row>
    <row r="326" ht="36" customFormat="1" customHeight="1" s="209">
      <c r="A326" s="219" t="n">
        <v>331</v>
      </c>
      <c r="B326" s="14" t="inlineStr">
        <is>
          <t>KQCY0331</t>
        </is>
      </c>
      <c r="C326" s="221" t="inlineStr">
        <is>
          <t>餐饮五分部</t>
        </is>
      </c>
      <c r="D326" s="221" t="inlineStr">
        <is>
          <t>CF102</t>
        </is>
      </c>
      <c r="E326" s="221" t="inlineStr">
        <is>
          <t>苏大东区四食堂</t>
        </is>
      </c>
      <c r="F326" s="219" t="inlineStr">
        <is>
          <t>分组作业</t>
        </is>
      </c>
      <c r="G326" s="222" t="inlineStr">
        <is>
          <t>卫屹</t>
        </is>
      </c>
      <c r="H326" s="503" t="inlineStr">
        <is>
          <t>/</t>
        </is>
      </c>
      <c r="I326" s="237" t="inlineStr">
        <is>
          <t>炒饭.炖罐</t>
        </is>
      </c>
      <c r="J326" s="134" t="inlineStr">
        <is>
          <t>朱少谦</t>
        </is>
      </c>
      <c r="K326" s="224" t="inlineStr">
        <is>
          <t>/</t>
        </is>
      </c>
      <c r="L326" s="651" t="n">
        <v>580000</v>
      </c>
      <c r="M326" s="224" t="n">
        <v>0.15</v>
      </c>
      <c r="N326" s="224" t="inlineStr">
        <is>
          <t>/</t>
        </is>
      </c>
      <c r="O326" s="224" t="n">
        <v>0.02</v>
      </c>
      <c r="P326" s="224" t="inlineStr">
        <is>
          <t>/</t>
        </is>
      </c>
      <c r="Q326" s="224" t="inlineStr">
        <is>
          <t>/</t>
        </is>
      </c>
      <c r="R326" s="224" t="inlineStr">
        <is>
          <t>/</t>
        </is>
      </c>
      <c r="S326" s="224" t="inlineStr">
        <is>
          <t>/</t>
        </is>
      </c>
      <c r="T326" s="224" t="n">
        <v>0.02</v>
      </c>
      <c r="U326" s="224" t="n">
        <v>0.07000000000000001</v>
      </c>
      <c r="V326" s="224" t="inlineStr">
        <is>
          <t>/</t>
        </is>
      </c>
      <c r="W326" s="224" t="n">
        <v>0.3</v>
      </c>
      <c r="X326" s="461" t="inlineStr">
        <is>
          <t>/</t>
        </is>
      </c>
      <c r="Y326" s="461" t="inlineStr">
        <is>
          <t>/</t>
        </is>
      </c>
      <c r="Z326" s="461" t="inlineStr">
        <is>
          <t>/</t>
        </is>
      </c>
      <c r="AA326" s="461" t="inlineStr">
        <is>
          <t>/</t>
        </is>
      </c>
      <c r="AB326" s="652" t="inlineStr">
        <is>
          <t>/</t>
        </is>
      </c>
      <c r="AC326" s="652" t="inlineStr">
        <is>
          <t>/</t>
        </is>
      </c>
      <c r="AD326" s="48" t="inlineStr">
        <is>
          <t xml:space="preserve">
1、管理人员费：项目反馈不收取，包含在服务费中；
</t>
        </is>
      </c>
      <c r="AE326" s="25" t="inlineStr">
        <is>
          <t>1、签订期间：2026.2.26-2026.8.25；
2、指标按照全年换算；</t>
        </is>
      </c>
    </row>
    <row r="327" ht="36" customFormat="1" customHeight="1" s="209">
      <c r="A327" s="219" t="n">
        <v>332</v>
      </c>
      <c r="B327" s="14" t="inlineStr">
        <is>
          <t>KQCY0332</t>
        </is>
      </c>
      <c r="C327" s="221" t="inlineStr">
        <is>
          <t>餐饮五分部</t>
        </is>
      </c>
      <c r="D327" s="221" t="inlineStr">
        <is>
          <t>CF102</t>
        </is>
      </c>
      <c r="E327" s="221" t="inlineStr">
        <is>
          <t>苏大东区四食堂</t>
        </is>
      </c>
      <c r="F327" s="219" t="inlineStr">
        <is>
          <t>分组作业</t>
        </is>
      </c>
      <c r="G327" s="222" t="inlineStr">
        <is>
          <t>卫屹</t>
        </is>
      </c>
      <c r="H327" s="503" t="inlineStr">
        <is>
          <t>/</t>
        </is>
      </c>
      <c r="I327" s="237" t="inlineStr">
        <is>
          <t>七里糖</t>
        </is>
      </c>
      <c r="J327" s="134" t="inlineStr">
        <is>
          <t>任浩龙</t>
        </is>
      </c>
      <c r="K327" s="224" t="inlineStr">
        <is>
          <t>/</t>
        </is>
      </c>
      <c r="L327" s="651" t="n">
        <v>640000</v>
      </c>
      <c r="M327" s="224" t="n">
        <v>0.12</v>
      </c>
      <c r="N327" s="224" t="inlineStr">
        <is>
          <t>/</t>
        </is>
      </c>
      <c r="O327" s="224" t="n">
        <v>0.02</v>
      </c>
      <c r="P327" s="224" t="inlineStr">
        <is>
          <t>/</t>
        </is>
      </c>
      <c r="Q327" s="224" t="inlineStr">
        <is>
          <t>/</t>
        </is>
      </c>
      <c r="R327" s="224" t="inlineStr">
        <is>
          <t>/</t>
        </is>
      </c>
      <c r="S327" s="224" t="inlineStr">
        <is>
          <t>/</t>
        </is>
      </c>
      <c r="T327" s="224" t="n">
        <v>0.02</v>
      </c>
      <c r="U327" s="224" t="n">
        <v>0.07000000000000001</v>
      </c>
      <c r="V327" s="224" t="inlineStr">
        <is>
          <t>/</t>
        </is>
      </c>
      <c r="W327" s="224" t="n">
        <v>0.3</v>
      </c>
      <c r="X327" s="461" t="inlineStr">
        <is>
          <t>/</t>
        </is>
      </c>
      <c r="Y327" s="461" t="inlineStr">
        <is>
          <t>/</t>
        </is>
      </c>
      <c r="Z327" s="461" t="inlineStr">
        <is>
          <t>/</t>
        </is>
      </c>
      <c r="AA327" s="461" t="inlineStr">
        <is>
          <t>/</t>
        </is>
      </c>
      <c r="AB327" s="652" t="inlineStr">
        <is>
          <t>/</t>
        </is>
      </c>
      <c r="AC327" s="652" t="inlineStr">
        <is>
          <t>/</t>
        </is>
      </c>
      <c r="AD327" s="48" t="inlineStr">
        <is>
          <t xml:space="preserve">
1、管理人员费：项目反馈不收取，包含在服务费中；
</t>
        </is>
      </c>
      <c r="AE327" s="25" t="inlineStr">
        <is>
          <t>1、签订期间：2026.2.26-2026.8.25；
2、指标按照全年换算；</t>
        </is>
      </c>
    </row>
    <row r="328" ht="36" customFormat="1" customHeight="1" s="209">
      <c r="A328" s="219" t="n">
        <v>333</v>
      </c>
      <c r="B328" s="14" t="inlineStr">
        <is>
          <t>KQCY0333</t>
        </is>
      </c>
      <c r="C328" s="221" t="inlineStr">
        <is>
          <t>餐饮五分部</t>
        </is>
      </c>
      <c r="D328" s="221" t="inlineStr">
        <is>
          <t>CF102</t>
        </is>
      </c>
      <c r="E328" s="221" t="inlineStr">
        <is>
          <t>苏大东区四食堂</t>
        </is>
      </c>
      <c r="F328" s="219" t="inlineStr">
        <is>
          <t>分组作业</t>
        </is>
      </c>
      <c r="G328" s="222" t="inlineStr">
        <is>
          <t>卫屹</t>
        </is>
      </c>
      <c r="H328" s="503" t="inlineStr">
        <is>
          <t>/</t>
        </is>
      </c>
      <c r="I328" s="237" t="inlineStr">
        <is>
          <t>港式云吞</t>
        </is>
      </c>
      <c r="J328" s="134" t="inlineStr">
        <is>
          <t>杨华建</t>
        </is>
      </c>
      <c r="K328" s="224" t="inlineStr">
        <is>
          <t>/</t>
        </is>
      </c>
      <c r="L328" s="651" t="n">
        <v>300000</v>
      </c>
      <c r="M328" s="224" t="n">
        <v>0.1</v>
      </c>
      <c r="N328" s="224" t="inlineStr">
        <is>
          <t>/</t>
        </is>
      </c>
      <c r="O328" s="224" t="n">
        <v>0.02</v>
      </c>
      <c r="P328" s="224" t="inlineStr">
        <is>
          <t>/</t>
        </is>
      </c>
      <c r="Q328" s="224" t="inlineStr">
        <is>
          <t>/</t>
        </is>
      </c>
      <c r="R328" s="224" t="inlineStr">
        <is>
          <t>/</t>
        </is>
      </c>
      <c r="S328" s="224" t="inlineStr">
        <is>
          <t>/</t>
        </is>
      </c>
      <c r="T328" s="224" t="n">
        <v>0.02</v>
      </c>
      <c r="U328" s="224" t="n">
        <v>0.07000000000000001</v>
      </c>
      <c r="V328" s="224" t="inlineStr">
        <is>
          <t>/</t>
        </is>
      </c>
      <c r="W328" s="224" t="n">
        <v>0.3</v>
      </c>
      <c r="X328" s="461" t="inlineStr">
        <is>
          <t>/</t>
        </is>
      </c>
      <c r="Y328" s="461" t="inlineStr">
        <is>
          <t>/</t>
        </is>
      </c>
      <c r="Z328" s="461" t="inlineStr">
        <is>
          <t>/</t>
        </is>
      </c>
      <c r="AA328" s="461" t="inlineStr">
        <is>
          <t>/</t>
        </is>
      </c>
      <c r="AB328" s="652" t="inlineStr">
        <is>
          <t>/</t>
        </is>
      </c>
      <c r="AC328" s="652" t="inlineStr">
        <is>
          <t>/</t>
        </is>
      </c>
      <c r="AD328" s="48" t="inlineStr">
        <is>
          <t xml:space="preserve">
1、管理人员费：项目反馈不收取，包含在服务费中；
</t>
        </is>
      </c>
      <c r="AE328" s="25" t="inlineStr">
        <is>
          <t>1、签订期间：2026.2.26-2026.8.25；
2、指标按照全年换算；</t>
        </is>
      </c>
    </row>
    <row r="329" ht="36" customFormat="1" customHeight="1" s="209">
      <c r="A329" s="219" t="n">
        <v>334</v>
      </c>
      <c r="B329" s="14" t="inlineStr">
        <is>
          <t>KQCY0334</t>
        </is>
      </c>
      <c r="C329" s="221" t="inlineStr">
        <is>
          <t>餐饮五分部</t>
        </is>
      </c>
      <c r="D329" s="221" t="inlineStr">
        <is>
          <t>CF102</t>
        </is>
      </c>
      <c r="E329" s="221" t="inlineStr">
        <is>
          <t>苏大东区四食堂</t>
        </is>
      </c>
      <c r="F329" s="219" t="inlineStr">
        <is>
          <t>分组作业</t>
        </is>
      </c>
      <c r="G329" s="222" t="inlineStr">
        <is>
          <t>卫屹</t>
        </is>
      </c>
      <c r="H329" s="503" t="inlineStr">
        <is>
          <t>/</t>
        </is>
      </c>
      <c r="I329" s="237" t="inlineStr">
        <is>
          <t>烤肉拌饭</t>
        </is>
      </c>
      <c r="J329" s="134" t="inlineStr">
        <is>
          <t>李红利</t>
        </is>
      </c>
      <c r="K329" s="224" t="inlineStr">
        <is>
          <t>/</t>
        </is>
      </c>
      <c r="L329" s="651" t="n">
        <v>640000</v>
      </c>
      <c r="M329" s="224" t="n">
        <v>0.09</v>
      </c>
      <c r="N329" s="224" t="inlineStr">
        <is>
          <t>/</t>
        </is>
      </c>
      <c r="O329" s="224" t="n">
        <v>0.02</v>
      </c>
      <c r="P329" s="224" t="inlineStr">
        <is>
          <t>/</t>
        </is>
      </c>
      <c r="Q329" s="224" t="inlineStr">
        <is>
          <t>/</t>
        </is>
      </c>
      <c r="R329" s="224" t="inlineStr">
        <is>
          <t>/</t>
        </is>
      </c>
      <c r="S329" s="224" t="inlineStr">
        <is>
          <t>/</t>
        </is>
      </c>
      <c r="T329" s="224" t="n">
        <v>0.02</v>
      </c>
      <c r="U329" s="224" t="n">
        <v>0.07000000000000001</v>
      </c>
      <c r="V329" s="224" t="inlineStr">
        <is>
          <t>/</t>
        </is>
      </c>
      <c r="W329" s="224" t="n">
        <v>0.3</v>
      </c>
      <c r="X329" s="461" t="inlineStr">
        <is>
          <t>/</t>
        </is>
      </c>
      <c r="Y329" s="461" t="inlineStr">
        <is>
          <t>/</t>
        </is>
      </c>
      <c r="Z329" s="461" t="inlineStr">
        <is>
          <t>/</t>
        </is>
      </c>
      <c r="AA329" s="461" t="inlineStr">
        <is>
          <t>/</t>
        </is>
      </c>
      <c r="AB329" s="652" t="inlineStr">
        <is>
          <t>/</t>
        </is>
      </c>
      <c r="AC329" s="652" t="inlineStr">
        <is>
          <t>/</t>
        </is>
      </c>
      <c r="AD329" s="48" t="inlineStr">
        <is>
          <t xml:space="preserve">
1、管理人员费：项目反馈不收取，包含在服务费中；
</t>
        </is>
      </c>
      <c r="AE329" s="25" t="inlineStr">
        <is>
          <t>1、签订期间：2026.2.26-2026.8.25；
2、指标按照全年换算；</t>
        </is>
      </c>
    </row>
    <row r="330" ht="12" customFormat="1" customHeight="1" s="209">
      <c r="A330" s="219" t="n">
        <v>335</v>
      </c>
      <c r="B330" s="14" t="inlineStr">
        <is>
          <t>KQCY0335</t>
        </is>
      </c>
      <c r="C330" s="221" t="inlineStr">
        <is>
          <t>餐饮五分部</t>
        </is>
      </c>
      <c r="D330" s="221" t="inlineStr">
        <is>
          <t>CF108</t>
        </is>
      </c>
      <c r="E330" s="221" t="inlineStr">
        <is>
          <t>苏大北区六食堂</t>
        </is>
      </c>
      <c r="F330" s="219" t="inlineStr">
        <is>
          <t>自营</t>
        </is>
      </c>
      <c r="G330" s="222" t="inlineStr">
        <is>
          <t>卫屹</t>
        </is>
      </c>
      <c r="H330" s="503" t="inlineStr">
        <is>
          <t>/</t>
        </is>
      </c>
      <c r="I330" s="237" t="inlineStr">
        <is>
          <t>/</t>
        </is>
      </c>
      <c r="J330" s="222" t="inlineStr">
        <is>
          <t>/</t>
        </is>
      </c>
      <c r="K330" s="224" t="inlineStr">
        <is>
          <t>/</t>
        </is>
      </c>
      <c r="L330" s="651" t="inlineStr">
        <is>
          <t>/</t>
        </is>
      </c>
      <c r="M330" s="224" t="inlineStr">
        <is>
          <t>/</t>
        </is>
      </c>
      <c r="N330" s="224" t="inlineStr">
        <is>
          <t>/</t>
        </is>
      </c>
      <c r="O330" s="224" t="inlineStr">
        <is>
          <t>/</t>
        </is>
      </c>
      <c r="P330" s="224" t="inlineStr">
        <is>
          <t>/</t>
        </is>
      </c>
      <c r="Q330" s="224" t="inlineStr">
        <is>
          <t>/</t>
        </is>
      </c>
      <c r="R330" s="224" t="inlineStr">
        <is>
          <t>/</t>
        </is>
      </c>
      <c r="S330" s="224" t="inlineStr">
        <is>
          <t>/</t>
        </is>
      </c>
      <c r="T330" s="224" t="inlineStr">
        <is>
          <t>/</t>
        </is>
      </c>
      <c r="U330" s="224" t="inlineStr">
        <is>
          <t>/</t>
        </is>
      </c>
      <c r="V330" s="224" t="inlineStr">
        <is>
          <t>/</t>
        </is>
      </c>
      <c r="W330" s="47" t="n">
        <v>0.52</v>
      </c>
      <c r="X330" s="461" t="inlineStr">
        <is>
          <t>/</t>
        </is>
      </c>
      <c r="Y330" s="461" t="inlineStr">
        <is>
          <t>/</t>
        </is>
      </c>
      <c r="Z330" s="461" t="inlineStr">
        <is>
          <t>/</t>
        </is>
      </c>
      <c r="AA330" s="461" t="inlineStr">
        <is>
          <t>/</t>
        </is>
      </c>
      <c r="AB330" s="46" t="n">
        <v>0.06</v>
      </c>
      <c r="AC330" s="46" t="n">
        <v>0.005</v>
      </c>
      <c r="AD330" s="232" t="inlineStr">
        <is>
          <t>1、原材料：根据与甲方合同约定执行；</t>
        </is>
      </c>
      <c r="AE330" s="25" t="n"/>
    </row>
    <row r="331" ht="24" customFormat="1" customHeight="1" s="209">
      <c r="A331" s="219" t="n">
        <v>336</v>
      </c>
      <c r="B331" s="14" t="inlineStr">
        <is>
          <t>KQCY0336</t>
        </is>
      </c>
      <c r="C331" s="221" t="inlineStr">
        <is>
          <t>餐饮五分部</t>
        </is>
      </c>
      <c r="D331" s="221" t="inlineStr">
        <is>
          <t>CF108</t>
        </is>
      </c>
      <c r="E331" s="221" t="inlineStr">
        <is>
          <t>苏大北区六食堂</t>
        </is>
      </c>
      <c r="F331" s="219" t="inlineStr">
        <is>
          <t>分组作业</t>
        </is>
      </c>
      <c r="G331" s="222" t="inlineStr">
        <is>
          <t>卫屹</t>
        </is>
      </c>
      <c r="H331" s="503" t="inlineStr">
        <is>
          <t>/</t>
        </is>
      </c>
      <c r="I331" s="237" t="inlineStr">
        <is>
          <t>快餐</t>
        </is>
      </c>
      <c r="J331" s="222" t="inlineStr">
        <is>
          <t>刘立强</t>
        </is>
      </c>
      <c r="K331" s="224" t="inlineStr">
        <is>
          <t>/</t>
        </is>
      </c>
      <c r="L331" s="651" t="n">
        <v>1940000</v>
      </c>
      <c r="M331" s="224" t="n">
        <v>0.11</v>
      </c>
      <c r="N331" s="224" t="n">
        <v>0.01</v>
      </c>
      <c r="O331" s="224" t="inlineStr">
        <is>
          <t>/</t>
        </is>
      </c>
      <c r="P331" s="224" t="n">
        <v>0.01</v>
      </c>
      <c r="Q331" s="224" t="n">
        <v>0.01</v>
      </c>
      <c r="R331" s="224" t="inlineStr">
        <is>
          <t>/</t>
        </is>
      </c>
      <c r="S331" s="224" t="inlineStr">
        <is>
          <t>/</t>
        </is>
      </c>
      <c r="T331" s="503" t="n">
        <v>1000</v>
      </c>
      <c r="U331" s="224" t="n">
        <v>0.07000000000000001</v>
      </c>
      <c r="V331" s="224" t="inlineStr">
        <is>
          <t>/</t>
        </is>
      </c>
      <c r="W331" s="47" t="n">
        <v>0.5</v>
      </c>
      <c r="X331" s="461" t="inlineStr">
        <is>
          <t>/</t>
        </is>
      </c>
      <c r="Y331" s="461" t="inlineStr">
        <is>
          <t>/</t>
        </is>
      </c>
      <c r="Z331" s="349" t="inlineStr">
        <is>
          <t>/</t>
        </is>
      </c>
      <c r="AA331" s="349" t="inlineStr">
        <is>
          <t>/</t>
        </is>
      </c>
      <c r="AB331" s="652" t="inlineStr">
        <is>
          <t>/</t>
        </is>
      </c>
      <c r="AC331" s="652" t="inlineStr">
        <is>
          <t>/</t>
        </is>
      </c>
      <c r="AD331" s="150" t="inlineStr">
        <is>
          <t xml:space="preserve">1、服务费：包含甲方人员工资、甲方捐赠，不单独分摊
</t>
        </is>
      </c>
      <c r="AE331" s="25" t="inlineStr">
        <is>
          <t>1、签订期间：2026.1.26-2026.7.25；
2、指标按照全年换算；</t>
        </is>
      </c>
    </row>
    <row r="332" ht="24" customFormat="1" customHeight="1" s="209">
      <c r="A332" s="219" t="n">
        <v>337</v>
      </c>
      <c r="B332" s="14" t="inlineStr">
        <is>
          <t>KQCY0337</t>
        </is>
      </c>
      <c r="C332" s="221" t="inlineStr">
        <is>
          <t>餐饮五分部</t>
        </is>
      </c>
      <c r="D332" s="221" t="inlineStr">
        <is>
          <t>CF108</t>
        </is>
      </c>
      <c r="E332" s="221" t="inlineStr">
        <is>
          <t>苏大北区六食堂</t>
        </is>
      </c>
      <c r="F332" s="219" t="inlineStr">
        <is>
          <t>分组作业</t>
        </is>
      </c>
      <c r="G332" s="222" t="inlineStr">
        <is>
          <t>卫屹</t>
        </is>
      </c>
      <c r="H332" s="503" t="inlineStr">
        <is>
          <t>/</t>
        </is>
      </c>
      <c r="I332" s="237" t="inlineStr">
        <is>
          <t>香锅</t>
        </is>
      </c>
      <c r="J332" s="222" t="inlineStr">
        <is>
          <t>吕金春</t>
        </is>
      </c>
      <c r="K332" s="224" t="inlineStr">
        <is>
          <t>/</t>
        </is>
      </c>
      <c r="L332" s="651" t="n">
        <v>420000</v>
      </c>
      <c r="M332" s="224" t="n">
        <v>0.14</v>
      </c>
      <c r="N332" s="224" t="n">
        <v>0.01</v>
      </c>
      <c r="O332" s="224" t="inlineStr">
        <is>
          <t>/</t>
        </is>
      </c>
      <c r="P332" s="224" t="n">
        <v>0.01</v>
      </c>
      <c r="Q332" s="224" t="n">
        <v>0.01</v>
      </c>
      <c r="R332" s="224" t="inlineStr">
        <is>
          <t>/</t>
        </is>
      </c>
      <c r="S332" s="224" t="inlineStr">
        <is>
          <t>/</t>
        </is>
      </c>
      <c r="T332" s="503" t="n">
        <v>1000</v>
      </c>
      <c r="U332" s="224" t="n">
        <v>0.07000000000000001</v>
      </c>
      <c r="V332" s="224" t="inlineStr">
        <is>
          <t>/</t>
        </is>
      </c>
      <c r="W332" s="47" t="n">
        <v>0.3</v>
      </c>
      <c r="X332" s="461" t="inlineStr">
        <is>
          <t>/</t>
        </is>
      </c>
      <c r="Y332" s="461" t="inlineStr">
        <is>
          <t>/</t>
        </is>
      </c>
      <c r="Z332" s="349" t="inlineStr">
        <is>
          <t>/</t>
        </is>
      </c>
      <c r="AA332" s="349" t="inlineStr">
        <is>
          <t>/</t>
        </is>
      </c>
      <c r="AB332" s="652" t="inlineStr">
        <is>
          <t>/</t>
        </is>
      </c>
      <c r="AC332" s="652" t="inlineStr">
        <is>
          <t>/</t>
        </is>
      </c>
      <c r="AD332" s="150" t="inlineStr">
        <is>
          <t xml:space="preserve">1、服务费：包含甲方人员工资、甲方捐赠，不单独分摊
</t>
        </is>
      </c>
      <c r="AE332" s="25" t="inlineStr">
        <is>
          <t>1、签订期间：2026.1.26-2026.7.25；
2、指标按照全年换算；</t>
        </is>
      </c>
    </row>
    <row r="333" ht="24" customFormat="1" customHeight="1" s="209">
      <c r="A333" s="219" t="n">
        <v>338</v>
      </c>
      <c r="B333" s="14" t="inlineStr">
        <is>
          <t>KQCY0338</t>
        </is>
      </c>
      <c r="C333" s="221" t="inlineStr">
        <is>
          <t>餐饮五分部</t>
        </is>
      </c>
      <c r="D333" s="221" t="inlineStr">
        <is>
          <t>CF108</t>
        </is>
      </c>
      <c r="E333" s="221" t="inlineStr">
        <is>
          <t>苏大北区六食堂</t>
        </is>
      </c>
      <c r="F333" s="219" t="inlineStr">
        <is>
          <t>分组作业</t>
        </is>
      </c>
      <c r="G333" s="222" t="inlineStr">
        <is>
          <t>卫屹</t>
        </is>
      </c>
      <c r="H333" s="503" t="inlineStr">
        <is>
          <t>/</t>
        </is>
      </c>
      <c r="I333" s="237" t="inlineStr">
        <is>
          <t>黄焖鸡</t>
        </is>
      </c>
      <c r="J333" s="222" t="inlineStr">
        <is>
          <t>许可</t>
        </is>
      </c>
      <c r="K333" s="224" t="inlineStr">
        <is>
          <t>/</t>
        </is>
      </c>
      <c r="L333" s="651" t="n">
        <v>420000</v>
      </c>
      <c r="M333" s="224" t="n">
        <v>0.14</v>
      </c>
      <c r="N333" s="224" t="n">
        <v>0.01</v>
      </c>
      <c r="O333" s="224" t="inlineStr">
        <is>
          <t>/</t>
        </is>
      </c>
      <c r="P333" s="224" t="n">
        <v>0.01</v>
      </c>
      <c r="Q333" s="224" t="n">
        <v>0.01</v>
      </c>
      <c r="R333" s="224" t="inlineStr">
        <is>
          <t>/</t>
        </is>
      </c>
      <c r="S333" s="224" t="inlineStr">
        <is>
          <t>/</t>
        </is>
      </c>
      <c r="T333" s="503" t="n">
        <v>1000</v>
      </c>
      <c r="U333" s="224" t="n">
        <v>0.07000000000000001</v>
      </c>
      <c r="V333" s="224" t="inlineStr">
        <is>
          <t>/</t>
        </is>
      </c>
      <c r="W333" s="47" t="n">
        <v>0.3</v>
      </c>
      <c r="X333" s="461" t="inlineStr">
        <is>
          <t>/</t>
        </is>
      </c>
      <c r="Y333" s="461" t="inlineStr">
        <is>
          <t>/</t>
        </is>
      </c>
      <c r="Z333" s="349" t="inlineStr">
        <is>
          <t>/</t>
        </is>
      </c>
      <c r="AA333" s="349" t="inlineStr">
        <is>
          <t>/</t>
        </is>
      </c>
      <c r="AB333" s="652" t="inlineStr">
        <is>
          <t>/</t>
        </is>
      </c>
      <c r="AC333" s="652" t="inlineStr">
        <is>
          <t>/</t>
        </is>
      </c>
      <c r="AD333" s="150" t="inlineStr">
        <is>
          <t xml:space="preserve">1、服务费：包含甲方人员工资、甲方捐赠，不单独分摊
</t>
        </is>
      </c>
      <c r="AE333" s="25" t="inlineStr">
        <is>
          <t>1、签订期间：2026.1.26-2026.7.25；
2、指标按照全年换算；</t>
        </is>
      </c>
    </row>
    <row r="334" ht="24" customFormat="1" customHeight="1" s="209">
      <c r="A334" s="219" t="n">
        <v>339</v>
      </c>
      <c r="B334" s="14" t="inlineStr">
        <is>
          <t>KQCY0339</t>
        </is>
      </c>
      <c r="C334" s="221" t="inlineStr">
        <is>
          <t>餐饮五分部</t>
        </is>
      </c>
      <c r="D334" s="221" t="inlineStr">
        <is>
          <t>CF108</t>
        </is>
      </c>
      <c r="E334" s="221" t="inlineStr">
        <is>
          <t>苏大北区六食堂</t>
        </is>
      </c>
      <c r="F334" s="219" t="inlineStr">
        <is>
          <t>分组作业</t>
        </is>
      </c>
      <c r="G334" s="222" t="inlineStr">
        <is>
          <t>卫屹</t>
        </is>
      </c>
      <c r="H334" s="503" t="inlineStr">
        <is>
          <t>/</t>
        </is>
      </c>
      <c r="I334" s="237" t="inlineStr">
        <is>
          <t>千里香</t>
        </is>
      </c>
      <c r="J334" s="222" t="inlineStr">
        <is>
          <t>刘立强</t>
        </is>
      </c>
      <c r="K334" s="224" t="inlineStr">
        <is>
          <t>/</t>
        </is>
      </c>
      <c r="L334" s="651" t="n">
        <v>780000</v>
      </c>
      <c r="M334" s="224" t="n">
        <v>0.16</v>
      </c>
      <c r="N334" s="224" t="n">
        <v>0.01</v>
      </c>
      <c r="O334" s="224" t="inlineStr">
        <is>
          <t>/</t>
        </is>
      </c>
      <c r="P334" s="224" t="n">
        <v>0.01</v>
      </c>
      <c r="Q334" s="224" t="n">
        <v>0.01</v>
      </c>
      <c r="R334" s="224" t="inlineStr">
        <is>
          <t>/</t>
        </is>
      </c>
      <c r="S334" s="224" t="inlineStr">
        <is>
          <t>/</t>
        </is>
      </c>
      <c r="T334" s="503" t="n">
        <v>1000</v>
      </c>
      <c r="U334" s="224" t="n">
        <v>0.07000000000000001</v>
      </c>
      <c r="V334" s="224" t="inlineStr">
        <is>
          <t>/</t>
        </is>
      </c>
      <c r="W334" s="47" t="n">
        <v>0.3</v>
      </c>
      <c r="X334" s="461" t="inlineStr">
        <is>
          <t>/</t>
        </is>
      </c>
      <c r="Y334" s="461" t="inlineStr">
        <is>
          <t>/</t>
        </is>
      </c>
      <c r="Z334" s="349" t="inlineStr">
        <is>
          <t>/</t>
        </is>
      </c>
      <c r="AA334" s="349" t="inlineStr">
        <is>
          <t>/</t>
        </is>
      </c>
      <c r="AB334" s="652" t="inlineStr">
        <is>
          <t>/</t>
        </is>
      </c>
      <c r="AC334" s="652" t="inlineStr">
        <is>
          <t>/</t>
        </is>
      </c>
      <c r="AD334" s="150" t="inlineStr">
        <is>
          <t xml:space="preserve">1、服务费：包含甲方人员工资、甲方捐赠，不单独分摊
</t>
        </is>
      </c>
      <c r="AE334" s="25" t="inlineStr">
        <is>
          <t>1、签订期间：2026.1.26-2026.7.25；
2、指标按照全年换算；</t>
        </is>
      </c>
    </row>
    <row r="335" ht="24" customFormat="1" customHeight="1" s="209">
      <c r="A335" s="219" t="n">
        <v>340</v>
      </c>
      <c r="B335" s="14" t="inlineStr">
        <is>
          <t>KQCY0340</t>
        </is>
      </c>
      <c r="C335" s="221" t="inlineStr">
        <is>
          <t>餐饮五分部</t>
        </is>
      </c>
      <c r="D335" s="221" t="inlineStr">
        <is>
          <t>CF108</t>
        </is>
      </c>
      <c r="E335" s="221" t="inlineStr">
        <is>
          <t>苏大北区六食堂</t>
        </is>
      </c>
      <c r="F335" s="219" t="inlineStr">
        <is>
          <t>分组作业</t>
        </is>
      </c>
      <c r="G335" s="222" t="inlineStr">
        <is>
          <t>卫屹</t>
        </is>
      </c>
      <c r="H335" s="503" t="inlineStr">
        <is>
          <t>/</t>
        </is>
      </c>
      <c r="I335" s="237" t="inlineStr">
        <is>
          <t>拌面</t>
        </is>
      </c>
      <c r="J335" s="222" t="inlineStr">
        <is>
          <t>龚文涛</t>
        </is>
      </c>
      <c r="K335" s="224" t="inlineStr">
        <is>
          <t>/</t>
        </is>
      </c>
      <c r="L335" s="651" t="n">
        <v>420000</v>
      </c>
      <c r="M335" s="224" t="n">
        <v>0.16</v>
      </c>
      <c r="N335" s="224" t="n">
        <v>0.01</v>
      </c>
      <c r="O335" s="224" t="inlineStr">
        <is>
          <t>/</t>
        </is>
      </c>
      <c r="P335" s="224" t="n">
        <v>0.01</v>
      </c>
      <c r="Q335" s="224" t="n">
        <v>0.01</v>
      </c>
      <c r="R335" s="224" t="inlineStr">
        <is>
          <t>/</t>
        </is>
      </c>
      <c r="S335" s="224" t="inlineStr">
        <is>
          <t>/</t>
        </is>
      </c>
      <c r="T335" s="503" t="n">
        <v>1000</v>
      </c>
      <c r="U335" s="224" t="n">
        <v>0.07000000000000001</v>
      </c>
      <c r="V335" s="224" t="inlineStr">
        <is>
          <t>/</t>
        </is>
      </c>
      <c r="W335" s="47" t="n">
        <v>0.3</v>
      </c>
      <c r="X335" s="461" t="inlineStr">
        <is>
          <t>/</t>
        </is>
      </c>
      <c r="Y335" s="461" t="inlineStr">
        <is>
          <t>/</t>
        </is>
      </c>
      <c r="Z335" s="349" t="inlineStr">
        <is>
          <t>/</t>
        </is>
      </c>
      <c r="AA335" s="349" t="inlineStr">
        <is>
          <t>/</t>
        </is>
      </c>
      <c r="AB335" s="652" t="inlineStr">
        <is>
          <t>/</t>
        </is>
      </c>
      <c r="AC335" s="652" t="inlineStr">
        <is>
          <t>/</t>
        </is>
      </c>
      <c r="AD335" s="150" t="inlineStr">
        <is>
          <t xml:space="preserve">1、服务费：包含甲方人员工资、甲方捐赠，不单独分摊
</t>
        </is>
      </c>
      <c r="AE335" s="25" t="inlineStr">
        <is>
          <t>1、签订期间：2026.1.26-2026.7.25；
2、指标按照全年换算；</t>
        </is>
      </c>
    </row>
    <row r="336" ht="24" customFormat="1" customHeight="1" s="209">
      <c r="A336" s="219" t="n">
        <v>341</v>
      </c>
      <c r="B336" s="14" t="inlineStr">
        <is>
          <t>KQCY0341</t>
        </is>
      </c>
      <c r="C336" s="221" t="inlineStr">
        <is>
          <t>餐饮五分部</t>
        </is>
      </c>
      <c r="D336" s="221" t="inlineStr">
        <is>
          <t>CF108</t>
        </is>
      </c>
      <c r="E336" s="221" t="inlineStr">
        <is>
          <t>苏大北区六食堂</t>
        </is>
      </c>
      <c r="F336" s="219" t="inlineStr">
        <is>
          <t>分组作业</t>
        </is>
      </c>
      <c r="G336" s="222" t="inlineStr">
        <is>
          <t>卫屹</t>
        </is>
      </c>
      <c r="H336" s="503" t="inlineStr">
        <is>
          <t>/</t>
        </is>
      </c>
      <c r="I336" s="237" t="inlineStr">
        <is>
          <t>煎饼</t>
        </is>
      </c>
      <c r="J336" s="222" t="inlineStr">
        <is>
          <t>李秀德</t>
        </is>
      </c>
      <c r="K336" s="224" t="inlineStr">
        <is>
          <t>/</t>
        </is>
      </c>
      <c r="L336" s="651" t="n">
        <v>200000</v>
      </c>
      <c r="M336" s="224" t="n">
        <v>0.12</v>
      </c>
      <c r="N336" s="224" t="n">
        <v>0.01</v>
      </c>
      <c r="O336" s="224" t="inlineStr">
        <is>
          <t>/</t>
        </is>
      </c>
      <c r="P336" s="224" t="n">
        <v>0.01</v>
      </c>
      <c r="Q336" s="224" t="n">
        <v>0.01</v>
      </c>
      <c r="R336" s="224" t="inlineStr">
        <is>
          <t>/</t>
        </is>
      </c>
      <c r="S336" s="224" t="inlineStr">
        <is>
          <t>/</t>
        </is>
      </c>
      <c r="T336" s="503" t="n">
        <v>500</v>
      </c>
      <c r="U336" s="224" t="n">
        <v>0.07000000000000001</v>
      </c>
      <c r="V336" s="224" t="inlineStr">
        <is>
          <t>/</t>
        </is>
      </c>
      <c r="W336" s="47" t="n">
        <v>0.3</v>
      </c>
      <c r="X336" s="461" t="inlineStr">
        <is>
          <t>/</t>
        </is>
      </c>
      <c r="Y336" s="461" t="inlineStr">
        <is>
          <t>/</t>
        </is>
      </c>
      <c r="Z336" s="349" t="inlineStr">
        <is>
          <t>/</t>
        </is>
      </c>
      <c r="AA336" s="349" t="inlineStr">
        <is>
          <t>/</t>
        </is>
      </c>
      <c r="AB336" s="652" t="inlineStr">
        <is>
          <t>/</t>
        </is>
      </c>
      <c r="AC336" s="652" t="inlineStr">
        <is>
          <t>/</t>
        </is>
      </c>
      <c r="AD336" s="150" t="inlineStr">
        <is>
          <t xml:space="preserve">1、服务费：包含甲方人员工资、甲方捐赠，不单独分摊
</t>
        </is>
      </c>
      <c r="AE336" s="25" t="inlineStr">
        <is>
          <t>1、签订期间：2026.1.26-2026.7.25；
2、指标按照全年换算；</t>
        </is>
      </c>
    </row>
    <row r="337" ht="24" customFormat="1" customHeight="1" s="209">
      <c r="A337" s="219" t="n">
        <v>342</v>
      </c>
      <c r="B337" s="14" t="inlineStr">
        <is>
          <t>KQCY0342</t>
        </is>
      </c>
      <c r="C337" s="221" t="inlineStr">
        <is>
          <t>餐饮五分部</t>
        </is>
      </c>
      <c r="D337" s="221" t="inlineStr">
        <is>
          <t>CF108</t>
        </is>
      </c>
      <c r="E337" s="221" t="inlineStr">
        <is>
          <t>苏大北区六食堂</t>
        </is>
      </c>
      <c r="F337" s="219" t="inlineStr">
        <is>
          <t>分组作业</t>
        </is>
      </c>
      <c r="G337" s="222" t="inlineStr">
        <is>
          <t>卫屹</t>
        </is>
      </c>
      <c r="H337" s="503" t="inlineStr">
        <is>
          <t>/</t>
        </is>
      </c>
      <c r="I337" s="237" t="inlineStr">
        <is>
          <t>汉堡</t>
        </is>
      </c>
      <c r="J337" s="222" t="inlineStr">
        <is>
          <t>吴梦醒</t>
        </is>
      </c>
      <c r="K337" s="224" t="inlineStr">
        <is>
          <t>/</t>
        </is>
      </c>
      <c r="L337" s="651" t="n">
        <v>380000</v>
      </c>
      <c r="M337" s="224" t="n">
        <v>0.11</v>
      </c>
      <c r="N337" s="224" t="n">
        <v>0.01</v>
      </c>
      <c r="O337" s="224" t="inlineStr">
        <is>
          <t>/</t>
        </is>
      </c>
      <c r="P337" s="224" t="n">
        <v>0.01</v>
      </c>
      <c r="Q337" s="224" t="n">
        <v>0.01</v>
      </c>
      <c r="R337" s="224" t="inlineStr">
        <is>
          <t>/</t>
        </is>
      </c>
      <c r="S337" s="224" t="inlineStr">
        <is>
          <t>/</t>
        </is>
      </c>
      <c r="T337" s="503" t="n">
        <v>500</v>
      </c>
      <c r="U337" s="224" t="n">
        <v>0.07000000000000001</v>
      </c>
      <c r="V337" s="224" t="inlineStr">
        <is>
          <t>/</t>
        </is>
      </c>
      <c r="W337" s="44" t="n"/>
      <c r="X337" s="461" t="inlineStr">
        <is>
          <t>/</t>
        </is>
      </c>
      <c r="Y337" s="461" t="inlineStr">
        <is>
          <t>/</t>
        </is>
      </c>
      <c r="Z337" s="349" t="inlineStr">
        <is>
          <t>/</t>
        </is>
      </c>
      <c r="AA337" s="349" t="inlineStr">
        <is>
          <t>/</t>
        </is>
      </c>
      <c r="AB337" s="652" t="inlineStr">
        <is>
          <t>/</t>
        </is>
      </c>
      <c r="AC337" s="652" t="inlineStr">
        <is>
          <t>/</t>
        </is>
      </c>
      <c r="AD337" s="150" t="inlineStr">
        <is>
          <t xml:space="preserve">1、服务费：包含甲方人员工资、甲方捐赠，不单独分摊
</t>
        </is>
      </c>
      <c r="AE337" s="25" t="inlineStr">
        <is>
          <t>1、签订期间：2026.1.26-2026.7.25；
2、指标按照全年换算；</t>
        </is>
      </c>
    </row>
    <row r="338" ht="12" customFormat="1" customHeight="1" s="209">
      <c r="A338" s="219" t="n">
        <v>343</v>
      </c>
      <c r="B338" s="14" t="inlineStr">
        <is>
          <t>KQCY0343</t>
        </is>
      </c>
      <c r="C338" s="221" t="inlineStr">
        <is>
          <t>餐饮五分部</t>
        </is>
      </c>
      <c r="D338" s="221" t="inlineStr">
        <is>
          <t>CF101</t>
        </is>
      </c>
      <c r="E338" s="221" t="inlineStr">
        <is>
          <t>苏大本部方塔食堂</t>
        </is>
      </c>
      <c r="F338" s="219" t="inlineStr">
        <is>
          <t>强责</t>
        </is>
      </c>
      <c r="G338" s="222" t="inlineStr">
        <is>
          <t>卫屹</t>
        </is>
      </c>
      <c r="H338" s="222" t="inlineStr">
        <is>
          <t>/</t>
        </is>
      </c>
      <c r="I338" s="232" t="inlineStr">
        <is>
          <t>/</t>
        </is>
      </c>
      <c r="J338" s="222" t="inlineStr">
        <is>
          <t>蒋德生</t>
        </is>
      </c>
      <c r="K338" s="224" t="inlineStr">
        <is>
          <t>/</t>
        </is>
      </c>
      <c r="L338" s="651" t="n">
        <v>8000000</v>
      </c>
      <c r="M338" s="224" t="inlineStr">
        <is>
          <t>/</t>
        </is>
      </c>
      <c r="N338" s="224" t="inlineStr">
        <is>
          <t>/</t>
        </is>
      </c>
      <c r="O338" s="224" t="inlineStr">
        <is>
          <t>/</t>
        </is>
      </c>
      <c r="P338" s="224" t="n">
        <v>0.02</v>
      </c>
      <c r="Q338" s="224" t="inlineStr">
        <is>
          <t>/</t>
        </is>
      </c>
      <c r="R338" s="224" t="inlineStr">
        <is>
          <t>/</t>
        </is>
      </c>
      <c r="S338" s="224" t="inlineStr">
        <is>
          <t>/</t>
        </is>
      </c>
      <c r="T338" s="224" t="inlineStr">
        <is>
          <t>/</t>
        </is>
      </c>
      <c r="U338" s="224" t="inlineStr">
        <is>
          <t>/</t>
        </is>
      </c>
      <c r="V338" s="224" t="inlineStr">
        <is>
          <t>/</t>
        </is>
      </c>
      <c r="W338" s="47" t="n">
        <v>0.52</v>
      </c>
      <c r="X338" s="461" t="inlineStr">
        <is>
          <t>/</t>
        </is>
      </c>
      <c r="Y338" s="461" t="inlineStr">
        <is>
          <t>/</t>
        </is>
      </c>
      <c r="Z338" s="461" t="inlineStr">
        <is>
          <t>/</t>
        </is>
      </c>
      <c r="AA338" s="461" t="inlineStr">
        <is>
          <t>/</t>
        </is>
      </c>
      <c r="AB338" s="46" t="n">
        <v>0.05</v>
      </c>
      <c r="AC338" s="46" t="n">
        <v>0.005</v>
      </c>
      <c r="AD338" s="152" t="inlineStr">
        <is>
          <t>1、原材料：根据与甲方合同约定执行；</t>
        </is>
      </c>
      <c r="AE338" s="25" t="n"/>
    </row>
    <row r="339" ht="12" customFormat="1" customHeight="1" s="209">
      <c r="A339" s="219" t="n">
        <v>344</v>
      </c>
      <c r="B339" s="14" t="inlineStr">
        <is>
          <t>KQCY0344</t>
        </is>
      </c>
      <c r="C339" s="221" t="inlineStr">
        <is>
          <t>餐饮五分部</t>
        </is>
      </c>
      <c r="D339" s="221" t="inlineStr">
        <is>
          <t>CF107</t>
        </is>
      </c>
      <c r="E339" s="221" t="inlineStr">
        <is>
          <t>苏大东区教工食堂</t>
        </is>
      </c>
      <c r="F339" s="222" t="inlineStr">
        <is>
          <t>人员服务外包</t>
        </is>
      </c>
      <c r="G339" s="222" t="inlineStr">
        <is>
          <t>卫屹</t>
        </is>
      </c>
      <c r="H339" s="222" t="inlineStr">
        <is>
          <t>/</t>
        </is>
      </c>
      <c r="I339" s="237" t="inlineStr">
        <is>
          <t>/</t>
        </is>
      </c>
      <c r="J339" s="222" t="inlineStr">
        <is>
          <t>/</t>
        </is>
      </c>
      <c r="K339" s="224" t="inlineStr">
        <is>
          <t>/</t>
        </is>
      </c>
      <c r="L339" s="651" t="n">
        <v>612000</v>
      </c>
      <c r="M339" s="224" t="inlineStr">
        <is>
          <t>/</t>
        </is>
      </c>
      <c r="N339" s="224" t="inlineStr">
        <is>
          <t>/</t>
        </is>
      </c>
      <c r="O339" s="224" t="inlineStr">
        <is>
          <t>/</t>
        </is>
      </c>
      <c r="P339" s="224" t="inlineStr">
        <is>
          <t>/</t>
        </is>
      </c>
      <c r="Q339" s="224" t="inlineStr">
        <is>
          <t>/</t>
        </is>
      </c>
      <c r="R339" s="224" t="inlineStr">
        <is>
          <t>/</t>
        </is>
      </c>
      <c r="S339" s="224" t="inlineStr">
        <is>
          <t>/</t>
        </is>
      </c>
      <c r="T339" s="224" t="inlineStr">
        <is>
          <t>/</t>
        </is>
      </c>
      <c r="U339" s="224" t="inlineStr">
        <is>
          <t>/</t>
        </is>
      </c>
      <c r="V339" s="224" t="inlineStr">
        <is>
          <t>/</t>
        </is>
      </c>
      <c r="W339" s="503" t="inlineStr">
        <is>
          <t>/</t>
        </is>
      </c>
      <c r="X339" s="461" t="inlineStr">
        <is>
          <t>/</t>
        </is>
      </c>
      <c r="Y339" s="461" t="inlineStr">
        <is>
          <t>/</t>
        </is>
      </c>
      <c r="Z339" s="461" t="inlineStr">
        <is>
          <t>/</t>
        </is>
      </c>
      <c r="AA339" s="461" t="inlineStr">
        <is>
          <t>/</t>
        </is>
      </c>
      <c r="AB339" s="652" t="inlineStr">
        <is>
          <t>/</t>
        </is>
      </c>
      <c r="AC339" s="652" t="inlineStr">
        <is>
          <t>/</t>
        </is>
      </c>
      <c r="AD339" s="152" t="n"/>
      <c r="AE339" s="25" t="n"/>
    </row>
    <row r="340" ht="12" customFormat="1" customHeight="1" s="209">
      <c r="A340" s="219" t="n">
        <v>345</v>
      </c>
      <c r="B340" s="14" t="inlineStr">
        <is>
          <t>KQCY0345</t>
        </is>
      </c>
      <c r="C340" s="221" t="inlineStr">
        <is>
          <t>餐饮五分部</t>
        </is>
      </c>
      <c r="D340" s="221" t="inlineStr">
        <is>
          <t>CF120</t>
        </is>
      </c>
      <c r="E340" s="61" t="inlineStr">
        <is>
          <t>苏大独墅湖一食堂</t>
        </is>
      </c>
      <c r="F340" s="219" t="inlineStr">
        <is>
          <t>强责</t>
        </is>
      </c>
      <c r="G340" s="222" t="inlineStr">
        <is>
          <t>吉沐牛</t>
        </is>
      </c>
      <c r="H340" s="222" t="inlineStr">
        <is>
          <t>/</t>
        </is>
      </c>
      <c r="I340" s="232" t="inlineStr">
        <is>
          <t>/</t>
        </is>
      </c>
      <c r="J340" s="222" t="inlineStr">
        <is>
          <t>杨登钟</t>
        </is>
      </c>
      <c r="K340" s="224" t="inlineStr">
        <is>
          <t>/</t>
        </is>
      </c>
      <c r="L340" s="651" t="inlineStr">
        <is>
          <t>/</t>
        </is>
      </c>
      <c r="M340" s="395" t="inlineStr">
        <is>
          <t>/</t>
        </is>
      </c>
      <c r="N340" s="395" t="inlineStr">
        <is>
          <t>/</t>
        </is>
      </c>
      <c r="O340" s="395" t="inlineStr">
        <is>
          <t>/</t>
        </is>
      </c>
      <c r="P340" s="395" t="inlineStr">
        <is>
          <t>/</t>
        </is>
      </c>
      <c r="Q340" s="395" t="inlineStr">
        <is>
          <t>/</t>
        </is>
      </c>
      <c r="R340" s="395" t="inlineStr">
        <is>
          <t>/</t>
        </is>
      </c>
      <c r="S340" s="395" t="inlineStr">
        <is>
          <t>/</t>
        </is>
      </c>
      <c r="T340" s="44" t="n"/>
      <c r="U340" s="106" t="n"/>
      <c r="V340" s="395" t="inlineStr">
        <is>
          <t>/</t>
        </is>
      </c>
      <c r="W340" s="47" t="n">
        <v>0.52</v>
      </c>
      <c r="X340" s="397" t="inlineStr">
        <is>
          <t>/</t>
        </is>
      </c>
      <c r="Y340" s="397" t="inlineStr">
        <is>
          <t>/</t>
        </is>
      </c>
      <c r="Z340" s="397" t="inlineStr">
        <is>
          <t>/</t>
        </is>
      </c>
      <c r="AA340" s="397" t="inlineStr">
        <is>
          <t>/</t>
        </is>
      </c>
      <c r="AB340" s="46" t="n">
        <v>0.06</v>
      </c>
      <c r="AC340" s="46" t="inlineStr">
        <is>
          <t>/</t>
        </is>
      </c>
      <c r="AD340" s="48" t="inlineStr">
        <is>
          <t>1、原材料：根据与甲方合同约定执行；</t>
        </is>
      </c>
      <c r="AE340" s="25" t="n"/>
    </row>
    <row r="341" ht="24" customFormat="1" customHeight="1" s="209">
      <c r="A341" s="219" t="n">
        <v>346</v>
      </c>
      <c r="B341" s="14" t="inlineStr">
        <is>
          <t>KQCY0346</t>
        </is>
      </c>
      <c r="C341" s="221" t="inlineStr">
        <is>
          <t>餐饮五分部</t>
        </is>
      </c>
      <c r="D341" s="221" t="inlineStr">
        <is>
          <t>CF120</t>
        </is>
      </c>
      <c r="E341" s="61" t="inlineStr">
        <is>
          <t>苏大独墅湖一食堂</t>
        </is>
      </c>
      <c r="F341" s="219" t="inlineStr">
        <is>
          <t>强责</t>
        </is>
      </c>
      <c r="G341" s="222" t="inlineStr">
        <is>
          <t>吉沐牛</t>
        </is>
      </c>
      <c r="H341" s="503" t="inlineStr">
        <is>
          <t>/</t>
        </is>
      </c>
      <c r="I341" s="237" t="inlineStr">
        <is>
          <t>麻辣香锅</t>
        </is>
      </c>
      <c r="J341" s="222" t="inlineStr">
        <is>
          <t>周文影</t>
        </is>
      </c>
      <c r="K341" s="224" t="inlineStr">
        <is>
          <t>/</t>
        </is>
      </c>
      <c r="L341" s="651" t="n">
        <v>3830000</v>
      </c>
      <c r="M341" s="153" t="n">
        <v>0.18</v>
      </c>
      <c r="N341" s="67" t="inlineStr">
        <is>
          <t>/</t>
        </is>
      </c>
      <c r="O341" s="67" t="inlineStr">
        <is>
          <t>/</t>
        </is>
      </c>
      <c r="P341" s="107" t="inlineStr">
        <is>
          <t>/</t>
        </is>
      </c>
      <c r="Q341" s="107" t="inlineStr">
        <is>
          <t>/</t>
        </is>
      </c>
      <c r="R341" s="107" t="inlineStr">
        <is>
          <t>/</t>
        </is>
      </c>
      <c r="S341" s="67" t="inlineStr">
        <is>
          <t>/</t>
        </is>
      </c>
      <c r="T341" s="397" t="n"/>
      <c r="U341" s="395" t="n"/>
      <c r="V341" s="67" t="inlineStr">
        <is>
          <t>/</t>
        </is>
      </c>
      <c r="W341" s="154" t="n"/>
      <c r="X341" s="397" t="inlineStr">
        <is>
          <t>/</t>
        </is>
      </c>
      <c r="Y341" s="397" t="inlineStr">
        <is>
          <t>/</t>
        </is>
      </c>
      <c r="Z341" s="67" t="inlineStr">
        <is>
          <t>/</t>
        </is>
      </c>
      <c r="AA341" s="67" t="inlineStr">
        <is>
          <t>/</t>
        </is>
      </c>
      <c r="AB341" s="51" t="inlineStr">
        <is>
          <t>/</t>
        </is>
      </c>
      <c r="AC341" s="46" t="inlineStr">
        <is>
          <t>/</t>
        </is>
      </c>
      <c r="AD341" s="155" t="n"/>
      <c r="AE341" s="25" t="inlineStr">
        <is>
          <t>1、签订期间：2026.1-2026.12；
2、指标按照全年换算；</t>
        </is>
      </c>
    </row>
    <row r="342" ht="24" customFormat="1" customHeight="1" s="209">
      <c r="A342" s="219" t="n">
        <v>347</v>
      </c>
      <c r="B342" s="14" t="inlineStr">
        <is>
          <t>KQCY0347</t>
        </is>
      </c>
      <c r="C342" s="221" t="inlineStr">
        <is>
          <t>餐饮五分部</t>
        </is>
      </c>
      <c r="D342" s="221" t="inlineStr">
        <is>
          <t>CF120</t>
        </is>
      </c>
      <c r="E342" s="61" t="inlineStr">
        <is>
          <t>苏大独墅湖一食堂</t>
        </is>
      </c>
      <c r="F342" s="219" t="inlineStr">
        <is>
          <t>强责</t>
        </is>
      </c>
      <c r="G342" s="222" t="inlineStr">
        <is>
          <t>吉沐牛</t>
        </is>
      </c>
      <c r="H342" s="503" t="inlineStr">
        <is>
          <t>/</t>
        </is>
      </c>
      <c r="I342" s="237" t="inlineStr">
        <is>
          <t>板煮</t>
        </is>
      </c>
      <c r="J342" s="222" t="inlineStr">
        <is>
          <t>郁亚勇</t>
        </is>
      </c>
      <c r="K342" s="224" t="inlineStr">
        <is>
          <t>/</t>
        </is>
      </c>
      <c r="L342" s="651" t="n">
        <v>930000</v>
      </c>
      <c r="M342" s="153" t="n">
        <v>0.19</v>
      </c>
      <c r="N342" s="67" t="inlineStr">
        <is>
          <t>/</t>
        </is>
      </c>
      <c r="O342" s="67" t="inlineStr">
        <is>
          <t>/</t>
        </is>
      </c>
      <c r="P342" s="107" t="inlineStr">
        <is>
          <t>/</t>
        </is>
      </c>
      <c r="Q342" s="107" t="inlineStr">
        <is>
          <t>/</t>
        </is>
      </c>
      <c r="R342" s="107" t="inlineStr">
        <is>
          <t>/</t>
        </is>
      </c>
      <c r="S342" s="67" t="inlineStr">
        <is>
          <t>/</t>
        </is>
      </c>
      <c r="T342" s="397" t="n"/>
      <c r="U342" s="395" t="n"/>
      <c r="V342" s="67" t="inlineStr">
        <is>
          <t>/</t>
        </is>
      </c>
      <c r="W342" s="154" t="n"/>
      <c r="X342" s="397" t="inlineStr">
        <is>
          <t>/</t>
        </is>
      </c>
      <c r="Y342" s="397" t="inlineStr">
        <is>
          <t>/</t>
        </is>
      </c>
      <c r="Z342" s="67" t="inlineStr">
        <is>
          <t>/</t>
        </is>
      </c>
      <c r="AA342" s="67" t="inlineStr">
        <is>
          <t>/</t>
        </is>
      </c>
      <c r="AB342" s="51" t="inlineStr">
        <is>
          <t>/</t>
        </is>
      </c>
      <c r="AC342" s="46" t="inlineStr">
        <is>
          <t>/</t>
        </is>
      </c>
      <c r="AD342" s="155" t="n"/>
      <c r="AE342" s="25" t="inlineStr">
        <is>
          <t>1、签订期间：2026.1-2026.12；
2、指标按照全年换算；</t>
        </is>
      </c>
    </row>
    <row r="343" ht="36" customFormat="1" customHeight="1" s="209">
      <c r="A343" s="219" t="n">
        <v>348</v>
      </c>
      <c r="B343" s="14" t="inlineStr">
        <is>
          <t>KQCY0348</t>
        </is>
      </c>
      <c r="C343" s="221" t="inlineStr">
        <is>
          <t>餐饮五分部</t>
        </is>
      </c>
      <c r="D343" s="221" t="inlineStr">
        <is>
          <t>CF121</t>
        </is>
      </c>
      <c r="E343" s="61" t="inlineStr">
        <is>
          <t>苏大独墅湖六食堂</t>
        </is>
      </c>
      <c r="F343" s="219" t="inlineStr">
        <is>
          <t>强责</t>
        </is>
      </c>
      <c r="G343" s="222" t="inlineStr">
        <is>
          <t>吉沐牛</t>
        </is>
      </c>
      <c r="H343" s="222" t="inlineStr">
        <is>
          <t>/</t>
        </is>
      </c>
      <c r="I343" s="232" t="inlineStr">
        <is>
          <t>/</t>
        </is>
      </c>
      <c r="J343" s="222" t="inlineStr">
        <is>
          <t>杨登钟</t>
        </is>
      </c>
      <c r="K343" s="224" t="inlineStr">
        <is>
          <t>/</t>
        </is>
      </c>
      <c r="L343" s="651" t="inlineStr">
        <is>
          <t>/</t>
        </is>
      </c>
      <c r="M343" s="395" t="inlineStr">
        <is>
          <t>/</t>
        </is>
      </c>
      <c r="N343" s="395" t="inlineStr">
        <is>
          <t>/</t>
        </is>
      </c>
      <c r="O343" s="395" t="inlineStr">
        <is>
          <t>/</t>
        </is>
      </c>
      <c r="P343" s="395" t="inlineStr">
        <is>
          <t>/</t>
        </is>
      </c>
      <c r="Q343" s="395" t="inlineStr">
        <is>
          <t>/</t>
        </is>
      </c>
      <c r="R343" s="395" t="inlineStr">
        <is>
          <t>/</t>
        </is>
      </c>
      <c r="S343" s="395" t="inlineStr">
        <is>
          <t>/</t>
        </is>
      </c>
      <c r="T343" s="44" t="n"/>
      <c r="U343" s="106" t="n"/>
      <c r="V343" s="395" t="inlineStr">
        <is>
          <t>/</t>
        </is>
      </c>
      <c r="W343" s="154" t="n">
        <v>0.52</v>
      </c>
      <c r="X343" s="397" t="inlineStr">
        <is>
          <t>/</t>
        </is>
      </c>
      <c r="Y343" s="397" t="inlineStr">
        <is>
          <t>/</t>
        </is>
      </c>
      <c r="Z343" s="397" t="inlineStr">
        <is>
          <t>/</t>
        </is>
      </c>
      <c r="AA343" s="397" t="inlineStr">
        <is>
          <t>/</t>
        </is>
      </c>
      <c r="AB343" s="46" t="n">
        <v>0.05</v>
      </c>
      <c r="AC343" s="46" t="n">
        <v>0.005</v>
      </c>
      <c r="AD343" s="48" t="inlineStr">
        <is>
          <t>1、原材料：根据与甲方合同约定执行；
2、分部管理费：不含青海拉面营业额；
3、业务费：不含青海拉面营业额；</t>
        </is>
      </c>
      <c r="AE343" s="25" t="n"/>
    </row>
    <row r="344" ht="24" customFormat="1" customHeight="1" s="209">
      <c r="A344" s="219" t="n">
        <v>349</v>
      </c>
      <c r="B344" s="14" t="inlineStr">
        <is>
          <t>KQCY0349</t>
        </is>
      </c>
      <c r="C344" s="221" t="inlineStr">
        <is>
          <t>餐饮五分部</t>
        </is>
      </c>
      <c r="D344" s="221" t="inlineStr">
        <is>
          <t>CF121</t>
        </is>
      </c>
      <c r="E344" s="61" t="inlineStr">
        <is>
          <t>苏大独墅湖六食堂</t>
        </is>
      </c>
      <c r="F344" s="219" t="inlineStr">
        <is>
          <t>强责</t>
        </is>
      </c>
      <c r="G344" s="222" t="inlineStr">
        <is>
          <t>吉沐牛</t>
        </is>
      </c>
      <c r="H344" s="503" t="inlineStr">
        <is>
          <t>/</t>
        </is>
      </c>
      <c r="I344" s="237" t="inlineStr">
        <is>
          <t>青海拉面</t>
        </is>
      </c>
      <c r="J344" s="222" t="inlineStr">
        <is>
          <t>韩应努四</t>
        </is>
      </c>
      <c r="K344" s="224" t="inlineStr">
        <is>
          <t>/</t>
        </is>
      </c>
      <c r="L344" s="651" t="n">
        <v>1280000</v>
      </c>
      <c r="M344" s="153" t="n">
        <v>0.1</v>
      </c>
      <c r="N344" s="67" t="inlineStr">
        <is>
          <t>/</t>
        </is>
      </c>
      <c r="O344" s="67" t="inlineStr">
        <is>
          <t>/</t>
        </is>
      </c>
      <c r="P344" s="107" t="inlineStr">
        <is>
          <t>/</t>
        </is>
      </c>
      <c r="Q344" s="107" t="inlineStr">
        <is>
          <t>/</t>
        </is>
      </c>
      <c r="R344" s="107" t="inlineStr">
        <is>
          <t>/</t>
        </is>
      </c>
      <c r="S344" s="67" t="inlineStr">
        <is>
          <t>/</t>
        </is>
      </c>
      <c r="T344" s="395" t="inlineStr">
        <is>
          <t>/</t>
        </is>
      </c>
      <c r="U344" s="395" t="inlineStr">
        <is>
          <t>/</t>
        </is>
      </c>
      <c r="V344" s="67" t="inlineStr">
        <is>
          <t>/</t>
        </is>
      </c>
      <c r="W344" s="156" t="n"/>
      <c r="X344" s="397" t="inlineStr">
        <is>
          <t>/</t>
        </is>
      </c>
      <c r="Y344" s="397" t="inlineStr">
        <is>
          <t>/</t>
        </is>
      </c>
      <c r="Z344" s="397" t="inlineStr">
        <is>
          <t>/</t>
        </is>
      </c>
      <c r="AA344" s="397" t="inlineStr">
        <is>
          <t>/</t>
        </is>
      </c>
      <c r="AB344" s="51" t="inlineStr">
        <is>
          <t>/</t>
        </is>
      </c>
      <c r="AC344" s="46" t="inlineStr">
        <is>
          <t>/</t>
        </is>
      </c>
      <c r="AD344" s="69" t="n"/>
      <c r="AE344" s="25" t="inlineStr">
        <is>
          <t>1、签订期间：2026.1-2026.12；
2、指标按照全年换算；</t>
        </is>
      </c>
    </row>
    <row r="345" ht="12" customFormat="1" customHeight="1" s="209">
      <c r="A345" s="219" t="n">
        <v>350</v>
      </c>
      <c r="B345" s="14" t="inlineStr">
        <is>
          <t>KQCY0350</t>
        </is>
      </c>
      <c r="C345" s="221" t="inlineStr">
        <is>
          <t>餐饮五分部</t>
        </is>
      </c>
      <c r="D345" s="221" t="inlineStr">
        <is>
          <t>CF121</t>
        </is>
      </c>
      <c r="E345" s="61" t="inlineStr">
        <is>
          <t>苏大独墅湖二食堂</t>
        </is>
      </c>
      <c r="F345" s="219" t="inlineStr">
        <is>
          <t>强责</t>
        </is>
      </c>
      <c r="G345" s="222" t="inlineStr">
        <is>
          <t>吉沐牛</t>
        </is>
      </c>
      <c r="H345" s="222" t="inlineStr">
        <is>
          <t>/</t>
        </is>
      </c>
      <c r="I345" s="232" t="inlineStr">
        <is>
          <t>/</t>
        </is>
      </c>
      <c r="J345" s="222" t="inlineStr">
        <is>
          <t>徐小林</t>
        </is>
      </c>
      <c r="K345" s="224" t="inlineStr">
        <is>
          <t>/</t>
        </is>
      </c>
      <c r="L345" s="651" t="inlineStr">
        <is>
          <t>/</t>
        </is>
      </c>
      <c r="M345" s="395" t="inlineStr">
        <is>
          <t>/</t>
        </is>
      </c>
      <c r="N345" s="395" t="inlineStr">
        <is>
          <t>/</t>
        </is>
      </c>
      <c r="O345" s="395" t="inlineStr">
        <is>
          <t>/</t>
        </is>
      </c>
      <c r="P345" s="395" t="inlineStr">
        <is>
          <t>/</t>
        </is>
      </c>
      <c r="Q345" s="395" t="inlineStr">
        <is>
          <t>/</t>
        </is>
      </c>
      <c r="R345" s="395" t="inlineStr">
        <is>
          <t>/</t>
        </is>
      </c>
      <c r="S345" s="395" t="inlineStr">
        <is>
          <t>/</t>
        </is>
      </c>
      <c r="T345" s="397" t="inlineStr">
        <is>
          <t>/</t>
        </is>
      </c>
      <c r="U345" s="106" t="n"/>
      <c r="V345" s="395" t="inlineStr">
        <is>
          <t>/</t>
        </is>
      </c>
      <c r="W345" s="154" t="n">
        <v>0.52</v>
      </c>
      <c r="X345" s="397" t="inlineStr">
        <is>
          <t>/</t>
        </is>
      </c>
      <c r="Y345" s="397" t="inlineStr">
        <is>
          <t>/</t>
        </is>
      </c>
      <c r="Z345" s="397" t="inlineStr">
        <is>
          <t>/</t>
        </is>
      </c>
      <c r="AA345" s="397" t="inlineStr">
        <is>
          <t>/</t>
        </is>
      </c>
      <c r="AB345" s="46" t="n">
        <v>0.06</v>
      </c>
      <c r="AC345" s="46" t="n">
        <v>0.005</v>
      </c>
      <c r="AD345" s="69" t="n"/>
      <c r="AE345" s="25" t="n"/>
    </row>
    <row r="346" ht="24" customFormat="1" customHeight="1" s="209">
      <c r="A346" s="219" t="n">
        <v>351</v>
      </c>
      <c r="B346" s="14" t="inlineStr">
        <is>
          <t>KQCY0351</t>
        </is>
      </c>
      <c r="C346" s="221" t="inlineStr">
        <is>
          <t>餐饮五分部</t>
        </is>
      </c>
      <c r="D346" s="221" t="inlineStr">
        <is>
          <t>CF121</t>
        </is>
      </c>
      <c r="E346" s="61" t="inlineStr">
        <is>
          <t>苏大独墅湖二食堂</t>
        </is>
      </c>
      <c r="F346" s="219" t="inlineStr">
        <is>
          <t>强责</t>
        </is>
      </c>
      <c r="G346" s="222" t="inlineStr">
        <is>
          <t>吉沐牛</t>
        </is>
      </c>
      <c r="H346" s="503" t="inlineStr">
        <is>
          <t>/</t>
        </is>
      </c>
      <c r="I346" s="237" t="inlineStr">
        <is>
          <t>手工水饺(山东煎饼)</t>
        </is>
      </c>
      <c r="J346" s="222" t="inlineStr">
        <is>
          <t>李俊</t>
        </is>
      </c>
      <c r="K346" s="224" t="inlineStr">
        <is>
          <t>/</t>
        </is>
      </c>
      <c r="L346" s="651" t="n">
        <v>730000</v>
      </c>
      <c r="M346" s="153" t="n">
        <v>0.25</v>
      </c>
      <c r="N346" s="67" t="inlineStr">
        <is>
          <t>/</t>
        </is>
      </c>
      <c r="O346" s="67" t="inlineStr">
        <is>
          <t>/</t>
        </is>
      </c>
      <c r="P346" s="107" t="inlineStr">
        <is>
          <t>/</t>
        </is>
      </c>
      <c r="Q346" s="107" t="inlineStr">
        <is>
          <t>/</t>
        </is>
      </c>
      <c r="R346" s="107" t="inlineStr">
        <is>
          <t>/</t>
        </is>
      </c>
      <c r="S346" s="67" t="inlineStr">
        <is>
          <t>/</t>
        </is>
      </c>
      <c r="T346" s="395" t="inlineStr">
        <is>
          <t>/</t>
        </is>
      </c>
      <c r="U346" s="63" t="inlineStr">
        <is>
          <t>/</t>
        </is>
      </c>
      <c r="V346" s="67" t="inlineStr">
        <is>
          <t>/</t>
        </is>
      </c>
      <c r="W346" s="67" t="n">
        <v>0.52</v>
      </c>
      <c r="X346" s="397" t="inlineStr">
        <is>
          <t>/</t>
        </is>
      </c>
      <c r="Y346" s="397" t="inlineStr">
        <is>
          <t>/</t>
        </is>
      </c>
      <c r="Z346" s="397" t="inlineStr">
        <is>
          <t>/</t>
        </is>
      </c>
      <c r="AA346" s="397" t="inlineStr">
        <is>
          <t>/</t>
        </is>
      </c>
      <c r="AB346" s="51" t="inlineStr">
        <is>
          <t>/</t>
        </is>
      </c>
      <c r="AC346" s="46" t="inlineStr">
        <is>
          <t>/</t>
        </is>
      </c>
      <c r="AD346" s="69" t="n"/>
      <c r="AE346" s="25" t="inlineStr">
        <is>
          <t>1、签订期间：2026.1-2026.12；
2、指标按照全年换算；</t>
        </is>
      </c>
    </row>
    <row r="347" ht="24" customFormat="1" customHeight="1" s="209">
      <c r="A347" s="219" t="n">
        <v>352</v>
      </c>
      <c r="B347" s="14" t="inlineStr">
        <is>
          <t>KQCY0352</t>
        </is>
      </c>
      <c r="C347" s="221" t="inlineStr">
        <is>
          <t>餐饮五分部</t>
        </is>
      </c>
      <c r="D347" s="221" t="inlineStr">
        <is>
          <t>CF121</t>
        </is>
      </c>
      <c r="E347" s="61" t="inlineStr">
        <is>
          <t>苏大独墅湖二食堂</t>
        </is>
      </c>
      <c r="F347" s="219" t="inlineStr">
        <is>
          <t>强责</t>
        </is>
      </c>
      <c r="G347" s="222" t="inlineStr">
        <is>
          <t>吉沐牛</t>
        </is>
      </c>
      <c r="H347" s="503" t="inlineStr">
        <is>
          <t>/</t>
        </is>
      </c>
      <c r="I347" s="237" t="inlineStr">
        <is>
          <t>苏式汤面</t>
        </is>
      </c>
      <c r="J347" s="222" t="inlineStr">
        <is>
          <t>孙建平</t>
        </is>
      </c>
      <c r="K347" s="224" t="inlineStr">
        <is>
          <t>/</t>
        </is>
      </c>
      <c r="L347" s="651" t="n">
        <v>1250000</v>
      </c>
      <c r="M347" s="153" t="n">
        <v>0.25</v>
      </c>
      <c r="N347" s="67" t="inlineStr">
        <is>
          <t>/</t>
        </is>
      </c>
      <c r="O347" s="67" t="inlineStr">
        <is>
          <t>/</t>
        </is>
      </c>
      <c r="P347" s="107" t="inlineStr">
        <is>
          <t>/</t>
        </is>
      </c>
      <c r="Q347" s="107" t="inlineStr">
        <is>
          <t>/</t>
        </is>
      </c>
      <c r="R347" s="107" t="inlineStr">
        <is>
          <t>/</t>
        </is>
      </c>
      <c r="S347" s="67" t="inlineStr">
        <is>
          <t>/</t>
        </is>
      </c>
      <c r="T347" s="395" t="inlineStr">
        <is>
          <t>/</t>
        </is>
      </c>
      <c r="U347" s="63" t="inlineStr">
        <is>
          <t>/</t>
        </is>
      </c>
      <c r="V347" s="67" t="inlineStr">
        <is>
          <t>/</t>
        </is>
      </c>
      <c r="W347" s="67" t="n">
        <v>0.52</v>
      </c>
      <c r="X347" s="397" t="inlineStr">
        <is>
          <t>/</t>
        </is>
      </c>
      <c r="Y347" s="397" t="inlineStr">
        <is>
          <t>/</t>
        </is>
      </c>
      <c r="Z347" s="397" t="inlineStr">
        <is>
          <t>/</t>
        </is>
      </c>
      <c r="AA347" s="397" t="inlineStr">
        <is>
          <t>/</t>
        </is>
      </c>
      <c r="AB347" s="51" t="inlineStr">
        <is>
          <t>/</t>
        </is>
      </c>
      <c r="AC347" s="46" t="inlineStr">
        <is>
          <t>/</t>
        </is>
      </c>
      <c r="AD347" s="69" t="n"/>
      <c r="AE347" s="25" t="inlineStr">
        <is>
          <t>1、签订期间：2026.1-2026.12；
2、指标按照全年换算；</t>
        </is>
      </c>
    </row>
    <row r="348" ht="24" customFormat="1" customHeight="1" s="209">
      <c r="A348" s="219" t="n">
        <v>353</v>
      </c>
      <c r="B348" s="14" t="inlineStr">
        <is>
          <t>KQCY0353</t>
        </is>
      </c>
      <c r="C348" s="221" t="inlineStr">
        <is>
          <t>餐饮五分部</t>
        </is>
      </c>
      <c r="D348" s="221" t="inlineStr">
        <is>
          <t>CF121</t>
        </is>
      </c>
      <c r="E348" s="61" t="inlineStr">
        <is>
          <t>苏大独墅湖二食堂</t>
        </is>
      </c>
      <c r="F348" s="219" t="inlineStr">
        <is>
          <t>强责</t>
        </is>
      </c>
      <c r="G348" s="222" t="inlineStr">
        <is>
          <t>吉沐牛</t>
        </is>
      </c>
      <c r="H348" s="503" t="inlineStr">
        <is>
          <t>/</t>
        </is>
      </c>
      <c r="I348" s="237" t="inlineStr">
        <is>
          <t>烤盘饭</t>
        </is>
      </c>
      <c r="J348" s="222" t="inlineStr">
        <is>
          <t>梁宇</t>
        </is>
      </c>
      <c r="K348" s="224" t="inlineStr">
        <is>
          <t>/</t>
        </is>
      </c>
      <c r="L348" s="651" t="n">
        <v>890000</v>
      </c>
      <c r="M348" s="153" t="n">
        <v>0.25</v>
      </c>
      <c r="N348" s="67" t="inlineStr">
        <is>
          <t>/</t>
        </is>
      </c>
      <c r="O348" s="67" t="inlineStr">
        <is>
          <t>/</t>
        </is>
      </c>
      <c r="P348" s="107" t="inlineStr">
        <is>
          <t>/</t>
        </is>
      </c>
      <c r="Q348" s="107" t="inlineStr">
        <is>
          <t>/</t>
        </is>
      </c>
      <c r="R348" s="107" t="inlineStr">
        <is>
          <t>/</t>
        </is>
      </c>
      <c r="S348" s="67" t="inlineStr">
        <is>
          <t>/</t>
        </is>
      </c>
      <c r="T348" s="395" t="inlineStr">
        <is>
          <t>/</t>
        </is>
      </c>
      <c r="U348" s="63" t="inlineStr">
        <is>
          <t>/</t>
        </is>
      </c>
      <c r="V348" s="67" t="inlineStr">
        <is>
          <t>/</t>
        </is>
      </c>
      <c r="W348" s="67" t="n">
        <v>0.52</v>
      </c>
      <c r="X348" s="397" t="inlineStr">
        <is>
          <t>/</t>
        </is>
      </c>
      <c r="Y348" s="397" t="inlineStr">
        <is>
          <t>/</t>
        </is>
      </c>
      <c r="Z348" s="397" t="inlineStr">
        <is>
          <t>/</t>
        </is>
      </c>
      <c r="AA348" s="397" t="inlineStr">
        <is>
          <t>/</t>
        </is>
      </c>
      <c r="AB348" s="51" t="inlineStr">
        <is>
          <t>/</t>
        </is>
      </c>
      <c r="AC348" s="46" t="inlineStr">
        <is>
          <t>/</t>
        </is>
      </c>
      <c r="AD348" s="69" t="n"/>
      <c r="AE348" s="25" t="inlineStr">
        <is>
          <t>1、签订期间：2026.1-2026.12；
2、指标按照全年换算；</t>
        </is>
      </c>
    </row>
    <row r="349" ht="12" customFormat="1" customHeight="1" s="209">
      <c r="A349" s="219" t="n">
        <v>354</v>
      </c>
      <c r="B349" s="14" t="inlineStr">
        <is>
          <t>KQCY0354</t>
        </is>
      </c>
      <c r="C349" s="86" t="inlineStr">
        <is>
          <t>餐饮五分部</t>
        </is>
      </c>
      <c r="D349" s="86" t="inlineStr">
        <is>
          <t>CF134</t>
        </is>
      </c>
      <c r="E349" s="87" t="inlineStr">
        <is>
          <t>苏大独墅湖五食堂</t>
        </is>
      </c>
      <c r="F349" s="335" t="inlineStr">
        <is>
          <t>自营</t>
        </is>
      </c>
      <c r="G349" s="243" t="inlineStr">
        <is>
          <t>吉沐牛</t>
        </is>
      </c>
      <c r="H349" s="480" t="inlineStr">
        <is>
          <t>/</t>
        </is>
      </c>
      <c r="I349" s="335" t="inlineStr">
        <is>
          <t>/</t>
        </is>
      </c>
      <c r="J349" s="243" t="inlineStr">
        <is>
          <t>/</t>
        </is>
      </c>
      <c r="K349" s="349" t="inlineStr">
        <is>
          <t>/</t>
        </is>
      </c>
      <c r="L349" s="651" t="inlineStr">
        <is>
          <t>/</t>
        </is>
      </c>
      <c r="M349" s="349" t="inlineStr">
        <is>
          <t>/</t>
        </is>
      </c>
      <c r="N349" s="47" t="n"/>
      <c r="O349" s="349" t="inlineStr">
        <is>
          <t>/</t>
        </is>
      </c>
      <c r="P349" s="47" t="n"/>
      <c r="Q349" s="349" t="inlineStr">
        <is>
          <t>/</t>
        </is>
      </c>
      <c r="R349" s="349" t="inlineStr">
        <is>
          <t>/</t>
        </is>
      </c>
      <c r="S349" s="349" t="inlineStr">
        <is>
          <t>/</t>
        </is>
      </c>
      <c r="T349" s="47" t="n"/>
      <c r="U349" s="47" t="n"/>
      <c r="V349" s="480" t="inlineStr">
        <is>
          <t>/</t>
        </is>
      </c>
      <c r="W349" s="349" t="inlineStr">
        <is>
          <t>/</t>
        </is>
      </c>
      <c r="X349" s="480" t="inlineStr">
        <is>
          <t>/</t>
        </is>
      </c>
      <c r="Y349" s="480" t="inlineStr">
        <is>
          <t>/</t>
        </is>
      </c>
      <c r="Z349" s="44" t="n"/>
      <c r="AA349" s="44" t="n"/>
      <c r="AB349" s="46" t="n">
        <v>0.06</v>
      </c>
      <c r="AC349" s="46" t="n">
        <v>0.005</v>
      </c>
      <c r="AD349" s="48" t="inlineStr">
        <is>
          <t>1、自营未实际经营；</t>
        </is>
      </c>
      <c r="AE349" s="25" t="n"/>
    </row>
    <row r="350" ht="48" customFormat="1" customHeight="1" s="209">
      <c r="A350" s="219" t="n">
        <v>355</v>
      </c>
      <c r="B350" s="14" t="inlineStr">
        <is>
          <t>KQCY0355</t>
        </is>
      </c>
      <c r="C350" s="221" t="inlineStr">
        <is>
          <t>餐饮五分部</t>
        </is>
      </c>
      <c r="D350" s="221" t="inlineStr">
        <is>
          <t>CF134</t>
        </is>
      </c>
      <c r="E350" s="61" t="inlineStr">
        <is>
          <t>苏大独墅湖五食堂</t>
        </is>
      </c>
      <c r="F350" s="219" t="inlineStr">
        <is>
          <t>分组作业</t>
        </is>
      </c>
      <c r="G350" s="222" t="inlineStr">
        <is>
          <t>吉沐牛</t>
        </is>
      </c>
      <c r="H350" s="503" t="inlineStr">
        <is>
          <t>/</t>
        </is>
      </c>
      <c r="I350" s="237" t="inlineStr">
        <is>
          <t>快餐</t>
        </is>
      </c>
      <c r="J350" s="222" t="inlineStr">
        <is>
          <t>赵广伟</t>
        </is>
      </c>
      <c r="K350" s="224" t="inlineStr">
        <is>
          <t>/</t>
        </is>
      </c>
      <c r="L350" s="651" t="n">
        <v>1720000</v>
      </c>
      <c r="M350" s="67" t="n">
        <v>0.12</v>
      </c>
      <c r="N350" s="67" t="inlineStr">
        <is>
          <t>/</t>
        </is>
      </c>
      <c r="O350" s="67" t="inlineStr">
        <is>
          <t>/</t>
        </is>
      </c>
      <c r="P350" s="67" t="inlineStr">
        <is>
          <t>/</t>
        </is>
      </c>
      <c r="Q350" s="67" t="inlineStr">
        <is>
          <t>/</t>
        </is>
      </c>
      <c r="R350" s="67" t="inlineStr">
        <is>
          <t>/</t>
        </is>
      </c>
      <c r="S350" s="67" t="inlineStr">
        <is>
          <t>/</t>
        </is>
      </c>
      <c r="T350" s="154" t="n"/>
      <c r="U350" s="67" t="n">
        <v>0.05</v>
      </c>
      <c r="V350" s="397" t="inlineStr">
        <is>
          <t>/</t>
        </is>
      </c>
      <c r="W350" s="67" t="n">
        <v>0.52</v>
      </c>
      <c r="X350" s="397" t="inlineStr">
        <is>
          <t>/</t>
        </is>
      </c>
      <c r="Y350" s="397" t="inlineStr">
        <is>
          <t>/</t>
        </is>
      </c>
      <c r="Z350" s="397" t="inlineStr">
        <is>
          <t>/</t>
        </is>
      </c>
      <c r="AA350" s="397" t="inlineStr">
        <is>
          <t>/</t>
        </is>
      </c>
      <c r="AB350" s="51" t="inlineStr">
        <is>
          <t>/</t>
        </is>
      </c>
      <c r="AC350" s="46" t="inlineStr">
        <is>
          <t>/</t>
        </is>
      </c>
      <c r="AD350" s="69" t="inlineStr">
        <is>
          <t>1、虫害消杀：项目反馈不收取，包含在服务费中；
2、装修折旧费：项目反馈不收取，包含在服务费中；
3、甲方人员工资：项目反馈不收取，包含在服务费中；
4、甲方捐赠：项目反馈不收取，包含在服务费中；</t>
        </is>
      </c>
      <c r="AE350" s="25" t="inlineStr">
        <is>
          <t>1、签订期间：2026.1-7月；
2、指标按照全年换算；</t>
        </is>
      </c>
    </row>
    <row r="351" ht="48" customFormat="1" customHeight="1" s="209">
      <c r="A351" s="219" t="n">
        <v>356</v>
      </c>
      <c r="B351" s="14" t="inlineStr">
        <is>
          <t>KQCY0356</t>
        </is>
      </c>
      <c r="C351" s="221" t="inlineStr">
        <is>
          <t>餐饮五分部</t>
        </is>
      </c>
      <c r="D351" s="221" t="inlineStr">
        <is>
          <t>CF134</t>
        </is>
      </c>
      <c r="E351" s="61" t="inlineStr">
        <is>
          <t>苏大独墅湖五食堂</t>
        </is>
      </c>
      <c r="F351" s="219" t="inlineStr">
        <is>
          <t>分组作业</t>
        </is>
      </c>
      <c r="G351" s="222" t="inlineStr">
        <is>
          <t>吉沐牛</t>
        </is>
      </c>
      <c r="H351" s="503" t="inlineStr">
        <is>
          <t>/</t>
        </is>
      </c>
      <c r="I351" s="237" t="inlineStr">
        <is>
          <t>生烫牛肉米线</t>
        </is>
      </c>
      <c r="J351" s="222" t="inlineStr">
        <is>
          <t>胡振强</t>
        </is>
      </c>
      <c r="K351" s="224" t="inlineStr">
        <is>
          <t>/</t>
        </is>
      </c>
      <c r="L351" s="651" t="n">
        <v>820000</v>
      </c>
      <c r="M351" s="77" t="n">
        <v>0.15</v>
      </c>
      <c r="N351" s="77" t="inlineStr">
        <is>
          <t>/</t>
        </is>
      </c>
      <c r="O351" s="77" t="inlineStr">
        <is>
          <t>/</t>
        </is>
      </c>
      <c r="P351" s="77" t="inlineStr">
        <is>
          <t>/</t>
        </is>
      </c>
      <c r="Q351" s="77" t="inlineStr">
        <is>
          <t>/</t>
        </is>
      </c>
      <c r="R351" s="77" t="inlineStr">
        <is>
          <t>/</t>
        </is>
      </c>
      <c r="S351" s="77" t="inlineStr">
        <is>
          <t>/</t>
        </is>
      </c>
      <c r="T351" s="79" t="n"/>
      <c r="U351" s="77" t="n">
        <v>0.03</v>
      </c>
      <c r="V351" s="72" t="inlineStr">
        <is>
          <t>/</t>
        </is>
      </c>
      <c r="W351" s="77" t="n">
        <v>0.52</v>
      </c>
      <c r="X351" s="72" t="inlineStr">
        <is>
          <t>/</t>
        </is>
      </c>
      <c r="Y351" s="72" t="inlineStr">
        <is>
          <t>/</t>
        </is>
      </c>
      <c r="Z351" s="72" t="inlineStr">
        <is>
          <t>/</t>
        </is>
      </c>
      <c r="AA351" s="72" t="inlineStr">
        <is>
          <t>/</t>
        </is>
      </c>
      <c r="AB351" s="51" t="inlineStr">
        <is>
          <t>/</t>
        </is>
      </c>
      <c r="AC351" s="46" t="inlineStr">
        <is>
          <t>/</t>
        </is>
      </c>
      <c r="AD351" s="82" t="inlineStr">
        <is>
          <t>1、虫害消杀：项目反馈不收取，包含在服务费中；
2、装修折旧费：项目反馈不收取，包含在服务费中；
3、甲方人员工资：项目反馈不收取，包含在服务费中；
4、甲方捐赠：项目反馈不收取，包含在服务费中；</t>
        </is>
      </c>
      <c r="AE351" s="25" t="inlineStr">
        <is>
          <t>1、签订期间：2026.1-7月；
2、指标按照全年换算；</t>
        </is>
      </c>
    </row>
    <row r="352" ht="48" customFormat="1" customHeight="1" s="209">
      <c r="A352" s="219" t="n">
        <v>357</v>
      </c>
      <c r="B352" s="14" t="inlineStr">
        <is>
          <t>KQCY0357</t>
        </is>
      </c>
      <c r="C352" s="221" t="inlineStr">
        <is>
          <t>餐饮五分部</t>
        </is>
      </c>
      <c r="D352" s="221" t="inlineStr">
        <is>
          <t>CF134</t>
        </is>
      </c>
      <c r="E352" s="61" t="inlineStr">
        <is>
          <t>苏大独墅湖五食堂</t>
        </is>
      </c>
      <c r="F352" s="219" t="inlineStr">
        <is>
          <t>分组作业</t>
        </is>
      </c>
      <c r="G352" s="222" t="inlineStr">
        <is>
          <t>吉沐牛</t>
        </is>
      </c>
      <c r="H352" s="503" t="inlineStr">
        <is>
          <t>/</t>
        </is>
      </c>
      <c r="I352" s="237" t="inlineStr">
        <is>
          <t xml:space="preserve">旋转小火锅 </t>
        </is>
      </c>
      <c r="J352" s="222" t="inlineStr">
        <is>
          <t>段姗姗</t>
        </is>
      </c>
      <c r="K352" s="224" t="inlineStr">
        <is>
          <t>/</t>
        </is>
      </c>
      <c r="L352" s="651" t="n">
        <v>730000</v>
      </c>
      <c r="M352" s="77" t="n">
        <v>0.18</v>
      </c>
      <c r="N352" s="77" t="inlineStr">
        <is>
          <t>/</t>
        </is>
      </c>
      <c r="O352" s="77" t="inlineStr">
        <is>
          <t>/</t>
        </is>
      </c>
      <c r="P352" s="77" t="inlineStr">
        <is>
          <t>/</t>
        </is>
      </c>
      <c r="Q352" s="77" t="inlineStr">
        <is>
          <t>/</t>
        </is>
      </c>
      <c r="R352" s="77" t="inlineStr">
        <is>
          <t>/</t>
        </is>
      </c>
      <c r="S352" s="77" t="inlineStr">
        <is>
          <t>/</t>
        </is>
      </c>
      <c r="T352" s="79" t="n"/>
      <c r="U352" s="77" t="n">
        <v>0.04</v>
      </c>
      <c r="V352" s="71" t="inlineStr">
        <is>
          <t>/</t>
        </is>
      </c>
      <c r="W352" s="77" t="n">
        <v>0.52</v>
      </c>
      <c r="X352" s="72" t="inlineStr">
        <is>
          <t>/</t>
        </is>
      </c>
      <c r="Y352" s="72" t="inlineStr">
        <is>
          <t>/</t>
        </is>
      </c>
      <c r="Z352" s="72" t="inlineStr">
        <is>
          <t>/</t>
        </is>
      </c>
      <c r="AA352" s="72" t="inlineStr">
        <is>
          <t>/</t>
        </is>
      </c>
      <c r="AB352" s="51" t="inlineStr">
        <is>
          <t>/</t>
        </is>
      </c>
      <c r="AC352" s="46" t="inlineStr">
        <is>
          <t>/</t>
        </is>
      </c>
      <c r="AD352" s="82" t="inlineStr">
        <is>
          <t>1、虫害消杀：项目反馈不收取，包含在服务费中；
2、装修折旧费：项目反馈不收取，包含在服务费中；
3、甲方人员工资：项目反馈不收取，包含在服务费中；
4、甲方捐赠：项目反馈不收取，包含在服务费中；</t>
        </is>
      </c>
      <c r="AE352" s="25" t="inlineStr">
        <is>
          <t>1、签订期间：2026.1-7月；
2、指标按照全年换算；</t>
        </is>
      </c>
    </row>
    <row r="353" ht="12" customFormat="1" customHeight="1" s="209">
      <c r="A353" s="219" t="n">
        <v>358</v>
      </c>
      <c r="B353" s="14" t="inlineStr">
        <is>
          <t>KQCY0358</t>
        </is>
      </c>
      <c r="C353" s="221" t="n"/>
      <c r="D353" s="221" t="n"/>
      <c r="E353" s="61" t="inlineStr">
        <is>
          <t>苏大独墅湖五食堂</t>
        </is>
      </c>
      <c r="F353" s="219" t="inlineStr">
        <is>
          <t>分组作业</t>
        </is>
      </c>
      <c r="G353" s="222" t="inlineStr">
        <is>
          <t>吉沐牛</t>
        </is>
      </c>
      <c r="H353" s="480" t="inlineStr">
        <is>
          <t>/</t>
        </is>
      </c>
      <c r="I353" s="237" t="inlineStr">
        <is>
          <t>巴比馒头</t>
        </is>
      </c>
      <c r="J353" s="222" t="inlineStr">
        <is>
          <t>赵玉磊</t>
        </is>
      </c>
      <c r="K353" s="224" t="n"/>
      <c r="L353" s="651" t="n"/>
      <c r="M353" s="77" t="n"/>
      <c r="N353" s="77" t="n"/>
      <c r="O353" s="77" t="n"/>
      <c r="P353" s="77" t="n"/>
      <c r="Q353" s="77" t="n"/>
      <c r="R353" s="77" t="n"/>
      <c r="S353" s="77" t="n"/>
      <c r="T353" s="79" t="n"/>
      <c r="U353" s="77" t="n"/>
      <c r="V353" s="71" t="n"/>
      <c r="W353" s="77" t="n"/>
      <c r="X353" s="72" t="n"/>
      <c r="Y353" s="72" t="n"/>
      <c r="Z353" s="72" t="n"/>
      <c r="AA353" s="72" t="n"/>
      <c r="AB353" s="51" t="n"/>
      <c r="AC353" s="46" t="n"/>
      <c r="AD353" s="82" t="n"/>
      <c r="AE353" s="25" t="n"/>
    </row>
    <row r="354" ht="48" customFormat="1" customHeight="1" s="209">
      <c r="A354" s="219" t="n">
        <v>359</v>
      </c>
      <c r="B354" s="14" t="inlineStr">
        <is>
          <t>KQCY0359</t>
        </is>
      </c>
      <c r="C354" s="221" t="inlineStr">
        <is>
          <t>餐饮五分部</t>
        </is>
      </c>
      <c r="D354" s="221" t="inlineStr">
        <is>
          <t>CF134</t>
        </is>
      </c>
      <c r="E354" s="61" t="inlineStr">
        <is>
          <t>苏大独墅湖五食堂</t>
        </is>
      </c>
      <c r="F354" s="219" t="inlineStr">
        <is>
          <t>分组作业</t>
        </is>
      </c>
      <c r="G354" s="222" t="inlineStr">
        <is>
          <t>吉沐牛</t>
        </is>
      </c>
      <c r="H354" s="503" t="inlineStr">
        <is>
          <t>/</t>
        </is>
      </c>
      <c r="I354" s="237" t="inlineStr">
        <is>
          <t>北京烤鸭</t>
        </is>
      </c>
      <c r="J354" s="222" t="inlineStr">
        <is>
          <t>韩少卫</t>
        </is>
      </c>
      <c r="K354" s="224" t="inlineStr">
        <is>
          <t>/</t>
        </is>
      </c>
      <c r="L354" s="651" t="n">
        <v>670000</v>
      </c>
      <c r="M354" s="77" t="n">
        <v>0.18</v>
      </c>
      <c r="N354" s="77" t="inlineStr">
        <is>
          <t>/</t>
        </is>
      </c>
      <c r="O354" s="77" t="inlineStr">
        <is>
          <t>/</t>
        </is>
      </c>
      <c r="P354" s="77" t="inlineStr">
        <is>
          <t>/</t>
        </is>
      </c>
      <c r="Q354" s="77" t="inlineStr">
        <is>
          <t>/</t>
        </is>
      </c>
      <c r="R354" s="77" t="inlineStr">
        <is>
          <t>/</t>
        </is>
      </c>
      <c r="S354" s="77" t="inlineStr">
        <is>
          <t>/</t>
        </is>
      </c>
      <c r="T354" s="79" t="n"/>
      <c r="U354" s="77" t="n">
        <v>0.05</v>
      </c>
      <c r="V354" s="71" t="inlineStr">
        <is>
          <t>/</t>
        </is>
      </c>
      <c r="W354" s="77" t="n">
        <v>0.52</v>
      </c>
      <c r="X354" s="72" t="inlineStr">
        <is>
          <t>/</t>
        </is>
      </c>
      <c r="Y354" s="72" t="inlineStr">
        <is>
          <t>/</t>
        </is>
      </c>
      <c r="Z354" s="72" t="inlineStr">
        <is>
          <t>/</t>
        </is>
      </c>
      <c r="AA354" s="72" t="inlineStr">
        <is>
          <t>/</t>
        </is>
      </c>
      <c r="AB354" s="51" t="inlineStr">
        <is>
          <t>/</t>
        </is>
      </c>
      <c r="AC354" s="46" t="inlineStr">
        <is>
          <t>/</t>
        </is>
      </c>
      <c r="AD354" s="82" t="inlineStr">
        <is>
          <t>1、虫害消杀：项目反馈不收取，包含在服务费中；
2、装修折旧费：项目反馈不收取，包含在服务费中；
3、甲方人员工资：项目反馈不收取，包含在服务费中；
4、甲方捐赠：项目反馈不收取，包含在服务费中；</t>
        </is>
      </c>
      <c r="AE354" s="25" t="inlineStr">
        <is>
          <t>1、签订期间：2026.1-7月；
2、指标按照全年换算；</t>
        </is>
      </c>
    </row>
    <row r="355" ht="48" customFormat="1" customHeight="1" s="209">
      <c r="A355" s="219" t="n">
        <v>360</v>
      </c>
      <c r="B355" s="14" t="inlineStr">
        <is>
          <t>KQCY0360</t>
        </is>
      </c>
      <c r="C355" s="221" t="inlineStr">
        <is>
          <t>餐饮五分部</t>
        </is>
      </c>
      <c r="D355" s="221" t="inlineStr">
        <is>
          <t>CF134</t>
        </is>
      </c>
      <c r="E355" s="61" t="inlineStr">
        <is>
          <t>苏大独墅湖五食堂</t>
        </is>
      </c>
      <c r="F355" s="219" t="inlineStr">
        <is>
          <t>分组作业</t>
        </is>
      </c>
      <c r="G355" s="222" t="inlineStr">
        <is>
          <t>吉沐牛</t>
        </is>
      </c>
      <c r="H355" s="503" t="inlineStr">
        <is>
          <t>/</t>
        </is>
      </c>
      <c r="I355" s="237" t="inlineStr">
        <is>
          <t>山东炒鸡</t>
        </is>
      </c>
      <c r="J355" s="222" t="inlineStr">
        <is>
          <t>马明华</t>
        </is>
      </c>
      <c r="K355" s="224" t="inlineStr">
        <is>
          <t>/</t>
        </is>
      </c>
      <c r="L355" s="651" t="n">
        <v>770000</v>
      </c>
      <c r="M355" s="77" t="n">
        <v>0.18</v>
      </c>
      <c r="N355" s="77" t="inlineStr">
        <is>
          <t>/</t>
        </is>
      </c>
      <c r="O355" s="77" t="inlineStr">
        <is>
          <t>/</t>
        </is>
      </c>
      <c r="P355" s="77" t="inlineStr">
        <is>
          <t>/</t>
        </is>
      </c>
      <c r="Q355" s="77" t="inlineStr">
        <is>
          <t>/</t>
        </is>
      </c>
      <c r="R355" s="77" t="inlineStr">
        <is>
          <t>/</t>
        </is>
      </c>
      <c r="S355" s="77" t="inlineStr">
        <is>
          <t>/</t>
        </is>
      </c>
      <c r="T355" s="79" t="n"/>
      <c r="U355" s="77" t="n">
        <v>0.05</v>
      </c>
      <c r="V355" s="71" t="inlineStr">
        <is>
          <t>/</t>
        </is>
      </c>
      <c r="W355" s="77" t="n">
        <v>0.52</v>
      </c>
      <c r="X355" s="72" t="inlineStr">
        <is>
          <t>/</t>
        </is>
      </c>
      <c r="Y355" s="72" t="inlineStr">
        <is>
          <t>/</t>
        </is>
      </c>
      <c r="Z355" s="72" t="inlineStr">
        <is>
          <t>/</t>
        </is>
      </c>
      <c r="AA355" s="72" t="inlineStr">
        <is>
          <t>/</t>
        </is>
      </c>
      <c r="AB355" s="51" t="inlineStr">
        <is>
          <t>/</t>
        </is>
      </c>
      <c r="AC355" s="46" t="inlineStr">
        <is>
          <t>/</t>
        </is>
      </c>
      <c r="AD355" s="82" t="inlineStr">
        <is>
          <t>1、虫害消杀：项目反馈不收取，包含在服务费中；
2、装修折旧费：项目反馈不收取，包含在服务费中；
3、甲方人员工资：项目反馈不收取，包含在服务费中；
4、甲方捐赠：项目反馈不收取，包含在服务费中；</t>
        </is>
      </c>
      <c r="AE355" s="25" t="inlineStr">
        <is>
          <t>1、签订期间：2026.1-7月；
2、指标按照全年换算；</t>
        </is>
      </c>
    </row>
    <row r="356" ht="48" customFormat="1" customHeight="1" s="209">
      <c r="A356" s="219" t="n">
        <v>361</v>
      </c>
      <c r="B356" s="14" t="inlineStr">
        <is>
          <t>KQCY0361</t>
        </is>
      </c>
      <c r="C356" s="221" t="inlineStr">
        <is>
          <t>餐饮五分部</t>
        </is>
      </c>
      <c r="D356" s="221" t="inlineStr">
        <is>
          <t>CF134</t>
        </is>
      </c>
      <c r="E356" s="61" t="inlineStr">
        <is>
          <t>苏大独墅湖五食堂</t>
        </is>
      </c>
      <c r="F356" s="219" t="inlineStr">
        <is>
          <t>分组作业</t>
        </is>
      </c>
      <c r="G356" s="222" t="inlineStr">
        <is>
          <t>吉沐牛</t>
        </is>
      </c>
      <c r="H356" s="503" t="inlineStr">
        <is>
          <t>/</t>
        </is>
      </c>
      <c r="I356" s="237" t="inlineStr">
        <is>
          <t>拌饭(套餐饭)</t>
        </is>
      </c>
      <c r="J356" s="222" t="inlineStr">
        <is>
          <t>刘兆安</t>
        </is>
      </c>
      <c r="K356" s="224" t="inlineStr">
        <is>
          <t>/</t>
        </is>
      </c>
      <c r="L356" s="651" t="n">
        <v>1480000</v>
      </c>
      <c r="M356" s="77" t="n">
        <v>0.18</v>
      </c>
      <c r="N356" s="77" t="inlineStr">
        <is>
          <t>/</t>
        </is>
      </c>
      <c r="O356" s="77" t="inlineStr">
        <is>
          <t>/</t>
        </is>
      </c>
      <c r="P356" s="77" t="inlineStr">
        <is>
          <t>/</t>
        </is>
      </c>
      <c r="Q356" s="77" t="inlineStr">
        <is>
          <t>/</t>
        </is>
      </c>
      <c r="R356" s="77" t="inlineStr">
        <is>
          <t>/</t>
        </is>
      </c>
      <c r="S356" s="77" t="inlineStr">
        <is>
          <t>/</t>
        </is>
      </c>
      <c r="T356" s="79" t="n"/>
      <c r="U356" s="84" t="n">
        <v>0.05</v>
      </c>
      <c r="V356" s="71" t="inlineStr">
        <is>
          <t>/</t>
        </is>
      </c>
      <c r="W356" s="157" t="n">
        <v>0.52</v>
      </c>
      <c r="X356" s="72" t="inlineStr">
        <is>
          <t>/</t>
        </is>
      </c>
      <c r="Y356" s="72" t="inlineStr">
        <is>
          <t>/</t>
        </is>
      </c>
      <c r="Z356" s="72" t="inlineStr">
        <is>
          <t>/</t>
        </is>
      </c>
      <c r="AA356" s="72" t="inlineStr">
        <is>
          <t>/</t>
        </is>
      </c>
      <c r="AB356" s="51" t="inlineStr">
        <is>
          <t>/</t>
        </is>
      </c>
      <c r="AC356" s="46" t="inlineStr">
        <is>
          <t>/</t>
        </is>
      </c>
      <c r="AD356" s="82" t="inlineStr">
        <is>
          <t>1、虫害消杀：项目反馈不收取，包含在服务费中；
2、装修折旧费：项目反馈不收取，包含在服务费中；
3、甲方人员工资：项目反馈不收取，包含在服务费中；
4、甲方捐赠：项目反馈不收取，包含在服务费中；</t>
        </is>
      </c>
      <c r="AE356" s="25" t="inlineStr">
        <is>
          <t>1、签订期间：2026.1-7月；
2、指标按照全年换算；</t>
        </is>
      </c>
    </row>
    <row r="357" ht="48" customFormat="1" customHeight="1" s="209">
      <c r="A357" s="219" t="n">
        <v>362</v>
      </c>
      <c r="B357" s="14" t="inlineStr">
        <is>
          <t>KQCY0362</t>
        </is>
      </c>
      <c r="C357" s="221" t="inlineStr">
        <is>
          <t>餐饮五分部</t>
        </is>
      </c>
      <c r="D357" s="221" t="inlineStr">
        <is>
          <t>CF134</t>
        </is>
      </c>
      <c r="E357" s="61" t="inlineStr">
        <is>
          <t>苏大独墅湖五食堂</t>
        </is>
      </c>
      <c r="F357" s="219" t="inlineStr">
        <is>
          <t>分组作业</t>
        </is>
      </c>
      <c r="G357" s="222" t="inlineStr">
        <is>
          <t>吉沐牛</t>
        </is>
      </c>
      <c r="H357" s="503" t="inlineStr">
        <is>
          <t>/</t>
        </is>
      </c>
      <c r="I357" s="237" t="inlineStr">
        <is>
          <t>辣椒炒肉</t>
        </is>
      </c>
      <c r="J357" s="222" t="inlineStr">
        <is>
          <t>李美蓉</t>
        </is>
      </c>
      <c r="K357" s="224" t="inlineStr">
        <is>
          <t>/</t>
        </is>
      </c>
      <c r="L357" s="651" t="n">
        <v>680000</v>
      </c>
      <c r="M357" s="77" t="n">
        <v>0.18</v>
      </c>
      <c r="N357" s="77" t="inlineStr">
        <is>
          <t>/</t>
        </is>
      </c>
      <c r="O357" s="77" t="inlineStr">
        <is>
          <t>/</t>
        </is>
      </c>
      <c r="P357" s="77" t="inlineStr">
        <is>
          <t>/</t>
        </is>
      </c>
      <c r="Q357" s="77" t="inlineStr">
        <is>
          <t>/</t>
        </is>
      </c>
      <c r="R357" s="77" t="inlineStr">
        <is>
          <t>/</t>
        </is>
      </c>
      <c r="S357" s="77" t="inlineStr">
        <is>
          <t>/</t>
        </is>
      </c>
      <c r="T357" s="79" t="n"/>
      <c r="U357" s="84" t="n">
        <v>0.05</v>
      </c>
      <c r="V357" s="158" t="inlineStr">
        <is>
          <t>/</t>
        </is>
      </c>
      <c r="W357" s="77" t="n">
        <v>0.52</v>
      </c>
      <c r="X357" s="159" t="inlineStr">
        <is>
          <t>/</t>
        </is>
      </c>
      <c r="Y357" s="72" t="inlineStr">
        <is>
          <t>/</t>
        </is>
      </c>
      <c r="Z357" s="72" t="inlineStr">
        <is>
          <t>/</t>
        </is>
      </c>
      <c r="AA357" s="72" t="inlineStr">
        <is>
          <t>/</t>
        </is>
      </c>
      <c r="AB357" s="51" t="inlineStr">
        <is>
          <t>/</t>
        </is>
      </c>
      <c r="AC357" s="46" t="inlineStr">
        <is>
          <t>/</t>
        </is>
      </c>
      <c r="AD357" s="82" t="inlineStr">
        <is>
          <t>1、虫害消杀：项目反馈不收取，包含在服务费中；
2、装修折旧费：项目反馈不收取，包含在服务费中；
3、甲方人员工资：项目反馈不收取，包含在服务费中；
4、甲方捐赠：项目反馈不收取，包含在服务费中；</t>
        </is>
      </c>
      <c r="AE357" s="25" t="inlineStr">
        <is>
          <t>1、签订期间：2026.1-7月；
2、指标按照全年换算；</t>
        </is>
      </c>
    </row>
    <row r="358" ht="48" customFormat="1" customHeight="1" s="209">
      <c r="A358" s="219" t="n">
        <v>363</v>
      </c>
      <c r="B358" s="14" t="inlineStr">
        <is>
          <t>KQCY0363</t>
        </is>
      </c>
      <c r="C358" s="221" t="inlineStr">
        <is>
          <t>餐饮五分部</t>
        </is>
      </c>
      <c r="D358" s="221" t="inlineStr">
        <is>
          <t>CF134</t>
        </is>
      </c>
      <c r="E358" s="61" t="inlineStr">
        <is>
          <t>苏大独墅湖五食堂</t>
        </is>
      </c>
      <c r="F358" s="219" t="inlineStr">
        <is>
          <t>分组作业</t>
        </is>
      </c>
      <c r="G358" s="222" t="inlineStr">
        <is>
          <t>吉沐牛</t>
        </is>
      </c>
      <c r="H358" s="503" t="inlineStr">
        <is>
          <t>/</t>
        </is>
      </c>
      <c r="I358" s="237" t="inlineStr">
        <is>
          <t>手工水饺</t>
        </is>
      </c>
      <c r="J358" s="222" t="inlineStr">
        <is>
          <t>王光芬</t>
        </is>
      </c>
      <c r="K358" s="224" t="inlineStr">
        <is>
          <t>/</t>
        </is>
      </c>
      <c r="L358" s="651" t="n">
        <v>780000</v>
      </c>
      <c r="M358" s="77" t="n">
        <v>0.18</v>
      </c>
      <c r="N358" s="77" t="inlineStr">
        <is>
          <t>/</t>
        </is>
      </c>
      <c r="O358" s="77" t="inlineStr">
        <is>
          <t>/</t>
        </is>
      </c>
      <c r="P358" s="77" t="inlineStr">
        <is>
          <t>/</t>
        </is>
      </c>
      <c r="Q358" s="77" t="inlineStr">
        <is>
          <t>/</t>
        </is>
      </c>
      <c r="R358" s="77" t="inlineStr">
        <is>
          <t>/</t>
        </is>
      </c>
      <c r="S358" s="77" t="inlineStr">
        <is>
          <t>/</t>
        </is>
      </c>
      <c r="T358" s="79" t="n"/>
      <c r="U358" s="84" t="n">
        <v>0.04</v>
      </c>
      <c r="V358" s="158" t="inlineStr">
        <is>
          <t>/</t>
        </is>
      </c>
      <c r="W358" s="77" t="n">
        <v>0.52</v>
      </c>
      <c r="X358" s="159" t="inlineStr">
        <is>
          <t>/</t>
        </is>
      </c>
      <c r="Y358" s="72" t="inlineStr">
        <is>
          <t>/</t>
        </is>
      </c>
      <c r="Z358" s="72" t="inlineStr">
        <is>
          <t>/</t>
        </is>
      </c>
      <c r="AA358" s="72" t="inlineStr">
        <is>
          <t>/</t>
        </is>
      </c>
      <c r="AB358" s="51" t="inlineStr">
        <is>
          <t>/</t>
        </is>
      </c>
      <c r="AC358" s="46" t="inlineStr">
        <is>
          <t>/</t>
        </is>
      </c>
      <c r="AD358" s="82" t="inlineStr">
        <is>
          <t>1、虫害消杀：项目反馈不收取，包含在服务费中；
2、装修折旧费：项目反馈不收取，包含在服务费中；
3、甲方人员工资：项目反馈不收取，包含在服务费中；
4、甲方捐赠：项目反馈不收取，包含在服务费中；</t>
        </is>
      </c>
      <c r="AE358" s="25" t="inlineStr">
        <is>
          <t>1、签订期间：2026.1-7月；
2、指标按照全年换算；</t>
        </is>
      </c>
    </row>
    <row r="359" ht="48" customFormat="1" customHeight="1" s="209">
      <c r="A359" s="219" t="n">
        <v>364</v>
      </c>
      <c r="B359" s="14" t="inlineStr">
        <is>
          <t>KQCY0364</t>
        </is>
      </c>
      <c r="C359" s="221" t="inlineStr">
        <is>
          <t>餐饮五分部</t>
        </is>
      </c>
      <c r="D359" s="221" t="inlineStr">
        <is>
          <t>CF134</t>
        </is>
      </c>
      <c r="E359" s="61" t="inlineStr">
        <is>
          <t>苏大独墅湖五食堂</t>
        </is>
      </c>
      <c r="F359" s="219" t="inlineStr">
        <is>
          <t>分组作业</t>
        </is>
      </c>
      <c r="G359" s="222" t="inlineStr">
        <is>
          <t>吉沐牛</t>
        </is>
      </c>
      <c r="H359" s="503" t="inlineStr">
        <is>
          <t>/</t>
        </is>
      </c>
      <c r="I359" s="237" t="inlineStr">
        <is>
          <t>刀削面</t>
        </is>
      </c>
      <c r="J359" s="222" t="inlineStr">
        <is>
          <t>刘红东</t>
        </is>
      </c>
      <c r="K359" s="224" t="inlineStr">
        <is>
          <t>/</t>
        </is>
      </c>
      <c r="L359" s="651" t="n">
        <v>720000</v>
      </c>
      <c r="M359" s="77" t="n">
        <v>0.18</v>
      </c>
      <c r="N359" s="77" t="inlineStr">
        <is>
          <t>/</t>
        </is>
      </c>
      <c r="O359" s="77" t="inlineStr">
        <is>
          <t>/</t>
        </is>
      </c>
      <c r="P359" s="77" t="inlineStr">
        <is>
          <t>/</t>
        </is>
      </c>
      <c r="Q359" s="77" t="inlineStr">
        <is>
          <t>/</t>
        </is>
      </c>
      <c r="R359" s="77" t="inlineStr">
        <is>
          <t>/</t>
        </is>
      </c>
      <c r="S359" s="77" t="inlineStr">
        <is>
          <t>/</t>
        </is>
      </c>
      <c r="T359" s="79" t="n"/>
      <c r="U359" s="84" t="n">
        <v>0.05</v>
      </c>
      <c r="V359" s="158" t="inlineStr">
        <is>
          <t>/</t>
        </is>
      </c>
      <c r="W359" s="77" t="n">
        <v>0.52</v>
      </c>
      <c r="X359" s="159" t="inlineStr">
        <is>
          <t>/</t>
        </is>
      </c>
      <c r="Y359" s="72" t="inlineStr">
        <is>
          <t>/</t>
        </is>
      </c>
      <c r="Z359" s="72" t="inlineStr">
        <is>
          <t>/</t>
        </is>
      </c>
      <c r="AA359" s="72" t="inlineStr">
        <is>
          <t>/</t>
        </is>
      </c>
      <c r="AB359" s="51" t="inlineStr">
        <is>
          <t>/</t>
        </is>
      </c>
      <c r="AC359" s="46" t="inlineStr">
        <is>
          <t>/</t>
        </is>
      </c>
      <c r="AD359" s="82" t="inlineStr">
        <is>
          <t>1、虫害消杀：项目反馈不收取，包含在服务费中；
2、装修折旧费：项目反馈不收取，包含在服务费中；
3、甲方人员工资：项目反馈不收取，包含在服务费中；
4、甲方捐赠：项目反馈不收取，包含在服务费中；</t>
        </is>
      </c>
      <c r="AE359" s="25" t="inlineStr">
        <is>
          <t>1、签订期间：2026.1-7月；
2、指标按照全年换算；</t>
        </is>
      </c>
    </row>
    <row r="360" ht="48" customFormat="1" customHeight="1" s="209">
      <c r="A360" s="219" t="n">
        <v>365</v>
      </c>
      <c r="B360" s="14" t="inlineStr">
        <is>
          <t>KQCY0365</t>
        </is>
      </c>
      <c r="C360" s="221" t="inlineStr">
        <is>
          <t>餐饮五分部</t>
        </is>
      </c>
      <c r="D360" s="221" t="inlineStr">
        <is>
          <t>CF134</t>
        </is>
      </c>
      <c r="E360" s="61" t="inlineStr">
        <is>
          <t>苏大独墅湖五食堂</t>
        </is>
      </c>
      <c r="F360" s="219" t="inlineStr">
        <is>
          <t>分组作业</t>
        </is>
      </c>
      <c r="G360" s="222" t="inlineStr">
        <is>
          <t>吉沐牛</t>
        </is>
      </c>
      <c r="H360" s="503" t="inlineStr">
        <is>
          <t>/</t>
        </is>
      </c>
      <c r="I360" s="237" t="inlineStr">
        <is>
          <t>奶茶、炸鸡</t>
        </is>
      </c>
      <c r="J360" s="222" t="inlineStr">
        <is>
          <t>张斌</t>
        </is>
      </c>
      <c r="K360" s="224" t="inlineStr">
        <is>
          <t>/</t>
        </is>
      </c>
      <c r="L360" s="651" t="n">
        <v>1100000</v>
      </c>
      <c r="M360" s="77" t="n">
        <v>0.1</v>
      </c>
      <c r="N360" s="77" t="inlineStr">
        <is>
          <t>/</t>
        </is>
      </c>
      <c r="O360" s="77" t="inlineStr">
        <is>
          <t>/</t>
        </is>
      </c>
      <c r="P360" s="77" t="inlineStr">
        <is>
          <t>/</t>
        </is>
      </c>
      <c r="Q360" s="77" t="inlineStr">
        <is>
          <t>/</t>
        </is>
      </c>
      <c r="R360" s="77" t="inlineStr">
        <is>
          <t>/</t>
        </is>
      </c>
      <c r="S360" s="77" t="inlineStr">
        <is>
          <t>/</t>
        </is>
      </c>
      <c r="T360" s="79" t="n"/>
      <c r="U360" s="84" t="n">
        <v>0.03</v>
      </c>
      <c r="V360" s="158" t="inlineStr">
        <is>
          <t>/</t>
        </is>
      </c>
      <c r="W360" s="77" t="n">
        <v>0.52</v>
      </c>
      <c r="X360" s="159" t="inlineStr">
        <is>
          <t>/</t>
        </is>
      </c>
      <c r="Y360" s="72" t="inlineStr">
        <is>
          <t>/</t>
        </is>
      </c>
      <c r="Z360" s="72" t="inlineStr">
        <is>
          <t>/</t>
        </is>
      </c>
      <c r="AA360" s="72" t="inlineStr">
        <is>
          <t>/</t>
        </is>
      </c>
      <c r="AB360" s="51" t="inlineStr">
        <is>
          <t>/</t>
        </is>
      </c>
      <c r="AC360" s="46" t="inlineStr">
        <is>
          <t>/</t>
        </is>
      </c>
      <c r="AD360" s="82" t="inlineStr">
        <is>
          <t>1、虫害消杀：项目反馈不收取，包含在服务费中；
2、装修折旧费：项目反馈不收取，包含在服务费中；
3、甲方人员工资：项目反馈不收取，包含在服务费中；
4、甲方捐赠：项目反馈不收取，包含在服务费中；</t>
        </is>
      </c>
      <c r="AE360" s="25" t="inlineStr">
        <is>
          <t>1、签订期间：2026.1-7月；
2、指标按照全年换算；</t>
        </is>
      </c>
    </row>
    <row r="361" ht="12" customFormat="1" customHeight="1" s="209">
      <c r="A361" s="219" t="n">
        <v>366</v>
      </c>
      <c r="B361" s="14" t="inlineStr">
        <is>
          <t>KQCY0366</t>
        </is>
      </c>
      <c r="C361" s="221" t="inlineStr">
        <is>
          <t>餐饮六分部</t>
        </is>
      </c>
      <c r="D361" s="221" t="inlineStr">
        <is>
          <t>CF293</t>
        </is>
      </c>
      <c r="E361" s="61" t="inlineStr">
        <is>
          <t>江苏二师石湫校区食堂</t>
        </is>
      </c>
      <c r="F361" s="219" t="inlineStr">
        <is>
          <t>自营</t>
        </is>
      </c>
      <c r="G361" s="222" t="inlineStr">
        <is>
          <t>吉沐牛</t>
        </is>
      </c>
      <c r="H361" s="222" t="inlineStr">
        <is>
          <t>/</t>
        </is>
      </c>
      <c r="I361" s="237" t="inlineStr">
        <is>
          <t>/</t>
        </is>
      </c>
      <c r="J361" s="222" t="inlineStr">
        <is>
          <t>/</t>
        </is>
      </c>
      <c r="K361" s="224" t="inlineStr">
        <is>
          <t>/</t>
        </is>
      </c>
      <c r="L361" s="651" t="inlineStr">
        <is>
          <t>/</t>
        </is>
      </c>
      <c r="M361" s="77" t="inlineStr">
        <is>
          <t>/</t>
        </is>
      </c>
      <c r="N361" s="78" t="n"/>
      <c r="O361" s="77" t="inlineStr">
        <is>
          <t>/</t>
        </is>
      </c>
      <c r="P361" s="78" t="n"/>
      <c r="Q361" s="77" t="inlineStr">
        <is>
          <t>/</t>
        </is>
      </c>
      <c r="R361" s="77" t="inlineStr">
        <is>
          <t>/</t>
        </is>
      </c>
      <c r="S361" s="77" t="inlineStr">
        <is>
          <t>/</t>
        </is>
      </c>
      <c r="T361" s="78" t="n"/>
      <c r="U361" s="78" t="n"/>
      <c r="V361" s="160" t="inlineStr">
        <is>
          <t>/</t>
        </is>
      </c>
      <c r="W361" s="161" t="n"/>
      <c r="X361" s="162" t="n">
        <v>0.03</v>
      </c>
      <c r="Y361" s="72" t="inlineStr">
        <is>
          <t>/</t>
        </is>
      </c>
      <c r="Z361" s="80" t="n"/>
      <c r="AA361" s="80" t="n"/>
      <c r="AB361" s="46" t="n">
        <v>0.045</v>
      </c>
      <c r="AC361" s="46" t="inlineStr">
        <is>
          <t>/</t>
        </is>
      </c>
      <c r="AD361" s="76" t="n"/>
      <c r="AE361" s="25" t="n"/>
    </row>
    <row r="362" ht="48" customFormat="1" customHeight="1" s="209">
      <c r="A362" s="219" t="n">
        <v>367</v>
      </c>
      <c r="B362" s="14" t="inlineStr">
        <is>
          <t>KQCY0367</t>
        </is>
      </c>
      <c r="C362" s="221" t="inlineStr">
        <is>
          <t>餐饮六分部</t>
        </is>
      </c>
      <c r="D362" s="221" t="inlineStr">
        <is>
          <t>CF293</t>
        </is>
      </c>
      <c r="E362" s="61" t="inlineStr">
        <is>
          <t>江苏二师石湫校区食堂</t>
        </is>
      </c>
      <c r="F362" s="219" t="inlineStr">
        <is>
          <t>分组作业</t>
        </is>
      </c>
      <c r="G362" s="222" t="inlineStr">
        <is>
          <t>吉沐牛</t>
        </is>
      </c>
      <c r="H362" s="219" t="inlineStr">
        <is>
          <t>第二班组</t>
        </is>
      </c>
      <c r="I362" s="237" t="inlineStr">
        <is>
          <t>水饺面条</t>
        </is>
      </c>
      <c r="J362" s="143" t="inlineStr">
        <is>
          <t>申亮</t>
        </is>
      </c>
      <c r="K362" s="224" t="inlineStr">
        <is>
          <t>/</t>
        </is>
      </c>
      <c r="L362" s="651" t="n">
        <v>375000</v>
      </c>
      <c r="M362" s="84" t="n">
        <v>0.19</v>
      </c>
      <c r="N362" s="77" t="inlineStr">
        <is>
          <t>/</t>
        </is>
      </c>
      <c r="O362" s="77" t="inlineStr">
        <is>
          <t>/</t>
        </is>
      </c>
      <c r="P362" s="81" t="inlineStr">
        <is>
          <t>/</t>
        </is>
      </c>
      <c r="Q362" s="81" t="inlineStr">
        <is>
          <t>/</t>
        </is>
      </c>
      <c r="R362" s="81" t="inlineStr">
        <is>
          <t>/</t>
        </is>
      </c>
      <c r="S362" s="71" t="inlineStr">
        <is>
          <t>/</t>
        </is>
      </c>
      <c r="T362" s="81" t="n">
        <v>0.035</v>
      </c>
      <c r="U362" s="70" t="n">
        <v>0.055</v>
      </c>
      <c r="V362" s="71" t="inlineStr">
        <is>
          <t>/</t>
        </is>
      </c>
      <c r="W362" s="163" t="n">
        <v>0.2</v>
      </c>
      <c r="X362" s="77" t="inlineStr">
        <is>
          <t>/</t>
        </is>
      </c>
      <c r="Y362" s="72" t="inlineStr">
        <is>
          <t>/</t>
        </is>
      </c>
      <c r="Z362" s="72" t="inlineStr">
        <is>
          <t>/</t>
        </is>
      </c>
      <c r="AA362" s="72" t="inlineStr">
        <is>
          <t>/</t>
        </is>
      </c>
      <c r="AB362" s="46" t="inlineStr">
        <is>
          <t>/</t>
        </is>
      </c>
      <c r="AC362" s="46" t="inlineStr">
        <is>
          <t>/</t>
        </is>
      </c>
      <c r="AD362" s="76" t="inlineStr">
        <is>
          <t>1、装修折旧费：项目反馈不收取，包含在服务费中；
2、甲方管理费：项目反馈不收取，包含在服务费中；
3、甲方人员工资：项目反馈不收取，包含在服务费中；
4、甲方捐赠：项目反馈不收取，包含在服务费中；</t>
        </is>
      </c>
      <c r="AE362" s="25" t="inlineStr">
        <is>
          <t>1、签订期间：2026.3-2027.2月；
2、指标按照全年换算；</t>
        </is>
      </c>
    </row>
    <row r="363" ht="48" customFormat="1" customHeight="1" s="209">
      <c r="A363" s="219" t="n">
        <v>368</v>
      </c>
      <c r="B363" s="14" t="inlineStr">
        <is>
          <t>KQCY0368</t>
        </is>
      </c>
      <c r="C363" s="221" t="inlineStr">
        <is>
          <t>餐饮六分部</t>
        </is>
      </c>
      <c r="D363" s="221" t="inlineStr">
        <is>
          <t>CF293</t>
        </is>
      </c>
      <c r="E363" s="61" t="inlineStr">
        <is>
          <t>江苏二师石湫校区食堂</t>
        </is>
      </c>
      <c r="F363" s="219" t="inlineStr">
        <is>
          <t>分组作业</t>
        </is>
      </c>
      <c r="G363" s="222" t="inlineStr">
        <is>
          <t>吉沐牛</t>
        </is>
      </c>
      <c r="H363" s="219" t="inlineStr">
        <is>
          <t>第三班组</t>
        </is>
      </c>
      <c r="I363" s="237" t="inlineStr">
        <is>
          <t>湘西小炒</t>
        </is>
      </c>
      <c r="J363" s="143" t="inlineStr">
        <is>
          <t>李帮</t>
        </is>
      </c>
      <c r="K363" s="224" t="inlineStr">
        <is>
          <t>/</t>
        </is>
      </c>
      <c r="L363" s="651" t="n">
        <v>395000</v>
      </c>
      <c r="M363" s="84" t="n">
        <v>0.19</v>
      </c>
      <c r="N363" s="77" t="inlineStr">
        <is>
          <t>/</t>
        </is>
      </c>
      <c r="O363" s="77" t="inlineStr">
        <is>
          <t>/</t>
        </is>
      </c>
      <c r="P363" s="81" t="inlineStr">
        <is>
          <t>/</t>
        </is>
      </c>
      <c r="Q363" s="81" t="inlineStr">
        <is>
          <t>/</t>
        </is>
      </c>
      <c r="R363" s="81" t="inlineStr">
        <is>
          <t>/</t>
        </is>
      </c>
      <c r="S363" s="71" t="inlineStr">
        <is>
          <t>/</t>
        </is>
      </c>
      <c r="T363" s="81" t="n">
        <v>0.035</v>
      </c>
      <c r="U363" s="70" t="n">
        <v>0.055</v>
      </c>
      <c r="V363" s="71" t="inlineStr">
        <is>
          <t>/</t>
        </is>
      </c>
      <c r="W363" s="77" t="n">
        <v>0.2</v>
      </c>
      <c r="X363" s="77" t="inlineStr">
        <is>
          <t>/</t>
        </is>
      </c>
      <c r="Y363" s="72" t="inlineStr">
        <is>
          <t>/</t>
        </is>
      </c>
      <c r="Z363" s="72" t="inlineStr">
        <is>
          <t>/</t>
        </is>
      </c>
      <c r="AA363" s="72" t="inlineStr">
        <is>
          <t>/</t>
        </is>
      </c>
      <c r="AB363" s="46" t="inlineStr">
        <is>
          <t>/</t>
        </is>
      </c>
      <c r="AC363" s="46" t="inlineStr">
        <is>
          <t>/</t>
        </is>
      </c>
      <c r="AD363" s="76" t="inlineStr">
        <is>
          <t>1、装修折旧费：项目反馈不收取，包含在服务费中；
2、甲方管理费：项目反馈不收取，包含在服务费中；
3、甲方人员工资：项目反馈不收取，包含在服务费中；
4、甲方捐赠：项目反馈不收取，包含在服务费中；</t>
        </is>
      </c>
      <c r="AE363" s="25" t="inlineStr">
        <is>
          <t>1、签订期间：2026.3-2027.2月；
2、指标按照全年换算；</t>
        </is>
      </c>
    </row>
    <row r="364" ht="48" customFormat="1" customHeight="1" s="209">
      <c r="A364" s="219" t="n">
        <v>369</v>
      </c>
      <c r="B364" s="14" t="inlineStr">
        <is>
          <t>KQCY0369</t>
        </is>
      </c>
      <c r="C364" s="221" t="inlineStr">
        <is>
          <t>餐饮六分部</t>
        </is>
      </c>
      <c r="D364" s="221" t="inlineStr">
        <is>
          <t>CF293</t>
        </is>
      </c>
      <c r="E364" s="61" t="inlineStr">
        <is>
          <t>江苏二师石湫校区食堂</t>
        </is>
      </c>
      <c r="F364" s="219" t="inlineStr">
        <is>
          <t>分组作业</t>
        </is>
      </c>
      <c r="G364" s="222" t="inlineStr">
        <is>
          <t>吉沐牛</t>
        </is>
      </c>
      <c r="H364" s="219" t="inlineStr">
        <is>
          <t>第七班组</t>
        </is>
      </c>
      <c r="I364" s="237" t="inlineStr">
        <is>
          <t>早餐</t>
        </is>
      </c>
      <c r="J364" s="143" t="inlineStr">
        <is>
          <t>李帮</t>
        </is>
      </c>
      <c r="K364" s="224" t="inlineStr">
        <is>
          <t>/</t>
        </is>
      </c>
      <c r="L364" s="651" t="n">
        <v>968000</v>
      </c>
      <c r="M364" s="84" t="n">
        <v>0.19</v>
      </c>
      <c r="N364" s="77" t="inlineStr">
        <is>
          <t>/</t>
        </is>
      </c>
      <c r="O364" s="77" t="inlineStr">
        <is>
          <t>/</t>
        </is>
      </c>
      <c r="P364" s="81" t="inlineStr">
        <is>
          <t>/</t>
        </is>
      </c>
      <c r="Q364" s="81" t="inlineStr">
        <is>
          <t>/</t>
        </is>
      </c>
      <c r="R364" s="81" t="inlineStr">
        <is>
          <t>/</t>
        </is>
      </c>
      <c r="S364" s="71" t="inlineStr">
        <is>
          <t>/</t>
        </is>
      </c>
      <c r="T364" s="81" t="n">
        <v>0.025</v>
      </c>
      <c r="U364" s="70" t="n">
        <v>0.055</v>
      </c>
      <c r="V364" s="71" t="inlineStr">
        <is>
          <t>/</t>
        </is>
      </c>
      <c r="W364" s="77" t="n">
        <v>0.2</v>
      </c>
      <c r="X364" s="77" t="inlineStr">
        <is>
          <t>/</t>
        </is>
      </c>
      <c r="Y364" s="72" t="inlineStr">
        <is>
          <t>/</t>
        </is>
      </c>
      <c r="Z364" s="74" t="n">
        <v>7500</v>
      </c>
      <c r="AA364" s="72" t="inlineStr">
        <is>
          <t>/</t>
        </is>
      </c>
      <c r="AB364" s="46" t="inlineStr">
        <is>
          <t>/</t>
        </is>
      </c>
      <c r="AC364" s="46" t="inlineStr">
        <is>
          <t>/</t>
        </is>
      </c>
      <c r="AD364" s="76" t="inlineStr">
        <is>
          <t>1、装修折旧费：项目反馈不收取，包含在服务费中；
2、甲方管理费：项目反馈不收取，包含在服务费中；
3、甲方人员工资：甲方人员工资：7500/月，寒暑假/；
4、甲方捐赠：项目反馈不收取，包含在服务费中；</t>
        </is>
      </c>
      <c r="AE364" s="25" t="inlineStr">
        <is>
          <t>1、签订期间：2026.3-2027.2月；
2、指标按照全年换算；</t>
        </is>
      </c>
    </row>
    <row r="365" ht="48" customFormat="1" customHeight="1" s="209">
      <c r="A365" s="219" t="n">
        <v>370</v>
      </c>
      <c r="B365" s="14" t="inlineStr">
        <is>
          <t>KQCY0370</t>
        </is>
      </c>
      <c r="C365" s="221" t="inlineStr">
        <is>
          <t>餐饮六分部</t>
        </is>
      </c>
      <c r="D365" s="221" t="inlineStr">
        <is>
          <t>CF293</t>
        </is>
      </c>
      <c r="E365" s="61" t="inlineStr">
        <is>
          <t>江苏二师石湫校区食堂</t>
        </is>
      </c>
      <c r="F365" s="219" t="inlineStr">
        <is>
          <t>分组作业</t>
        </is>
      </c>
      <c r="G365" s="222" t="inlineStr">
        <is>
          <t>吉沐牛</t>
        </is>
      </c>
      <c r="H365" s="219" t="inlineStr">
        <is>
          <t>第一班组</t>
        </is>
      </c>
      <c r="I365" s="237" t="inlineStr">
        <is>
          <t>营养粥(肠粉)</t>
        </is>
      </c>
      <c r="J365" s="143" t="inlineStr">
        <is>
          <t>申亮</t>
        </is>
      </c>
      <c r="K365" s="224" t="inlineStr">
        <is>
          <t>/</t>
        </is>
      </c>
      <c r="L365" s="651" t="n">
        <v>810000</v>
      </c>
      <c r="M365" s="84" t="n">
        <v>0.19</v>
      </c>
      <c r="N365" s="77" t="inlineStr">
        <is>
          <t>/</t>
        </is>
      </c>
      <c r="O365" s="77" t="inlineStr">
        <is>
          <t>/</t>
        </is>
      </c>
      <c r="P365" s="81" t="inlineStr">
        <is>
          <t>/</t>
        </is>
      </c>
      <c r="Q365" s="81" t="inlineStr">
        <is>
          <t>/</t>
        </is>
      </c>
      <c r="R365" s="81" t="inlineStr">
        <is>
          <t>/</t>
        </is>
      </c>
      <c r="S365" s="71" t="inlineStr">
        <is>
          <t>/</t>
        </is>
      </c>
      <c r="T365" s="81" t="n"/>
      <c r="U365" s="70" t="n"/>
      <c r="V365" s="71" t="inlineStr">
        <is>
          <t>/</t>
        </is>
      </c>
      <c r="W365" s="77" t="n">
        <v>0.53</v>
      </c>
      <c r="X365" s="77" t="inlineStr">
        <is>
          <t>/</t>
        </is>
      </c>
      <c r="Y365" s="72" t="inlineStr">
        <is>
          <t>/</t>
        </is>
      </c>
      <c r="Z365" s="72" t="inlineStr">
        <is>
          <t>/</t>
        </is>
      </c>
      <c r="AA365" s="72" t="inlineStr">
        <is>
          <t>/</t>
        </is>
      </c>
      <c r="AB365" s="46" t="inlineStr">
        <is>
          <t>/</t>
        </is>
      </c>
      <c r="AC365" s="46" t="inlineStr">
        <is>
          <t>/</t>
        </is>
      </c>
      <c r="AD365" s="76" t="inlineStr">
        <is>
          <t>1、装修折旧费：项目反馈不收取，包含在服务费中；
2、甲方管理费：项目反馈不收取，包含在服务费中；
3、甲方人员工资：项目反馈不收取，包含在服务费中；
4、甲方捐赠：项目反馈不收取，包含在服务费中；</t>
        </is>
      </c>
      <c r="AE365" s="25" t="inlineStr">
        <is>
          <t>1、签订期间：2025.8-2026.8月；
2、指标按照全年换算；</t>
        </is>
      </c>
    </row>
    <row r="366" ht="48" customFormat="1" customHeight="1" s="209">
      <c r="A366" s="219" t="n">
        <v>371</v>
      </c>
      <c r="B366" s="14" t="inlineStr">
        <is>
          <t>KQCY0371</t>
        </is>
      </c>
      <c r="C366" s="221" t="inlineStr">
        <is>
          <t>餐饮六分部</t>
        </is>
      </c>
      <c r="D366" s="221" t="inlineStr">
        <is>
          <t>CF293</t>
        </is>
      </c>
      <c r="E366" s="61" t="inlineStr">
        <is>
          <t>江苏二师石湫校区食堂</t>
        </is>
      </c>
      <c r="F366" s="219" t="inlineStr">
        <is>
          <t>分组作业</t>
        </is>
      </c>
      <c r="G366" s="222" t="inlineStr">
        <is>
          <t>吉沐牛</t>
        </is>
      </c>
      <c r="H366" s="219" t="inlineStr">
        <is>
          <t>第五班组</t>
        </is>
      </c>
      <c r="I366" s="237" t="inlineStr">
        <is>
          <t>米线</t>
        </is>
      </c>
      <c r="J366" s="143" t="inlineStr">
        <is>
          <t>汪芳</t>
        </is>
      </c>
      <c r="K366" s="224" t="inlineStr">
        <is>
          <t>/</t>
        </is>
      </c>
      <c r="L366" s="651" t="n">
        <v>745000</v>
      </c>
      <c r="M366" s="84" t="n">
        <v>0.19</v>
      </c>
      <c r="N366" s="77" t="inlineStr">
        <is>
          <t>/</t>
        </is>
      </c>
      <c r="O366" s="77" t="inlineStr">
        <is>
          <t>/</t>
        </is>
      </c>
      <c r="P366" s="81" t="inlineStr">
        <is>
          <t>/</t>
        </is>
      </c>
      <c r="Q366" s="81" t="inlineStr">
        <is>
          <t>/</t>
        </is>
      </c>
      <c r="R366" s="81" t="inlineStr">
        <is>
          <t>/</t>
        </is>
      </c>
      <c r="S366" s="71" t="inlineStr">
        <is>
          <t>/</t>
        </is>
      </c>
      <c r="T366" s="81" t="n"/>
      <c r="U366" s="70" t="n"/>
      <c r="V366" s="71" t="inlineStr">
        <is>
          <t>/</t>
        </is>
      </c>
      <c r="W366" s="77" t="n">
        <v>0.53</v>
      </c>
      <c r="X366" s="77" t="inlineStr">
        <is>
          <t>/</t>
        </is>
      </c>
      <c r="Y366" s="72" t="inlineStr">
        <is>
          <t>/</t>
        </is>
      </c>
      <c r="Z366" s="72" t="inlineStr">
        <is>
          <t>/</t>
        </is>
      </c>
      <c r="AA366" s="72" t="inlineStr">
        <is>
          <t>/</t>
        </is>
      </c>
      <c r="AB366" s="46" t="inlineStr">
        <is>
          <t>/</t>
        </is>
      </c>
      <c r="AC366" s="46" t="inlineStr">
        <is>
          <t>/</t>
        </is>
      </c>
      <c r="AD366" s="76" t="inlineStr">
        <is>
          <t>1、装修折旧费：项目反馈不收取，包含在服务费中；
2、甲方管理费：项目反馈不收取，包含在服务费中；
3、甲方人员工资：项目反馈不收取，包含在服务费中；
4、甲方捐赠：项目反馈不收取，包含在服务费中；</t>
        </is>
      </c>
      <c r="AE366" s="25" t="inlineStr">
        <is>
          <t>1、签订期间：2025.8-2026.8月；
2、指标按照全年换算；</t>
        </is>
      </c>
    </row>
    <row r="367" ht="48" customFormat="1" customHeight="1" s="209">
      <c r="A367" s="219" t="n">
        <v>372</v>
      </c>
      <c r="B367" s="14" t="inlineStr">
        <is>
          <t>KQCY0372</t>
        </is>
      </c>
      <c r="C367" s="221" t="inlineStr">
        <is>
          <t>餐饮六分部</t>
        </is>
      </c>
      <c r="D367" s="221" t="inlineStr">
        <is>
          <t>CF293</t>
        </is>
      </c>
      <c r="E367" s="61" t="inlineStr">
        <is>
          <t>江苏二师石湫校区食堂</t>
        </is>
      </c>
      <c r="F367" s="219" t="inlineStr">
        <is>
          <t>分组作业</t>
        </is>
      </c>
      <c r="G367" s="222" t="inlineStr">
        <is>
          <t>吉沐牛</t>
        </is>
      </c>
      <c r="H367" s="219" t="inlineStr">
        <is>
          <t>第六班组</t>
        </is>
      </c>
      <c r="I367" s="237" t="inlineStr">
        <is>
          <t>麻辣烫(麻辣拌)</t>
        </is>
      </c>
      <c r="J367" s="143" t="inlineStr">
        <is>
          <t>汪芳</t>
        </is>
      </c>
      <c r="K367" s="224" t="inlineStr">
        <is>
          <t>/</t>
        </is>
      </c>
      <c r="L367" s="651" t="n">
        <v>770000</v>
      </c>
      <c r="M367" s="84" t="n">
        <v>0.19</v>
      </c>
      <c r="N367" s="77" t="inlineStr">
        <is>
          <t>/</t>
        </is>
      </c>
      <c r="O367" s="77" t="inlineStr">
        <is>
          <t>/</t>
        </is>
      </c>
      <c r="P367" s="81" t="inlineStr">
        <is>
          <t>/</t>
        </is>
      </c>
      <c r="Q367" s="81" t="inlineStr">
        <is>
          <t>/</t>
        </is>
      </c>
      <c r="R367" s="81" t="inlineStr">
        <is>
          <t>/</t>
        </is>
      </c>
      <c r="S367" s="71" t="inlineStr">
        <is>
          <t>/</t>
        </is>
      </c>
      <c r="T367" s="81" t="n"/>
      <c r="U367" s="70" t="n"/>
      <c r="V367" s="71" t="inlineStr">
        <is>
          <t>/</t>
        </is>
      </c>
      <c r="W367" s="77" t="n">
        <v>0.53</v>
      </c>
      <c r="X367" s="77" t="inlineStr">
        <is>
          <t>/</t>
        </is>
      </c>
      <c r="Y367" s="72" t="inlineStr">
        <is>
          <t>/</t>
        </is>
      </c>
      <c r="Z367" s="72" t="inlineStr">
        <is>
          <t>/</t>
        </is>
      </c>
      <c r="AA367" s="72" t="inlineStr">
        <is>
          <t>/</t>
        </is>
      </c>
      <c r="AB367" s="46" t="inlineStr">
        <is>
          <t>/</t>
        </is>
      </c>
      <c r="AC367" s="46" t="inlineStr">
        <is>
          <t>/</t>
        </is>
      </c>
      <c r="AD367" s="76" t="inlineStr">
        <is>
          <t>1、装修折旧费：项目反馈不收取，包含在服务费中；
2、甲方管理费：项目反馈不收取，包含在服务费中；
3、甲方人员工资：项目反馈不收取，包含在服务费中；
4、甲方捐赠：项目反馈不收取，包含在服务费中；</t>
        </is>
      </c>
      <c r="AE367" s="25" t="inlineStr">
        <is>
          <t>1、签订期间：2025.8-2026.8月；
2、指标按照全年换算；</t>
        </is>
      </c>
    </row>
    <row r="368" ht="60" customFormat="1" customHeight="1" s="209">
      <c r="A368" s="219" t="n">
        <v>373</v>
      </c>
      <c r="B368" s="14" t="inlineStr">
        <is>
          <t>KQCY0373</t>
        </is>
      </c>
      <c r="C368" s="221" t="inlineStr">
        <is>
          <t>餐饮六分部</t>
        </is>
      </c>
      <c r="D368" s="221" t="inlineStr">
        <is>
          <t>CF293</t>
        </is>
      </c>
      <c r="E368" s="61" t="inlineStr">
        <is>
          <t>江苏二师石湫校区食堂</t>
        </is>
      </c>
      <c r="F368" s="219" t="inlineStr">
        <is>
          <t>分组作业</t>
        </is>
      </c>
      <c r="G368" s="222" t="inlineStr">
        <is>
          <t>吉沐牛</t>
        </is>
      </c>
      <c r="H368" s="219" t="inlineStr">
        <is>
          <t>第八班组</t>
        </is>
      </c>
      <c r="I368" s="237" t="inlineStr">
        <is>
          <t>炸鸡(汉堡)</t>
        </is>
      </c>
      <c r="J368" s="143" t="inlineStr">
        <is>
          <t>熊跳</t>
        </is>
      </c>
      <c r="K368" s="224" t="inlineStr">
        <is>
          <t>/</t>
        </is>
      </c>
      <c r="L368" s="651" t="n">
        <v>745000</v>
      </c>
      <c r="M368" s="84" t="n">
        <v>0.14</v>
      </c>
      <c r="N368" s="77" t="inlineStr">
        <is>
          <t>/</t>
        </is>
      </c>
      <c r="O368" s="77" t="inlineStr">
        <is>
          <t>/</t>
        </is>
      </c>
      <c r="P368" s="81" t="inlineStr">
        <is>
          <t>/</t>
        </is>
      </c>
      <c r="Q368" s="81" t="inlineStr">
        <is>
          <t>/</t>
        </is>
      </c>
      <c r="R368" s="81" t="inlineStr">
        <is>
          <t>/</t>
        </is>
      </c>
      <c r="S368" s="71" t="inlineStr">
        <is>
          <t>/</t>
        </is>
      </c>
      <c r="T368" s="81" t="inlineStr">
        <is>
          <t>/</t>
        </is>
      </c>
      <c r="U368" s="70" t="n"/>
      <c r="V368" s="71" t="inlineStr">
        <is>
          <t>/</t>
        </is>
      </c>
      <c r="W368" s="77" t="n">
        <v>0.53</v>
      </c>
      <c r="X368" s="77" t="inlineStr">
        <is>
          <t>/</t>
        </is>
      </c>
      <c r="Y368" s="72" t="inlineStr">
        <is>
          <t>/</t>
        </is>
      </c>
      <c r="Z368" s="72" t="inlineStr">
        <is>
          <t>/</t>
        </is>
      </c>
      <c r="AA368" s="72" t="inlineStr">
        <is>
          <t>/</t>
        </is>
      </c>
      <c r="AB368" s="46" t="inlineStr">
        <is>
          <t>/</t>
        </is>
      </c>
      <c r="AC368" s="46" t="inlineStr">
        <is>
          <t>/</t>
        </is>
      </c>
      <c r="AD368" s="76"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AE368" s="25" t="inlineStr">
        <is>
          <t>1、签订期间：2025.8-2026.8月；
2、指标按照全年换算；</t>
        </is>
      </c>
    </row>
    <row r="369" ht="60" customFormat="1" customHeight="1" s="209">
      <c r="A369" s="219" t="n">
        <v>374</v>
      </c>
      <c r="B369" s="14" t="inlineStr">
        <is>
          <t>KQCY0374</t>
        </is>
      </c>
      <c r="C369" s="221" t="inlineStr">
        <is>
          <t>餐饮六分部</t>
        </is>
      </c>
      <c r="D369" s="221" t="inlineStr">
        <is>
          <t>CF293</t>
        </is>
      </c>
      <c r="E369" s="61" t="inlineStr">
        <is>
          <t>江苏二师石湫校区食堂</t>
        </is>
      </c>
      <c r="F369" s="219" t="inlineStr">
        <is>
          <t>分组作业</t>
        </is>
      </c>
      <c r="G369" s="222" t="inlineStr">
        <is>
          <t>吉沐牛</t>
        </is>
      </c>
      <c r="H369" s="219" t="inlineStr">
        <is>
          <t>第九班组</t>
        </is>
      </c>
      <c r="I369" s="237" t="inlineStr">
        <is>
          <t>七分甜</t>
        </is>
      </c>
      <c r="J369" s="143" t="inlineStr">
        <is>
          <t>熊跳</t>
        </is>
      </c>
      <c r="K369" s="224" t="inlineStr">
        <is>
          <t>/</t>
        </is>
      </c>
      <c r="L369" s="651" t="n">
        <v>820000</v>
      </c>
      <c r="M369" s="84" t="n">
        <v>0.14</v>
      </c>
      <c r="N369" s="77" t="inlineStr">
        <is>
          <t>/</t>
        </is>
      </c>
      <c r="O369" s="77" t="inlineStr">
        <is>
          <t>/</t>
        </is>
      </c>
      <c r="P369" s="81" t="inlineStr">
        <is>
          <t>/</t>
        </is>
      </c>
      <c r="Q369" s="81" t="inlineStr">
        <is>
          <t>/</t>
        </is>
      </c>
      <c r="R369" s="81" t="inlineStr">
        <is>
          <t>/</t>
        </is>
      </c>
      <c r="S369" s="71" t="inlineStr">
        <is>
          <t>/</t>
        </is>
      </c>
      <c r="T369" s="81" t="inlineStr">
        <is>
          <t>/</t>
        </is>
      </c>
      <c r="U369" s="70" t="n"/>
      <c r="V369" s="71" t="inlineStr">
        <is>
          <t>/</t>
        </is>
      </c>
      <c r="W369" s="77" t="n">
        <v>0.53</v>
      </c>
      <c r="X369" s="77" t="inlineStr">
        <is>
          <t>/</t>
        </is>
      </c>
      <c r="Y369" s="72" t="inlineStr">
        <is>
          <t>/</t>
        </is>
      </c>
      <c r="Z369" s="72" t="inlineStr">
        <is>
          <t>/</t>
        </is>
      </c>
      <c r="AA369" s="72" t="inlineStr">
        <is>
          <t>/</t>
        </is>
      </c>
      <c r="AB369" s="46" t="inlineStr">
        <is>
          <t>/</t>
        </is>
      </c>
      <c r="AC369" s="46" t="inlineStr">
        <is>
          <t>/</t>
        </is>
      </c>
      <c r="AD369" s="76"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AE369" s="25" t="inlineStr">
        <is>
          <t>1、签订期间：2025.8-2026.8月；
2、指标按照全年换算；</t>
        </is>
      </c>
    </row>
    <row r="370" ht="48" customFormat="1" customHeight="1" s="209">
      <c r="A370" s="219" t="n">
        <v>375</v>
      </c>
      <c r="B370" s="14" t="inlineStr">
        <is>
          <t>KQCY0375</t>
        </is>
      </c>
      <c r="C370" s="221" t="inlineStr">
        <is>
          <t>餐饮六分部</t>
        </is>
      </c>
      <c r="D370" s="221" t="inlineStr">
        <is>
          <t>CF293</t>
        </is>
      </c>
      <c r="E370" s="61" t="inlineStr">
        <is>
          <t>江苏二师石湫校区食堂</t>
        </is>
      </c>
      <c r="F370" s="219" t="inlineStr">
        <is>
          <t>分组作业</t>
        </is>
      </c>
      <c r="G370" s="222" t="inlineStr">
        <is>
          <t>吉沐牛</t>
        </is>
      </c>
      <c r="H370" s="219" t="inlineStr">
        <is>
          <t>第四班组</t>
        </is>
      </c>
      <c r="I370" s="237" t="inlineStr">
        <is>
          <t>土豆泥拌饭</t>
        </is>
      </c>
      <c r="J370" s="143" t="inlineStr">
        <is>
          <t>端和伟</t>
        </is>
      </c>
      <c r="K370" s="224" t="inlineStr">
        <is>
          <t>/</t>
        </is>
      </c>
      <c r="L370" s="651" t="n">
        <v>480000</v>
      </c>
      <c r="M370" s="84" t="n">
        <v>0.19</v>
      </c>
      <c r="N370" s="77" t="inlineStr">
        <is>
          <t>/</t>
        </is>
      </c>
      <c r="O370" s="77" t="inlineStr">
        <is>
          <t>/</t>
        </is>
      </c>
      <c r="P370" s="81" t="inlineStr">
        <is>
          <t>/</t>
        </is>
      </c>
      <c r="Q370" s="81" t="inlineStr">
        <is>
          <t>/</t>
        </is>
      </c>
      <c r="R370" s="81" t="inlineStr">
        <is>
          <t>/</t>
        </is>
      </c>
      <c r="S370" s="71" t="inlineStr">
        <is>
          <t>/</t>
        </is>
      </c>
      <c r="T370" s="81" t="n">
        <v>0.035</v>
      </c>
      <c r="U370" s="70" t="n">
        <v>0.055</v>
      </c>
      <c r="V370" s="71" t="inlineStr">
        <is>
          <t>/</t>
        </is>
      </c>
      <c r="W370" s="77" t="n">
        <v>0.53</v>
      </c>
      <c r="X370" s="77" t="inlineStr">
        <is>
          <t>/</t>
        </is>
      </c>
      <c r="Y370" s="72" t="inlineStr">
        <is>
          <t>/</t>
        </is>
      </c>
      <c r="Z370" s="72" t="inlineStr">
        <is>
          <t>/</t>
        </is>
      </c>
      <c r="AA370" s="72" t="inlineStr">
        <is>
          <t>/</t>
        </is>
      </c>
      <c r="AB370" s="46" t="inlineStr">
        <is>
          <t>/</t>
        </is>
      </c>
      <c r="AC370" s="46" t="inlineStr">
        <is>
          <t>/</t>
        </is>
      </c>
      <c r="AD370" s="76" t="inlineStr">
        <is>
          <t>1、装修折旧费：项目反馈不收取，包含在服务费中；
2、甲方管理费：项目反馈不收取，包含在服务费中；
3、甲方人员工资：项目反馈不收取，包含在服务费中；
4、甲方捐赠：项目反馈不收取，包含在服务费中；</t>
        </is>
      </c>
      <c r="AE370" s="25" t="inlineStr">
        <is>
          <t>1、签订期间：2026.4-2027.4月；
2、指标按照全年换算；</t>
        </is>
      </c>
    </row>
    <row r="371" ht="12" customFormat="1" customHeight="1" s="209">
      <c r="A371" s="219" t="n">
        <v>376</v>
      </c>
      <c r="B371" s="14" t="inlineStr">
        <is>
          <t>KQCY0376</t>
        </is>
      </c>
      <c r="C371" s="221" t="inlineStr">
        <is>
          <t>餐饮六分部</t>
        </is>
      </c>
      <c r="D371" s="221" t="inlineStr">
        <is>
          <t>CF480</t>
        </is>
      </c>
      <c r="E371" s="61" t="inlineStr">
        <is>
          <t>江苏旅游学生食堂二楼</t>
        </is>
      </c>
      <c r="F371" s="335" t="inlineStr">
        <is>
          <t>自营</t>
        </is>
      </c>
      <c r="G371" s="222" t="inlineStr">
        <is>
          <t>吉沐牛</t>
        </is>
      </c>
      <c r="H371" s="503" t="inlineStr">
        <is>
          <t>/</t>
        </is>
      </c>
      <c r="I371" s="335" t="inlineStr">
        <is>
          <t>/</t>
        </is>
      </c>
      <c r="J371" s="335" t="inlineStr">
        <is>
          <t>/</t>
        </is>
      </c>
      <c r="K371" s="349" t="inlineStr">
        <is>
          <t>/</t>
        </is>
      </c>
      <c r="L371" s="651" t="inlineStr">
        <is>
          <t>/</t>
        </is>
      </c>
      <c r="M371" s="349" t="inlineStr">
        <is>
          <t>/</t>
        </is>
      </c>
      <c r="N371" s="47" t="n"/>
      <c r="O371" s="349" t="inlineStr">
        <is>
          <t>/</t>
        </is>
      </c>
      <c r="P371" s="140" t="n"/>
      <c r="Q371" s="59" t="inlineStr">
        <is>
          <t>/</t>
        </is>
      </c>
      <c r="R371" s="59" t="inlineStr">
        <is>
          <t>/</t>
        </is>
      </c>
      <c r="S371" s="349" t="inlineStr">
        <is>
          <t>/</t>
        </is>
      </c>
      <c r="T371" s="106" t="n"/>
      <c r="U371" s="106" t="n"/>
      <c r="V371" s="349" t="inlineStr">
        <is>
          <t>/</t>
        </is>
      </c>
      <c r="W371" s="480" t="inlineStr">
        <is>
          <t>/</t>
        </is>
      </c>
      <c r="X371" s="480" t="inlineStr">
        <is>
          <t>/</t>
        </is>
      </c>
      <c r="Y371" s="480" t="inlineStr">
        <is>
          <t>/</t>
        </is>
      </c>
      <c r="Z371" s="480" t="inlineStr">
        <is>
          <t>/</t>
        </is>
      </c>
      <c r="AA371" s="480" t="inlineStr">
        <is>
          <t>/</t>
        </is>
      </c>
      <c r="AB371" s="46" t="n">
        <v>0.05</v>
      </c>
      <c r="AC371" s="46" t="n">
        <v>0.005</v>
      </c>
      <c r="AD371" s="48" t="inlineStr">
        <is>
          <t>1、自营未实际经营；</t>
        </is>
      </c>
      <c r="AE371" s="25" t="n"/>
    </row>
    <row r="372" ht="48" customFormat="1" customHeight="1" s="209">
      <c r="A372" s="219" t="n">
        <v>377</v>
      </c>
      <c r="B372" s="14" t="inlineStr">
        <is>
          <t>KQCY0377</t>
        </is>
      </c>
      <c r="C372" s="221" t="inlineStr">
        <is>
          <t>餐饮六分部</t>
        </is>
      </c>
      <c r="D372" s="221" t="inlineStr">
        <is>
          <t>CF480</t>
        </is>
      </c>
      <c r="E372" s="61" t="inlineStr">
        <is>
          <t>江苏旅游学生食堂二楼</t>
        </is>
      </c>
      <c r="F372" s="219" t="inlineStr">
        <is>
          <t>分组作业</t>
        </is>
      </c>
      <c r="G372" s="222" t="inlineStr">
        <is>
          <t>吉沐牛</t>
        </is>
      </c>
      <c r="H372" s="503" t="inlineStr">
        <is>
          <t>/</t>
        </is>
      </c>
      <c r="I372" s="237" t="inlineStr">
        <is>
          <t>全福记热卤拌饭(牛肉汤)</t>
        </is>
      </c>
      <c r="J372" s="219" t="inlineStr">
        <is>
          <t>张文泉</t>
        </is>
      </c>
      <c r="K372" s="224" t="inlineStr">
        <is>
          <t>/</t>
        </is>
      </c>
      <c r="L372" s="651" t="inlineStr">
        <is>
          <t>/</t>
        </is>
      </c>
      <c r="M372" s="77" t="n">
        <v>0.28</v>
      </c>
      <c r="N372" s="77" t="inlineStr">
        <is>
          <t>/</t>
        </is>
      </c>
      <c r="O372" s="77" t="inlineStr">
        <is>
          <t>/</t>
        </is>
      </c>
      <c r="P372" s="81" t="inlineStr">
        <is>
          <t>/</t>
        </is>
      </c>
      <c r="Q372" s="81" t="inlineStr">
        <is>
          <t>/</t>
        </is>
      </c>
      <c r="R372" s="81" t="inlineStr">
        <is>
          <t>/</t>
        </is>
      </c>
      <c r="S372" s="77" t="inlineStr">
        <is>
          <t>/</t>
        </is>
      </c>
      <c r="T372" s="71" t="inlineStr">
        <is>
          <t>/</t>
        </is>
      </c>
      <c r="U372" s="71" t="inlineStr">
        <is>
          <t>/</t>
        </is>
      </c>
      <c r="V372" s="77" t="inlineStr">
        <is>
          <t>/</t>
        </is>
      </c>
      <c r="W372" s="72" t="inlineStr">
        <is>
          <t>50%±3%</t>
        </is>
      </c>
      <c r="X372" s="573" t="inlineStr">
        <is>
          <t>/</t>
        </is>
      </c>
      <c r="Y372" s="72" t="inlineStr">
        <is>
          <t>/</t>
        </is>
      </c>
      <c r="Z372" s="72" t="inlineStr">
        <is>
          <t>/</t>
        </is>
      </c>
      <c r="AA372" s="72" t="inlineStr">
        <is>
          <t>/</t>
        </is>
      </c>
      <c r="AB372" s="51" t="inlineStr">
        <is>
          <t>/</t>
        </is>
      </c>
      <c r="AC372" s="46" t="inlineStr">
        <is>
          <t>/</t>
        </is>
      </c>
      <c r="AD372" s="76" t="inlineStr">
        <is>
          <t>1、虫害消杀：项目反馈不收取，包含在服务费中；
2、装修折旧费：项目反馈不收取，包含在服务费中；
3、卫生费：项目反馈不收取，包含在服务费中；
4、能源费：项目反馈不收取，包含在服务费中；</t>
        </is>
      </c>
      <c r="AE372" s="25" t="n"/>
    </row>
    <row r="373" ht="48" customFormat="1" customHeight="1" s="209">
      <c r="A373" s="219" t="n">
        <v>378</v>
      </c>
      <c r="B373" s="14" t="inlineStr">
        <is>
          <t>KQCY0378</t>
        </is>
      </c>
      <c r="C373" s="221" t="inlineStr">
        <is>
          <t>餐饮六分部</t>
        </is>
      </c>
      <c r="D373" s="221" t="inlineStr">
        <is>
          <t>CF480</t>
        </is>
      </c>
      <c r="E373" s="61" t="inlineStr">
        <is>
          <t>江苏旅游学生食堂二楼</t>
        </is>
      </c>
      <c r="F373" s="219" t="inlineStr">
        <is>
          <t>分组作业</t>
        </is>
      </c>
      <c r="G373" s="222" t="inlineStr">
        <is>
          <t>吉沐牛</t>
        </is>
      </c>
      <c r="H373" s="503" t="inlineStr">
        <is>
          <t>/</t>
        </is>
      </c>
      <c r="I373" s="237" t="inlineStr">
        <is>
          <t>盖浇饭(套餐饭)</t>
        </is>
      </c>
      <c r="J373" s="219" t="inlineStr">
        <is>
          <t>刘宝峰</t>
        </is>
      </c>
      <c r="K373" s="224" t="inlineStr">
        <is>
          <t>/</t>
        </is>
      </c>
      <c r="L373" s="651" t="inlineStr">
        <is>
          <t>/</t>
        </is>
      </c>
      <c r="M373" s="77" t="n">
        <v>0.28</v>
      </c>
      <c r="N373" s="77" t="inlineStr">
        <is>
          <t>/</t>
        </is>
      </c>
      <c r="O373" s="77" t="inlineStr">
        <is>
          <t>/</t>
        </is>
      </c>
      <c r="P373" s="81" t="inlineStr">
        <is>
          <t>/</t>
        </is>
      </c>
      <c r="Q373" s="81" t="inlineStr">
        <is>
          <t>/</t>
        </is>
      </c>
      <c r="R373" s="81" t="inlineStr">
        <is>
          <t>/</t>
        </is>
      </c>
      <c r="S373" s="77" t="inlineStr">
        <is>
          <t>/</t>
        </is>
      </c>
      <c r="T373" s="71" t="inlineStr">
        <is>
          <t>/</t>
        </is>
      </c>
      <c r="U373" s="71" t="inlineStr">
        <is>
          <t>/</t>
        </is>
      </c>
      <c r="V373" s="77" t="inlineStr">
        <is>
          <t>/</t>
        </is>
      </c>
      <c r="W373" s="72" t="inlineStr">
        <is>
          <t>50%±3%</t>
        </is>
      </c>
      <c r="X373" s="573" t="inlineStr">
        <is>
          <t>/</t>
        </is>
      </c>
      <c r="Y373" s="72" t="inlineStr">
        <is>
          <t>/</t>
        </is>
      </c>
      <c r="Z373" s="72" t="inlineStr">
        <is>
          <t>/</t>
        </is>
      </c>
      <c r="AA373" s="72" t="inlineStr">
        <is>
          <t>/</t>
        </is>
      </c>
      <c r="AB373" s="51" t="inlineStr">
        <is>
          <t>/</t>
        </is>
      </c>
      <c r="AC373" s="46" t="inlineStr">
        <is>
          <t>/</t>
        </is>
      </c>
      <c r="AD373" s="82" t="inlineStr">
        <is>
          <t>1、虫害消杀：项目反馈不收取，包含在服务费中；
2、装修折旧费：项目反馈不收取，包含在服务费中；
3、卫生费：项目反馈不收取，包含在服务费中；
4、能源费：项目反馈不收取，包含在服务费中；</t>
        </is>
      </c>
      <c r="AE373" s="25" t="n"/>
    </row>
    <row r="374" ht="48" customFormat="1" customHeight="1" s="209">
      <c r="A374" s="219" t="n">
        <v>379</v>
      </c>
      <c r="B374" s="14" t="inlineStr">
        <is>
          <t>KQCY0379</t>
        </is>
      </c>
      <c r="C374" s="221" t="inlineStr">
        <is>
          <t>餐饮六分部</t>
        </is>
      </c>
      <c r="D374" s="221" t="inlineStr">
        <is>
          <t>CF480</t>
        </is>
      </c>
      <c r="E374" s="61" t="inlineStr">
        <is>
          <t>江苏旅游学生食堂二楼</t>
        </is>
      </c>
      <c r="F374" s="219" t="inlineStr">
        <is>
          <t>分组作业</t>
        </is>
      </c>
      <c r="G374" s="222" t="inlineStr">
        <is>
          <t>吉沐牛</t>
        </is>
      </c>
      <c r="H374" s="503" t="inlineStr">
        <is>
          <t>/</t>
        </is>
      </c>
      <c r="I374" s="237" t="inlineStr">
        <is>
          <t>煎饼(鸡蛋灌饼)</t>
        </is>
      </c>
      <c r="J374" s="219" t="inlineStr">
        <is>
          <t>李中怀</t>
        </is>
      </c>
      <c r="K374" s="224" t="inlineStr">
        <is>
          <t>/</t>
        </is>
      </c>
      <c r="L374" s="651" t="inlineStr">
        <is>
          <t>/</t>
        </is>
      </c>
      <c r="M374" s="77" t="n">
        <v>0.28</v>
      </c>
      <c r="N374" s="77" t="inlineStr">
        <is>
          <t>/</t>
        </is>
      </c>
      <c r="O374" s="77" t="inlineStr">
        <is>
          <t>/</t>
        </is>
      </c>
      <c r="P374" s="81" t="inlineStr">
        <is>
          <t>/</t>
        </is>
      </c>
      <c r="Q374" s="81" t="inlineStr">
        <is>
          <t>/</t>
        </is>
      </c>
      <c r="R374" s="81" t="inlineStr">
        <is>
          <t>/</t>
        </is>
      </c>
      <c r="S374" s="77" t="inlineStr">
        <is>
          <t>/</t>
        </is>
      </c>
      <c r="T374" s="71" t="inlineStr">
        <is>
          <t>/</t>
        </is>
      </c>
      <c r="U374" s="71" t="inlineStr">
        <is>
          <t>/</t>
        </is>
      </c>
      <c r="V374" s="77" t="inlineStr">
        <is>
          <t>/</t>
        </is>
      </c>
      <c r="W374" s="72" t="inlineStr">
        <is>
          <t>50%±3%</t>
        </is>
      </c>
      <c r="X374" s="573" t="inlineStr">
        <is>
          <t>/</t>
        </is>
      </c>
      <c r="Y374" s="72" t="inlineStr">
        <is>
          <t>/</t>
        </is>
      </c>
      <c r="Z374" s="72" t="inlineStr">
        <is>
          <t>/</t>
        </is>
      </c>
      <c r="AA374" s="72" t="inlineStr">
        <is>
          <t>/</t>
        </is>
      </c>
      <c r="AB374" s="51" t="inlineStr">
        <is>
          <t>/</t>
        </is>
      </c>
      <c r="AC374" s="46" t="inlineStr">
        <is>
          <t>/</t>
        </is>
      </c>
      <c r="AD374" s="76" t="inlineStr">
        <is>
          <t>1、虫害消杀：项目反馈不收取，包含在服务费中；
2、装修折旧费：项目反馈不收取，包含在服务费中；
3、卫生费：项目反馈不收取，包含在服务费中；
4、能源费：项目反馈不收取，包含在服务费中；</t>
        </is>
      </c>
      <c r="AE374" s="25" t="n"/>
    </row>
    <row r="375" ht="48" customFormat="1" customHeight="1" s="209">
      <c r="A375" s="219" t="n">
        <v>380</v>
      </c>
      <c r="B375" s="14" t="inlineStr">
        <is>
          <t>KQCY0380</t>
        </is>
      </c>
      <c r="C375" s="221" t="inlineStr">
        <is>
          <t>餐饮六分部</t>
        </is>
      </c>
      <c r="D375" s="221" t="inlineStr">
        <is>
          <t>CF480</t>
        </is>
      </c>
      <c r="E375" s="61" t="inlineStr">
        <is>
          <t>江苏旅游学生食堂二楼</t>
        </is>
      </c>
      <c r="F375" s="219" t="inlineStr">
        <is>
          <t>分组作业</t>
        </is>
      </c>
      <c r="G375" s="222" t="inlineStr">
        <is>
          <t>吉沐牛</t>
        </is>
      </c>
      <c r="H375" s="503" t="inlineStr">
        <is>
          <t>/</t>
        </is>
      </c>
      <c r="I375" s="237" t="inlineStr">
        <is>
          <t>柒公主焖饭</t>
        </is>
      </c>
      <c r="J375" s="219" t="inlineStr">
        <is>
          <t>张月红</t>
        </is>
      </c>
      <c r="K375" s="224" t="inlineStr">
        <is>
          <t>/</t>
        </is>
      </c>
      <c r="L375" s="651" t="inlineStr">
        <is>
          <t>/</t>
        </is>
      </c>
      <c r="M375" s="77" t="n">
        <v>0.28</v>
      </c>
      <c r="N375" s="77" t="inlineStr">
        <is>
          <t>/</t>
        </is>
      </c>
      <c r="O375" s="77" t="inlineStr">
        <is>
          <t>/</t>
        </is>
      </c>
      <c r="P375" s="81" t="inlineStr">
        <is>
          <t>/</t>
        </is>
      </c>
      <c r="Q375" s="81" t="inlineStr">
        <is>
          <t>/</t>
        </is>
      </c>
      <c r="R375" s="81" t="inlineStr">
        <is>
          <t>/</t>
        </is>
      </c>
      <c r="S375" s="77" t="inlineStr">
        <is>
          <t>/</t>
        </is>
      </c>
      <c r="T375" s="71" t="inlineStr">
        <is>
          <t>/</t>
        </is>
      </c>
      <c r="U375" s="71" t="inlineStr">
        <is>
          <t>/</t>
        </is>
      </c>
      <c r="V375" s="77" t="inlineStr">
        <is>
          <t>/</t>
        </is>
      </c>
      <c r="W375" s="72" t="inlineStr">
        <is>
          <t>50%±3%</t>
        </is>
      </c>
      <c r="X375" s="573" t="inlineStr">
        <is>
          <t>/</t>
        </is>
      </c>
      <c r="Y375" s="72" t="inlineStr">
        <is>
          <t>/</t>
        </is>
      </c>
      <c r="Z375" s="72" t="inlineStr">
        <is>
          <t>/</t>
        </is>
      </c>
      <c r="AA375" s="72" t="inlineStr">
        <is>
          <t>/</t>
        </is>
      </c>
      <c r="AB375" s="51" t="inlineStr">
        <is>
          <t>/</t>
        </is>
      </c>
      <c r="AC375" s="46" t="inlineStr">
        <is>
          <t>/</t>
        </is>
      </c>
      <c r="AD375" s="76" t="inlineStr">
        <is>
          <t>1、虫害消杀：项目反馈不收取，包含在服务费中；
2、装修折旧费：项目反馈不收取，包含在服务费中；
3、卫生费：项目反馈不收取，包含在服务费中；
4、能源费：项目反馈不收取，包含在服务费中；</t>
        </is>
      </c>
      <c r="AE375" s="25" t="n"/>
    </row>
    <row r="376" ht="48" customFormat="1" customHeight="1" s="209">
      <c r="A376" s="219" t="n">
        <v>381</v>
      </c>
      <c r="B376" s="14" t="inlineStr">
        <is>
          <t>KQCY0381</t>
        </is>
      </c>
      <c r="C376" s="221" t="inlineStr">
        <is>
          <t>餐饮六分部</t>
        </is>
      </c>
      <c r="D376" s="221" t="inlineStr">
        <is>
          <t>CF480</t>
        </is>
      </c>
      <c r="E376" s="61" t="inlineStr">
        <is>
          <t>江苏旅游学生食堂二楼</t>
        </is>
      </c>
      <c r="F376" s="219" t="inlineStr">
        <is>
          <t>分组作业</t>
        </is>
      </c>
      <c r="G376" s="222" t="inlineStr">
        <is>
          <t>吉沐牛</t>
        </is>
      </c>
      <c r="H376" s="503" t="inlineStr">
        <is>
          <t>/</t>
        </is>
      </c>
      <c r="I376" s="237" t="inlineStr">
        <is>
          <t>掉渣饼</t>
        </is>
      </c>
      <c r="J376" s="219" t="inlineStr">
        <is>
          <t>郭保君</t>
        </is>
      </c>
      <c r="K376" s="224" t="inlineStr">
        <is>
          <t>/</t>
        </is>
      </c>
      <c r="L376" s="651" t="inlineStr">
        <is>
          <t>/</t>
        </is>
      </c>
      <c r="M376" s="77" t="n">
        <v>0.28</v>
      </c>
      <c r="N376" s="77" t="inlineStr">
        <is>
          <t>/</t>
        </is>
      </c>
      <c r="O376" s="77" t="inlineStr">
        <is>
          <t>/</t>
        </is>
      </c>
      <c r="P376" s="81" t="inlineStr">
        <is>
          <t>/</t>
        </is>
      </c>
      <c r="Q376" s="81" t="inlineStr">
        <is>
          <t>/</t>
        </is>
      </c>
      <c r="R376" s="81" t="inlineStr">
        <is>
          <t>/</t>
        </is>
      </c>
      <c r="S376" s="77" t="inlineStr">
        <is>
          <t>/</t>
        </is>
      </c>
      <c r="T376" s="71" t="inlineStr">
        <is>
          <t>/</t>
        </is>
      </c>
      <c r="U376" s="71" t="inlineStr">
        <is>
          <t>/</t>
        </is>
      </c>
      <c r="V376" s="77" t="inlineStr">
        <is>
          <t>/</t>
        </is>
      </c>
      <c r="W376" s="72" t="inlineStr">
        <is>
          <t>50%±3%</t>
        </is>
      </c>
      <c r="X376" s="573" t="inlineStr">
        <is>
          <t>/</t>
        </is>
      </c>
      <c r="Y376" s="72" t="inlineStr">
        <is>
          <t>/</t>
        </is>
      </c>
      <c r="Z376" s="72" t="inlineStr">
        <is>
          <t>/</t>
        </is>
      </c>
      <c r="AA376" s="72" t="inlineStr">
        <is>
          <t>/</t>
        </is>
      </c>
      <c r="AB376" s="51" t="inlineStr">
        <is>
          <t>/</t>
        </is>
      </c>
      <c r="AC376" s="46" t="inlineStr">
        <is>
          <t>/</t>
        </is>
      </c>
      <c r="AD376" s="76" t="inlineStr">
        <is>
          <t>1、虫害消杀：项目反馈不收取，包含在服务费中；
2、装修折旧费：项目反馈不收取，包含在服务费中；
3、卫生费：项目反馈不收取，包含在服务费中；
4、能源费：项目反馈不收取，包含在服务费中；</t>
        </is>
      </c>
      <c r="AE376" s="25" t="n"/>
    </row>
    <row r="377" ht="48" customFormat="1" customHeight="1" s="209">
      <c r="A377" s="219" t="n">
        <v>382</v>
      </c>
      <c r="B377" s="14" t="inlineStr">
        <is>
          <t>KQCY0382</t>
        </is>
      </c>
      <c r="C377" s="221" t="inlineStr">
        <is>
          <t>餐饮六分部</t>
        </is>
      </c>
      <c r="D377" s="221" t="inlineStr">
        <is>
          <t>CF480</t>
        </is>
      </c>
      <c r="E377" s="61" t="inlineStr">
        <is>
          <t>江苏旅游学生食堂二楼</t>
        </is>
      </c>
      <c r="F377" s="219" t="inlineStr">
        <is>
          <t>分组作业</t>
        </is>
      </c>
      <c r="G377" s="222" t="inlineStr">
        <is>
          <t>吉沐牛</t>
        </is>
      </c>
      <c r="H377" s="503" t="inlineStr">
        <is>
          <t>/</t>
        </is>
      </c>
      <c r="I377" s="237" t="inlineStr">
        <is>
          <t>擂椒拌饭(烤鸭饭)</t>
        </is>
      </c>
      <c r="J377" s="219" t="inlineStr">
        <is>
          <t>崔建美</t>
        </is>
      </c>
      <c r="K377" s="224" t="inlineStr">
        <is>
          <t>/</t>
        </is>
      </c>
      <c r="L377" s="651" t="inlineStr">
        <is>
          <t>/</t>
        </is>
      </c>
      <c r="M377" s="77" t="n">
        <v>0.28</v>
      </c>
      <c r="N377" s="77" t="inlineStr">
        <is>
          <t>/</t>
        </is>
      </c>
      <c r="O377" s="77" t="inlineStr">
        <is>
          <t>/</t>
        </is>
      </c>
      <c r="P377" s="81" t="inlineStr">
        <is>
          <t>/</t>
        </is>
      </c>
      <c r="Q377" s="81" t="inlineStr">
        <is>
          <t>/</t>
        </is>
      </c>
      <c r="R377" s="81" t="inlineStr">
        <is>
          <t>/</t>
        </is>
      </c>
      <c r="S377" s="77" t="inlineStr">
        <is>
          <t>/</t>
        </is>
      </c>
      <c r="T377" s="71" t="inlineStr">
        <is>
          <t>/</t>
        </is>
      </c>
      <c r="U377" s="71" t="inlineStr">
        <is>
          <t>/</t>
        </is>
      </c>
      <c r="V377" s="77" t="inlineStr">
        <is>
          <t>/</t>
        </is>
      </c>
      <c r="W377" s="72" t="inlineStr">
        <is>
          <t>50%±3%</t>
        </is>
      </c>
      <c r="X377" s="573" t="inlineStr">
        <is>
          <t>/</t>
        </is>
      </c>
      <c r="Y377" s="72" t="inlineStr">
        <is>
          <t>/</t>
        </is>
      </c>
      <c r="Z377" s="72" t="inlineStr">
        <is>
          <t>/</t>
        </is>
      </c>
      <c r="AA377" s="72" t="inlineStr">
        <is>
          <t>/</t>
        </is>
      </c>
      <c r="AB377" s="51" t="inlineStr">
        <is>
          <t>/</t>
        </is>
      </c>
      <c r="AC377" s="46" t="inlineStr">
        <is>
          <t>/</t>
        </is>
      </c>
      <c r="AD377" s="76" t="inlineStr">
        <is>
          <t>1、虫害消杀：项目反馈不收取，包含在服务费中；
2、装修折旧费：项目反馈不收取，包含在服务费中；
3、卫生费：项目反馈不收取，包含在服务费中；
4、能源费：项目反馈不收取，包含在服务费中；</t>
        </is>
      </c>
      <c r="AE377" s="25" t="n"/>
    </row>
    <row r="378" ht="48" customFormat="1" customHeight="1" s="209">
      <c r="A378" s="219" t="n">
        <v>383</v>
      </c>
      <c r="B378" s="14" t="inlineStr">
        <is>
          <t>KQCY0383</t>
        </is>
      </c>
      <c r="C378" s="221" t="inlineStr">
        <is>
          <t>餐饮六分部</t>
        </is>
      </c>
      <c r="D378" s="221" t="inlineStr">
        <is>
          <t>CF480</t>
        </is>
      </c>
      <c r="E378" s="61" t="inlineStr">
        <is>
          <t>江苏旅游学生食堂二楼</t>
        </is>
      </c>
      <c r="F378" s="219" t="inlineStr">
        <is>
          <t>分组作业</t>
        </is>
      </c>
      <c r="G378" s="222" t="inlineStr">
        <is>
          <t>吉沐牛</t>
        </is>
      </c>
      <c r="H378" s="503" t="inlineStr">
        <is>
          <t>/</t>
        </is>
      </c>
      <c r="I378" s="237" t="inlineStr">
        <is>
          <t>老成都面(猪脚饭)</t>
        </is>
      </c>
      <c r="J378" s="219" t="inlineStr">
        <is>
          <t>顾卫君</t>
        </is>
      </c>
      <c r="K378" s="224" t="inlineStr">
        <is>
          <t>/</t>
        </is>
      </c>
      <c r="L378" s="651" t="inlineStr">
        <is>
          <t>/</t>
        </is>
      </c>
      <c r="M378" s="77" t="n">
        <v>0.28</v>
      </c>
      <c r="N378" s="77" t="inlineStr">
        <is>
          <t>/</t>
        </is>
      </c>
      <c r="O378" s="77" t="inlineStr">
        <is>
          <t>/</t>
        </is>
      </c>
      <c r="P378" s="81" t="inlineStr">
        <is>
          <t>/</t>
        </is>
      </c>
      <c r="Q378" s="81" t="inlineStr">
        <is>
          <t>/</t>
        </is>
      </c>
      <c r="R378" s="81" t="inlineStr">
        <is>
          <t>/</t>
        </is>
      </c>
      <c r="S378" s="77" t="inlineStr">
        <is>
          <t>/</t>
        </is>
      </c>
      <c r="T378" s="71" t="inlineStr">
        <is>
          <t>/</t>
        </is>
      </c>
      <c r="U378" s="71" t="inlineStr">
        <is>
          <t>/</t>
        </is>
      </c>
      <c r="V378" s="77" t="inlineStr">
        <is>
          <t>/</t>
        </is>
      </c>
      <c r="W378" s="72" t="inlineStr">
        <is>
          <t>50%±3%</t>
        </is>
      </c>
      <c r="X378" s="573" t="inlineStr">
        <is>
          <t>/</t>
        </is>
      </c>
      <c r="Y378" s="72" t="inlineStr">
        <is>
          <t>/</t>
        </is>
      </c>
      <c r="Z378" s="72" t="inlineStr">
        <is>
          <t>/</t>
        </is>
      </c>
      <c r="AA378" s="72" t="inlineStr">
        <is>
          <t>/</t>
        </is>
      </c>
      <c r="AB378" s="51" t="inlineStr">
        <is>
          <t>/</t>
        </is>
      </c>
      <c r="AC378" s="46" t="inlineStr">
        <is>
          <t>/</t>
        </is>
      </c>
      <c r="AD378" s="76" t="inlineStr">
        <is>
          <t>1、虫害消杀：项目反馈不收取，包含在服务费中；
2、装修折旧费：项目反馈不收取，包含在服务费中；
3、卫生费：项目反馈不收取，包含在服务费中；
4、能源费：项目反馈不收取，包含在服务费中；</t>
        </is>
      </c>
      <c r="AE378" s="25" t="n"/>
    </row>
    <row r="379" ht="48" customFormat="1" customHeight="1" s="209">
      <c r="A379" s="219" t="n">
        <v>384</v>
      </c>
      <c r="B379" s="14" t="inlineStr">
        <is>
          <t>KQCY0384</t>
        </is>
      </c>
      <c r="C379" s="221" t="inlineStr">
        <is>
          <t>餐饮六分部</t>
        </is>
      </c>
      <c r="D379" s="221" t="inlineStr">
        <is>
          <t>CF480</t>
        </is>
      </c>
      <c r="E379" s="61" t="inlineStr">
        <is>
          <t>江苏旅游学生食堂二楼</t>
        </is>
      </c>
      <c r="F379" s="219" t="inlineStr">
        <is>
          <t>分组作业</t>
        </is>
      </c>
      <c r="G379" s="222" t="inlineStr">
        <is>
          <t>吉沐牛</t>
        </is>
      </c>
      <c r="H379" s="503" t="inlineStr">
        <is>
          <t>/</t>
        </is>
      </c>
      <c r="I379" s="237" t="inlineStr">
        <is>
          <t>一纸鸡</t>
        </is>
      </c>
      <c r="J379" s="219" t="inlineStr">
        <is>
          <t>熊朝秀</t>
        </is>
      </c>
      <c r="K379" s="224" t="inlineStr">
        <is>
          <t>/</t>
        </is>
      </c>
      <c r="L379" s="651" t="inlineStr">
        <is>
          <t>/</t>
        </is>
      </c>
      <c r="M379" s="77" t="n">
        <v>0.28</v>
      </c>
      <c r="N379" s="77" t="inlineStr">
        <is>
          <t>/</t>
        </is>
      </c>
      <c r="O379" s="77" t="inlineStr">
        <is>
          <t>/</t>
        </is>
      </c>
      <c r="P379" s="81" t="inlineStr">
        <is>
          <t>/</t>
        </is>
      </c>
      <c r="Q379" s="81" t="inlineStr">
        <is>
          <t>/</t>
        </is>
      </c>
      <c r="R379" s="81" t="inlineStr">
        <is>
          <t>/</t>
        </is>
      </c>
      <c r="S379" s="77" t="inlineStr">
        <is>
          <t>/</t>
        </is>
      </c>
      <c r="T379" s="71" t="inlineStr">
        <is>
          <t>/</t>
        </is>
      </c>
      <c r="U379" s="71" t="inlineStr">
        <is>
          <t>/</t>
        </is>
      </c>
      <c r="V379" s="77" t="inlineStr">
        <is>
          <t>/</t>
        </is>
      </c>
      <c r="W379" s="72" t="inlineStr">
        <is>
          <t>50%±3%</t>
        </is>
      </c>
      <c r="X379" s="573" t="inlineStr">
        <is>
          <t>/</t>
        </is>
      </c>
      <c r="Y379" s="72" t="inlineStr">
        <is>
          <t>/</t>
        </is>
      </c>
      <c r="Z379" s="72" t="inlineStr">
        <is>
          <t>/</t>
        </is>
      </c>
      <c r="AA379" s="72" t="inlineStr">
        <is>
          <t>/</t>
        </is>
      </c>
      <c r="AB379" s="51" t="inlineStr">
        <is>
          <t>/</t>
        </is>
      </c>
      <c r="AC379" s="46" t="inlineStr">
        <is>
          <t>/</t>
        </is>
      </c>
      <c r="AD379" s="76" t="inlineStr">
        <is>
          <t>1、虫害消杀：项目反馈不收取，包含在服务费中；
2、装修折旧费：项目反馈不收取，包含在服务费中；
3、卫生费：项目反馈不收取，包含在服务费中；
4、能源费：项目反馈不收取，包含在服务费中；</t>
        </is>
      </c>
      <c r="AE379" s="25" t="n"/>
    </row>
    <row r="380" ht="48" customFormat="1" customHeight="1" s="209">
      <c r="A380" s="219" t="n">
        <v>385</v>
      </c>
      <c r="B380" s="14" t="inlineStr">
        <is>
          <t>KQCY0385</t>
        </is>
      </c>
      <c r="C380" s="221" t="inlineStr">
        <is>
          <t>餐饮六分部</t>
        </is>
      </c>
      <c r="D380" s="221" t="inlineStr">
        <is>
          <t>CF480</t>
        </is>
      </c>
      <c r="E380" s="61" t="inlineStr">
        <is>
          <t>江苏旅游学生食堂二楼</t>
        </is>
      </c>
      <c r="F380" s="219" t="inlineStr">
        <is>
          <t>分组作业</t>
        </is>
      </c>
      <c r="G380" s="222" t="inlineStr">
        <is>
          <t>吉沐牛</t>
        </is>
      </c>
      <c r="H380" s="503" t="inlineStr">
        <is>
          <t>/</t>
        </is>
      </c>
      <c r="I380" s="237" t="inlineStr">
        <is>
          <t>炸鸡</t>
        </is>
      </c>
      <c r="J380" s="219" t="inlineStr">
        <is>
          <t>单良</t>
        </is>
      </c>
      <c r="K380" s="224" t="inlineStr">
        <is>
          <t>/</t>
        </is>
      </c>
      <c r="L380" s="651" t="inlineStr">
        <is>
          <t>/</t>
        </is>
      </c>
      <c r="M380" s="77" t="n">
        <v>0.24</v>
      </c>
      <c r="N380" s="77" t="inlineStr">
        <is>
          <t>/</t>
        </is>
      </c>
      <c r="O380" s="77" t="inlineStr">
        <is>
          <t>/</t>
        </is>
      </c>
      <c r="P380" s="81" t="inlineStr">
        <is>
          <t>/</t>
        </is>
      </c>
      <c r="Q380" s="81" t="inlineStr">
        <is>
          <t>/</t>
        </is>
      </c>
      <c r="R380" s="81" t="inlineStr">
        <is>
          <t>/</t>
        </is>
      </c>
      <c r="S380" s="77" t="inlineStr">
        <is>
          <t>/</t>
        </is>
      </c>
      <c r="T380" s="71" t="inlineStr">
        <is>
          <t>/</t>
        </is>
      </c>
      <c r="U380" s="71" t="inlineStr">
        <is>
          <t>/</t>
        </is>
      </c>
      <c r="V380" s="77" t="inlineStr">
        <is>
          <t>/</t>
        </is>
      </c>
      <c r="W380" s="72" t="inlineStr">
        <is>
          <t>50%±3%</t>
        </is>
      </c>
      <c r="X380" s="573" t="inlineStr">
        <is>
          <t>/</t>
        </is>
      </c>
      <c r="Y380" s="72" t="inlineStr">
        <is>
          <t>/</t>
        </is>
      </c>
      <c r="Z380" s="72" t="inlineStr">
        <is>
          <t>/</t>
        </is>
      </c>
      <c r="AA380" s="72" t="inlineStr">
        <is>
          <t>/</t>
        </is>
      </c>
      <c r="AB380" s="51" t="inlineStr">
        <is>
          <t>/</t>
        </is>
      </c>
      <c r="AC380" s="46" t="inlineStr">
        <is>
          <t>/</t>
        </is>
      </c>
      <c r="AD380" s="76" t="inlineStr">
        <is>
          <t>1、虫害消杀：项目反馈不收取，包含在服务费中；
2、装修折旧费：项目反馈不收取，包含在服务费中；
3、卫生费：项目反馈不收取，包含在服务费中；
4、能源费：项目反馈不收取，包含在服务费中；</t>
        </is>
      </c>
      <c r="AE380" s="25" t="n"/>
    </row>
    <row r="381" ht="48" customFormat="1" customHeight="1" s="209">
      <c r="A381" s="219" t="n">
        <v>386</v>
      </c>
      <c r="B381" s="14" t="inlineStr">
        <is>
          <t>KQCY0386</t>
        </is>
      </c>
      <c r="C381" s="221" t="inlineStr">
        <is>
          <t>餐饮六分部</t>
        </is>
      </c>
      <c r="D381" s="221" t="inlineStr">
        <is>
          <t>CF480</t>
        </is>
      </c>
      <c r="E381" s="61" t="inlineStr">
        <is>
          <t>江苏旅游学生食堂二楼</t>
        </is>
      </c>
      <c r="F381" s="219" t="inlineStr">
        <is>
          <t>分组作业</t>
        </is>
      </c>
      <c r="G381" s="222" t="inlineStr">
        <is>
          <t>吉沐牛</t>
        </is>
      </c>
      <c r="H381" s="503" t="inlineStr">
        <is>
          <t>/</t>
        </is>
      </c>
      <c r="I381" s="237" t="inlineStr">
        <is>
          <t>快餐自选</t>
        </is>
      </c>
      <c r="J381" s="219" t="inlineStr">
        <is>
          <t>王明辉</t>
        </is>
      </c>
      <c r="K381" s="224" t="inlineStr">
        <is>
          <t>/</t>
        </is>
      </c>
      <c r="L381" s="651" t="inlineStr">
        <is>
          <t>/</t>
        </is>
      </c>
      <c r="M381" s="77" t="n">
        <v>0.22</v>
      </c>
      <c r="N381" s="77" t="inlineStr">
        <is>
          <t>/</t>
        </is>
      </c>
      <c r="O381" s="77" t="inlineStr">
        <is>
          <t>/</t>
        </is>
      </c>
      <c r="P381" s="81" t="inlineStr">
        <is>
          <t>/</t>
        </is>
      </c>
      <c r="Q381" s="81" t="inlineStr">
        <is>
          <t>/</t>
        </is>
      </c>
      <c r="R381" s="81" t="inlineStr">
        <is>
          <t>/</t>
        </is>
      </c>
      <c r="S381" s="77" t="inlineStr">
        <is>
          <t>/</t>
        </is>
      </c>
      <c r="T381" s="71" t="inlineStr">
        <is>
          <t>/</t>
        </is>
      </c>
      <c r="U381" s="71" t="inlineStr">
        <is>
          <t>/</t>
        </is>
      </c>
      <c r="V381" s="77" t="inlineStr">
        <is>
          <t>/</t>
        </is>
      </c>
      <c r="W381" s="72" t="inlineStr">
        <is>
          <t>50%±3%</t>
        </is>
      </c>
      <c r="X381" s="573" t="inlineStr">
        <is>
          <t>/</t>
        </is>
      </c>
      <c r="Y381" s="72" t="inlineStr">
        <is>
          <t>/</t>
        </is>
      </c>
      <c r="Z381" s="72" t="inlineStr">
        <is>
          <t>/</t>
        </is>
      </c>
      <c r="AA381" s="72" t="inlineStr">
        <is>
          <t>/</t>
        </is>
      </c>
      <c r="AB381" s="51" t="inlineStr">
        <is>
          <t>/</t>
        </is>
      </c>
      <c r="AC381" s="46" t="inlineStr">
        <is>
          <t>/</t>
        </is>
      </c>
      <c r="AD381" s="76" t="inlineStr">
        <is>
          <t>1、虫害消杀：项目反馈不收取，包含在服务费中；
2、装修折旧费：项目反馈不收取，包含在服务费中；
3、卫生费：项目反馈不收取，包含在服务费中；
4、能源费：项目反馈不收取，包含在服务费中；</t>
        </is>
      </c>
      <c r="AE381" s="25" t="n"/>
    </row>
    <row r="382" ht="48" customFormat="1" customHeight="1" s="209">
      <c r="A382" s="219" t="n">
        <v>387</v>
      </c>
      <c r="B382" s="14" t="inlineStr">
        <is>
          <t>KQCY0387</t>
        </is>
      </c>
      <c r="C382" s="221" t="inlineStr">
        <is>
          <t>餐饮六分部</t>
        </is>
      </c>
      <c r="D382" s="221" t="inlineStr">
        <is>
          <t>CF480</t>
        </is>
      </c>
      <c r="E382" s="61" t="inlineStr">
        <is>
          <t>江苏旅游学生食堂二楼</t>
        </is>
      </c>
      <c r="F382" s="219" t="inlineStr">
        <is>
          <t>分组作业</t>
        </is>
      </c>
      <c r="G382" s="222" t="inlineStr">
        <is>
          <t>吉沐牛</t>
        </is>
      </c>
      <c r="H382" s="503" t="inlineStr">
        <is>
          <t>/</t>
        </is>
      </c>
      <c r="I382" s="237" t="inlineStr">
        <is>
          <t>早餐</t>
        </is>
      </c>
      <c r="J382" s="219" t="inlineStr">
        <is>
          <t>王明辉</t>
        </is>
      </c>
      <c r="K382" s="224" t="inlineStr">
        <is>
          <t>/</t>
        </is>
      </c>
      <c r="L382" s="651" t="inlineStr">
        <is>
          <t>/</t>
        </is>
      </c>
      <c r="M382" s="77" t="n">
        <v>0.16</v>
      </c>
      <c r="N382" s="77" t="inlineStr">
        <is>
          <t>/</t>
        </is>
      </c>
      <c r="O382" s="77" t="inlineStr">
        <is>
          <t>/</t>
        </is>
      </c>
      <c r="P382" s="81" t="inlineStr">
        <is>
          <t>/</t>
        </is>
      </c>
      <c r="Q382" s="81" t="inlineStr">
        <is>
          <t>/</t>
        </is>
      </c>
      <c r="R382" s="81" t="inlineStr">
        <is>
          <t>/</t>
        </is>
      </c>
      <c r="S382" s="77" t="inlineStr">
        <is>
          <t>/</t>
        </is>
      </c>
      <c r="T382" s="71" t="inlineStr">
        <is>
          <t>/</t>
        </is>
      </c>
      <c r="U382" s="71" t="inlineStr">
        <is>
          <t>/</t>
        </is>
      </c>
      <c r="V382" s="77" t="inlineStr">
        <is>
          <t>/</t>
        </is>
      </c>
      <c r="W382" s="72" t="inlineStr">
        <is>
          <t>50%±3%</t>
        </is>
      </c>
      <c r="X382" s="573" t="inlineStr">
        <is>
          <t>/</t>
        </is>
      </c>
      <c r="Y382" s="72" t="inlineStr">
        <is>
          <t>/</t>
        </is>
      </c>
      <c r="Z382" s="72" t="inlineStr">
        <is>
          <t>/</t>
        </is>
      </c>
      <c r="AA382" s="72" t="inlineStr">
        <is>
          <t>/</t>
        </is>
      </c>
      <c r="AB382" s="51" t="inlineStr">
        <is>
          <t>/</t>
        </is>
      </c>
      <c r="AC382" s="46" t="inlineStr">
        <is>
          <t>/</t>
        </is>
      </c>
      <c r="AD382" s="76" t="inlineStr">
        <is>
          <t>1、虫害消杀：项目反馈不收取，包含在服务费中；
2、装修折旧费：项目反馈不收取，包含在服务费中；
3、卫生费：项目反馈不收取，包含在服务费中；
4、能源费：项目反馈不收取，包含在服务费中；</t>
        </is>
      </c>
      <c r="AE382" s="25" t="n"/>
    </row>
    <row r="383" ht="12" customFormat="1" customHeight="1" s="209">
      <c r="A383" s="219" t="n">
        <v>388</v>
      </c>
      <c r="B383" s="14" t="inlineStr">
        <is>
          <t>KQCY0388</t>
        </is>
      </c>
      <c r="C383" s="221" t="inlineStr">
        <is>
          <t>餐饮六分部</t>
        </is>
      </c>
      <c r="D383" s="221" t="inlineStr">
        <is>
          <t>CF341</t>
        </is>
      </c>
      <c r="E383" s="61" t="inlineStr">
        <is>
          <t>扬大荷花池校区二楼食堂</t>
        </is>
      </c>
      <c r="F383" s="219" t="inlineStr">
        <is>
          <t>人员服务外包</t>
        </is>
      </c>
      <c r="G383" s="222" t="inlineStr">
        <is>
          <t>吉沐牛</t>
        </is>
      </c>
      <c r="H383" s="480" t="inlineStr">
        <is>
          <t>/</t>
        </is>
      </c>
      <c r="I383" s="335" t="inlineStr">
        <is>
          <t>/</t>
        </is>
      </c>
      <c r="J383" s="335" t="inlineStr">
        <is>
          <t>/</t>
        </is>
      </c>
      <c r="K383" s="349" t="inlineStr">
        <is>
          <t>/</t>
        </is>
      </c>
      <c r="L383" s="651" t="inlineStr">
        <is>
          <t>/</t>
        </is>
      </c>
      <c r="M383" s="349" t="inlineStr">
        <is>
          <t>/</t>
        </is>
      </c>
      <c r="N383" s="349" t="inlineStr">
        <is>
          <t>/</t>
        </is>
      </c>
      <c r="O383" s="349" t="inlineStr">
        <is>
          <t>/</t>
        </is>
      </c>
      <c r="P383" s="349" t="inlineStr">
        <is>
          <t>/</t>
        </is>
      </c>
      <c r="Q383" s="349" t="inlineStr">
        <is>
          <t>/</t>
        </is>
      </c>
      <c r="R383" s="349" t="inlineStr">
        <is>
          <t>/</t>
        </is>
      </c>
      <c r="S383" s="349" t="inlineStr">
        <is>
          <t>/</t>
        </is>
      </c>
      <c r="T383" s="106" t="n"/>
      <c r="U383" s="462" t="inlineStr">
        <is>
          <t>/</t>
        </is>
      </c>
      <c r="V383" s="349" t="inlineStr">
        <is>
          <t>/</t>
        </is>
      </c>
      <c r="W383" s="480" t="inlineStr">
        <is>
          <t>/</t>
        </is>
      </c>
      <c r="X383" s="662" t="inlineStr">
        <is>
          <t>/</t>
        </is>
      </c>
      <c r="Y383" s="480" t="inlineStr">
        <is>
          <t>/</t>
        </is>
      </c>
      <c r="Z383" s="480" t="inlineStr">
        <is>
          <t>/</t>
        </is>
      </c>
      <c r="AA383" s="480" t="inlineStr">
        <is>
          <t>/</t>
        </is>
      </c>
      <c r="AB383" s="46" t="n">
        <v>0.11</v>
      </c>
      <c r="AC383" s="118" t="inlineStr">
        <is>
          <t>/</t>
        </is>
      </c>
      <c r="AD383" s="48" t="inlineStr">
        <is>
          <t>1、自营未实际经营；</t>
        </is>
      </c>
      <c r="AE383" s="25" t="n"/>
    </row>
    <row r="384" ht="48" customFormat="1" customHeight="1" s="209">
      <c r="A384" s="219" t="n">
        <v>389</v>
      </c>
      <c r="B384" s="14" t="inlineStr">
        <is>
          <t>KQCY0389</t>
        </is>
      </c>
      <c r="C384" s="221" t="inlineStr">
        <is>
          <t>餐饮六分部</t>
        </is>
      </c>
      <c r="D384" s="221" t="inlineStr">
        <is>
          <t>CF341</t>
        </is>
      </c>
      <c r="E384" s="61" t="inlineStr">
        <is>
          <t>扬大荷花池校区二楼食堂</t>
        </is>
      </c>
      <c r="F384" s="219" t="inlineStr">
        <is>
          <t>人员服务外包</t>
        </is>
      </c>
      <c r="G384" s="222" t="inlineStr">
        <is>
          <t>吉沐牛</t>
        </is>
      </c>
      <c r="H384" s="219" t="inlineStr">
        <is>
          <t>第一班组</t>
        </is>
      </c>
      <c r="I384" s="237" t="inlineStr">
        <is>
          <t>麻辣烫(麻辣拌、麻酱拌、小碗菜、盖浇饭、猪脚饭)</t>
        </is>
      </c>
      <c r="J384" s="219" t="inlineStr">
        <is>
          <t>于士位</t>
        </is>
      </c>
      <c r="K384" s="224" t="inlineStr">
        <is>
          <t>/</t>
        </is>
      </c>
      <c r="L384" s="651" t="n">
        <v>1668000</v>
      </c>
      <c r="M384" s="75" t="n">
        <v>0.08500000000000001</v>
      </c>
      <c r="N384" s="77" t="inlineStr">
        <is>
          <t>/</t>
        </is>
      </c>
      <c r="O384" s="77" t="inlineStr">
        <is>
          <t>/</t>
        </is>
      </c>
      <c r="P384" s="77" t="inlineStr">
        <is>
          <t>/</t>
        </is>
      </c>
      <c r="Q384" s="77" t="inlineStr">
        <is>
          <t>/</t>
        </is>
      </c>
      <c r="R384" s="77" t="inlineStr">
        <is>
          <t>/</t>
        </is>
      </c>
      <c r="S384" s="77" t="inlineStr">
        <is>
          <t>/</t>
        </is>
      </c>
      <c r="T384" s="77" t="inlineStr">
        <is>
          <t>/</t>
        </is>
      </c>
      <c r="U384" s="77" t="inlineStr">
        <is>
          <t>/</t>
        </is>
      </c>
      <c r="V384" s="72" t="inlineStr">
        <is>
          <t>/</t>
        </is>
      </c>
      <c r="W384" s="77" t="n">
        <v>0.45</v>
      </c>
      <c r="X384" s="573" t="inlineStr">
        <is>
          <t>/</t>
        </is>
      </c>
      <c r="Y384" s="72" t="inlineStr">
        <is>
          <t>/</t>
        </is>
      </c>
      <c r="Z384" s="72" t="inlineStr">
        <is>
          <t>/</t>
        </is>
      </c>
      <c r="AA384" s="72" t="inlineStr">
        <is>
          <t>/</t>
        </is>
      </c>
      <c r="AB384" s="51" t="inlineStr">
        <is>
          <t>/</t>
        </is>
      </c>
      <c r="AC384" s="46" t="inlineStr">
        <is>
          <t>/</t>
        </is>
      </c>
      <c r="AD384" s="76" t="inlineStr">
        <is>
          <t>1、卫生费：项目反馈不收取，包含在服务费中；</t>
        </is>
      </c>
      <c r="AE384" s="25" t="inlineStr">
        <is>
          <t xml:space="preserve">1、签订期间：2026.3-7月；
2、指标按照全年换算；
</t>
        </is>
      </c>
    </row>
    <row r="385" ht="48" customFormat="1" customHeight="1" s="209">
      <c r="A385" s="219" t="n">
        <v>390</v>
      </c>
      <c r="B385" s="14" t="inlineStr">
        <is>
          <t>KQCY0390</t>
        </is>
      </c>
      <c r="C385" s="221" t="inlineStr">
        <is>
          <t>餐饮六分部</t>
        </is>
      </c>
      <c r="D385" s="221" t="inlineStr">
        <is>
          <t>CF341</t>
        </is>
      </c>
      <c r="E385" s="61" t="inlineStr">
        <is>
          <t>扬大荷花池校区二楼食堂</t>
        </is>
      </c>
      <c r="F385" s="219" t="inlineStr">
        <is>
          <t>人员服务外包</t>
        </is>
      </c>
      <c r="G385" s="222" t="inlineStr">
        <is>
          <t>吉沐牛</t>
        </is>
      </c>
      <c r="H385" s="219" t="inlineStr">
        <is>
          <t>第二班组</t>
        </is>
      </c>
      <c r="I385" s="237" t="inlineStr">
        <is>
          <t>烤鸭饭</t>
        </is>
      </c>
      <c r="J385" s="219" t="inlineStr">
        <is>
          <t>吴异</t>
        </is>
      </c>
      <c r="K385" s="224" t="inlineStr">
        <is>
          <t>/</t>
        </is>
      </c>
      <c r="L385" s="651" t="n">
        <v>984000</v>
      </c>
      <c r="M385" s="75" t="n">
        <v>0.08500000000000001</v>
      </c>
      <c r="N385" s="77" t="inlineStr">
        <is>
          <t>/</t>
        </is>
      </c>
      <c r="O385" s="77" t="inlineStr">
        <is>
          <t>/</t>
        </is>
      </c>
      <c r="P385" s="77" t="inlineStr">
        <is>
          <t>/</t>
        </is>
      </c>
      <c r="Q385" s="77" t="inlineStr">
        <is>
          <t>/</t>
        </is>
      </c>
      <c r="R385" s="77" t="inlineStr">
        <is>
          <t>/</t>
        </is>
      </c>
      <c r="S385" s="77" t="inlineStr">
        <is>
          <t>/</t>
        </is>
      </c>
      <c r="T385" s="77" t="inlineStr">
        <is>
          <t>/</t>
        </is>
      </c>
      <c r="U385" s="77" t="inlineStr">
        <is>
          <t>/</t>
        </is>
      </c>
      <c r="V385" s="72" t="inlineStr">
        <is>
          <t>/</t>
        </is>
      </c>
      <c r="W385" s="77" t="n">
        <v>0.45</v>
      </c>
      <c r="X385" s="573" t="inlineStr">
        <is>
          <t>/</t>
        </is>
      </c>
      <c r="Y385" s="72" t="inlineStr">
        <is>
          <t>/</t>
        </is>
      </c>
      <c r="Z385" s="72" t="inlineStr">
        <is>
          <t>/</t>
        </is>
      </c>
      <c r="AA385" s="72" t="inlineStr">
        <is>
          <t>/</t>
        </is>
      </c>
      <c r="AB385" s="51" t="inlineStr">
        <is>
          <t>/</t>
        </is>
      </c>
      <c r="AC385" s="46" t="inlineStr">
        <is>
          <t>/</t>
        </is>
      </c>
      <c r="AD385" s="76" t="inlineStr">
        <is>
          <t>1、卫生费：项目反馈不收取，包含在服务费中；</t>
        </is>
      </c>
      <c r="AE385" s="25" t="inlineStr">
        <is>
          <t xml:space="preserve">1、签订期间：2026.3-7月；
2、指标按照全年换算；
</t>
        </is>
      </c>
    </row>
    <row r="386" ht="48" customFormat="1" customHeight="1" s="209">
      <c r="A386" s="219" t="n">
        <v>391</v>
      </c>
      <c r="B386" s="14" t="inlineStr">
        <is>
          <t>KQCY0391</t>
        </is>
      </c>
      <c r="C386" s="221" t="inlineStr">
        <is>
          <t>餐饮六分部</t>
        </is>
      </c>
      <c r="D386" s="221" t="inlineStr">
        <is>
          <t>CF341</t>
        </is>
      </c>
      <c r="E386" s="61" t="inlineStr">
        <is>
          <t>扬大荷花池校区二楼食堂</t>
        </is>
      </c>
      <c r="F386" s="219" t="inlineStr">
        <is>
          <t>人员服务外包</t>
        </is>
      </c>
      <c r="G386" s="222" t="inlineStr">
        <is>
          <t>吉沐牛</t>
        </is>
      </c>
      <c r="H386" s="219" t="inlineStr">
        <is>
          <t>第三班组</t>
        </is>
      </c>
      <c r="I386" s="237" t="inlineStr">
        <is>
          <t>酸菜鱼(砂锅)</t>
        </is>
      </c>
      <c r="J386" s="219" t="inlineStr">
        <is>
          <t>邱康兴</t>
        </is>
      </c>
      <c r="K386" s="224" t="inlineStr">
        <is>
          <t>/</t>
        </is>
      </c>
      <c r="L386" s="651" t="n">
        <v>662400</v>
      </c>
      <c r="M386" s="75" t="n">
        <v>0.08500000000000001</v>
      </c>
      <c r="N386" s="77" t="inlineStr">
        <is>
          <t>/</t>
        </is>
      </c>
      <c r="O386" s="77" t="inlineStr">
        <is>
          <t>/</t>
        </is>
      </c>
      <c r="P386" s="77" t="inlineStr">
        <is>
          <t>/</t>
        </is>
      </c>
      <c r="Q386" s="77" t="inlineStr">
        <is>
          <t>/</t>
        </is>
      </c>
      <c r="R386" s="77" t="inlineStr">
        <is>
          <t>/</t>
        </is>
      </c>
      <c r="S386" s="77" t="inlineStr">
        <is>
          <t>/</t>
        </is>
      </c>
      <c r="T386" s="77" t="inlineStr">
        <is>
          <t>/</t>
        </is>
      </c>
      <c r="U386" s="77" t="inlineStr">
        <is>
          <t>/</t>
        </is>
      </c>
      <c r="V386" s="72" t="inlineStr">
        <is>
          <t>/</t>
        </is>
      </c>
      <c r="W386" s="77" t="n">
        <v>0.45</v>
      </c>
      <c r="X386" s="573" t="inlineStr">
        <is>
          <t>/</t>
        </is>
      </c>
      <c r="Y386" s="72" t="inlineStr">
        <is>
          <t>/</t>
        </is>
      </c>
      <c r="Z386" s="72" t="inlineStr">
        <is>
          <t>/</t>
        </is>
      </c>
      <c r="AA386" s="72" t="inlineStr">
        <is>
          <t>/</t>
        </is>
      </c>
      <c r="AB386" s="51" t="inlineStr">
        <is>
          <t>/</t>
        </is>
      </c>
      <c r="AC386" s="46" t="inlineStr">
        <is>
          <t>/</t>
        </is>
      </c>
      <c r="AD386" s="76" t="inlineStr">
        <is>
          <t>1、卫生费：项目反馈不收取，包含在服务费中；</t>
        </is>
      </c>
      <c r="AE386" s="25" t="inlineStr">
        <is>
          <t xml:space="preserve">1、签订期间：2026.3-7月；
2、指标按照全年换算；
</t>
        </is>
      </c>
    </row>
    <row r="387" ht="48" customFormat="1" customHeight="1" s="209">
      <c r="A387" s="219" t="n">
        <v>392</v>
      </c>
      <c r="B387" s="14" t="inlineStr">
        <is>
          <t>KQCY0392</t>
        </is>
      </c>
      <c r="C387" s="221" t="inlineStr">
        <is>
          <t>餐饮六分部</t>
        </is>
      </c>
      <c r="D387" s="221" t="inlineStr">
        <is>
          <t>CF341</t>
        </is>
      </c>
      <c r="E387" s="61" t="inlineStr">
        <is>
          <t>扬大荷花池校区二楼食堂</t>
        </is>
      </c>
      <c r="F387" s="219" t="inlineStr">
        <is>
          <t>人员服务外包</t>
        </is>
      </c>
      <c r="G387" s="222" t="inlineStr">
        <is>
          <t>吉沐牛</t>
        </is>
      </c>
      <c r="H387" s="219" t="inlineStr">
        <is>
          <t>第四班组</t>
        </is>
      </c>
      <c r="I387" s="237" t="inlineStr">
        <is>
          <t>瓦香鸡</t>
        </is>
      </c>
      <c r="J387" s="219" t="inlineStr">
        <is>
          <t>董伟</t>
        </is>
      </c>
      <c r="K387" s="224" t="inlineStr">
        <is>
          <t>/</t>
        </is>
      </c>
      <c r="L387" s="651" t="n">
        <v>367200</v>
      </c>
      <c r="M387" s="75" t="n">
        <v>0.08500000000000001</v>
      </c>
      <c r="N387" s="77" t="inlineStr">
        <is>
          <t>/</t>
        </is>
      </c>
      <c r="O387" s="77" t="inlineStr">
        <is>
          <t>/</t>
        </is>
      </c>
      <c r="P387" s="77" t="inlineStr">
        <is>
          <t>/</t>
        </is>
      </c>
      <c r="Q387" s="77" t="inlineStr">
        <is>
          <t>/</t>
        </is>
      </c>
      <c r="R387" s="77" t="inlineStr">
        <is>
          <t>/</t>
        </is>
      </c>
      <c r="S387" s="77" t="inlineStr">
        <is>
          <t>/</t>
        </is>
      </c>
      <c r="T387" s="77" t="inlineStr">
        <is>
          <t>/</t>
        </is>
      </c>
      <c r="U387" s="77" t="inlineStr">
        <is>
          <t>/</t>
        </is>
      </c>
      <c r="V387" s="72" t="inlineStr">
        <is>
          <t>/</t>
        </is>
      </c>
      <c r="W387" s="77" t="n">
        <v>0.45</v>
      </c>
      <c r="X387" s="573" t="inlineStr">
        <is>
          <t>/</t>
        </is>
      </c>
      <c r="Y387" s="72" t="inlineStr">
        <is>
          <t>/</t>
        </is>
      </c>
      <c r="Z387" s="72" t="inlineStr">
        <is>
          <t>/</t>
        </is>
      </c>
      <c r="AA387" s="72" t="inlineStr">
        <is>
          <t>/</t>
        </is>
      </c>
      <c r="AB387" s="51" t="inlineStr">
        <is>
          <t>/</t>
        </is>
      </c>
      <c r="AC387" s="46" t="inlineStr">
        <is>
          <t>/</t>
        </is>
      </c>
      <c r="AD387" s="76" t="inlineStr">
        <is>
          <t>1、卫生费：项目反馈不收取，包含在服务费中；</t>
        </is>
      </c>
      <c r="AE387" s="25" t="inlineStr">
        <is>
          <t xml:space="preserve">1、签订期间：2026.3-7月；
2、指标按照全年换算；
</t>
        </is>
      </c>
    </row>
    <row r="388" ht="48" customFormat="1" customHeight="1" s="209">
      <c r="A388" s="219" t="n">
        <v>393</v>
      </c>
      <c r="B388" s="14" t="inlineStr">
        <is>
          <t>KQCY0393</t>
        </is>
      </c>
      <c r="C388" s="221" t="inlineStr">
        <is>
          <t>餐饮六分部</t>
        </is>
      </c>
      <c r="D388" s="221" t="inlineStr">
        <is>
          <t>CF341</t>
        </is>
      </c>
      <c r="E388" s="61" t="inlineStr">
        <is>
          <t>扬大荷花池校区二楼食堂</t>
        </is>
      </c>
      <c r="F388" s="219" t="inlineStr">
        <is>
          <t>人员服务外包</t>
        </is>
      </c>
      <c r="G388" s="222" t="inlineStr">
        <is>
          <t>吉沐牛</t>
        </is>
      </c>
      <c r="H388" s="219" t="inlineStr">
        <is>
          <t>第五班组</t>
        </is>
      </c>
      <c r="I388" s="237" t="inlineStr">
        <is>
          <t>水饺(馄饨)</t>
        </is>
      </c>
      <c r="J388" s="219" t="inlineStr">
        <is>
          <t>周凯</t>
        </is>
      </c>
      <c r="K388" s="224" t="inlineStr">
        <is>
          <t>/</t>
        </is>
      </c>
      <c r="L388" s="651" t="n">
        <v>316800</v>
      </c>
      <c r="M388" s="75" t="n">
        <v>0.08500000000000001</v>
      </c>
      <c r="N388" s="77" t="inlineStr">
        <is>
          <t>/</t>
        </is>
      </c>
      <c r="O388" s="77" t="inlineStr">
        <is>
          <t>/</t>
        </is>
      </c>
      <c r="P388" s="77" t="inlineStr">
        <is>
          <t>/</t>
        </is>
      </c>
      <c r="Q388" s="77" t="inlineStr">
        <is>
          <t>/</t>
        </is>
      </c>
      <c r="R388" s="77" t="inlineStr">
        <is>
          <t>/</t>
        </is>
      </c>
      <c r="S388" s="77" t="inlineStr">
        <is>
          <t>/</t>
        </is>
      </c>
      <c r="T388" s="77" t="inlineStr">
        <is>
          <t>/</t>
        </is>
      </c>
      <c r="U388" s="77" t="inlineStr">
        <is>
          <t>/</t>
        </is>
      </c>
      <c r="V388" s="72" t="inlineStr">
        <is>
          <t>/</t>
        </is>
      </c>
      <c r="W388" s="77" t="n">
        <v>0.45</v>
      </c>
      <c r="X388" s="573" t="inlineStr">
        <is>
          <t>/</t>
        </is>
      </c>
      <c r="Y388" s="72" t="inlineStr">
        <is>
          <t>/</t>
        </is>
      </c>
      <c r="Z388" s="72" t="inlineStr">
        <is>
          <t>/</t>
        </is>
      </c>
      <c r="AA388" s="72" t="inlineStr">
        <is>
          <t>/</t>
        </is>
      </c>
      <c r="AB388" s="51" t="inlineStr">
        <is>
          <t>/</t>
        </is>
      </c>
      <c r="AC388" s="46" t="inlineStr">
        <is>
          <t>/</t>
        </is>
      </c>
      <c r="AD388" s="76" t="inlineStr">
        <is>
          <t>1、卫生费：项目反馈不收取，包含在服务费中；</t>
        </is>
      </c>
      <c r="AE388" s="25" t="inlineStr">
        <is>
          <t xml:space="preserve">1、签订期间：2026.3-7月；
2、指标按照全年换算；
</t>
        </is>
      </c>
    </row>
    <row r="389" ht="48" customFormat="1" customHeight="1" s="209">
      <c r="A389" s="219" t="n">
        <v>394</v>
      </c>
      <c r="B389" s="14" t="inlineStr">
        <is>
          <t>KQCY0394</t>
        </is>
      </c>
      <c r="C389" s="221" t="inlineStr">
        <is>
          <t>餐饮六分部</t>
        </is>
      </c>
      <c r="D389" s="221" t="inlineStr">
        <is>
          <t>CF341</t>
        </is>
      </c>
      <c r="E389" s="61" t="inlineStr">
        <is>
          <t>扬大荷花池校区二楼食堂</t>
        </is>
      </c>
      <c r="F389" s="219" t="inlineStr">
        <is>
          <t>人员服务外包</t>
        </is>
      </c>
      <c r="G389" s="222" t="inlineStr">
        <is>
          <t>吉沐牛</t>
        </is>
      </c>
      <c r="H389" s="219" t="inlineStr">
        <is>
          <t>第六班组</t>
        </is>
      </c>
      <c r="I389" s="237" t="inlineStr">
        <is>
          <t>川湘菜</t>
        </is>
      </c>
      <c r="J389" s="219" t="inlineStr">
        <is>
          <t>刘诚诚</t>
        </is>
      </c>
      <c r="K389" s="224" t="inlineStr">
        <is>
          <t>/</t>
        </is>
      </c>
      <c r="L389" s="651" t="n">
        <v>2232000</v>
      </c>
      <c r="M389" s="75" t="n">
        <v>0.08500000000000001</v>
      </c>
      <c r="N389" s="77" t="inlineStr">
        <is>
          <t>/</t>
        </is>
      </c>
      <c r="O389" s="77" t="inlineStr">
        <is>
          <t>/</t>
        </is>
      </c>
      <c r="P389" s="77" t="inlineStr">
        <is>
          <t>/</t>
        </is>
      </c>
      <c r="Q389" s="77" t="inlineStr">
        <is>
          <t>/</t>
        </is>
      </c>
      <c r="R389" s="77" t="inlineStr">
        <is>
          <t>/</t>
        </is>
      </c>
      <c r="S389" s="77" t="inlineStr">
        <is>
          <t>/</t>
        </is>
      </c>
      <c r="T389" s="77" t="inlineStr">
        <is>
          <t>/</t>
        </is>
      </c>
      <c r="U389" s="77" t="inlineStr">
        <is>
          <t>/</t>
        </is>
      </c>
      <c r="V389" s="72" t="inlineStr">
        <is>
          <t>/</t>
        </is>
      </c>
      <c r="W389" s="77" t="n">
        <v>0.45</v>
      </c>
      <c r="X389" s="573" t="inlineStr">
        <is>
          <t>/</t>
        </is>
      </c>
      <c r="Y389" s="72" t="inlineStr">
        <is>
          <t>/</t>
        </is>
      </c>
      <c r="Z389" s="72" t="inlineStr">
        <is>
          <t>/</t>
        </is>
      </c>
      <c r="AA389" s="72" t="inlineStr">
        <is>
          <t>/</t>
        </is>
      </c>
      <c r="AB389" s="51" t="inlineStr">
        <is>
          <t>/</t>
        </is>
      </c>
      <c r="AC389" s="46" t="inlineStr">
        <is>
          <t>/</t>
        </is>
      </c>
      <c r="AD389" s="76" t="inlineStr">
        <is>
          <t>1、卫生费：项目反馈不收取，包含在服务费中；</t>
        </is>
      </c>
      <c r="AE389" s="25" t="inlineStr">
        <is>
          <t xml:space="preserve">1、签订期间：2026.3-7月；
2、指标按照全年换算；
</t>
        </is>
      </c>
    </row>
    <row r="390" ht="48" customFormat="1" customHeight="1" s="209">
      <c r="A390" s="219" t="n">
        <v>395</v>
      </c>
      <c r="B390" s="14" t="inlineStr">
        <is>
          <t>KQCY0395</t>
        </is>
      </c>
      <c r="C390" s="221" t="inlineStr">
        <is>
          <t>餐饮六分部</t>
        </is>
      </c>
      <c r="D390" s="221" t="inlineStr">
        <is>
          <t>CF341</t>
        </is>
      </c>
      <c r="E390" s="61" t="inlineStr">
        <is>
          <t>扬大荷花池校区二楼食堂</t>
        </is>
      </c>
      <c r="F390" s="219" t="inlineStr">
        <is>
          <t>人员服务外包</t>
        </is>
      </c>
      <c r="G390" s="222" t="inlineStr">
        <is>
          <t>吉沐牛</t>
        </is>
      </c>
      <c r="H390" s="219" t="inlineStr">
        <is>
          <t>第七班组</t>
        </is>
      </c>
      <c r="I390" s="237" t="inlineStr">
        <is>
          <t>烤盘饭</t>
        </is>
      </c>
      <c r="J390" s="219" t="inlineStr">
        <is>
          <t>曹清红</t>
        </is>
      </c>
      <c r="K390" s="224" t="inlineStr">
        <is>
          <t>/</t>
        </is>
      </c>
      <c r="L390" s="651" t="n">
        <v>655200</v>
      </c>
      <c r="M390" s="75" t="n">
        <v>0.08500000000000001</v>
      </c>
      <c r="N390" s="77" t="inlineStr">
        <is>
          <t>/</t>
        </is>
      </c>
      <c r="O390" s="77" t="inlineStr">
        <is>
          <t>/</t>
        </is>
      </c>
      <c r="P390" s="77" t="inlineStr">
        <is>
          <t>/</t>
        </is>
      </c>
      <c r="Q390" s="77" t="inlineStr">
        <is>
          <t>/</t>
        </is>
      </c>
      <c r="R390" s="77" t="inlineStr">
        <is>
          <t>/</t>
        </is>
      </c>
      <c r="S390" s="77" t="inlineStr">
        <is>
          <t>/</t>
        </is>
      </c>
      <c r="T390" s="77" t="inlineStr">
        <is>
          <t>/</t>
        </is>
      </c>
      <c r="U390" s="77" t="inlineStr">
        <is>
          <t>/</t>
        </is>
      </c>
      <c r="V390" s="72" t="inlineStr">
        <is>
          <t>/</t>
        </is>
      </c>
      <c r="W390" s="77" t="n">
        <v>0.45</v>
      </c>
      <c r="X390" s="573" t="inlineStr">
        <is>
          <t>/</t>
        </is>
      </c>
      <c r="Y390" s="72" t="inlineStr">
        <is>
          <t>/</t>
        </is>
      </c>
      <c r="Z390" s="72" t="inlineStr">
        <is>
          <t>/</t>
        </is>
      </c>
      <c r="AA390" s="72" t="inlineStr">
        <is>
          <t>/</t>
        </is>
      </c>
      <c r="AB390" s="51" t="inlineStr">
        <is>
          <t>/</t>
        </is>
      </c>
      <c r="AC390" s="46" t="inlineStr">
        <is>
          <t>/</t>
        </is>
      </c>
      <c r="AD390" s="76" t="inlineStr">
        <is>
          <t>1、卫生费：项目反馈不收取，包含在服务费中；</t>
        </is>
      </c>
      <c r="AE390" s="25" t="inlineStr">
        <is>
          <t xml:space="preserve">1、签订期间：2026.3-7月；
2、指标按照全年换算；
</t>
        </is>
      </c>
    </row>
    <row r="391" ht="24" customFormat="1" customHeight="1" s="209">
      <c r="A391" s="219" t="n">
        <v>396</v>
      </c>
      <c r="B391" s="14" t="inlineStr">
        <is>
          <t>KQCY0396</t>
        </is>
      </c>
      <c r="C391" s="221" t="inlineStr">
        <is>
          <t>餐饮六分部</t>
        </is>
      </c>
      <c r="D391" s="221" t="inlineStr">
        <is>
          <t>CF341</t>
        </is>
      </c>
      <c r="E391" s="61" t="inlineStr">
        <is>
          <t>扬大荷花池校区二楼食堂</t>
        </is>
      </c>
      <c r="F391" s="219" t="inlineStr">
        <is>
          <t>人员服务外包</t>
        </is>
      </c>
      <c r="G391" s="222" t="inlineStr">
        <is>
          <t>吉沐牛</t>
        </is>
      </c>
      <c r="H391" s="219" t="inlineStr">
        <is>
          <t>第八班组</t>
        </is>
      </c>
      <c r="I391" s="237" t="inlineStr">
        <is>
          <t>黄焖鸡(黑鸭煲、拌面拌粉)</t>
        </is>
      </c>
      <c r="J391" s="219" t="inlineStr">
        <is>
          <t>刘发治</t>
        </is>
      </c>
      <c r="K391" s="224" t="inlineStr">
        <is>
          <t>/</t>
        </is>
      </c>
      <c r="L391" s="651" t="n">
        <v>662400</v>
      </c>
      <c r="M391" s="75" t="n">
        <v>0.08500000000000001</v>
      </c>
      <c r="N391" s="77" t="inlineStr">
        <is>
          <t>/</t>
        </is>
      </c>
      <c r="O391" s="77" t="inlineStr">
        <is>
          <t>/</t>
        </is>
      </c>
      <c r="P391" s="77" t="inlineStr">
        <is>
          <t>/</t>
        </is>
      </c>
      <c r="Q391" s="77" t="inlineStr">
        <is>
          <t>/</t>
        </is>
      </c>
      <c r="R391" s="77" t="inlineStr">
        <is>
          <t>/</t>
        </is>
      </c>
      <c r="S391" s="77" t="inlineStr">
        <is>
          <t>/</t>
        </is>
      </c>
      <c r="T391" s="77" t="inlineStr">
        <is>
          <t>/</t>
        </is>
      </c>
      <c r="U391" s="77" t="inlineStr">
        <is>
          <t>/</t>
        </is>
      </c>
      <c r="V391" s="72" t="inlineStr">
        <is>
          <t>/</t>
        </is>
      </c>
      <c r="W391" s="77" t="n">
        <v>0.45</v>
      </c>
      <c r="X391" s="573" t="inlineStr">
        <is>
          <t>/</t>
        </is>
      </c>
      <c r="Y391" s="72" t="inlineStr">
        <is>
          <t>/</t>
        </is>
      </c>
      <c r="Z391" s="72" t="inlineStr">
        <is>
          <t>/</t>
        </is>
      </c>
      <c r="AA391" s="72" t="inlineStr">
        <is>
          <t>/</t>
        </is>
      </c>
      <c r="AB391" s="51" t="inlineStr">
        <is>
          <t>/</t>
        </is>
      </c>
      <c r="AC391" s="46" t="inlineStr">
        <is>
          <t>/</t>
        </is>
      </c>
      <c r="AD391" s="76" t="inlineStr">
        <is>
          <t>1、卫生费：项目反馈不收取，包含在服务费中；</t>
        </is>
      </c>
      <c r="AE391" s="25" t="inlineStr">
        <is>
          <t>1、签订期间：2026.3-7月；
2、指标按照全年换算；</t>
        </is>
      </c>
    </row>
    <row r="392" ht="12" customFormat="1" customHeight="1" s="209">
      <c r="A392" s="219" t="n">
        <v>397</v>
      </c>
      <c r="B392" s="14" t="inlineStr">
        <is>
          <t>KQCY0397</t>
        </is>
      </c>
      <c r="C392" s="221" t="inlineStr">
        <is>
          <t>餐饮六分部</t>
        </is>
      </c>
      <c r="D392" s="221" t="inlineStr">
        <is>
          <t>CF213</t>
        </is>
      </c>
      <c r="E392" s="221" t="inlineStr">
        <is>
          <t>苏州大脑营行餐厅</t>
        </is>
      </c>
      <c r="F392" s="219" t="inlineStr">
        <is>
          <t>自营</t>
        </is>
      </c>
      <c r="G392" s="222" t="inlineStr">
        <is>
          <t>位军浩</t>
        </is>
      </c>
      <c r="H392" s="222" t="inlineStr">
        <is>
          <t>/</t>
        </is>
      </c>
      <c r="I392" s="237" t="inlineStr">
        <is>
          <t>/</t>
        </is>
      </c>
      <c r="J392" s="222" t="inlineStr">
        <is>
          <t>/</t>
        </is>
      </c>
      <c r="K392" s="224" t="inlineStr">
        <is>
          <t>/</t>
        </is>
      </c>
      <c r="L392" s="651" t="inlineStr">
        <is>
          <t>/</t>
        </is>
      </c>
      <c r="M392" s="97" t="inlineStr">
        <is>
          <t>/</t>
        </is>
      </c>
      <c r="N392" s="97" t="inlineStr">
        <is>
          <t>/</t>
        </is>
      </c>
      <c r="O392" s="83" t="n">
        <v>0.02</v>
      </c>
      <c r="P392" s="97" t="inlineStr">
        <is>
          <t>/</t>
        </is>
      </c>
      <c r="Q392" s="97" t="inlineStr">
        <is>
          <t>/</t>
        </is>
      </c>
      <c r="R392" s="97" t="inlineStr">
        <is>
          <t>/</t>
        </is>
      </c>
      <c r="S392" s="97" t="inlineStr">
        <is>
          <t>/</t>
        </is>
      </c>
      <c r="T392" s="97" t="inlineStr">
        <is>
          <t>/</t>
        </is>
      </c>
      <c r="U392" s="97" t="inlineStr">
        <is>
          <t>/</t>
        </is>
      </c>
      <c r="V392" s="97" t="inlineStr">
        <is>
          <t>/</t>
        </is>
      </c>
      <c r="W392" s="78" t="n"/>
      <c r="X392" s="83" t="n">
        <v>0.05</v>
      </c>
      <c r="Y392" s="512" t="inlineStr">
        <is>
          <t>/</t>
        </is>
      </c>
      <c r="Z392" s="512" t="inlineStr">
        <is>
          <t>/</t>
        </is>
      </c>
      <c r="AA392" s="512" t="inlineStr">
        <is>
          <t>/</t>
        </is>
      </c>
      <c r="AB392" s="22" t="n">
        <v>0.07000000000000001</v>
      </c>
      <c r="AC392" s="503" t="inlineStr">
        <is>
          <t>/</t>
        </is>
      </c>
      <c r="AD392" s="152" t="n"/>
      <c r="AE392" s="25" t="n"/>
    </row>
    <row r="393" ht="36" customFormat="1" customHeight="1" s="209">
      <c r="A393" s="219" t="n">
        <v>398</v>
      </c>
      <c r="B393" s="14" t="inlineStr">
        <is>
          <t>KQCY0398</t>
        </is>
      </c>
      <c r="C393" s="221" t="inlineStr">
        <is>
          <t>餐饮六分部</t>
        </is>
      </c>
      <c r="D393" s="221" t="inlineStr">
        <is>
          <t>CF213</t>
        </is>
      </c>
      <c r="E393" s="221" t="inlineStr">
        <is>
          <t>苏州大脑营行餐厅</t>
        </is>
      </c>
      <c r="F393" s="219" t="inlineStr">
        <is>
          <t>分组作业</t>
        </is>
      </c>
      <c r="G393" s="222" t="inlineStr">
        <is>
          <t>位军浩</t>
        </is>
      </c>
      <c r="H393" s="222" t="inlineStr">
        <is>
          <t>第一班组</t>
        </is>
      </c>
      <c r="I393" s="237" t="inlineStr">
        <is>
          <t>湘菜</t>
        </is>
      </c>
      <c r="J393" s="222" t="inlineStr">
        <is>
          <t>李勇</t>
        </is>
      </c>
      <c r="K393" s="224" t="inlineStr">
        <is>
          <t>/</t>
        </is>
      </c>
      <c r="L393" s="651" t="n">
        <v>621000</v>
      </c>
      <c r="M393" s="102" t="n">
        <v>0.12</v>
      </c>
      <c r="N393" s="97" t="n">
        <v>0.01</v>
      </c>
      <c r="O393" s="164" t="inlineStr">
        <is>
          <t>/</t>
        </is>
      </c>
      <c r="P393" s="164" t="inlineStr">
        <is>
          <t>/</t>
        </is>
      </c>
      <c r="Q393" s="102" t="inlineStr">
        <is>
          <t>/</t>
        </is>
      </c>
      <c r="R393" s="102" t="inlineStr">
        <is>
          <t>/</t>
        </is>
      </c>
      <c r="S393" s="97" t="inlineStr">
        <is>
          <t>/</t>
        </is>
      </c>
      <c r="T393" s="102" t="n">
        <v>0.03</v>
      </c>
      <c r="U393" s="102" t="n">
        <v>0.08</v>
      </c>
      <c r="V393" s="165" t="n">
        <v>0.06</v>
      </c>
      <c r="W393" s="78" t="n"/>
      <c r="X393" s="164" t="inlineStr">
        <is>
          <t>/</t>
        </is>
      </c>
      <c r="Y393" s="512" t="inlineStr">
        <is>
          <t>/</t>
        </is>
      </c>
      <c r="Z393" s="512" t="inlineStr">
        <is>
          <t>/</t>
        </is>
      </c>
      <c r="AA393" s="512" t="inlineStr">
        <is>
          <t>/</t>
        </is>
      </c>
      <c r="AB393" s="22" t="inlineStr">
        <is>
          <t>/</t>
        </is>
      </c>
      <c r="AC393" s="503" t="inlineStr">
        <is>
          <t>/</t>
        </is>
      </c>
      <c r="AD393" s="166" t="inlineStr">
        <is>
          <t>1、采购费：收取2%，分组作业未分摊，服务费已包含；
2、甲方管理费：收取5%，分组作业未分摊，服务费已包含</t>
        </is>
      </c>
      <c r="AE393" s="25" t="inlineStr">
        <is>
          <t xml:space="preserve">
1、签订期间：2026.1.1-2026.12.31；</t>
        </is>
      </c>
    </row>
    <row r="394" ht="36" customFormat="1" customHeight="1" s="209">
      <c r="A394" s="219" t="n">
        <v>399</v>
      </c>
      <c r="B394" s="14" t="inlineStr">
        <is>
          <t>KQCY0399</t>
        </is>
      </c>
      <c r="C394" s="221" t="inlineStr">
        <is>
          <t>餐饮六分部</t>
        </is>
      </c>
      <c r="D394" s="221" t="inlineStr">
        <is>
          <t>CF213</t>
        </is>
      </c>
      <c r="E394" s="221" t="inlineStr">
        <is>
          <t>苏州大脑营行餐厅</t>
        </is>
      </c>
      <c r="F394" s="219" t="inlineStr">
        <is>
          <t>分组作业</t>
        </is>
      </c>
      <c r="G394" s="222" t="inlineStr">
        <is>
          <t>位军浩</t>
        </is>
      </c>
      <c r="H394" s="222" t="inlineStr">
        <is>
          <t>第二班组</t>
        </is>
      </c>
      <c r="I394" s="237" t="inlineStr">
        <is>
          <t>猪脚饭（酸菜鱼、米线、鸭血粉丝）</t>
        </is>
      </c>
      <c r="J394" s="222" t="inlineStr">
        <is>
          <t>黄永利</t>
        </is>
      </c>
      <c r="K394" s="224" t="inlineStr">
        <is>
          <t>/</t>
        </is>
      </c>
      <c r="L394" s="651" t="n">
        <v>610000</v>
      </c>
      <c r="M394" s="102" t="n">
        <v>0.12</v>
      </c>
      <c r="N394" s="97" t="n">
        <v>0.01</v>
      </c>
      <c r="O394" s="164" t="inlineStr">
        <is>
          <t>/</t>
        </is>
      </c>
      <c r="P394" s="164" t="inlineStr">
        <is>
          <t>/</t>
        </is>
      </c>
      <c r="Q394" s="102" t="inlineStr">
        <is>
          <t>/</t>
        </is>
      </c>
      <c r="R394" s="102" t="inlineStr">
        <is>
          <t>/</t>
        </is>
      </c>
      <c r="S394" s="97" t="inlineStr">
        <is>
          <t>/</t>
        </is>
      </c>
      <c r="T394" s="102" t="n">
        <v>0.03</v>
      </c>
      <c r="U394" s="102" t="n">
        <v>0.08</v>
      </c>
      <c r="V394" s="165" t="n">
        <v>0.06</v>
      </c>
      <c r="W394" s="78" t="n"/>
      <c r="X394" s="164" t="inlineStr">
        <is>
          <t>/</t>
        </is>
      </c>
      <c r="Y394" s="512" t="inlineStr">
        <is>
          <t>/</t>
        </is>
      </c>
      <c r="Z394" s="512" t="inlineStr">
        <is>
          <t>/</t>
        </is>
      </c>
      <c r="AA394" s="512" t="inlineStr">
        <is>
          <t>/</t>
        </is>
      </c>
      <c r="AB394" s="22" t="inlineStr">
        <is>
          <t>/</t>
        </is>
      </c>
      <c r="AC394" s="503" t="inlineStr">
        <is>
          <t>/</t>
        </is>
      </c>
      <c r="AD394" s="166" t="inlineStr">
        <is>
          <t>1、采购费：收取2%，分组作业未分摊，服务费已包含；
2、甲方管理费：收取5%，分组作业未分摊，服务费已包含；</t>
        </is>
      </c>
      <c r="AE394" s="25" t="inlineStr">
        <is>
          <t xml:space="preserve">
1、签订期间：2026.1.1-2026.12.31；</t>
        </is>
      </c>
    </row>
    <row r="395" ht="12" customFormat="1" customHeight="1" s="209">
      <c r="A395" s="219" t="n">
        <v>400</v>
      </c>
      <c r="B395" s="14" t="inlineStr">
        <is>
          <t>KQCY0400</t>
        </is>
      </c>
      <c r="C395" s="221" t="n"/>
      <c r="D395" s="221" t="n"/>
      <c r="E395" s="221" t="inlineStr">
        <is>
          <t>苏州大脑营行餐厅</t>
        </is>
      </c>
      <c r="F395" s="335" t="inlineStr">
        <is>
          <t>分组作业</t>
        </is>
      </c>
      <c r="G395" s="222" t="inlineStr">
        <is>
          <t>位军浩</t>
        </is>
      </c>
      <c r="H395" s="355" t="inlineStr">
        <is>
          <t>第三班组</t>
        </is>
      </c>
      <c r="I395" s="219" t="inlineStr">
        <is>
          <t>黄焖鸡、沙县小吃</t>
        </is>
      </c>
      <c r="J395" s="222" t="inlineStr">
        <is>
          <t>苏嫩仔</t>
        </is>
      </c>
      <c r="K395" s="224" t="n"/>
      <c r="L395" s="651" t="n"/>
      <c r="M395" s="102" t="n"/>
      <c r="N395" s="97" t="n"/>
      <c r="O395" s="164" t="n"/>
      <c r="P395" s="164" t="n"/>
      <c r="Q395" s="102" t="n"/>
      <c r="R395" s="102" t="n"/>
      <c r="S395" s="97" t="n"/>
      <c r="T395" s="102" t="n"/>
      <c r="U395" s="102" t="n"/>
      <c r="V395" s="165" t="n"/>
      <c r="W395" s="78" t="n"/>
      <c r="X395" s="164" t="n"/>
      <c r="Y395" s="512" t="n"/>
      <c r="Z395" s="512" t="n"/>
      <c r="AA395" s="512" t="n"/>
      <c r="AB395" s="22" t="n"/>
      <c r="AC395" s="503" t="n"/>
      <c r="AD395" s="166" t="n"/>
      <c r="AE395" s="25" t="n"/>
    </row>
    <row r="396" ht="12" customFormat="1" customHeight="1" s="209">
      <c r="A396" s="219" t="n">
        <v>401</v>
      </c>
      <c r="B396" s="14" t="inlineStr">
        <is>
          <t>KQCY0401</t>
        </is>
      </c>
      <c r="C396" s="221" t="inlineStr">
        <is>
          <t>餐饮六分部</t>
        </is>
      </c>
      <c r="D396" s="221" t="inlineStr">
        <is>
          <t>CF275</t>
        </is>
      </c>
      <c r="E396" s="221" t="inlineStr">
        <is>
          <t>南大苏州校区西区二食堂</t>
        </is>
      </c>
      <c r="F396" s="219" t="inlineStr">
        <is>
          <t>自营</t>
        </is>
      </c>
      <c r="G396" s="222" t="inlineStr">
        <is>
          <t>位军浩</t>
        </is>
      </c>
      <c r="H396" s="222" t="inlineStr">
        <is>
          <t>/</t>
        </is>
      </c>
      <c r="I396" s="237" t="inlineStr">
        <is>
          <t>/</t>
        </is>
      </c>
      <c r="J396" s="222" t="inlineStr">
        <is>
          <t>/</t>
        </is>
      </c>
      <c r="K396" s="224" t="inlineStr">
        <is>
          <t>/</t>
        </is>
      </c>
      <c r="L396" s="651" t="inlineStr">
        <is>
          <t>/</t>
        </is>
      </c>
      <c r="M396" s="97" t="inlineStr">
        <is>
          <t>/</t>
        </is>
      </c>
      <c r="N396" s="97" t="inlineStr">
        <is>
          <t>/</t>
        </is>
      </c>
      <c r="O396" s="78" t="n">
        <v>0.05</v>
      </c>
      <c r="P396" s="97" t="inlineStr">
        <is>
          <t>/</t>
        </is>
      </c>
      <c r="Q396" s="97" t="inlineStr">
        <is>
          <t>/</t>
        </is>
      </c>
      <c r="R396" s="97" t="inlineStr">
        <is>
          <t>/</t>
        </is>
      </c>
      <c r="S396" s="97" t="inlineStr">
        <is>
          <t>/</t>
        </is>
      </c>
      <c r="T396" s="97" t="inlineStr">
        <is>
          <t>/</t>
        </is>
      </c>
      <c r="U396" s="97" t="inlineStr">
        <is>
          <t>/</t>
        </is>
      </c>
      <c r="V396" s="97" t="inlineStr">
        <is>
          <t>/</t>
        </is>
      </c>
      <c r="W396" s="168" t="n"/>
      <c r="X396" s="512" t="inlineStr">
        <is>
          <t>/</t>
        </is>
      </c>
      <c r="Y396" s="512" t="inlineStr">
        <is>
          <t>/</t>
        </is>
      </c>
      <c r="Z396" s="512" t="inlineStr">
        <is>
          <t>/</t>
        </is>
      </c>
      <c r="AA396" s="512" t="inlineStr">
        <is>
          <t>/</t>
        </is>
      </c>
      <c r="AB396" s="22" t="n">
        <v>0.05</v>
      </c>
      <c r="AC396" s="503" t="inlineStr">
        <is>
          <t>/</t>
        </is>
      </c>
      <c r="AD396" s="152" t="inlineStr">
        <is>
          <t>1、采购费：采购额的5%</t>
        </is>
      </c>
      <c r="AE396" s="25" t="n"/>
    </row>
    <row r="397" ht="48" customFormat="1" customHeight="1" s="209">
      <c r="A397" s="219" t="n">
        <v>402</v>
      </c>
      <c r="B397" s="14" t="inlineStr">
        <is>
          <t>KQCY0402</t>
        </is>
      </c>
      <c r="C397" s="221" t="inlineStr">
        <is>
          <t>餐饮六分部</t>
        </is>
      </c>
      <c r="D397" s="221" t="inlineStr">
        <is>
          <t>CF275</t>
        </is>
      </c>
      <c r="E397" s="221" t="inlineStr">
        <is>
          <t>南大苏州校区西区二食堂</t>
        </is>
      </c>
      <c r="F397" s="219" t="inlineStr">
        <is>
          <t>分组作业</t>
        </is>
      </c>
      <c r="G397" s="222" t="inlineStr">
        <is>
          <t>位军浩</t>
        </is>
      </c>
      <c r="H397" s="222" t="inlineStr">
        <is>
          <t>第一班组</t>
        </is>
      </c>
      <c r="I397" s="237" t="inlineStr">
        <is>
          <t>自选</t>
        </is>
      </c>
      <c r="J397" s="222" t="inlineStr">
        <is>
          <t>刘岩艳</t>
        </is>
      </c>
      <c r="K397" s="224" t="inlineStr">
        <is>
          <t>/</t>
        </is>
      </c>
      <c r="L397" s="651" t="n">
        <v>800000</v>
      </c>
      <c r="M397" s="102" t="n">
        <v>0.19</v>
      </c>
      <c r="N397" s="97" t="inlineStr">
        <is>
          <t>/</t>
        </is>
      </c>
      <c r="O397" s="169" t="n">
        <v>0.017</v>
      </c>
      <c r="P397" s="663" t="n">
        <v>500</v>
      </c>
      <c r="Q397" s="102" t="inlineStr">
        <is>
          <t>/</t>
        </is>
      </c>
      <c r="R397" s="102" t="inlineStr">
        <is>
          <t>/</t>
        </is>
      </c>
      <c r="S397" s="97" t="inlineStr">
        <is>
          <t>/</t>
        </is>
      </c>
      <c r="T397" s="102" t="n">
        <v>0.03</v>
      </c>
      <c r="U397" s="149" t="inlineStr">
        <is>
          <t>/</t>
        </is>
      </c>
      <c r="V397" s="664" t="inlineStr">
        <is>
          <t>/</t>
        </is>
      </c>
      <c r="W397" s="97" t="n">
        <v>0.1</v>
      </c>
      <c r="X397" s="512" t="inlineStr">
        <is>
          <t>/</t>
        </is>
      </c>
      <c r="Y397" s="512" t="inlineStr">
        <is>
          <t>/</t>
        </is>
      </c>
      <c r="Z397" s="512" t="inlineStr">
        <is>
          <t>/</t>
        </is>
      </c>
      <c r="AA397" s="512" t="inlineStr">
        <is>
          <t>/</t>
        </is>
      </c>
      <c r="AB397" s="22" t="inlineStr">
        <is>
          <t>/</t>
        </is>
      </c>
      <c r="AC397" s="503" t="inlineStr">
        <is>
          <t>/</t>
        </is>
      </c>
      <c r="AD397" s="150" t="inlineStr">
        <is>
          <t xml:space="preserve">1、采购费：按采购额比例5%收取，分组作业应分摊未分摊，已补分摊，采购费比例应做相应调整；                             2、服务费，分组作业应分摊未分摊，已补分摊，服务费比例应做相应调整；            </t>
        </is>
      </c>
      <c r="AE397" s="25" t="inlineStr">
        <is>
          <t xml:space="preserve">
1、签订期间：2026.1.1-2026.7.31；
2、指标按照全年换算；</t>
        </is>
      </c>
    </row>
    <row r="398" ht="48" customFormat="1" customHeight="1" s="209">
      <c r="A398" s="219" t="n">
        <v>403</v>
      </c>
      <c r="B398" s="14" t="inlineStr">
        <is>
          <t>KQCY0403</t>
        </is>
      </c>
      <c r="C398" s="221" t="inlineStr">
        <is>
          <t>餐饮六分部</t>
        </is>
      </c>
      <c r="D398" s="221" t="inlineStr">
        <is>
          <t>CF275</t>
        </is>
      </c>
      <c r="E398" s="221" t="inlineStr">
        <is>
          <t>南大苏州校区西区二食堂</t>
        </is>
      </c>
      <c r="F398" s="219" t="inlineStr">
        <is>
          <t>分组作业</t>
        </is>
      </c>
      <c r="G398" s="222" t="inlineStr">
        <is>
          <t>位军浩</t>
        </is>
      </c>
      <c r="H398" s="222" t="inlineStr">
        <is>
          <t>第二班组</t>
        </is>
      </c>
      <c r="I398" s="237" t="inlineStr">
        <is>
          <t>特色</t>
        </is>
      </c>
      <c r="J398" s="222" t="inlineStr">
        <is>
          <t>朱传兴</t>
        </is>
      </c>
      <c r="K398" s="224" t="inlineStr">
        <is>
          <t>/</t>
        </is>
      </c>
      <c r="L398" s="651" t="n">
        <v>640000</v>
      </c>
      <c r="M398" s="102" t="n">
        <v>0.19</v>
      </c>
      <c r="N398" s="97" t="inlineStr">
        <is>
          <t>/</t>
        </is>
      </c>
      <c r="O398" s="169" t="n">
        <v>0.017</v>
      </c>
      <c r="P398" s="663" t="n">
        <v>500</v>
      </c>
      <c r="Q398" s="102" t="inlineStr">
        <is>
          <t>/</t>
        </is>
      </c>
      <c r="R398" s="102" t="inlineStr">
        <is>
          <t>/</t>
        </is>
      </c>
      <c r="S398" s="97" t="inlineStr">
        <is>
          <t>/</t>
        </is>
      </c>
      <c r="T398" s="102" t="n">
        <v>0.03</v>
      </c>
      <c r="U398" s="149" t="inlineStr">
        <is>
          <t>/</t>
        </is>
      </c>
      <c r="V398" s="664" t="inlineStr">
        <is>
          <t>/</t>
        </is>
      </c>
      <c r="W398" s="97" t="n">
        <v>0.1</v>
      </c>
      <c r="X398" s="512" t="inlineStr">
        <is>
          <t>/</t>
        </is>
      </c>
      <c r="Y398" s="512" t="inlineStr">
        <is>
          <t>/</t>
        </is>
      </c>
      <c r="Z398" s="512" t="inlineStr">
        <is>
          <t>/</t>
        </is>
      </c>
      <c r="AA398" s="512" t="inlineStr">
        <is>
          <t>/</t>
        </is>
      </c>
      <c r="AB398" s="22" t="inlineStr">
        <is>
          <t>/</t>
        </is>
      </c>
      <c r="AC398" s="503" t="inlineStr">
        <is>
          <t>/</t>
        </is>
      </c>
      <c r="AD398" s="148" t="inlineStr">
        <is>
          <t>1、采购费：按采购额比例5%收取，分组作业应分摊未分摊，已补分摊，采购费比例应做相应调整；                             2、服务费，分组作业应分摊未分摊，已补分摊，服务费比例应做相应调整；</t>
        </is>
      </c>
      <c r="AE398" s="25" t="inlineStr">
        <is>
          <t xml:space="preserve">
1、签订期间：2026.1.1-2026.7.31；
2、指标按照全年换算；</t>
        </is>
      </c>
    </row>
    <row r="399" ht="48" customFormat="1" customHeight="1" s="209">
      <c r="A399" s="219" t="n">
        <v>404</v>
      </c>
      <c r="B399" s="14" t="inlineStr">
        <is>
          <t>KQCY0404</t>
        </is>
      </c>
      <c r="C399" s="221" t="inlineStr">
        <is>
          <t>餐饮六分部</t>
        </is>
      </c>
      <c r="D399" s="221" t="inlineStr">
        <is>
          <t>CF275</t>
        </is>
      </c>
      <c r="E399" s="221" t="inlineStr">
        <is>
          <t>南大苏州校区西区二食堂</t>
        </is>
      </c>
      <c r="F399" s="219" t="inlineStr">
        <is>
          <t>分组作业</t>
        </is>
      </c>
      <c r="G399" s="222" t="inlineStr">
        <is>
          <t>位军浩</t>
        </is>
      </c>
      <c r="H399" s="222" t="inlineStr">
        <is>
          <t>第三班组</t>
        </is>
      </c>
      <c r="I399" s="237" t="inlineStr">
        <is>
          <t>早餐</t>
        </is>
      </c>
      <c r="J399" s="222" t="inlineStr">
        <is>
          <t>李嵩</t>
        </is>
      </c>
      <c r="K399" s="224" t="inlineStr">
        <is>
          <t>/</t>
        </is>
      </c>
      <c r="L399" s="651" t="n">
        <v>160000</v>
      </c>
      <c r="M399" s="102" t="n">
        <v>0.19</v>
      </c>
      <c r="N399" s="97" t="inlineStr">
        <is>
          <t>/</t>
        </is>
      </c>
      <c r="O399" s="169" t="n">
        <v>0.017</v>
      </c>
      <c r="P399" s="663" t="n">
        <v>500</v>
      </c>
      <c r="Q399" s="102" t="inlineStr">
        <is>
          <t>/</t>
        </is>
      </c>
      <c r="R399" s="102" t="inlineStr">
        <is>
          <t>/</t>
        </is>
      </c>
      <c r="S399" s="97" t="inlineStr">
        <is>
          <t>/</t>
        </is>
      </c>
      <c r="T399" s="102" t="n">
        <v>0.03</v>
      </c>
      <c r="U399" s="149" t="inlineStr">
        <is>
          <t>/</t>
        </is>
      </c>
      <c r="V399" s="664" t="inlineStr">
        <is>
          <t>/</t>
        </is>
      </c>
      <c r="W399" s="78" t="n"/>
      <c r="X399" s="512" t="inlineStr">
        <is>
          <t>/</t>
        </is>
      </c>
      <c r="Y399" s="512" t="inlineStr">
        <is>
          <t>/</t>
        </is>
      </c>
      <c r="Z399" s="512" t="inlineStr">
        <is>
          <t>/</t>
        </is>
      </c>
      <c r="AA399" s="512" t="inlineStr">
        <is>
          <t>/</t>
        </is>
      </c>
      <c r="AB399" s="22" t="inlineStr">
        <is>
          <t>/</t>
        </is>
      </c>
      <c r="AC399" s="503" t="inlineStr">
        <is>
          <t>/</t>
        </is>
      </c>
      <c r="AD399" s="148" t="inlineStr">
        <is>
          <t xml:space="preserve">1、采购费：按采购额比例5%收取，分组作业应分摊未分摊，已补分摊，采购费比例应做相应调整；                             2、服务费，分组作业应分摊未分摊，已补分摊，服务费比例应做相应调整；            </t>
        </is>
      </c>
      <c r="AE399" s="25" t="inlineStr">
        <is>
          <t xml:space="preserve">
1、签订期间：2026.1.1-2026.7.31；
2、指标按照全年换算；</t>
        </is>
      </c>
    </row>
    <row r="400" ht="48" customFormat="1" customHeight="1" s="209">
      <c r="A400" s="219" t="n">
        <v>405</v>
      </c>
      <c r="B400" s="14" t="inlineStr">
        <is>
          <t>KQCY0405</t>
        </is>
      </c>
      <c r="C400" s="221" t="inlineStr">
        <is>
          <t>餐饮六分部</t>
        </is>
      </c>
      <c r="D400" s="221" t="inlineStr">
        <is>
          <t>CF275</t>
        </is>
      </c>
      <c r="E400" s="221" t="inlineStr">
        <is>
          <t>南大苏州校区西区二食堂</t>
        </is>
      </c>
      <c r="F400" s="219" t="inlineStr">
        <is>
          <t>分组作业</t>
        </is>
      </c>
      <c r="G400" s="222" t="inlineStr">
        <is>
          <t>位军浩</t>
        </is>
      </c>
      <c r="H400" s="222" t="inlineStr">
        <is>
          <t>第四班组</t>
        </is>
      </c>
      <c r="I400" s="237" t="inlineStr">
        <is>
          <t>民族风味</t>
        </is>
      </c>
      <c r="J400" s="243" t="inlineStr">
        <is>
          <t>马素女</t>
        </is>
      </c>
      <c r="K400" s="224" t="inlineStr">
        <is>
          <t>/</t>
        </is>
      </c>
      <c r="L400" s="651" t="n">
        <v>240000</v>
      </c>
      <c r="M400" s="102" t="n">
        <v>0.17</v>
      </c>
      <c r="N400" s="97" t="inlineStr">
        <is>
          <t>/</t>
        </is>
      </c>
      <c r="O400" s="169" t="n">
        <v>0.017</v>
      </c>
      <c r="P400" s="663" t="n">
        <v>1000</v>
      </c>
      <c r="Q400" s="102" t="inlineStr">
        <is>
          <t>/</t>
        </is>
      </c>
      <c r="R400" s="102" t="inlineStr">
        <is>
          <t>/</t>
        </is>
      </c>
      <c r="S400" s="97" t="inlineStr">
        <is>
          <t>/</t>
        </is>
      </c>
      <c r="T400" s="102" t="n">
        <v>0.03</v>
      </c>
      <c r="U400" s="149" t="inlineStr">
        <is>
          <t>/</t>
        </is>
      </c>
      <c r="V400" s="664" t="inlineStr">
        <is>
          <t>/</t>
        </is>
      </c>
      <c r="W400" s="78" t="n"/>
      <c r="X400" s="512" t="inlineStr">
        <is>
          <t>/</t>
        </is>
      </c>
      <c r="Y400" s="512" t="inlineStr">
        <is>
          <t>/</t>
        </is>
      </c>
      <c r="Z400" s="512" t="inlineStr">
        <is>
          <t>/</t>
        </is>
      </c>
      <c r="AA400" s="512" t="inlineStr">
        <is>
          <t>/</t>
        </is>
      </c>
      <c r="AB400" s="22" t="inlineStr">
        <is>
          <t>/</t>
        </is>
      </c>
      <c r="AC400" s="503" t="inlineStr">
        <is>
          <t>/</t>
        </is>
      </c>
      <c r="AD400" s="148" t="inlineStr">
        <is>
          <t>1、采购费：按采购额比例5%收取，分组作业应分摊未分摊，已补分摊，采购费比例应做相应调整；                             2、服务费，分组作业应分摊未分摊，已补分摊，服务费比例应做相应调整；            3、原材料：据实收取</t>
        </is>
      </c>
      <c r="AE400" s="25" t="inlineStr">
        <is>
          <t xml:space="preserve">
1、签订期间：2026.1.1-2026.7.31；
2、指标按照全年换算；</t>
        </is>
      </c>
    </row>
    <row r="401" ht="48" customFormat="1" customHeight="1" s="209">
      <c r="A401" s="219" t="n">
        <v>406</v>
      </c>
      <c r="B401" s="14" t="inlineStr">
        <is>
          <t>KQCY0406</t>
        </is>
      </c>
      <c r="C401" s="221" t="inlineStr">
        <is>
          <t>餐饮六分部</t>
        </is>
      </c>
      <c r="D401" s="221" t="inlineStr">
        <is>
          <t>CF275</t>
        </is>
      </c>
      <c r="E401" s="221" t="inlineStr">
        <is>
          <t>南大苏州校区西区二食堂</t>
        </is>
      </c>
      <c r="F401" s="219" t="inlineStr">
        <is>
          <t>分组作业</t>
        </is>
      </c>
      <c r="G401" s="222" t="inlineStr">
        <is>
          <t>位军浩</t>
        </is>
      </c>
      <c r="H401" s="222" t="inlineStr">
        <is>
          <t>第五班组</t>
        </is>
      </c>
      <c r="I401" s="237" t="inlineStr">
        <is>
          <t>卤肉饭</t>
        </is>
      </c>
      <c r="J401" s="222" t="inlineStr">
        <is>
          <t>周文琳</t>
        </is>
      </c>
      <c r="K401" s="224" t="inlineStr">
        <is>
          <t>/</t>
        </is>
      </c>
      <c r="L401" s="651" t="n">
        <v>320000</v>
      </c>
      <c r="M401" s="102" t="n">
        <v>0.23</v>
      </c>
      <c r="N401" s="97" t="inlineStr">
        <is>
          <t>/</t>
        </is>
      </c>
      <c r="O401" s="169" t="n">
        <v>0.017</v>
      </c>
      <c r="P401" s="663" t="n">
        <v>1000</v>
      </c>
      <c r="Q401" s="102" t="inlineStr">
        <is>
          <t>/</t>
        </is>
      </c>
      <c r="R401" s="102" t="inlineStr">
        <is>
          <t>/</t>
        </is>
      </c>
      <c r="S401" s="97" t="inlineStr">
        <is>
          <t>/</t>
        </is>
      </c>
      <c r="T401" s="102" t="n">
        <v>0.03</v>
      </c>
      <c r="U401" s="149" t="inlineStr">
        <is>
          <t>/</t>
        </is>
      </c>
      <c r="V401" s="664" t="inlineStr">
        <is>
          <t>/</t>
        </is>
      </c>
      <c r="W401" s="97" t="n">
        <v>0.1</v>
      </c>
      <c r="X401" s="512" t="inlineStr">
        <is>
          <t>/</t>
        </is>
      </c>
      <c r="Y401" s="512" t="inlineStr">
        <is>
          <t>/</t>
        </is>
      </c>
      <c r="Z401" s="512" t="inlineStr">
        <is>
          <t>/</t>
        </is>
      </c>
      <c r="AA401" s="512" t="inlineStr">
        <is>
          <t>/</t>
        </is>
      </c>
      <c r="AB401" s="22" t="inlineStr">
        <is>
          <t>/</t>
        </is>
      </c>
      <c r="AC401" s="503" t="inlineStr">
        <is>
          <t>/</t>
        </is>
      </c>
      <c r="AD401" s="148" t="inlineStr">
        <is>
          <t xml:space="preserve">1、采购费：按采购额比例5%收取，分组作业应分摊未分摊，已补分摊，采购费比例应做相应调整；                             2、服务费，分组作业应分摊未分摊，已补分摊，服务费比例应做相应调整；            </t>
        </is>
      </c>
      <c r="AE401" s="25" t="inlineStr">
        <is>
          <t xml:space="preserve">
1、签订期间：2026.1.1-2026.7.31；
2、指标按照全年换算；</t>
        </is>
      </c>
    </row>
    <row r="402" ht="48" customFormat="1" customHeight="1" s="209">
      <c r="A402" s="219" t="n">
        <v>407</v>
      </c>
      <c r="B402" s="14" t="inlineStr">
        <is>
          <t>KQCY0407</t>
        </is>
      </c>
      <c r="C402" s="221" t="inlineStr">
        <is>
          <t>餐饮六分部</t>
        </is>
      </c>
      <c r="D402" s="221" t="inlineStr">
        <is>
          <t>CF275</t>
        </is>
      </c>
      <c r="E402" s="221" t="inlineStr">
        <is>
          <t>南大苏州校区西区二食堂</t>
        </is>
      </c>
      <c r="F402" s="219" t="inlineStr">
        <is>
          <t>分组作业</t>
        </is>
      </c>
      <c r="G402" s="222" t="inlineStr">
        <is>
          <t>位军浩</t>
        </is>
      </c>
      <c r="H402" s="222" t="inlineStr">
        <is>
          <t>第六班组</t>
        </is>
      </c>
      <c r="I402" s="237" t="inlineStr">
        <is>
          <t>麻辣烫</t>
        </is>
      </c>
      <c r="J402" s="222" t="inlineStr">
        <is>
          <t>余红莹</t>
        </is>
      </c>
      <c r="K402" s="224" t="inlineStr">
        <is>
          <t>/</t>
        </is>
      </c>
      <c r="L402" s="651" t="n">
        <v>320000</v>
      </c>
      <c r="M402" s="102" t="n">
        <v>0.23</v>
      </c>
      <c r="N402" s="97" t="inlineStr">
        <is>
          <t>/</t>
        </is>
      </c>
      <c r="O402" s="169" t="n">
        <v>0.017</v>
      </c>
      <c r="P402" s="663" t="n">
        <v>1000</v>
      </c>
      <c r="Q402" s="102" t="inlineStr">
        <is>
          <t>/</t>
        </is>
      </c>
      <c r="R402" s="102" t="inlineStr">
        <is>
          <t>/</t>
        </is>
      </c>
      <c r="S402" s="97" t="inlineStr">
        <is>
          <t>/</t>
        </is>
      </c>
      <c r="T402" s="102" t="n">
        <v>0.03</v>
      </c>
      <c r="U402" s="149" t="inlineStr">
        <is>
          <t>/</t>
        </is>
      </c>
      <c r="V402" s="664" t="inlineStr">
        <is>
          <t>/</t>
        </is>
      </c>
      <c r="W402" s="97" t="n">
        <v>0.1</v>
      </c>
      <c r="X402" s="512" t="inlineStr">
        <is>
          <t>/</t>
        </is>
      </c>
      <c r="Y402" s="512" t="inlineStr">
        <is>
          <t>/</t>
        </is>
      </c>
      <c r="Z402" s="512" t="inlineStr">
        <is>
          <t>/</t>
        </is>
      </c>
      <c r="AA402" s="512" t="inlineStr">
        <is>
          <t>/</t>
        </is>
      </c>
      <c r="AB402" s="22" t="inlineStr">
        <is>
          <t>/</t>
        </is>
      </c>
      <c r="AC402" s="503" t="inlineStr">
        <is>
          <t>/</t>
        </is>
      </c>
      <c r="AD402" s="148" t="inlineStr">
        <is>
          <t xml:space="preserve">1、采购费：按采购额比例5%收取，分组作业应分摊未分摊，已补分摊，采购费比例应做相应调整；                             2、服务费，分组作业应分摊未分摊，已补分摊，服务费比例应做相应调整；            </t>
        </is>
      </c>
      <c r="AE402" s="25" t="inlineStr">
        <is>
          <t xml:space="preserve">
1、签订期间：2026.1.1-2026.7.31；
2、指标按照全年换算；</t>
        </is>
      </c>
    </row>
    <row r="403" ht="48" customFormat="1" customHeight="1" s="209">
      <c r="A403" s="219" t="n">
        <v>408</v>
      </c>
      <c r="B403" s="14" t="inlineStr">
        <is>
          <t>KQCY0408</t>
        </is>
      </c>
      <c r="C403" s="221" t="inlineStr">
        <is>
          <t>餐饮六分部</t>
        </is>
      </c>
      <c r="D403" s="221" t="inlineStr">
        <is>
          <t>CF275</t>
        </is>
      </c>
      <c r="E403" s="221" t="inlineStr">
        <is>
          <t>南大苏州校区西区二食堂</t>
        </is>
      </c>
      <c r="F403" s="219" t="inlineStr">
        <is>
          <t>分组作业</t>
        </is>
      </c>
      <c r="G403" s="222" t="inlineStr">
        <is>
          <t>位军浩</t>
        </is>
      </c>
      <c r="H403" s="222" t="inlineStr">
        <is>
          <t>第七班组</t>
        </is>
      </c>
      <c r="I403" s="237" t="inlineStr">
        <is>
          <t>面条</t>
        </is>
      </c>
      <c r="J403" s="222" t="inlineStr">
        <is>
          <t>许铭鼎</t>
        </is>
      </c>
      <c r="K403" s="224" t="inlineStr">
        <is>
          <t>/</t>
        </is>
      </c>
      <c r="L403" s="651" t="n">
        <v>240000</v>
      </c>
      <c r="M403" s="102" t="n">
        <v>0.23</v>
      </c>
      <c r="N403" s="97" t="inlineStr">
        <is>
          <t>/</t>
        </is>
      </c>
      <c r="O403" s="169" t="n">
        <v>0.017</v>
      </c>
      <c r="P403" s="663" t="n">
        <v>1000</v>
      </c>
      <c r="Q403" s="102" t="inlineStr">
        <is>
          <t>/</t>
        </is>
      </c>
      <c r="R403" s="102" t="inlineStr">
        <is>
          <t>/</t>
        </is>
      </c>
      <c r="S403" s="97" t="inlineStr">
        <is>
          <t>/</t>
        </is>
      </c>
      <c r="T403" s="102" t="n">
        <v>0.03</v>
      </c>
      <c r="U403" s="149" t="inlineStr">
        <is>
          <t>/</t>
        </is>
      </c>
      <c r="V403" s="664" t="inlineStr">
        <is>
          <t>/</t>
        </is>
      </c>
      <c r="W403" s="97" t="n">
        <v>0.1</v>
      </c>
      <c r="X403" s="512" t="inlineStr">
        <is>
          <t>/</t>
        </is>
      </c>
      <c r="Y403" s="512" t="inlineStr">
        <is>
          <t>/</t>
        </is>
      </c>
      <c r="Z403" s="512" t="inlineStr">
        <is>
          <t>/</t>
        </is>
      </c>
      <c r="AA403" s="512" t="inlineStr">
        <is>
          <t>/</t>
        </is>
      </c>
      <c r="AB403" s="22" t="inlineStr">
        <is>
          <t>/</t>
        </is>
      </c>
      <c r="AC403" s="503" t="inlineStr">
        <is>
          <t>/</t>
        </is>
      </c>
      <c r="AD403" s="148" t="inlineStr">
        <is>
          <t>1、采购费：按采购额比例5%收取，分组作业应分摊未分摊，已补分摊，采购费比例应做相应调整；管理费：                     2、服务费，分组作业应分摊未分摊，已补分摊，服务费比例应做相应调整；</t>
        </is>
      </c>
      <c r="AE403" s="25" t="inlineStr">
        <is>
          <t xml:space="preserve">
1、签订期间：2026.1.1-2026.7.31；
2、指标按照全年换算；</t>
        </is>
      </c>
    </row>
    <row r="404" ht="48" customFormat="1" customHeight="1" s="209">
      <c r="A404" s="219" t="n">
        <v>409</v>
      </c>
      <c r="B404" s="14" t="inlineStr">
        <is>
          <t>KQCY0409</t>
        </is>
      </c>
      <c r="C404" s="221" t="inlineStr">
        <is>
          <t>餐饮六分部</t>
        </is>
      </c>
      <c r="D404" s="221" t="inlineStr">
        <is>
          <t>CF275</t>
        </is>
      </c>
      <c r="E404" s="221" t="inlineStr">
        <is>
          <t>南大苏州校区西区二食堂</t>
        </is>
      </c>
      <c r="F404" s="219" t="inlineStr">
        <is>
          <t>分组作业</t>
        </is>
      </c>
      <c r="G404" s="222" t="inlineStr">
        <is>
          <t>位军浩</t>
        </is>
      </c>
      <c r="H404" s="222" t="inlineStr">
        <is>
          <t>第八班组</t>
        </is>
      </c>
      <c r="I404" s="237" t="inlineStr">
        <is>
          <t>辣椒炒肉</t>
        </is>
      </c>
      <c r="J404" s="222" t="inlineStr">
        <is>
          <t>吴海龙</t>
        </is>
      </c>
      <c r="K404" s="224" t="inlineStr">
        <is>
          <t>/</t>
        </is>
      </c>
      <c r="L404" s="651" t="n">
        <v>320000</v>
      </c>
      <c r="M404" s="102" t="n">
        <v>0.23</v>
      </c>
      <c r="N404" s="97" t="inlineStr">
        <is>
          <t>/</t>
        </is>
      </c>
      <c r="O404" s="169" t="n">
        <v>0.017</v>
      </c>
      <c r="P404" s="663" t="n">
        <v>1000</v>
      </c>
      <c r="Q404" s="102" t="inlineStr">
        <is>
          <t>/</t>
        </is>
      </c>
      <c r="R404" s="102" t="inlineStr">
        <is>
          <t>/</t>
        </is>
      </c>
      <c r="S404" s="97" t="inlineStr">
        <is>
          <t>/</t>
        </is>
      </c>
      <c r="T404" s="102" t="n">
        <v>0.03</v>
      </c>
      <c r="U404" s="149" t="inlineStr">
        <is>
          <t>/</t>
        </is>
      </c>
      <c r="V404" s="664" t="inlineStr">
        <is>
          <t>/</t>
        </is>
      </c>
      <c r="W404" s="97" t="n">
        <v>0.1</v>
      </c>
      <c r="X404" s="512" t="inlineStr">
        <is>
          <t>/</t>
        </is>
      </c>
      <c r="Y404" s="512" t="inlineStr">
        <is>
          <t>/</t>
        </is>
      </c>
      <c r="Z404" s="512" t="inlineStr">
        <is>
          <t>/</t>
        </is>
      </c>
      <c r="AA404" s="512" t="inlineStr">
        <is>
          <t>/</t>
        </is>
      </c>
      <c r="AB404" s="22" t="inlineStr">
        <is>
          <t>/</t>
        </is>
      </c>
      <c r="AC404" s="503" t="inlineStr">
        <is>
          <t>/</t>
        </is>
      </c>
      <c r="AD404" s="148" t="inlineStr">
        <is>
          <t xml:space="preserve">1、采购费：按采购额比例5%收取，分组作业应分摊未分摊，已补分摊，采购费比例应做相应调整；                             2、服务费，分组作业应分摊未分摊，已补分摊，服务费比例应做相应调整；            </t>
        </is>
      </c>
      <c r="AE404" s="25" t="inlineStr">
        <is>
          <t xml:space="preserve">
1、签订期间：2026.1.1-2026.7.31；
2、指标按照全年换算；</t>
        </is>
      </c>
    </row>
    <row r="405" ht="48" customFormat="1" customHeight="1" s="209">
      <c r="A405" s="219" t="n">
        <v>410</v>
      </c>
      <c r="B405" s="14" t="inlineStr">
        <is>
          <t>KQCY0410</t>
        </is>
      </c>
      <c r="C405" s="221" t="inlineStr">
        <is>
          <t>餐饮六分部</t>
        </is>
      </c>
      <c r="D405" s="221" t="inlineStr">
        <is>
          <t>CF275</t>
        </is>
      </c>
      <c r="E405" s="221" t="inlineStr">
        <is>
          <t>南大苏州校区西区二食堂</t>
        </is>
      </c>
      <c r="F405" s="219" t="inlineStr">
        <is>
          <t>分组作业</t>
        </is>
      </c>
      <c r="G405" s="222" t="inlineStr">
        <is>
          <t>位军浩</t>
        </is>
      </c>
      <c r="H405" s="222" t="inlineStr">
        <is>
          <t>第九班组</t>
        </is>
      </c>
      <c r="I405" s="237" t="inlineStr">
        <is>
          <t>瓦香鸡</t>
        </is>
      </c>
      <c r="J405" s="222" t="inlineStr">
        <is>
          <t>仲海洋</t>
        </is>
      </c>
      <c r="K405" s="224" t="inlineStr">
        <is>
          <t>/</t>
        </is>
      </c>
      <c r="L405" s="651" t="n">
        <v>240000</v>
      </c>
      <c r="M405" s="102" t="n">
        <v>0.23</v>
      </c>
      <c r="N405" s="97" t="inlineStr">
        <is>
          <t>/</t>
        </is>
      </c>
      <c r="O405" s="169" t="n">
        <v>0.017</v>
      </c>
      <c r="P405" s="663" t="n">
        <v>1000</v>
      </c>
      <c r="Q405" s="102" t="inlineStr">
        <is>
          <t>/</t>
        </is>
      </c>
      <c r="R405" s="102" t="inlineStr">
        <is>
          <t>/</t>
        </is>
      </c>
      <c r="S405" s="97" t="inlineStr">
        <is>
          <t>/</t>
        </is>
      </c>
      <c r="T405" s="102" t="n">
        <v>0.03</v>
      </c>
      <c r="U405" s="149" t="inlineStr">
        <is>
          <t>/</t>
        </is>
      </c>
      <c r="V405" s="664" t="inlineStr">
        <is>
          <t>/</t>
        </is>
      </c>
      <c r="W405" s="97" t="n">
        <v>0.1</v>
      </c>
      <c r="X405" s="512" t="inlineStr">
        <is>
          <t>/</t>
        </is>
      </c>
      <c r="Y405" s="512" t="inlineStr">
        <is>
          <t>/</t>
        </is>
      </c>
      <c r="Z405" s="512" t="inlineStr">
        <is>
          <t>/</t>
        </is>
      </c>
      <c r="AA405" s="512" t="inlineStr">
        <is>
          <t>/</t>
        </is>
      </c>
      <c r="AB405" s="22" t="inlineStr">
        <is>
          <t>/</t>
        </is>
      </c>
      <c r="AC405" s="503" t="inlineStr">
        <is>
          <t>/</t>
        </is>
      </c>
      <c r="AD405" s="148" t="inlineStr">
        <is>
          <t xml:space="preserve">1采购费：按采购额比例5%收取，分组作业应分摊未分摊，已补分摊，采购费比例应做相应调整；                             2服务费，分组作业应分摊未分摊，已补分摊，服务费比例应做相应调整；            </t>
        </is>
      </c>
      <c r="AE405" s="25" t="inlineStr">
        <is>
          <t xml:space="preserve">
1、签订期间：2026.1.1-2026.7.31；
2、指标按照全年换算；</t>
        </is>
      </c>
    </row>
    <row r="406" ht="48" customFormat="1" customHeight="1" s="209">
      <c r="A406" s="219" t="n">
        <v>411</v>
      </c>
      <c r="B406" s="14" t="inlineStr">
        <is>
          <t>KQCY0411</t>
        </is>
      </c>
      <c r="C406" s="221" t="inlineStr">
        <is>
          <t>餐饮六分部</t>
        </is>
      </c>
      <c r="D406" s="221" t="inlineStr">
        <is>
          <t>CF275</t>
        </is>
      </c>
      <c r="E406" s="221" t="inlineStr">
        <is>
          <t>南大苏州校区西区二食堂</t>
        </is>
      </c>
      <c r="F406" s="219" t="inlineStr">
        <is>
          <t>分组作业</t>
        </is>
      </c>
      <c r="G406" s="222" t="inlineStr">
        <is>
          <t>位军浩</t>
        </is>
      </c>
      <c r="H406" s="222" t="inlineStr">
        <is>
          <t>第十班组</t>
        </is>
      </c>
      <c r="I406" s="237" t="inlineStr">
        <is>
          <t>炸鸡汉堡</t>
        </is>
      </c>
      <c r="J406" s="222" t="inlineStr">
        <is>
          <t>张栗铭</t>
        </is>
      </c>
      <c r="K406" s="224" t="inlineStr">
        <is>
          <t>/</t>
        </is>
      </c>
      <c r="L406" s="651" t="n">
        <v>400000</v>
      </c>
      <c r="M406" s="22" t="n">
        <v>0.23</v>
      </c>
      <c r="N406" s="224" t="inlineStr">
        <is>
          <t>/</t>
        </is>
      </c>
      <c r="O406" s="117" t="n">
        <v>0.017</v>
      </c>
      <c r="P406" s="665" t="n">
        <v>1000</v>
      </c>
      <c r="Q406" s="22" t="inlineStr">
        <is>
          <t>/</t>
        </is>
      </c>
      <c r="R406" s="22" t="inlineStr">
        <is>
          <t>/</t>
        </is>
      </c>
      <c r="S406" s="224" t="inlineStr">
        <is>
          <t>/</t>
        </is>
      </c>
      <c r="T406" s="22" t="n">
        <v>0.03</v>
      </c>
      <c r="U406" s="116" t="inlineStr">
        <is>
          <t>/</t>
        </is>
      </c>
      <c r="V406" s="653" t="inlineStr">
        <is>
          <t>/</t>
        </is>
      </c>
      <c r="W406" s="47" t="n"/>
      <c r="X406" s="502" t="inlineStr">
        <is>
          <t>/</t>
        </is>
      </c>
      <c r="Y406" s="502" t="inlineStr">
        <is>
          <t>/</t>
        </is>
      </c>
      <c r="Z406" s="502" t="inlineStr">
        <is>
          <t>/</t>
        </is>
      </c>
      <c r="AA406" s="502" t="inlineStr">
        <is>
          <t>/</t>
        </is>
      </c>
      <c r="AB406" s="22" t="inlineStr">
        <is>
          <t>/</t>
        </is>
      </c>
      <c r="AC406" s="503" t="inlineStr">
        <is>
          <t>/</t>
        </is>
      </c>
      <c r="AD406" s="48" t="inlineStr">
        <is>
          <t xml:space="preserve">1、采购费：按采购额比例5%收取，分组作业应分摊未分摊，已补分摊，采购费比例应做相应调整；                             2、服务费，分组作业应分摊未分摊，已补分摊，服务费比例应做相应调整；            </t>
        </is>
      </c>
      <c r="AE406" s="25" t="inlineStr">
        <is>
          <t xml:space="preserve">
1、签订期间：2026.1.1-2026.7.31；
2、指标按照全年换算；</t>
        </is>
      </c>
    </row>
    <row r="407" ht="48" customFormat="1" customHeight="1" s="209">
      <c r="A407" s="219" t="n">
        <v>412</v>
      </c>
      <c r="B407" s="14" t="inlineStr">
        <is>
          <t>KQCY0412</t>
        </is>
      </c>
      <c r="C407" s="221" t="inlineStr">
        <is>
          <t>餐饮六分部</t>
        </is>
      </c>
      <c r="D407" s="221" t="inlineStr">
        <is>
          <t>CF275</t>
        </is>
      </c>
      <c r="E407" s="221" t="inlineStr">
        <is>
          <t>南大苏州校区西区二食堂</t>
        </is>
      </c>
      <c r="F407" s="219" t="inlineStr">
        <is>
          <t>分组作业</t>
        </is>
      </c>
      <c r="G407" s="222" t="inlineStr">
        <is>
          <t>位军浩</t>
        </is>
      </c>
      <c r="H407" s="222" t="inlineStr">
        <is>
          <t>第十一班组</t>
        </is>
      </c>
      <c r="I407" s="237" t="inlineStr">
        <is>
          <t>淮南牛肉汤</t>
        </is>
      </c>
      <c r="J407" s="222" t="inlineStr">
        <is>
          <t>钱年英</t>
        </is>
      </c>
      <c r="K407" s="224" t="inlineStr">
        <is>
          <t>/</t>
        </is>
      </c>
      <c r="L407" s="651" t="n">
        <v>240000</v>
      </c>
      <c r="M407" s="22" t="n">
        <v>0.23</v>
      </c>
      <c r="N407" s="224" t="inlineStr">
        <is>
          <t>/</t>
        </is>
      </c>
      <c r="O407" s="117" t="n">
        <v>0.017</v>
      </c>
      <c r="P407" s="665" t="n">
        <v>1000</v>
      </c>
      <c r="Q407" s="22" t="inlineStr">
        <is>
          <t>/</t>
        </is>
      </c>
      <c r="R407" s="22" t="inlineStr">
        <is>
          <t>/</t>
        </is>
      </c>
      <c r="S407" s="224" t="inlineStr">
        <is>
          <t>/</t>
        </is>
      </c>
      <c r="T407" s="22" t="n">
        <v>0.03</v>
      </c>
      <c r="U407" s="116" t="inlineStr">
        <is>
          <t>/</t>
        </is>
      </c>
      <c r="V407" s="653" t="inlineStr">
        <is>
          <t>/</t>
        </is>
      </c>
      <c r="W407" s="47" t="n"/>
      <c r="X407" s="502" t="inlineStr">
        <is>
          <t>/</t>
        </is>
      </c>
      <c r="Y407" s="502" t="inlineStr">
        <is>
          <t>/</t>
        </is>
      </c>
      <c r="Z407" s="502" t="inlineStr">
        <is>
          <t>/</t>
        </is>
      </c>
      <c r="AA407" s="502" t="inlineStr">
        <is>
          <t>/</t>
        </is>
      </c>
      <c r="AB407" s="22" t="inlineStr">
        <is>
          <t>/</t>
        </is>
      </c>
      <c r="AC407" s="503" t="inlineStr">
        <is>
          <t>/</t>
        </is>
      </c>
      <c r="AD407" s="48" t="inlineStr">
        <is>
          <t xml:space="preserve">1、采购费：按采购额比例5%收取，分组作业应分摊未分摊，已补分摊，采购费比例应做相应调整；                             2、服务费，分组作业应分摊未分摊，已补分摊，服务费比例应做相应调整；            </t>
        </is>
      </c>
      <c r="AE407" s="25" t="inlineStr">
        <is>
          <t xml:space="preserve">
1、签订期间：2026.1.1-2026.7.31；
2、指标按照全年换算；</t>
        </is>
      </c>
    </row>
    <row r="408" ht="72" customFormat="1" customHeight="1" s="209">
      <c r="A408" s="219" t="n">
        <v>413</v>
      </c>
      <c r="B408" s="14" t="inlineStr">
        <is>
          <t>KQCY0413</t>
        </is>
      </c>
      <c r="C408" s="221" t="inlineStr">
        <is>
          <t>餐饮六分部</t>
        </is>
      </c>
      <c r="D408" s="221" t="inlineStr">
        <is>
          <t>CF275</t>
        </is>
      </c>
      <c r="E408" s="221" t="inlineStr">
        <is>
          <t>南大苏州校区西区二食堂</t>
        </is>
      </c>
      <c r="F408" s="219" t="inlineStr">
        <is>
          <t>分组作业</t>
        </is>
      </c>
      <c r="G408" s="222" t="inlineStr">
        <is>
          <t>位军浩</t>
        </is>
      </c>
      <c r="H408" s="222" t="inlineStr">
        <is>
          <t>第十二班组</t>
        </is>
      </c>
      <c r="I408" s="237" t="inlineStr">
        <is>
          <t>面点</t>
        </is>
      </c>
      <c r="J408" s="222" t="inlineStr">
        <is>
          <t>陈天燕</t>
        </is>
      </c>
      <c r="K408" s="224" t="inlineStr">
        <is>
          <t>/</t>
        </is>
      </c>
      <c r="L408" s="651" t="n">
        <v>80000</v>
      </c>
      <c r="M408" s="22" t="n">
        <v>0.07000000000000001</v>
      </c>
      <c r="N408" s="224" t="inlineStr">
        <is>
          <t>/</t>
        </is>
      </c>
      <c r="O408" s="117" t="n">
        <v>0.017</v>
      </c>
      <c r="P408" s="224" t="inlineStr">
        <is>
          <t>/</t>
        </is>
      </c>
      <c r="Q408" s="22" t="inlineStr">
        <is>
          <t>/</t>
        </is>
      </c>
      <c r="R408" s="22" t="inlineStr">
        <is>
          <t>/</t>
        </is>
      </c>
      <c r="S408" s="224" t="inlineStr">
        <is>
          <t>/</t>
        </is>
      </c>
      <c r="T408" s="22" t="n">
        <v>0.03</v>
      </c>
      <c r="U408" s="116" t="inlineStr">
        <is>
          <t>/</t>
        </is>
      </c>
      <c r="V408" s="653" t="inlineStr">
        <is>
          <t>/</t>
        </is>
      </c>
      <c r="W408" s="47" t="n"/>
      <c r="X408" s="502" t="inlineStr">
        <is>
          <t>/</t>
        </is>
      </c>
      <c r="Y408" s="502" t="inlineStr">
        <is>
          <t>/</t>
        </is>
      </c>
      <c r="Z408" s="502" t="inlineStr">
        <is>
          <t>/</t>
        </is>
      </c>
      <c r="AA408" s="502" t="inlineStr">
        <is>
          <t>/</t>
        </is>
      </c>
      <c r="AB408" s="22" t="inlineStr">
        <is>
          <t>/</t>
        </is>
      </c>
      <c r="AC408" s="503" t="inlineStr">
        <is>
          <t>/</t>
        </is>
      </c>
      <c r="AD408" s="48" t="inlineStr">
        <is>
          <t>1、采购费：按采购额比例5%收取，分组作业应分摊未分摊，已补分摊，采购费比例应做相应调整；                             2、服务费，分组作业应分摊未分摊，已补分摊，服务费比例应做相应调整；                            3、装修折旧：80000元/年，分组作业未分摊，服务费已包含；</t>
        </is>
      </c>
      <c r="AE408" s="25" t="inlineStr">
        <is>
          <t xml:space="preserve">
1、签订期间：2026.1.1-2026.7.31；
2、指标按照全年换算；</t>
        </is>
      </c>
    </row>
    <row r="409" ht="12" customFormat="1" customHeight="1" s="209">
      <c r="A409" s="219" t="n">
        <v>414</v>
      </c>
      <c r="B409" s="14" t="inlineStr">
        <is>
          <t>KQCY0414</t>
        </is>
      </c>
      <c r="C409" s="221" t="inlineStr">
        <is>
          <t>餐饮六分部</t>
        </is>
      </c>
      <c r="D409" s="173" t="inlineStr">
        <is>
          <t>CF212</t>
        </is>
      </c>
      <c r="E409" s="221" t="inlineStr">
        <is>
          <t>苏中附校苏州湾食堂</t>
        </is>
      </c>
      <c r="F409" s="219" t="inlineStr">
        <is>
          <t>自营</t>
        </is>
      </c>
      <c r="G409" s="222" t="inlineStr">
        <is>
          <t>位军浩</t>
        </is>
      </c>
      <c r="H409" s="222" t="inlineStr">
        <is>
          <t>/</t>
        </is>
      </c>
      <c r="I409" s="237" t="inlineStr">
        <is>
          <t>/</t>
        </is>
      </c>
      <c r="J409" s="222" t="inlineStr">
        <is>
          <t>/</t>
        </is>
      </c>
      <c r="K409" s="224" t="inlineStr">
        <is>
          <t>/</t>
        </is>
      </c>
      <c r="L409" s="651" t="n">
        <v>2125000</v>
      </c>
      <c r="M409" s="224" t="inlineStr">
        <is>
          <t>/</t>
        </is>
      </c>
      <c r="N409" s="224" t="inlineStr">
        <is>
          <t>/</t>
        </is>
      </c>
      <c r="O409" s="224" t="inlineStr">
        <is>
          <t>/</t>
        </is>
      </c>
      <c r="P409" s="224" t="inlineStr">
        <is>
          <t>/</t>
        </is>
      </c>
      <c r="Q409" s="224" t="inlineStr">
        <is>
          <t>/</t>
        </is>
      </c>
      <c r="R409" s="224" t="inlineStr">
        <is>
          <t>/</t>
        </is>
      </c>
      <c r="S409" s="224" t="inlineStr">
        <is>
          <t>/</t>
        </is>
      </c>
      <c r="T409" s="224" t="inlineStr">
        <is>
          <t>/</t>
        </is>
      </c>
      <c r="U409" s="224" t="inlineStr">
        <is>
          <t>/</t>
        </is>
      </c>
      <c r="V409" s="224" t="inlineStr">
        <is>
          <t>/</t>
        </is>
      </c>
      <c r="W409" s="480" t="inlineStr">
        <is>
          <t>/</t>
        </is>
      </c>
      <c r="X409" s="480" t="inlineStr">
        <is>
          <t>/</t>
        </is>
      </c>
      <c r="Y409" s="502" t="inlineStr">
        <is>
          <t>/</t>
        </is>
      </c>
      <c r="Z409" s="502" t="inlineStr">
        <is>
          <t>/</t>
        </is>
      </c>
      <c r="AA409" s="502" t="inlineStr">
        <is>
          <t>/</t>
        </is>
      </c>
      <c r="AB409" s="666" t="n">
        <v>100000</v>
      </c>
      <c r="AC409" s="46" t="inlineStr">
        <is>
          <t>/</t>
        </is>
      </c>
      <c r="AD409" s="232" t="inlineStr">
        <is>
          <t>1、分部管理费：10万元</t>
        </is>
      </c>
      <c r="AE409" s="25" t="n"/>
    </row>
    <row r="410" ht="12" customFormat="1" customHeight="1" s="209">
      <c r="A410" s="219" t="n">
        <v>415</v>
      </c>
      <c r="B410" s="14" t="inlineStr">
        <is>
          <t>KQCY0415</t>
        </is>
      </c>
      <c r="C410" s="221" t="inlineStr">
        <is>
          <t>餐饮六分部</t>
        </is>
      </c>
      <c r="D410" s="221" t="inlineStr">
        <is>
          <t>CF273</t>
        </is>
      </c>
      <c r="E410" s="221" t="inlineStr">
        <is>
          <t>南大苏州校区科创大厦食堂</t>
        </is>
      </c>
      <c r="F410" s="219" t="inlineStr">
        <is>
          <t>自营</t>
        </is>
      </c>
      <c r="G410" s="222" t="inlineStr">
        <is>
          <t>位军浩</t>
        </is>
      </c>
      <c r="H410" s="222" t="inlineStr">
        <is>
          <t>/</t>
        </is>
      </c>
      <c r="I410" s="237" t="inlineStr">
        <is>
          <t>/</t>
        </is>
      </c>
      <c r="J410" s="222" t="inlineStr">
        <is>
          <t>/</t>
        </is>
      </c>
      <c r="K410" s="224" t="inlineStr">
        <is>
          <t>/</t>
        </is>
      </c>
      <c r="L410" s="651" t="n">
        <v>2992000</v>
      </c>
      <c r="M410" s="224" t="inlineStr">
        <is>
          <t>/</t>
        </is>
      </c>
      <c r="N410" s="224" t="inlineStr">
        <is>
          <t>/</t>
        </is>
      </c>
      <c r="O410" s="23" t="n">
        <v>0.02</v>
      </c>
      <c r="P410" s="224" t="inlineStr">
        <is>
          <t>/</t>
        </is>
      </c>
      <c r="Q410" s="224" t="inlineStr">
        <is>
          <t>/</t>
        </is>
      </c>
      <c r="R410" s="224" t="inlineStr">
        <is>
          <t>/</t>
        </is>
      </c>
      <c r="S410" s="224" t="inlineStr">
        <is>
          <t>/</t>
        </is>
      </c>
      <c r="T410" s="224" t="inlineStr">
        <is>
          <t>/</t>
        </is>
      </c>
      <c r="U410" s="224" t="inlineStr">
        <is>
          <t>/</t>
        </is>
      </c>
      <c r="V410" s="224" t="inlineStr">
        <is>
          <t>/</t>
        </is>
      </c>
      <c r="W410" s="47" t="n"/>
      <c r="X410" s="502" t="inlineStr">
        <is>
          <t>/</t>
        </is>
      </c>
      <c r="Y410" s="502" t="inlineStr">
        <is>
          <t>/</t>
        </is>
      </c>
      <c r="Z410" s="502" t="inlineStr">
        <is>
          <t>/</t>
        </is>
      </c>
      <c r="AA410" s="502" t="inlineStr">
        <is>
          <t>/</t>
        </is>
      </c>
      <c r="AB410" s="46" t="n">
        <v>0.035</v>
      </c>
      <c r="AC410" s="46" t="inlineStr">
        <is>
          <t>/</t>
        </is>
      </c>
      <c r="AD410" s="232" t="n"/>
      <c r="AE410" s="25" t="n"/>
    </row>
    <row r="411" ht="12" customFormat="1" customHeight="1" s="209">
      <c r="A411" s="219" t="n">
        <v>416</v>
      </c>
      <c r="B411" s="14" t="inlineStr">
        <is>
          <t>KQCY0416</t>
        </is>
      </c>
      <c r="C411" s="221" t="inlineStr">
        <is>
          <t>餐饮六分部</t>
        </is>
      </c>
      <c r="D411" s="221" t="inlineStr">
        <is>
          <t>CF191</t>
        </is>
      </c>
      <c r="E411" s="221" t="inlineStr">
        <is>
          <t>苏州旭辉彩园餐厅</t>
        </is>
      </c>
      <c r="F411" s="219" t="inlineStr">
        <is>
          <t>人员服务外包</t>
        </is>
      </c>
      <c r="G411" s="222" t="inlineStr">
        <is>
          <t>张镁镁</t>
        </is>
      </c>
      <c r="H411" s="222" t="inlineStr">
        <is>
          <t>/</t>
        </is>
      </c>
      <c r="I411" s="237" t="inlineStr">
        <is>
          <t>/</t>
        </is>
      </c>
      <c r="J411" s="222" t="inlineStr">
        <is>
          <t>/</t>
        </is>
      </c>
      <c r="K411" s="224" t="inlineStr">
        <is>
          <t>/</t>
        </is>
      </c>
      <c r="L411" s="667" t="n">
        <v>2084000</v>
      </c>
      <c r="M411" s="116" t="inlineStr">
        <is>
          <t>/</t>
        </is>
      </c>
      <c r="N411" s="502" t="inlineStr">
        <is>
          <t>/</t>
        </is>
      </c>
      <c r="O411" s="502" t="inlineStr">
        <is>
          <t>/</t>
        </is>
      </c>
      <c r="P411" s="502" t="inlineStr">
        <is>
          <t>/</t>
        </is>
      </c>
      <c r="Q411" s="502" t="inlineStr">
        <is>
          <t>/</t>
        </is>
      </c>
      <c r="R411" s="502" t="inlineStr">
        <is>
          <t>/</t>
        </is>
      </c>
      <c r="S411" s="502" t="inlineStr">
        <is>
          <t>/</t>
        </is>
      </c>
      <c r="T411" s="22" t="inlineStr">
        <is>
          <t>/</t>
        </is>
      </c>
      <c r="U411" s="116" t="inlineStr">
        <is>
          <t>/</t>
        </is>
      </c>
      <c r="V411" s="502" t="inlineStr">
        <is>
          <t>/</t>
        </is>
      </c>
      <c r="W411" s="503" t="inlineStr">
        <is>
          <t>/</t>
        </is>
      </c>
      <c r="X411" s="480" t="inlineStr">
        <is>
          <t>/</t>
        </is>
      </c>
      <c r="Y411" s="480" t="inlineStr">
        <is>
          <t>/</t>
        </is>
      </c>
      <c r="Z411" s="480" t="inlineStr">
        <is>
          <t>/</t>
        </is>
      </c>
      <c r="AA411" s="480" t="inlineStr">
        <is>
          <t>/</t>
        </is>
      </c>
      <c r="AB411" s="51" t="n">
        <v>0.08</v>
      </c>
      <c r="AC411" s="46" t="inlineStr">
        <is>
          <t>/</t>
        </is>
      </c>
      <c r="AD411" s="232" t="n"/>
      <c r="AE411" s="25" t="n"/>
    </row>
    <row r="412" ht="12" customFormat="1" customHeight="1" s="209">
      <c r="A412" s="219" t="n">
        <v>417</v>
      </c>
      <c r="B412" s="14" t="inlineStr">
        <is>
          <t>KQCY0417</t>
        </is>
      </c>
      <c r="C412" s="221" t="inlineStr">
        <is>
          <t>餐饮六分部</t>
        </is>
      </c>
      <c r="D412" s="221" t="inlineStr">
        <is>
          <t>CF479</t>
        </is>
      </c>
      <c r="E412" s="221" t="inlineStr">
        <is>
          <t>江苏省交通技师学院第一食堂</t>
        </is>
      </c>
      <c r="F412" s="219" t="inlineStr">
        <is>
          <t>自营</t>
        </is>
      </c>
      <c r="G412" s="222" t="inlineStr">
        <is>
          <t>卫屹</t>
        </is>
      </c>
      <c r="H412" s="222" t="inlineStr">
        <is>
          <t>/</t>
        </is>
      </c>
      <c r="I412" s="237" t="inlineStr">
        <is>
          <t>/</t>
        </is>
      </c>
      <c r="J412" s="222" t="inlineStr">
        <is>
          <t>/</t>
        </is>
      </c>
      <c r="K412" s="224" t="inlineStr">
        <is>
          <t>/</t>
        </is>
      </c>
      <c r="L412" s="651" t="inlineStr">
        <is>
          <t>/</t>
        </is>
      </c>
      <c r="M412" s="224" t="inlineStr">
        <is>
          <t>/</t>
        </is>
      </c>
      <c r="N412" s="224" t="inlineStr">
        <is>
          <t>/</t>
        </is>
      </c>
      <c r="O412" s="224" t="inlineStr">
        <is>
          <t>/</t>
        </is>
      </c>
      <c r="P412" s="224" t="inlineStr">
        <is>
          <t>/</t>
        </is>
      </c>
      <c r="Q412" s="224" t="inlineStr">
        <is>
          <t>/</t>
        </is>
      </c>
      <c r="R412" s="224" t="inlineStr">
        <is>
          <t>/</t>
        </is>
      </c>
      <c r="S412" s="224" t="inlineStr">
        <is>
          <t>/</t>
        </is>
      </c>
      <c r="T412" s="224" t="inlineStr">
        <is>
          <t>/</t>
        </is>
      </c>
      <c r="U412" s="224" t="inlineStr">
        <is>
          <t>/</t>
        </is>
      </c>
      <c r="V412" s="224" t="inlineStr">
        <is>
          <t>/</t>
        </is>
      </c>
      <c r="W412" s="44" t="n"/>
      <c r="X412" s="461" t="inlineStr">
        <is>
          <t>/</t>
        </is>
      </c>
      <c r="Y412" s="461" t="inlineStr">
        <is>
          <t>/</t>
        </is>
      </c>
      <c r="Z412" s="461" t="inlineStr">
        <is>
          <t>/</t>
        </is>
      </c>
      <c r="AA412" s="461" t="inlineStr">
        <is>
          <t>/</t>
        </is>
      </c>
      <c r="AB412" s="46" t="n">
        <v>0.045</v>
      </c>
      <c r="AC412" s="46" t="n">
        <v>0.005</v>
      </c>
      <c r="AD412" s="48" t="inlineStr">
        <is>
          <t>1、自营未实际经营</t>
        </is>
      </c>
      <c r="AE412" s="25" t="n"/>
    </row>
    <row r="413" ht="60" customFormat="1" customHeight="1" s="209">
      <c r="A413" s="219" t="n">
        <v>418</v>
      </c>
      <c r="B413" s="14" t="inlineStr">
        <is>
          <t>KQCY0418</t>
        </is>
      </c>
      <c r="C413" s="221" t="inlineStr">
        <is>
          <t>餐饮六分部</t>
        </is>
      </c>
      <c r="D413" s="221" t="inlineStr">
        <is>
          <t>CF479</t>
        </is>
      </c>
      <c r="E413" s="221" t="inlineStr">
        <is>
          <t>江苏省交通技师学院第一食堂</t>
        </is>
      </c>
      <c r="F413" s="219" t="inlineStr">
        <is>
          <t>分组作业</t>
        </is>
      </c>
      <c r="G413" s="222" t="inlineStr">
        <is>
          <t>卫屹</t>
        </is>
      </c>
      <c r="H413" s="222" t="inlineStr">
        <is>
          <t>第一班组</t>
        </is>
      </c>
      <c r="I413" s="237" t="inlineStr">
        <is>
          <t>八大碗</t>
        </is>
      </c>
      <c r="J413" s="222" t="inlineStr">
        <is>
          <t>丁秀梅</t>
        </is>
      </c>
      <c r="K413" s="224" t="inlineStr">
        <is>
          <t>/</t>
        </is>
      </c>
      <c r="L413" s="651" t="n">
        <v>340000</v>
      </c>
      <c r="M413" s="224" t="n">
        <v>0.27</v>
      </c>
      <c r="N413" s="224" t="inlineStr">
        <is>
          <t>/</t>
        </is>
      </c>
      <c r="O413" s="224" t="inlineStr">
        <is>
          <t>/</t>
        </is>
      </c>
      <c r="P413" s="349" t="inlineStr">
        <is>
          <t>/</t>
        </is>
      </c>
      <c r="Q413" s="224" t="inlineStr">
        <is>
          <t>/</t>
        </is>
      </c>
      <c r="R413" s="349" t="inlineStr">
        <is>
          <t>/</t>
        </is>
      </c>
      <c r="S413" s="224" t="inlineStr">
        <is>
          <t>/</t>
        </is>
      </c>
      <c r="T413" s="349" t="inlineStr">
        <is>
          <t>/</t>
        </is>
      </c>
      <c r="U413" s="349" t="inlineStr">
        <is>
          <t>/</t>
        </is>
      </c>
      <c r="V413" s="224" t="inlineStr">
        <is>
          <t>/</t>
        </is>
      </c>
      <c r="W413" s="224" t="n">
        <v>0.25</v>
      </c>
      <c r="X413" s="461" t="inlineStr">
        <is>
          <t>/</t>
        </is>
      </c>
      <c r="Y413" s="461" t="inlineStr">
        <is>
          <t>/</t>
        </is>
      </c>
      <c r="Z413" s="461" t="inlineStr">
        <is>
          <t>/</t>
        </is>
      </c>
      <c r="AA413" s="461" t="inlineStr">
        <is>
          <t>/</t>
        </is>
      </c>
      <c r="AB413" s="652" t="inlineStr">
        <is>
          <t>/</t>
        </is>
      </c>
      <c r="AC413" s="652" t="inlineStr">
        <is>
          <t>/</t>
        </is>
      </c>
      <c r="AD413" s="48" t="inlineStr">
        <is>
          <t>1、共建活动费：校园美食节费用，未分摊共建活动费，服务费包含未拆分
2、装修折旧费：服务费包含未拆分
3、卫生费：服务费包含未拆分
4、能源费：服务费包含未拆分</t>
        </is>
      </c>
      <c r="AE413" s="25" t="inlineStr">
        <is>
          <t>1、签订期间：2026.3.6-2026.7.30；
2、指标按照全年换算；</t>
        </is>
      </c>
    </row>
    <row r="414" ht="60" customFormat="1" customHeight="1" s="209">
      <c r="A414" s="219" t="n">
        <v>419</v>
      </c>
      <c r="B414" s="14" t="inlineStr">
        <is>
          <t>KQCY0419</t>
        </is>
      </c>
      <c r="C414" s="221" t="inlineStr">
        <is>
          <t>餐饮六分部</t>
        </is>
      </c>
      <c r="D414" s="221" t="inlineStr">
        <is>
          <t>CF479</t>
        </is>
      </c>
      <c r="E414" s="221" t="inlineStr">
        <is>
          <t>江苏省交通技师学院第一食堂</t>
        </is>
      </c>
      <c r="F414" s="219" t="inlineStr">
        <is>
          <t>分组作业</t>
        </is>
      </c>
      <c r="G414" s="222" t="inlineStr">
        <is>
          <t>卫屹</t>
        </is>
      </c>
      <c r="H414" s="222" t="inlineStr">
        <is>
          <t>第二班组</t>
        </is>
      </c>
      <c r="I414" s="237" t="inlineStr">
        <is>
          <t>牛肉汤</t>
        </is>
      </c>
      <c r="J414" s="222" t="inlineStr">
        <is>
          <t>范义龙</t>
        </is>
      </c>
      <c r="K414" s="224" t="inlineStr">
        <is>
          <t>/</t>
        </is>
      </c>
      <c r="L414" s="651" t="n">
        <v>296000</v>
      </c>
      <c r="M414" s="224" t="n">
        <v>0.19</v>
      </c>
      <c r="N414" s="224" t="inlineStr">
        <is>
          <t>/</t>
        </is>
      </c>
      <c r="O414" s="224" t="inlineStr">
        <is>
          <t>/</t>
        </is>
      </c>
      <c r="P414" s="349" t="inlineStr">
        <is>
          <t>/</t>
        </is>
      </c>
      <c r="Q414" s="224" t="inlineStr">
        <is>
          <t>/</t>
        </is>
      </c>
      <c r="R414" s="349" t="inlineStr">
        <is>
          <t>/</t>
        </is>
      </c>
      <c r="S414" s="224" t="inlineStr">
        <is>
          <t>/</t>
        </is>
      </c>
      <c r="T414" s="22" t="n">
        <v>0.035</v>
      </c>
      <c r="U414" s="224" t="n"/>
      <c r="V414" s="224" t="inlineStr">
        <is>
          <t>/</t>
        </is>
      </c>
      <c r="W414" s="224" t="n">
        <v>0.2</v>
      </c>
      <c r="X414" s="461" t="inlineStr">
        <is>
          <t>/</t>
        </is>
      </c>
      <c r="Y414" s="461" t="inlineStr">
        <is>
          <t>/</t>
        </is>
      </c>
      <c r="Z414" s="461" t="inlineStr">
        <is>
          <t>/</t>
        </is>
      </c>
      <c r="AA414" s="461" t="inlineStr">
        <is>
          <t>/</t>
        </is>
      </c>
      <c r="AB414" s="652" t="inlineStr">
        <is>
          <t>/</t>
        </is>
      </c>
      <c r="AC414" s="652" t="inlineStr">
        <is>
          <t>/</t>
        </is>
      </c>
      <c r="AD414" s="48" t="inlineStr">
        <is>
          <t>1、共建活动费：校园美食节费用，未分摊共建活动费，服务费包含未拆分
2、装修折旧费：服务费包含未拆分
3、卫生费：服务费包含未拆分
4、能源费：服务费包含未拆分</t>
        </is>
      </c>
      <c r="AE414" s="25" t="inlineStr">
        <is>
          <t>1、签订期间：2026.3.6-2026.7.30；
2、指标按照全年换算；</t>
        </is>
      </c>
    </row>
    <row r="415" ht="60" customFormat="1" customHeight="1" s="209">
      <c r="A415" s="219" t="n">
        <v>420</v>
      </c>
      <c r="B415" s="14" t="inlineStr">
        <is>
          <t>KQCY0420</t>
        </is>
      </c>
      <c r="C415" s="221" t="inlineStr">
        <is>
          <t>餐饮六分部</t>
        </is>
      </c>
      <c r="D415" s="221" t="inlineStr">
        <is>
          <t>CF479</t>
        </is>
      </c>
      <c r="E415" s="221" t="inlineStr">
        <is>
          <t>江苏省交通技师学院第一食堂</t>
        </is>
      </c>
      <c r="F415" s="219" t="inlineStr">
        <is>
          <t>分组作业</t>
        </is>
      </c>
      <c r="G415" s="222" t="inlineStr">
        <is>
          <t>卫屹</t>
        </is>
      </c>
      <c r="H415" s="222" t="inlineStr">
        <is>
          <t>第三班组</t>
        </is>
      </c>
      <c r="I415" s="237" t="inlineStr">
        <is>
          <t>基本大伙</t>
        </is>
      </c>
      <c r="J415" s="222" t="inlineStr">
        <is>
          <t>查启清</t>
        </is>
      </c>
      <c r="K415" s="224" t="inlineStr">
        <is>
          <t>/</t>
        </is>
      </c>
      <c r="L415" s="651" t="n">
        <v>1440000</v>
      </c>
      <c r="M415" s="22" t="n">
        <v>0.235</v>
      </c>
      <c r="N415" s="224" t="inlineStr">
        <is>
          <t>/</t>
        </is>
      </c>
      <c r="O415" s="224" t="inlineStr">
        <is>
          <t>/</t>
        </is>
      </c>
      <c r="P415" s="349" t="inlineStr">
        <is>
          <t>/</t>
        </is>
      </c>
      <c r="Q415" s="224" t="inlineStr">
        <is>
          <t>/</t>
        </is>
      </c>
      <c r="R415" s="349" t="inlineStr">
        <is>
          <t>/</t>
        </is>
      </c>
      <c r="S415" s="224" t="inlineStr">
        <is>
          <t>/</t>
        </is>
      </c>
      <c r="T415" s="349" t="inlineStr">
        <is>
          <t>/</t>
        </is>
      </c>
      <c r="U415" s="349" t="inlineStr">
        <is>
          <t>/</t>
        </is>
      </c>
      <c r="V415" s="224" t="inlineStr">
        <is>
          <t>/</t>
        </is>
      </c>
      <c r="W415" s="224" t="n">
        <v>0.43</v>
      </c>
      <c r="X415" s="461" t="inlineStr">
        <is>
          <t>/</t>
        </is>
      </c>
      <c r="Y415" s="461" t="inlineStr">
        <is>
          <t>/</t>
        </is>
      </c>
      <c r="Z415" s="461" t="inlineStr">
        <is>
          <t>/</t>
        </is>
      </c>
      <c r="AA415" s="461" t="inlineStr">
        <is>
          <t>/</t>
        </is>
      </c>
      <c r="AB415" s="652" t="inlineStr">
        <is>
          <t>/</t>
        </is>
      </c>
      <c r="AC415" s="652" t="inlineStr">
        <is>
          <t>/</t>
        </is>
      </c>
      <c r="AD415" s="48" t="inlineStr">
        <is>
          <t>1、共建活动费：校园美食节费用，未分摊共建活动费，服务费包含未拆分
2、装修折旧费：服务费包含未拆分
3、卫生费：服务费包含未拆分
4、能源费：服务费包含未拆分</t>
        </is>
      </c>
      <c r="AE415" s="25" t="inlineStr">
        <is>
          <t>1、签订期间：2026.3.6-2026.7.30；
2、指标按照全年换算；</t>
        </is>
      </c>
    </row>
    <row r="416" ht="60" customFormat="1" customHeight="1" s="209">
      <c r="A416" s="219" t="n">
        <v>421</v>
      </c>
      <c r="B416" s="14" t="inlineStr">
        <is>
          <t>KQCY0421</t>
        </is>
      </c>
      <c r="C416" s="221" t="inlineStr">
        <is>
          <t>餐饮六分部</t>
        </is>
      </c>
      <c r="D416" s="221" t="inlineStr">
        <is>
          <t>CF479</t>
        </is>
      </c>
      <c r="E416" s="221" t="inlineStr">
        <is>
          <t>江苏省交通技师学院第一食堂</t>
        </is>
      </c>
      <c r="F416" s="219" t="inlineStr">
        <is>
          <t>分组作业</t>
        </is>
      </c>
      <c r="G416" s="222" t="inlineStr">
        <is>
          <t>卫屹</t>
        </is>
      </c>
      <c r="H416" s="222" t="inlineStr">
        <is>
          <t>第四班组</t>
        </is>
      </c>
      <c r="I416" s="237" t="inlineStr">
        <is>
          <t>早餐</t>
        </is>
      </c>
      <c r="J416" s="222" t="inlineStr">
        <is>
          <t>苏广前</t>
        </is>
      </c>
      <c r="K416" s="224" t="inlineStr">
        <is>
          <t>/</t>
        </is>
      </c>
      <c r="L416" s="651" t="n">
        <v>800000</v>
      </c>
      <c r="M416" s="224" t="n">
        <v>0.19</v>
      </c>
      <c r="N416" s="224" t="inlineStr">
        <is>
          <t>/</t>
        </is>
      </c>
      <c r="O416" s="224" t="inlineStr">
        <is>
          <t>/</t>
        </is>
      </c>
      <c r="P416" s="349" t="inlineStr">
        <is>
          <t>/</t>
        </is>
      </c>
      <c r="Q416" s="224" t="inlineStr">
        <is>
          <t>/</t>
        </is>
      </c>
      <c r="R416" s="349" t="inlineStr">
        <is>
          <t>/</t>
        </is>
      </c>
      <c r="S416" s="224" t="inlineStr">
        <is>
          <t>/</t>
        </is>
      </c>
      <c r="T416" s="22" t="n">
        <v>0.035</v>
      </c>
      <c r="U416" s="224" t="n"/>
      <c r="V416" s="224" t="inlineStr">
        <is>
          <t>/</t>
        </is>
      </c>
      <c r="W416" s="224" t="n">
        <v>0.2</v>
      </c>
      <c r="X416" s="461" t="inlineStr">
        <is>
          <t>/</t>
        </is>
      </c>
      <c r="Y416" s="461" t="inlineStr">
        <is>
          <t>/</t>
        </is>
      </c>
      <c r="Z416" s="461" t="inlineStr">
        <is>
          <t>/</t>
        </is>
      </c>
      <c r="AA416" s="461" t="inlineStr">
        <is>
          <t>/</t>
        </is>
      </c>
      <c r="AB416" s="652" t="inlineStr">
        <is>
          <t>/</t>
        </is>
      </c>
      <c r="AC416" s="652" t="inlineStr">
        <is>
          <t>/</t>
        </is>
      </c>
      <c r="AD416" s="48" t="inlineStr">
        <is>
          <t>1、共建活动费：校园美食节费用，未分摊共建活动费，服务费包含未拆分
2、装修折旧费：服务费包含未拆分
3、卫生费：服务费包含未拆分
4、能源费：服务费包含未拆分</t>
        </is>
      </c>
      <c r="AE416" s="25" t="inlineStr">
        <is>
          <t>1、签订期间：2026.3.6-2026.7.30；
2、指标按照全年换算；</t>
        </is>
      </c>
    </row>
    <row r="417" ht="60" customFormat="1" customHeight="1" s="209">
      <c r="A417" s="219" t="n">
        <v>422</v>
      </c>
      <c r="B417" s="14" t="inlineStr">
        <is>
          <t>KQCY0422</t>
        </is>
      </c>
      <c r="C417" s="221" t="inlineStr">
        <is>
          <t>餐饮六分部</t>
        </is>
      </c>
      <c r="D417" s="221" t="inlineStr">
        <is>
          <t>CF479</t>
        </is>
      </c>
      <c r="E417" s="221" t="inlineStr">
        <is>
          <t>江苏省交通技师学院第一食堂</t>
        </is>
      </c>
      <c r="F417" s="219" t="inlineStr">
        <is>
          <t>分组作业</t>
        </is>
      </c>
      <c r="G417" s="222" t="inlineStr">
        <is>
          <t>卫屹</t>
        </is>
      </c>
      <c r="H417" s="222" t="inlineStr">
        <is>
          <t>第五班组</t>
        </is>
      </c>
      <c r="I417" s="237" t="inlineStr">
        <is>
          <t>面条</t>
        </is>
      </c>
      <c r="J417" s="222" t="inlineStr">
        <is>
          <t>李炳志</t>
        </is>
      </c>
      <c r="K417" s="224" t="inlineStr">
        <is>
          <t>/</t>
        </is>
      </c>
      <c r="L417" s="651" t="n">
        <v>290000</v>
      </c>
      <c r="M417" s="224" t="n">
        <v>0.19</v>
      </c>
      <c r="N417" s="224" t="inlineStr">
        <is>
          <t>/</t>
        </is>
      </c>
      <c r="O417" s="224" t="inlineStr">
        <is>
          <t>/</t>
        </is>
      </c>
      <c r="P417" s="349" t="inlineStr">
        <is>
          <t>/</t>
        </is>
      </c>
      <c r="Q417" s="224" t="inlineStr">
        <is>
          <t>/</t>
        </is>
      </c>
      <c r="R417" s="349" t="inlineStr">
        <is>
          <t>/</t>
        </is>
      </c>
      <c r="S417" s="224" t="inlineStr">
        <is>
          <t>/</t>
        </is>
      </c>
      <c r="T417" s="22" t="n">
        <v>0.035</v>
      </c>
      <c r="U417" s="224" t="n"/>
      <c r="V417" s="224" t="inlineStr">
        <is>
          <t>/</t>
        </is>
      </c>
      <c r="W417" s="224" t="n">
        <v>0.2</v>
      </c>
      <c r="X417" s="461" t="inlineStr">
        <is>
          <t>/</t>
        </is>
      </c>
      <c r="Y417" s="461" t="inlineStr">
        <is>
          <t>/</t>
        </is>
      </c>
      <c r="Z417" s="461" t="inlineStr">
        <is>
          <t>/</t>
        </is>
      </c>
      <c r="AA417" s="461" t="inlineStr">
        <is>
          <t>/</t>
        </is>
      </c>
      <c r="AB417" s="652" t="inlineStr">
        <is>
          <t>/</t>
        </is>
      </c>
      <c r="AC417" s="652" t="inlineStr">
        <is>
          <t>/</t>
        </is>
      </c>
      <c r="AD417" s="48" t="inlineStr">
        <is>
          <t>1、共建活动费：校园美食节费用，未分摊共建活动费，服务费包含未拆分
2、装修折旧费：服务费包含未拆分
3、卫生费：服务费包含未拆分
4、能源费：服务费包含未拆分</t>
        </is>
      </c>
      <c r="AE417" s="25" t="inlineStr">
        <is>
          <t>1、签订期间：2026.3.6-2026.7.30；
2、指标按照全年换算；</t>
        </is>
      </c>
    </row>
    <row r="418" ht="60" customFormat="1" customHeight="1" s="209">
      <c r="A418" s="219" t="n">
        <v>423</v>
      </c>
      <c r="B418" s="14" t="inlineStr">
        <is>
          <t>KQCY0423</t>
        </is>
      </c>
      <c r="C418" s="221" t="inlineStr">
        <is>
          <t>餐饮六分部</t>
        </is>
      </c>
      <c r="D418" s="221" t="inlineStr">
        <is>
          <t>CF479</t>
        </is>
      </c>
      <c r="E418" s="221" t="inlineStr">
        <is>
          <t>江苏省交通技师学院第一食堂</t>
        </is>
      </c>
      <c r="F418" s="219" t="inlineStr">
        <is>
          <t>分组作业</t>
        </is>
      </c>
      <c r="G418" s="222" t="inlineStr">
        <is>
          <t>卫屹</t>
        </is>
      </c>
      <c r="H418" s="222" t="inlineStr">
        <is>
          <t>第六班组</t>
        </is>
      </c>
      <c r="I418" s="237" t="inlineStr">
        <is>
          <t>水饺</t>
        </is>
      </c>
      <c r="J418" s="222" t="inlineStr">
        <is>
          <t>王金华</t>
        </is>
      </c>
      <c r="K418" s="224" t="inlineStr">
        <is>
          <t>/</t>
        </is>
      </c>
      <c r="L418" s="651" t="n">
        <v>210000</v>
      </c>
      <c r="M418" s="224" t="n">
        <v>0.19</v>
      </c>
      <c r="N418" s="224" t="inlineStr">
        <is>
          <t>/</t>
        </is>
      </c>
      <c r="O418" s="224" t="inlineStr">
        <is>
          <t>/</t>
        </is>
      </c>
      <c r="P418" s="349" t="inlineStr">
        <is>
          <t>/</t>
        </is>
      </c>
      <c r="Q418" s="224" t="inlineStr">
        <is>
          <t>/</t>
        </is>
      </c>
      <c r="R418" s="349" t="inlineStr">
        <is>
          <t>/</t>
        </is>
      </c>
      <c r="S418" s="224" t="inlineStr">
        <is>
          <t>/</t>
        </is>
      </c>
      <c r="T418" s="22" t="n">
        <v>0.035</v>
      </c>
      <c r="U418" s="224" t="n"/>
      <c r="V418" s="224" t="inlineStr">
        <is>
          <t>/</t>
        </is>
      </c>
      <c r="W418" s="224" t="n">
        <v>0.2</v>
      </c>
      <c r="X418" s="461" t="inlineStr">
        <is>
          <t>/</t>
        </is>
      </c>
      <c r="Y418" s="461" t="inlineStr">
        <is>
          <t>/</t>
        </is>
      </c>
      <c r="Z418" s="461" t="inlineStr">
        <is>
          <t>/</t>
        </is>
      </c>
      <c r="AA418" s="461" t="inlineStr">
        <is>
          <t>/</t>
        </is>
      </c>
      <c r="AB418" s="652" t="inlineStr">
        <is>
          <t>/</t>
        </is>
      </c>
      <c r="AC418" s="652" t="inlineStr">
        <is>
          <t>/</t>
        </is>
      </c>
      <c r="AD418" s="48" t="inlineStr">
        <is>
          <t>1、共建活动费：校园美食节费用，未分摊共建活动费，服务费包含未拆分
2、装修折旧费：服务费包含未拆分
3、卫生费：服务费包含未拆分
4、能源费：服务费包含未拆分</t>
        </is>
      </c>
      <c r="AE418" s="25" t="inlineStr">
        <is>
          <t>1、签订期间：2026.3.6-2026.7.30；
2、指标按照全年换算；</t>
        </is>
      </c>
    </row>
    <row r="419" ht="60" customFormat="1" customHeight="1" s="209">
      <c r="A419" s="219" t="n">
        <v>424</v>
      </c>
      <c r="B419" s="14" t="inlineStr">
        <is>
          <t>KQCY0424</t>
        </is>
      </c>
      <c r="C419" s="221" t="inlineStr">
        <is>
          <t>餐饮六分部</t>
        </is>
      </c>
      <c r="D419" s="221" t="inlineStr">
        <is>
          <t>CF479</t>
        </is>
      </c>
      <c r="E419" s="221" t="inlineStr">
        <is>
          <t>江苏省交通技师学院第一食堂</t>
        </is>
      </c>
      <c r="F419" s="219" t="inlineStr">
        <is>
          <t>分组作业</t>
        </is>
      </c>
      <c r="G419" s="222" t="inlineStr">
        <is>
          <t>卫屹</t>
        </is>
      </c>
      <c r="H419" s="222" t="inlineStr">
        <is>
          <t>第七班组</t>
        </is>
      </c>
      <c r="I419" s="237" t="inlineStr">
        <is>
          <t>油泼鸡</t>
        </is>
      </c>
      <c r="J419" s="222" t="inlineStr">
        <is>
          <t>陈永龙</t>
        </is>
      </c>
      <c r="K419" s="224" t="inlineStr">
        <is>
          <t>/</t>
        </is>
      </c>
      <c r="L419" s="651" t="n">
        <v>280000</v>
      </c>
      <c r="M419" s="224" t="n">
        <v>0.19</v>
      </c>
      <c r="N419" s="224" t="inlineStr">
        <is>
          <t>/</t>
        </is>
      </c>
      <c r="O419" s="224" t="inlineStr">
        <is>
          <t>/</t>
        </is>
      </c>
      <c r="P419" s="349" t="inlineStr">
        <is>
          <t>/</t>
        </is>
      </c>
      <c r="Q419" s="224" t="inlineStr">
        <is>
          <t>/</t>
        </is>
      </c>
      <c r="R419" s="349" t="inlineStr">
        <is>
          <t>/</t>
        </is>
      </c>
      <c r="S419" s="224" t="inlineStr">
        <is>
          <t>/</t>
        </is>
      </c>
      <c r="T419" s="22" t="n">
        <v>0.035</v>
      </c>
      <c r="U419" s="224" t="n"/>
      <c r="V419" s="224" t="inlineStr">
        <is>
          <t>/</t>
        </is>
      </c>
      <c r="W419" s="224" t="n">
        <v>0.2</v>
      </c>
      <c r="X419" s="461" t="inlineStr">
        <is>
          <t>/</t>
        </is>
      </c>
      <c r="Y419" s="461" t="inlineStr">
        <is>
          <t>/</t>
        </is>
      </c>
      <c r="Z419" s="461" t="inlineStr">
        <is>
          <t>/</t>
        </is>
      </c>
      <c r="AA419" s="461" t="inlineStr">
        <is>
          <t>/</t>
        </is>
      </c>
      <c r="AB419" s="652" t="inlineStr">
        <is>
          <t>/</t>
        </is>
      </c>
      <c r="AC419" s="652" t="inlineStr">
        <is>
          <t>/</t>
        </is>
      </c>
      <c r="AD419" s="48" t="inlineStr">
        <is>
          <t>1、共建活动费：校园美食节费用，未分摊共建活动费，服务费包含未拆分
2、装修折旧费：服务费包含未拆分
3、卫生费：服务费包含未拆分
4、能源费：服务费包含未拆分</t>
        </is>
      </c>
      <c r="AE419" s="25" t="inlineStr">
        <is>
          <t>1、签订期间：2026.3.6-2026.7.30；
2、指标按照全年换算；</t>
        </is>
      </c>
    </row>
    <row r="420" ht="60" customFormat="1" customHeight="1" s="209">
      <c r="A420" s="219" t="n">
        <v>425</v>
      </c>
      <c r="B420" s="14" t="inlineStr">
        <is>
          <t>KQCY0425</t>
        </is>
      </c>
      <c r="C420" s="221" t="inlineStr">
        <is>
          <t>餐饮六分部</t>
        </is>
      </c>
      <c r="D420" s="221" t="inlineStr">
        <is>
          <t>CF479</t>
        </is>
      </c>
      <c r="E420" s="221" t="inlineStr">
        <is>
          <t>江苏省交通技师学院第一食堂</t>
        </is>
      </c>
      <c r="F420" s="219" t="inlineStr">
        <is>
          <t>分组作业</t>
        </is>
      </c>
      <c r="G420" s="222" t="inlineStr">
        <is>
          <t>卫屹</t>
        </is>
      </c>
      <c r="H420" s="222" t="inlineStr">
        <is>
          <t>第八班组</t>
        </is>
      </c>
      <c r="I420" s="237" t="inlineStr">
        <is>
          <t>麦多馅饼</t>
        </is>
      </c>
      <c r="J420" s="222" t="inlineStr">
        <is>
          <t>董超</t>
        </is>
      </c>
      <c r="K420" s="224" t="inlineStr">
        <is>
          <t>/</t>
        </is>
      </c>
      <c r="L420" s="651" t="n">
        <v>260000</v>
      </c>
      <c r="M420" s="224" t="n">
        <v>0.19</v>
      </c>
      <c r="N420" s="224" t="inlineStr">
        <is>
          <t>/</t>
        </is>
      </c>
      <c r="O420" s="224" t="inlineStr">
        <is>
          <t>/</t>
        </is>
      </c>
      <c r="P420" s="349" t="inlineStr">
        <is>
          <t>/</t>
        </is>
      </c>
      <c r="Q420" s="224" t="inlineStr">
        <is>
          <t>/</t>
        </is>
      </c>
      <c r="R420" s="349" t="inlineStr">
        <is>
          <t>/</t>
        </is>
      </c>
      <c r="S420" s="224" t="inlineStr">
        <is>
          <t>/</t>
        </is>
      </c>
      <c r="T420" s="653" t="n">
        <v>1500</v>
      </c>
      <c r="U420" s="224" t="n"/>
      <c r="V420" s="224" t="inlineStr">
        <is>
          <t>/</t>
        </is>
      </c>
      <c r="W420" s="224" t="n">
        <v>0.2</v>
      </c>
      <c r="X420" s="461" t="inlineStr">
        <is>
          <t>/</t>
        </is>
      </c>
      <c r="Y420" s="461" t="inlineStr">
        <is>
          <t>/</t>
        </is>
      </c>
      <c r="Z420" s="461" t="inlineStr">
        <is>
          <t>/</t>
        </is>
      </c>
      <c r="AA420" s="461" t="inlineStr">
        <is>
          <t>/</t>
        </is>
      </c>
      <c r="AB420" s="652" t="inlineStr">
        <is>
          <t>/</t>
        </is>
      </c>
      <c r="AC420" s="652" t="inlineStr">
        <is>
          <t>/</t>
        </is>
      </c>
      <c r="AD420" s="48" t="inlineStr">
        <is>
          <t>1、共建活动费：校园美食节费用，未分摊共建活动费，服务费包含未拆分
2、装修折旧费：服务费包含未拆分
3、卫生费：服务费包含未拆分
4、能源费：服务费包含未拆分</t>
        </is>
      </c>
      <c r="AE420" s="25" t="inlineStr">
        <is>
          <t>1、签订期间：2026.3.6-2026.7.30；
2、指标按照全年换算；</t>
        </is>
      </c>
    </row>
    <row r="421" ht="60" customFormat="1" customHeight="1" s="209">
      <c r="A421" s="219" t="n">
        <v>426</v>
      </c>
      <c r="B421" s="14" t="inlineStr">
        <is>
          <t>KQCY0426</t>
        </is>
      </c>
      <c r="C421" s="221" t="inlineStr">
        <is>
          <t>餐饮六分部</t>
        </is>
      </c>
      <c r="D421" s="221" t="inlineStr">
        <is>
          <t>CF479</t>
        </is>
      </c>
      <c r="E421" s="221" t="inlineStr">
        <is>
          <t>江苏省交通技师学院第一食堂</t>
        </is>
      </c>
      <c r="F421" s="219" t="inlineStr">
        <is>
          <t>分组作业</t>
        </is>
      </c>
      <c r="G421" s="222" t="inlineStr">
        <is>
          <t>卫屹</t>
        </is>
      </c>
      <c r="H421" s="222" t="inlineStr">
        <is>
          <t>第九班组</t>
        </is>
      </c>
      <c r="I421" s="237" t="inlineStr">
        <is>
          <t>炒饭炒面</t>
        </is>
      </c>
      <c r="J421" s="222" t="inlineStr">
        <is>
          <t>于继文</t>
        </is>
      </c>
      <c r="K421" s="224" t="inlineStr">
        <is>
          <t>/</t>
        </is>
      </c>
      <c r="L421" s="651" t="n">
        <v>320000</v>
      </c>
      <c r="M421" s="224" t="n">
        <v>0.18</v>
      </c>
      <c r="N421" s="224" t="inlineStr">
        <is>
          <t>/</t>
        </is>
      </c>
      <c r="O421" s="224" t="inlineStr">
        <is>
          <t>/</t>
        </is>
      </c>
      <c r="P421" s="349" t="inlineStr">
        <is>
          <t>/</t>
        </is>
      </c>
      <c r="Q421" s="224" t="inlineStr">
        <is>
          <t>/</t>
        </is>
      </c>
      <c r="R421" s="349" t="inlineStr">
        <is>
          <t>/</t>
        </is>
      </c>
      <c r="S421" s="224" t="inlineStr">
        <is>
          <t>/</t>
        </is>
      </c>
      <c r="T421" s="22" t="n">
        <v>0.03</v>
      </c>
      <c r="U421" s="224" t="n"/>
      <c r="V421" s="224" t="inlineStr">
        <is>
          <t>/</t>
        </is>
      </c>
      <c r="W421" s="224" t="n">
        <v>0.2</v>
      </c>
      <c r="X421" s="461" t="inlineStr">
        <is>
          <t>/</t>
        </is>
      </c>
      <c r="Y421" s="461" t="inlineStr">
        <is>
          <t>/</t>
        </is>
      </c>
      <c r="Z421" s="461" t="inlineStr">
        <is>
          <t>/</t>
        </is>
      </c>
      <c r="AA421" s="461" t="inlineStr">
        <is>
          <t>/</t>
        </is>
      </c>
      <c r="AB421" s="652" t="inlineStr">
        <is>
          <t>/</t>
        </is>
      </c>
      <c r="AC421" s="652" t="inlineStr">
        <is>
          <t>/</t>
        </is>
      </c>
      <c r="AD421" s="48" t="inlineStr">
        <is>
          <t>1、共建活动费：校园美食节费用，未分摊共建活动费，服务费包含未拆分
2、装修折旧费：服务费包含未拆分
3、卫生费：服务费包含未拆分
4、能源费：服务费包含未拆分</t>
        </is>
      </c>
      <c r="AE421" s="25" t="inlineStr">
        <is>
          <t>1、签订期间：2026.3.6-2026.7.30；
2、指标按照全年换算；</t>
        </is>
      </c>
    </row>
    <row r="422" ht="60" customFormat="1" customHeight="1" s="209">
      <c r="A422" s="219" t="n">
        <v>427</v>
      </c>
      <c r="B422" s="14" t="inlineStr">
        <is>
          <t>KQCY0427</t>
        </is>
      </c>
      <c r="C422" s="221" t="inlineStr">
        <is>
          <t>餐饮六分部</t>
        </is>
      </c>
      <c r="D422" s="221" t="inlineStr">
        <is>
          <t>CF479</t>
        </is>
      </c>
      <c r="E422" s="221" t="inlineStr">
        <is>
          <t>江苏省交通技师学院第一食堂</t>
        </is>
      </c>
      <c r="F422" s="219" t="inlineStr">
        <is>
          <t>分组作业</t>
        </is>
      </c>
      <c r="G422" s="222" t="inlineStr">
        <is>
          <t>卫屹</t>
        </is>
      </c>
      <c r="H422" s="222" t="inlineStr">
        <is>
          <t>第十班组</t>
        </is>
      </c>
      <c r="I422" s="237" t="inlineStr">
        <is>
          <t>麻辣烫</t>
        </is>
      </c>
      <c r="J422" s="222" t="inlineStr">
        <is>
          <t xml:space="preserve">于立鑫 </t>
        </is>
      </c>
      <c r="K422" s="224" t="inlineStr">
        <is>
          <t>/</t>
        </is>
      </c>
      <c r="L422" s="651" t="n">
        <v>330000</v>
      </c>
      <c r="M422" s="224" t="n">
        <v>0.28</v>
      </c>
      <c r="N422" s="224" t="inlineStr">
        <is>
          <t>/</t>
        </is>
      </c>
      <c r="O422" s="224" t="inlineStr">
        <is>
          <t>/</t>
        </is>
      </c>
      <c r="P422" s="349" t="inlineStr">
        <is>
          <t>/</t>
        </is>
      </c>
      <c r="Q422" s="224" t="inlineStr">
        <is>
          <t>/</t>
        </is>
      </c>
      <c r="R422" s="349" t="inlineStr">
        <is>
          <t>/</t>
        </is>
      </c>
      <c r="S422" s="224" t="inlineStr">
        <is>
          <t>/</t>
        </is>
      </c>
      <c r="T422" s="349" t="inlineStr">
        <is>
          <t>/</t>
        </is>
      </c>
      <c r="U422" s="349" t="inlineStr">
        <is>
          <t>/</t>
        </is>
      </c>
      <c r="V422" s="224" t="inlineStr">
        <is>
          <t>/</t>
        </is>
      </c>
      <c r="W422" s="224" t="n">
        <v>0.2</v>
      </c>
      <c r="X422" s="461" t="inlineStr">
        <is>
          <t>/</t>
        </is>
      </c>
      <c r="Y422" s="461" t="inlineStr">
        <is>
          <t>/</t>
        </is>
      </c>
      <c r="Z422" s="461" t="inlineStr">
        <is>
          <t>/</t>
        </is>
      </c>
      <c r="AA422" s="461" t="inlineStr">
        <is>
          <t>/</t>
        </is>
      </c>
      <c r="AB422" s="652" t="inlineStr">
        <is>
          <t>/</t>
        </is>
      </c>
      <c r="AC422" s="652" t="inlineStr">
        <is>
          <t>/</t>
        </is>
      </c>
      <c r="AD422" s="48" t="inlineStr">
        <is>
          <t>1、共建活动费：校园美食节费用，未分摊共建活动费，服务费包含未拆分
2、装修折旧费：服务费包含未拆分
3、卫生费：服务费包含未拆分
4、能源费：服务费包含未拆分</t>
        </is>
      </c>
      <c r="AE422" s="25" t="inlineStr">
        <is>
          <t>1、签订期间：2026.3.6-2026.7.30；
2、指标按照全年换算；
3、已撤场（2026年3月）；</t>
        </is>
      </c>
    </row>
    <row r="423" ht="60" customFormat="1" customHeight="1" s="209">
      <c r="A423" s="219" t="n">
        <v>428</v>
      </c>
      <c r="B423" s="14" t="inlineStr">
        <is>
          <t>KQCY0428</t>
        </is>
      </c>
      <c r="C423" s="221" t="inlineStr">
        <is>
          <t>餐饮六分部</t>
        </is>
      </c>
      <c r="D423" s="221" t="inlineStr">
        <is>
          <t>CF479</t>
        </is>
      </c>
      <c r="E423" s="221" t="inlineStr">
        <is>
          <t>江苏省交通技师学院第一食堂</t>
        </is>
      </c>
      <c r="F423" s="219" t="inlineStr">
        <is>
          <t>分组作业</t>
        </is>
      </c>
      <c r="G423" s="222" t="inlineStr">
        <is>
          <t>卫屹</t>
        </is>
      </c>
      <c r="H423" s="222" t="inlineStr">
        <is>
          <t>第十一班组</t>
        </is>
      </c>
      <c r="I423" s="237" t="inlineStr">
        <is>
          <t>炸鸡汉堡</t>
        </is>
      </c>
      <c r="J423" s="222" t="inlineStr">
        <is>
          <t>刘立志</t>
        </is>
      </c>
      <c r="K423" s="224" t="inlineStr">
        <is>
          <t>/</t>
        </is>
      </c>
      <c r="L423" s="651" t="n">
        <v>280000</v>
      </c>
      <c r="M423" s="224" t="n">
        <v>0.19</v>
      </c>
      <c r="N423" s="224" t="inlineStr">
        <is>
          <t>/</t>
        </is>
      </c>
      <c r="O423" s="224" t="inlineStr">
        <is>
          <t>/</t>
        </is>
      </c>
      <c r="P423" s="349" t="inlineStr">
        <is>
          <t>/</t>
        </is>
      </c>
      <c r="Q423" s="224" t="inlineStr">
        <is>
          <t>/</t>
        </is>
      </c>
      <c r="R423" s="349" t="inlineStr">
        <is>
          <t>/</t>
        </is>
      </c>
      <c r="S423" s="224" t="inlineStr">
        <is>
          <t>/</t>
        </is>
      </c>
      <c r="T423" s="653" t="n">
        <v>1200</v>
      </c>
      <c r="U423" s="224" t="n"/>
      <c r="V423" s="224" t="inlineStr">
        <is>
          <t>/</t>
        </is>
      </c>
      <c r="W423" s="224" t="n">
        <v>0.2</v>
      </c>
      <c r="X423" s="461" t="inlineStr">
        <is>
          <t>/</t>
        </is>
      </c>
      <c r="Y423" s="461" t="inlineStr">
        <is>
          <t>/</t>
        </is>
      </c>
      <c r="Z423" s="461" t="inlineStr">
        <is>
          <t>/</t>
        </is>
      </c>
      <c r="AA423" s="461" t="inlineStr">
        <is>
          <t>/</t>
        </is>
      </c>
      <c r="AB423" s="652" t="inlineStr">
        <is>
          <t>/</t>
        </is>
      </c>
      <c r="AC423" s="652" t="inlineStr">
        <is>
          <t>/</t>
        </is>
      </c>
      <c r="AD423" s="48" t="inlineStr">
        <is>
          <t>1、共建活动费：校园美食节费用，未分摊共建活动费，服务费包含未拆分
2、装修折旧费：服务费包含未拆分
3、卫生费：服务费包含未拆分
4、能源费：服务费包含未拆分</t>
        </is>
      </c>
      <c r="AE423" s="25" t="inlineStr">
        <is>
          <t>1、签订期间：2026.3.6-2026.7.30；
2、指标按照全年换算；</t>
        </is>
      </c>
    </row>
    <row r="424" ht="60" customFormat="1" customHeight="1" s="209">
      <c r="A424" s="219" t="n">
        <v>429</v>
      </c>
      <c r="B424" s="14" t="inlineStr">
        <is>
          <t>KQCY0429</t>
        </is>
      </c>
      <c r="C424" s="221" t="inlineStr">
        <is>
          <t>餐饮六分部</t>
        </is>
      </c>
      <c r="D424" s="221" t="inlineStr">
        <is>
          <t>CF479</t>
        </is>
      </c>
      <c r="E424" s="221" t="inlineStr">
        <is>
          <t>江苏省交通技师学院第一食堂</t>
        </is>
      </c>
      <c r="F424" s="219" t="inlineStr">
        <is>
          <t>分组作业</t>
        </is>
      </c>
      <c r="G424" s="222" t="inlineStr">
        <is>
          <t>卫屹</t>
        </is>
      </c>
      <c r="H424" s="222" t="inlineStr">
        <is>
          <t>第十二班组</t>
        </is>
      </c>
      <c r="I424" s="237" t="inlineStr">
        <is>
          <t>掉渣饼</t>
        </is>
      </c>
      <c r="J424" s="222" t="inlineStr">
        <is>
          <t>武情</t>
        </is>
      </c>
      <c r="K424" s="224" t="inlineStr">
        <is>
          <t>/</t>
        </is>
      </c>
      <c r="L424" s="651" t="n">
        <v>330000</v>
      </c>
      <c r="M424" s="22" t="n">
        <v>0.275</v>
      </c>
      <c r="N424" s="224" t="inlineStr">
        <is>
          <t>/</t>
        </is>
      </c>
      <c r="O424" s="224" t="inlineStr">
        <is>
          <t>/</t>
        </is>
      </c>
      <c r="P424" s="349" t="inlineStr">
        <is>
          <t>/</t>
        </is>
      </c>
      <c r="Q424" s="224" t="inlineStr">
        <is>
          <t>/</t>
        </is>
      </c>
      <c r="R424" s="349" t="inlineStr">
        <is>
          <t>/</t>
        </is>
      </c>
      <c r="S424" s="224" t="inlineStr">
        <is>
          <t>/</t>
        </is>
      </c>
      <c r="T424" s="349" t="inlineStr">
        <is>
          <t>/</t>
        </is>
      </c>
      <c r="U424" s="349" t="inlineStr">
        <is>
          <t>/</t>
        </is>
      </c>
      <c r="V424" s="224" t="inlineStr">
        <is>
          <t>/</t>
        </is>
      </c>
      <c r="W424" s="224" t="n">
        <v>0.2</v>
      </c>
      <c r="X424" s="176" t="inlineStr">
        <is>
          <t>/</t>
        </is>
      </c>
      <c r="Y424" s="176" t="inlineStr">
        <is>
          <t>/</t>
        </is>
      </c>
      <c r="Z424" s="176" t="inlineStr">
        <is>
          <t>/</t>
        </is>
      </c>
      <c r="AA424" s="176" t="inlineStr">
        <is>
          <t>/</t>
        </is>
      </c>
      <c r="AB424" s="652" t="inlineStr">
        <is>
          <t>/</t>
        </is>
      </c>
      <c r="AC424" s="652" t="inlineStr">
        <is>
          <t>/</t>
        </is>
      </c>
      <c r="AD424" s="48" t="inlineStr">
        <is>
          <t>1、共建活动费：校园美食节费用，未分摊共建活动费，服务费包含未拆分
2、装修折旧费：服务费包含未拆分
3、卫生费：服务费包含未拆分
4、能源费：服务费包含未拆分</t>
        </is>
      </c>
      <c r="AE424" s="25" t="inlineStr">
        <is>
          <t>1、签订期间：2026.3.6-2026.7.30；
2、指标按照全年换算；
3、已撤场（2026年3月）；</t>
        </is>
      </c>
    </row>
    <row r="425" ht="60" customFormat="1" customHeight="1" s="209">
      <c r="A425" s="219" t="n">
        <v>430</v>
      </c>
      <c r="B425" s="14" t="inlineStr">
        <is>
          <t>KQCY0430</t>
        </is>
      </c>
      <c r="C425" s="221" t="inlineStr">
        <is>
          <t>餐饮六分部</t>
        </is>
      </c>
      <c r="D425" s="221" t="inlineStr">
        <is>
          <t>CF479</t>
        </is>
      </c>
      <c r="E425" s="221" t="inlineStr">
        <is>
          <t>江苏省交通技师学院第一食堂</t>
        </is>
      </c>
      <c r="F425" s="219" t="inlineStr">
        <is>
          <t>分组作业</t>
        </is>
      </c>
      <c r="G425" s="222" t="inlineStr">
        <is>
          <t>卫屹</t>
        </is>
      </c>
      <c r="H425" s="222" t="inlineStr">
        <is>
          <t>第十三班组</t>
        </is>
      </c>
      <c r="I425" s="237" t="inlineStr">
        <is>
          <t>鸭血粉丝</t>
        </is>
      </c>
      <c r="J425" s="222" t="inlineStr">
        <is>
          <t>巫杨银</t>
        </is>
      </c>
      <c r="K425" s="224" t="inlineStr">
        <is>
          <t>/</t>
        </is>
      </c>
      <c r="L425" s="651" t="n">
        <v>330000</v>
      </c>
      <c r="M425" s="224" t="n">
        <v>0.19</v>
      </c>
      <c r="N425" s="224" t="inlineStr">
        <is>
          <t>/</t>
        </is>
      </c>
      <c r="O425" s="224" t="inlineStr">
        <is>
          <t>/</t>
        </is>
      </c>
      <c r="P425" s="349" t="inlineStr">
        <is>
          <t>/</t>
        </is>
      </c>
      <c r="Q425" s="224" t="inlineStr">
        <is>
          <t>/</t>
        </is>
      </c>
      <c r="R425" s="349" t="inlineStr">
        <is>
          <t>/</t>
        </is>
      </c>
      <c r="S425" s="224" t="inlineStr">
        <is>
          <t>/</t>
        </is>
      </c>
      <c r="T425" s="22" t="n">
        <v>0.035</v>
      </c>
      <c r="U425" s="224" t="n"/>
      <c r="V425" s="224" t="inlineStr">
        <is>
          <t>/</t>
        </is>
      </c>
      <c r="W425" s="224" t="n">
        <v>0.2</v>
      </c>
      <c r="X425" s="461" t="inlineStr">
        <is>
          <t>/</t>
        </is>
      </c>
      <c r="Y425" s="461" t="inlineStr">
        <is>
          <t>/</t>
        </is>
      </c>
      <c r="Z425" s="461" t="inlineStr">
        <is>
          <t>/</t>
        </is>
      </c>
      <c r="AA425" s="461" t="inlineStr">
        <is>
          <t>/</t>
        </is>
      </c>
      <c r="AB425" s="652" t="inlineStr">
        <is>
          <t>/</t>
        </is>
      </c>
      <c r="AC425" s="652" t="inlineStr">
        <is>
          <t>/</t>
        </is>
      </c>
      <c r="AD425" s="48" t="inlineStr">
        <is>
          <t>1、共建活动费：校园美食节费用，未分摊共建活动费，服务费包含未拆分
2、装修折旧费：服务费包含未拆分
3、卫生费：服务费包含未拆分
4、能源费：服务费包含未拆分</t>
        </is>
      </c>
      <c r="AE425" s="25" t="inlineStr">
        <is>
          <t>1、签订期间：2026.3.6-2026.7.30；
2、指标按照全年换算；</t>
        </is>
      </c>
    </row>
    <row r="426" ht="12" customFormat="1" customHeight="1" s="209">
      <c r="A426" s="219" t="n">
        <v>431</v>
      </c>
      <c r="B426" s="14" t="inlineStr">
        <is>
          <t>KQCY0431</t>
        </is>
      </c>
      <c r="C426" s="221" t="inlineStr">
        <is>
          <t>餐饮六分部</t>
        </is>
      </c>
      <c r="D426" s="221" t="inlineStr">
        <is>
          <t>CF475</t>
        </is>
      </c>
      <c r="E426" s="221" t="inlineStr">
        <is>
          <t>国科大南京学院食堂</t>
        </is>
      </c>
      <c r="F426" s="219" t="inlineStr">
        <is>
          <t>自营</t>
        </is>
      </c>
      <c r="G426" s="222" t="inlineStr">
        <is>
          <t>卫屹</t>
        </is>
      </c>
      <c r="H426" s="222" t="inlineStr">
        <is>
          <t>/</t>
        </is>
      </c>
      <c r="I426" s="237" t="inlineStr">
        <is>
          <t>/</t>
        </is>
      </c>
      <c r="J426" s="222" t="inlineStr">
        <is>
          <t>/</t>
        </is>
      </c>
      <c r="K426" s="224" t="inlineStr">
        <is>
          <t>/</t>
        </is>
      </c>
      <c r="L426" s="651" t="inlineStr">
        <is>
          <t>/</t>
        </is>
      </c>
      <c r="M426" s="224" t="inlineStr">
        <is>
          <t>/</t>
        </is>
      </c>
      <c r="N426" s="224" t="inlineStr">
        <is>
          <t>/</t>
        </is>
      </c>
      <c r="O426" s="224" t="inlineStr">
        <is>
          <t>/</t>
        </is>
      </c>
      <c r="P426" s="224" t="inlineStr">
        <is>
          <t>/</t>
        </is>
      </c>
      <c r="Q426" s="224" t="inlineStr">
        <is>
          <t>/</t>
        </is>
      </c>
      <c r="R426" s="224" t="inlineStr">
        <is>
          <t>/</t>
        </is>
      </c>
      <c r="S426" s="224" t="inlineStr">
        <is>
          <t>/</t>
        </is>
      </c>
      <c r="T426" s="224" t="inlineStr">
        <is>
          <t>/</t>
        </is>
      </c>
      <c r="U426" s="224" t="inlineStr">
        <is>
          <t>/</t>
        </is>
      </c>
      <c r="V426" s="224" t="inlineStr">
        <is>
          <t>/</t>
        </is>
      </c>
      <c r="W426" s="44" t="n"/>
      <c r="X426" s="461" t="inlineStr">
        <is>
          <t>/</t>
        </is>
      </c>
      <c r="Y426" s="461" t="inlineStr">
        <is>
          <t>/</t>
        </is>
      </c>
      <c r="Z426" s="461" t="inlineStr">
        <is>
          <t>/</t>
        </is>
      </c>
      <c r="AA426" s="461" t="inlineStr">
        <is>
          <t>/</t>
        </is>
      </c>
      <c r="AB426" s="46" t="n">
        <v>0.05</v>
      </c>
      <c r="AC426" s="652" t="inlineStr">
        <is>
          <t>/</t>
        </is>
      </c>
      <c r="AD426" s="232" t="n"/>
      <c r="AE426" s="25" t="n"/>
    </row>
    <row r="427" ht="24" customFormat="1" customHeight="1" s="209">
      <c r="A427" s="219" t="n">
        <v>432</v>
      </c>
      <c r="B427" s="14" t="inlineStr">
        <is>
          <t>KQCY0432</t>
        </is>
      </c>
      <c r="C427" s="221" t="inlineStr">
        <is>
          <t>餐饮六分部</t>
        </is>
      </c>
      <c r="D427" s="221" t="inlineStr">
        <is>
          <t>CF475</t>
        </is>
      </c>
      <c r="E427" s="221" t="inlineStr">
        <is>
          <t>国科大南京学院食堂</t>
        </is>
      </c>
      <c r="F427" s="219" t="inlineStr">
        <is>
          <t>分组作业</t>
        </is>
      </c>
      <c r="G427" s="222" t="inlineStr">
        <is>
          <t>卫屹</t>
        </is>
      </c>
      <c r="H427" s="503" t="inlineStr">
        <is>
          <t>第一班组</t>
        </is>
      </c>
      <c r="I427" s="237" t="inlineStr">
        <is>
          <t>茶香鸡、麻辣烫、水吧</t>
        </is>
      </c>
      <c r="J427" s="503" t="inlineStr">
        <is>
          <t>浦卫东</t>
        </is>
      </c>
      <c r="K427" s="224" t="inlineStr">
        <is>
          <t>/</t>
        </is>
      </c>
      <c r="L427" s="651" t="inlineStr">
        <is>
          <t>/</t>
        </is>
      </c>
      <c r="M427" s="224" t="n">
        <v>0.06</v>
      </c>
      <c r="N427" s="224" t="inlineStr">
        <is>
          <t>/</t>
        </is>
      </c>
      <c r="O427" s="224" t="n"/>
      <c r="P427" s="224" t="inlineStr">
        <is>
          <t>/</t>
        </is>
      </c>
      <c r="Q427" s="224" t="inlineStr">
        <is>
          <t>/</t>
        </is>
      </c>
      <c r="R427" s="224" t="inlineStr">
        <is>
          <t>/</t>
        </is>
      </c>
      <c r="S427" s="224" t="n"/>
      <c r="T427" s="349" t="n"/>
      <c r="U427" s="349" t="n"/>
      <c r="V427" s="653" t="n"/>
      <c r="W427" s="44" t="n"/>
      <c r="X427" s="461" t="inlineStr">
        <is>
          <t>/</t>
        </is>
      </c>
      <c r="Y427" s="461" t="inlineStr">
        <is>
          <t>/</t>
        </is>
      </c>
      <c r="Z427" s="461" t="inlineStr">
        <is>
          <t>/</t>
        </is>
      </c>
      <c r="AA427" s="461" t="inlineStr">
        <is>
          <t>/</t>
        </is>
      </c>
      <c r="AB427" s="652" t="inlineStr">
        <is>
          <t>/</t>
        </is>
      </c>
      <c r="AC427" s="652" t="inlineStr">
        <is>
          <t>/</t>
        </is>
      </c>
      <c r="AD427" s="48" t="inlineStr">
        <is>
          <t>1、能源费：能源费补贴30万，超补贴后按比例付
2、卫生费：按营业额公摊</t>
        </is>
      </c>
      <c r="AE427" s="25" t="inlineStr">
        <is>
          <t>1、签订期间：2025.8.1-2026.8.31；
2、指标按照全年换算；</t>
        </is>
      </c>
    </row>
    <row r="428" ht="24" customFormat="1" customHeight="1" s="209">
      <c r="A428" s="219" t="n">
        <v>433</v>
      </c>
      <c r="B428" s="14" t="inlineStr">
        <is>
          <t>KQCY0433</t>
        </is>
      </c>
      <c r="C428" s="221" t="inlineStr">
        <is>
          <t>餐饮六分部</t>
        </is>
      </c>
      <c r="D428" s="221" t="inlineStr">
        <is>
          <t>CF475</t>
        </is>
      </c>
      <c r="E428" s="221" t="inlineStr">
        <is>
          <t>国科大南京学院食堂</t>
        </is>
      </c>
      <c r="F428" s="219" t="inlineStr">
        <is>
          <t>分组作业</t>
        </is>
      </c>
      <c r="G428" s="222" t="inlineStr">
        <is>
          <t>卫屹</t>
        </is>
      </c>
      <c r="H428" s="503" t="inlineStr">
        <is>
          <t>第二班组</t>
        </is>
      </c>
      <c r="I428" s="237" t="inlineStr">
        <is>
          <t>西北风味</t>
        </is>
      </c>
      <c r="J428" s="503" t="inlineStr">
        <is>
          <t>马山杏尼</t>
        </is>
      </c>
      <c r="K428" s="224" t="inlineStr">
        <is>
          <t>/</t>
        </is>
      </c>
      <c r="L428" s="651" t="inlineStr">
        <is>
          <t>/</t>
        </is>
      </c>
      <c r="M428" s="224" t="n">
        <v>0.06</v>
      </c>
      <c r="N428" s="224" t="inlineStr">
        <is>
          <t>/</t>
        </is>
      </c>
      <c r="O428" s="224" t="inlineStr">
        <is>
          <t>/</t>
        </is>
      </c>
      <c r="P428" s="224" t="inlineStr">
        <is>
          <t>/</t>
        </is>
      </c>
      <c r="Q428" s="224" t="inlineStr">
        <is>
          <t>/</t>
        </is>
      </c>
      <c r="R428" s="224" t="inlineStr">
        <is>
          <t>/</t>
        </is>
      </c>
      <c r="S428" s="224" t="n"/>
      <c r="T428" s="653" t="n">
        <v>3000</v>
      </c>
      <c r="U428" s="349" t="n"/>
      <c r="V428" s="224" t="inlineStr">
        <is>
          <t>/</t>
        </is>
      </c>
      <c r="W428" s="44" t="n"/>
      <c r="X428" s="461" t="inlineStr">
        <is>
          <t>/</t>
        </is>
      </c>
      <c r="Y428" s="461" t="inlineStr">
        <is>
          <t>/</t>
        </is>
      </c>
      <c r="Z428" s="461" t="inlineStr">
        <is>
          <t>/</t>
        </is>
      </c>
      <c r="AA428" s="461" t="inlineStr">
        <is>
          <t>/</t>
        </is>
      </c>
      <c r="AB428" s="652" t="inlineStr">
        <is>
          <t>/</t>
        </is>
      </c>
      <c r="AC428" s="652" t="inlineStr">
        <is>
          <t>/</t>
        </is>
      </c>
      <c r="AD428" s="48" t="inlineStr">
        <is>
          <t>1、能源费：能源费补贴30万，超补贴后按比例付
2、卫生费：2026年2月之后不在收取</t>
        </is>
      </c>
      <c r="AE428" s="25" t="inlineStr">
        <is>
          <t>1、签订期间：2025.8.1-2026.8.31；
2、指标按照全年换算；</t>
        </is>
      </c>
    </row>
    <row r="429" ht="24" customFormat="1" customHeight="1" s="209">
      <c r="A429" s="219" t="n">
        <v>434</v>
      </c>
      <c r="B429" s="14" t="inlineStr">
        <is>
          <t>KQCY0434</t>
        </is>
      </c>
      <c r="C429" s="221" t="inlineStr">
        <is>
          <t>餐饮六分部</t>
        </is>
      </c>
      <c r="D429" s="221" t="inlineStr">
        <is>
          <t>CF475</t>
        </is>
      </c>
      <c r="E429" s="221" t="inlineStr">
        <is>
          <t>国科大南京学院食堂</t>
        </is>
      </c>
      <c r="F429" s="219" t="inlineStr">
        <is>
          <t>分组作业</t>
        </is>
      </c>
      <c r="G429" s="222" t="inlineStr">
        <is>
          <t>卫屹</t>
        </is>
      </c>
      <c r="H429" s="503" t="inlineStr">
        <is>
          <t>第四班组</t>
        </is>
      </c>
      <c r="I429" s="237" t="inlineStr">
        <is>
          <t>七里塘</t>
        </is>
      </c>
      <c r="J429" s="503" t="inlineStr">
        <is>
          <t>沈汉平</t>
        </is>
      </c>
      <c r="K429" s="224" t="inlineStr">
        <is>
          <t>/</t>
        </is>
      </c>
      <c r="L429" s="651" t="inlineStr">
        <is>
          <t>/</t>
        </is>
      </c>
      <c r="M429" s="224" t="inlineStr">
        <is>
          <t>/</t>
        </is>
      </c>
      <c r="N429" s="224" t="inlineStr">
        <is>
          <t>/</t>
        </is>
      </c>
      <c r="O429" s="224" t="inlineStr">
        <is>
          <t>/</t>
        </is>
      </c>
      <c r="P429" s="224" t="inlineStr">
        <is>
          <t>/</t>
        </is>
      </c>
      <c r="Q429" s="224" t="inlineStr">
        <is>
          <t>/</t>
        </is>
      </c>
      <c r="R429" s="224" t="inlineStr">
        <is>
          <t>/</t>
        </is>
      </c>
      <c r="S429" s="224" t="n"/>
      <c r="T429" s="224" t="inlineStr">
        <is>
          <t>/</t>
        </is>
      </c>
      <c r="U429" s="349" t="n"/>
      <c r="V429" s="224" t="inlineStr">
        <is>
          <t>/</t>
        </is>
      </c>
      <c r="W429" s="44" t="n"/>
      <c r="X429" s="461" t="inlineStr">
        <is>
          <t>/</t>
        </is>
      </c>
      <c r="Y429" s="461" t="inlineStr">
        <is>
          <t>/</t>
        </is>
      </c>
      <c r="Z429" s="461" t="inlineStr">
        <is>
          <t>/</t>
        </is>
      </c>
      <c r="AA429" s="461" t="inlineStr">
        <is>
          <t>/</t>
        </is>
      </c>
      <c r="AB429" s="652" t="inlineStr">
        <is>
          <t>/</t>
        </is>
      </c>
      <c r="AC429" s="652" t="inlineStr">
        <is>
          <t>/</t>
        </is>
      </c>
      <c r="AD429" s="48" t="n"/>
      <c r="AE429" s="53" t="inlineStr">
        <is>
          <t>1、签订期间：2026.3.1-2026.8.31；
2、指标按照全年换算；</t>
        </is>
      </c>
    </row>
  </sheetData>
  <sheetProtection selectLockedCells="0" selectUnlockedCells="0" sheet="1" objects="0" insertRows="0" insertHyperlinks="0" autoFilter="0" scenarios="0" formatColumns="0" deleteColumns="0" insertColumns="0" pivotTables="0" deleteRows="0" formatCells="0" formatRows="0" sort="0"/>
  <autoFilter ref="A2:AE429"/>
  <mergeCells count="1">
    <mergeCell ref="A1:N1"/>
  </mergeCells>
  <dataValidations count="1">
    <dataValidation sqref="F130:F137" showDropDown="0" showInputMessage="1" showErrorMessage="1" allowBlank="1" type="list">
      <formula1>"自营/分组作业,分组作业,强责,自营,人员服务外包,人员服务外包/自营"</formula1>
    </dataValidation>
  </dataValidation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AD8"/>
  <sheetViews>
    <sheetView workbookViewId="0">
      <selection activeCell="A1" sqref="A1"/>
    </sheetView>
  </sheetViews>
  <sheetFormatPr baseColWidth="8" defaultColWidth="9" defaultRowHeight="13.5" outlineLevelRow="7"/>
  <cols>
    <col width="14.125" customWidth="1" style="537" min="12" max="12"/>
    <col width="31.875" customWidth="1" style="537" min="30" max="30"/>
  </cols>
  <sheetData>
    <row r="1" ht="48" customFormat="1" customHeight="1" s="1">
      <c r="A1" s="3" t="inlineStr">
        <is>
          <t>序号</t>
        </is>
      </c>
      <c r="B1" s="3" t="inlineStr">
        <is>
          <t>档口唯一标志</t>
        </is>
      </c>
      <c r="C1" s="3" t="inlineStr">
        <is>
          <t>项目名称</t>
        </is>
      </c>
      <c r="D1" s="4" t="inlineStr">
        <is>
          <t>项目类型</t>
        </is>
      </c>
      <c r="E1" s="4" t="inlineStr">
        <is>
          <t>核算会计</t>
        </is>
      </c>
      <c r="F1" s="4" t="inlineStr">
        <is>
          <t>分组作业名称</t>
        </is>
      </c>
      <c r="G1" s="4" t="inlineStr">
        <is>
          <t>分组作业窗口名称</t>
        </is>
      </c>
      <c r="H1" s="4" t="inlineStr">
        <is>
          <t>签订人
（会议纪要）</t>
        </is>
      </c>
      <c r="I1" s="4" t="n"/>
      <c r="J1" s="5" t="inlineStr">
        <is>
          <t>备注（是否删除）</t>
        </is>
      </c>
      <c r="K1" s="6" t="inlineStr">
        <is>
          <t>人员工资</t>
        </is>
      </c>
      <c r="L1" s="650" t="inlineStr">
        <is>
          <t>营业额指标
【部分金额折算成一年】</t>
        </is>
      </c>
      <c r="M1" s="8" t="inlineStr">
        <is>
          <t>服务费</t>
        </is>
      </c>
      <c r="N1" s="4" t="inlineStr">
        <is>
          <t>虫害消杀
(按实）</t>
        </is>
      </c>
      <c r="O1" s="4" t="inlineStr">
        <is>
          <t>采购费
（按实）</t>
        </is>
      </c>
      <c r="P1" s="6" t="inlineStr">
        <is>
          <t>装修折旧费
(按实）</t>
        </is>
      </c>
      <c r="Q1" s="6" t="inlineStr">
        <is>
          <t>管理人员费
（按实）</t>
        </is>
      </c>
      <c r="R1" s="6" t="inlineStr">
        <is>
          <t>共建活动费
（按实）</t>
        </is>
      </c>
      <c r="S1" s="6" t="inlineStr">
        <is>
          <t>资产费
（按实）</t>
        </is>
      </c>
      <c r="T1" s="9" t="inlineStr">
        <is>
          <t>卫生费
（按实）</t>
        </is>
      </c>
      <c r="U1" s="9" t="inlineStr">
        <is>
          <t>能源费
（按实）</t>
        </is>
      </c>
      <c r="V1" s="4" t="inlineStr">
        <is>
          <t>其他
（按实）</t>
        </is>
      </c>
      <c r="W1" s="4" t="inlineStr">
        <is>
          <t>原材料
（按实）</t>
        </is>
      </c>
      <c r="X1" s="10" t="inlineStr">
        <is>
          <t>甲方管理费
（按实）</t>
        </is>
      </c>
      <c r="Y1" s="10" t="inlineStr">
        <is>
          <t>甲方房租</t>
        </is>
      </c>
      <c r="Z1" s="10" t="inlineStr">
        <is>
          <t>甲方人员工资</t>
        </is>
      </c>
      <c r="AA1" s="10" t="inlineStr">
        <is>
          <t>甲方捐赠</t>
        </is>
      </c>
      <c r="AB1" s="11" t="inlineStr">
        <is>
          <t>分部管理费
（按实+固定值）</t>
        </is>
      </c>
      <c r="AC1" s="12" t="inlineStr">
        <is>
          <t>业务费</t>
        </is>
      </c>
      <c r="AD1" s="6" t="inlineStr">
        <is>
          <t>备注2</t>
        </is>
      </c>
    </row>
    <row r="2" ht="36" customFormat="1" customHeight="1" s="209">
      <c r="A2" s="219" t="n">
        <v>81</v>
      </c>
      <c r="B2" s="14" t="inlineStr">
        <is>
          <t>KQCY0081</t>
        </is>
      </c>
      <c r="C2" s="221" t="inlineStr">
        <is>
          <t>江苏航运思本轩食堂</t>
        </is>
      </c>
      <c r="D2" s="219" t="inlineStr">
        <is>
          <t>分组作业</t>
        </is>
      </c>
      <c r="E2" s="222" t="inlineStr">
        <is>
          <t>位军浩</t>
        </is>
      </c>
      <c r="F2" s="222" t="inlineStr">
        <is>
          <t>第一班组</t>
        </is>
      </c>
      <c r="G2" s="232" t="inlineStr">
        <is>
          <t>快餐</t>
        </is>
      </c>
      <c r="H2" s="503" t="inlineStr">
        <is>
          <t>王瑞连</t>
        </is>
      </c>
      <c r="I2" s="503" t="n"/>
      <c r="J2" s="349" t="inlineStr">
        <is>
          <t>删除</t>
        </is>
      </c>
      <c r="K2" s="224" t="inlineStr">
        <is>
          <t>/</t>
        </is>
      </c>
      <c r="L2" s="651" t="n">
        <v>1330000</v>
      </c>
      <c r="M2" s="22" t="n">
        <v>0.12</v>
      </c>
      <c r="N2" s="22" t="n">
        <v>0.01</v>
      </c>
      <c r="O2" s="22" t="n"/>
      <c r="P2" s="22" t="n">
        <v>0.01</v>
      </c>
      <c r="Q2" s="22" t="n">
        <v>0.01</v>
      </c>
      <c r="R2" s="22" t="n">
        <v>0.01</v>
      </c>
      <c r="S2" s="22" t="n">
        <v>0.02</v>
      </c>
      <c r="T2" s="22" t="n">
        <v>0.02</v>
      </c>
      <c r="U2" s="22" t="n">
        <v>0.02</v>
      </c>
      <c r="V2" s="224" t="inlineStr">
        <is>
          <t>/</t>
        </is>
      </c>
      <c r="W2" s="224" t="n"/>
      <c r="X2" s="23" t="n">
        <v>0.03</v>
      </c>
      <c r="Y2" s="502" t="inlineStr">
        <is>
          <t>/</t>
        </is>
      </c>
      <c r="Z2" s="224" t="n"/>
      <c r="AA2" s="349" t="inlineStr">
        <is>
          <t>/</t>
        </is>
      </c>
      <c r="AB2" s="22" t="inlineStr">
        <is>
          <t>/</t>
        </is>
      </c>
      <c r="AC2" s="224" t="inlineStr">
        <is>
          <t>/</t>
        </is>
      </c>
      <c r="AD2" s="25" t="inlineStr">
        <is>
          <t>1、签订期间：2025.9.1-2026.8.31；
2、指标按照全年换算；
3、已撤场（2025年10月）；</t>
        </is>
      </c>
    </row>
    <row r="3" ht="36" customFormat="1" customHeight="1" s="209">
      <c r="A3" s="219" t="n">
        <v>85</v>
      </c>
      <c r="B3" s="14" t="inlineStr">
        <is>
          <t>KQCY0085</t>
        </is>
      </c>
      <c r="C3" s="221" t="inlineStr">
        <is>
          <t>江苏航运思本轩食堂</t>
        </is>
      </c>
      <c r="D3" s="219" t="inlineStr">
        <is>
          <t>分组作业</t>
        </is>
      </c>
      <c r="E3" s="222" t="inlineStr">
        <is>
          <t>位军浩</t>
        </is>
      </c>
      <c r="F3" s="222" t="inlineStr">
        <is>
          <t>第六班组</t>
        </is>
      </c>
      <c r="G3" s="232" t="inlineStr">
        <is>
          <t>咖喱饭</t>
        </is>
      </c>
      <c r="H3" s="503" t="inlineStr">
        <is>
          <t>余娇</t>
        </is>
      </c>
      <c r="I3" s="503" t="n"/>
      <c r="J3" s="349" t="inlineStr">
        <is>
          <t>删除</t>
        </is>
      </c>
      <c r="K3" s="224" t="inlineStr">
        <is>
          <t>/</t>
        </is>
      </c>
      <c r="L3" s="651" t="n">
        <v>325000</v>
      </c>
      <c r="M3" s="22" t="n">
        <v>0.12</v>
      </c>
      <c r="N3" s="22" t="n">
        <v>0.01</v>
      </c>
      <c r="O3" s="22" t="n"/>
      <c r="P3" s="22" t="n">
        <v>0.01</v>
      </c>
      <c r="Q3" s="22" t="n">
        <v>0.01</v>
      </c>
      <c r="R3" s="22" t="n">
        <v>0.01</v>
      </c>
      <c r="S3" s="22" t="n">
        <v>0.02</v>
      </c>
      <c r="T3" s="22" t="n"/>
      <c r="U3" s="653" t="n"/>
      <c r="V3" s="224" t="inlineStr">
        <is>
          <t>/</t>
        </is>
      </c>
      <c r="W3" s="224" t="n"/>
      <c r="X3" s="23" t="n">
        <v>0.03</v>
      </c>
      <c r="Y3" s="502" t="inlineStr">
        <is>
          <t>/</t>
        </is>
      </c>
      <c r="Z3" s="224" t="n"/>
      <c r="AA3" s="349" t="inlineStr">
        <is>
          <t>/</t>
        </is>
      </c>
      <c r="AB3" s="22" t="inlineStr">
        <is>
          <t>/</t>
        </is>
      </c>
      <c r="AC3" s="224" t="inlineStr">
        <is>
          <t>/</t>
        </is>
      </c>
      <c r="AD3" s="25" t="inlineStr">
        <is>
          <t>1、签订期间：2025.9.1-2026.8.31；
2、指标按照全年换算；
3、已撤场（2025年12月）；</t>
        </is>
      </c>
    </row>
    <row r="4" ht="36" customFormat="1" customHeight="1" s="209">
      <c r="A4" s="219" t="n">
        <v>87</v>
      </c>
      <c r="B4" s="14" t="inlineStr">
        <is>
          <t>KQCY0087</t>
        </is>
      </c>
      <c r="C4" s="221" t="inlineStr">
        <is>
          <t>江苏航运思本轩食堂</t>
        </is>
      </c>
      <c r="D4" s="219" t="inlineStr">
        <is>
          <t>分组作业</t>
        </is>
      </c>
      <c r="E4" s="222" t="inlineStr">
        <is>
          <t>位军浩</t>
        </is>
      </c>
      <c r="F4" s="222" t="inlineStr">
        <is>
          <t>第八班组</t>
        </is>
      </c>
      <c r="G4" s="232" t="inlineStr">
        <is>
          <t>生烫米线</t>
        </is>
      </c>
      <c r="H4" s="503" t="inlineStr">
        <is>
          <t>吴建军</t>
        </is>
      </c>
      <c r="I4" s="503" t="n"/>
      <c r="J4" s="349" t="inlineStr">
        <is>
          <t>删除</t>
        </is>
      </c>
      <c r="K4" s="224" t="inlineStr">
        <is>
          <t>/</t>
        </is>
      </c>
      <c r="L4" s="651" t="n">
        <v>420000</v>
      </c>
      <c r="M4" s="22" t="n">
        <v>0.12</v>
      </c>
      <c r="N4" s="22" t="n">
        <v>0.01</v>
      </c>
      <c r="O4" s="22" t="n"/>
      <c r="P4" s="22" t="n">
        <v>0.01</v>
      </c>
      <c r="Q4" s="22" t="n">
        <v>0.01</v>
      </c>
      <c r="R4" s="22" t="n">
        <v>0.01</v>
      </c>
      <c r="S4" s="22" t="n">
        <v>0.02</v>
      </c>
      <c r="T4" s="22" t="n"/>
      <c r="U4" s="653" t="n"/>
      <c r="V4" s="224" t="inlineStr">
        <is>
          <t>/</t>
        </is>
      </c>
      <c r="W4" s="224" t="n"/>
      <c r="X4" s="23" t="n">
        <v>0.03</v>
      </c>
      <c r="Y4" s="502" t="inlineStr">
        <is>
          <t>/</t>
        </is>
      </c>
      <c r="Z4" s="224" t="n"/>
      <c r="AA4" s="349" t="inlineStr">
        <is>
          <t>/</t>
        </is>
      </c>
      <c r="AB4" s="22" t="inlineStr">
        <is>
          <t>/</t>
        </is>
      </c>
      <c r="AC4" s="224" t="inlineStr">
        <is>
          <t>/</t>
        </is>
      </c>
      <c r="AD4" s="25" t="inlineStr">
        <is>
          <t>1、签订期间：2025.9.1-2026.8.31；
2、指标按照全年换算；
3、已撤场（2025年11月）；</t>
        </is>
      </c>
    </row>
    <row r="5" ht="36" customFormat="1" customHeight="1" s="209">
      <c r="A5" s="219" t="n">
        <v>88</v>
      </c>
      <c r="B5" s="14" t="inlineStr">
        <is>
          <t>KQCY0088</t>
        </is>
      </c>
      <c r="C5" s="221" t="inlineStr">
        <is>
          <t>江苏航运思本轩食堂</t>
        </is>
      </c>
      <c r="D5" s="219" t="inlineStr">
        <is>
          <t>分组作业</t>
        </is>
      </c>
      <c r="E5" s="222" t="inlineStr">
        <is>
          <t>位军浩</t>
        </is>
      </c>
      <c r="F5" s="222" t="inlineStr">
        <is>
          <t>第九班组</t>
        </is>
      </c>
      <c r="G5" s="232" t="inlineStr">
        <is>
          <t>水饺</t>
        </is>
      </c>
      <c r="H5" s="503" t="inlineStr">
        <is>
          <t>肖阿色</t>
        </is>
      </c>
      <c r="I5" s="503" t="n"/>
      <c r="J5" s="349" t="inlineStr">
        <is>
          <t>删除</t>
        </is>
      </c>
      <c r="K5" s="224" t="inlineStr">
        <is>
          <t>/</t>
        </is>
      </c>
      <c r="L5" s="651" t="n">
        <v>375000</v>
      </c>
      <c r="M5" s="22" t="n">
        <v>0.12</v>
      </c>
      <c r="N5" s="22" t="n">
        <v>0.01</v>
      </c>
      <c r="O5" s="22" t="n"/>
      <c r="P5" s="22" t="n">
        <v>0.01</v>
      </c>
      <c r="Q5" s="22" t="n">
        <v>0.01</v>
      </c>
      <c r="R5" s="22" t="n">
        <v>0.01</v>
      </c>
      <c r="S5" s="22" t="n">
        <v>0.02</v>
      </c>
      <c r="T5" s="22" t="n"/>
      <c r="U5" s="653" t="n"/>
      <c r="V5" s="224" t="inlineStr">
        <is>
          <t>/</t>
        </is>
      </c>
      <c r="W5" s="224" t="n"/>
      <c r="X5" s="23" t="n">
        <v>0.03</v>
      </c>
      <c r="Y5" s="502" t="inlineStr">
        <is>
          <t>/</t>
        </is>
      </c>
      <c r="Z5" s="224" t="n"/>
      <c r="AA5" s="349" t="inlineStr">
        <is>
          <t>/</t>
        </is>
      </c>
      <c r="AB5" s="22" t="inlineStr">
        <is>
          <t>/</t>
        </is>
      </c>
      <c r="AC5" s="224" t="inlineStr">
        <is>
          <t>/</t>
        </is>
      </c>
      <c r="AD5" s="25" t="inlineStr">
        <is>
          <t>1、签订期间：2025.9.1-2026.8.31；
2、指标按照全年换算；
3、已撤场（2025年10月）；</t>
        </is>
      </c>
    </row>
    <row r="6" ht="36" customFormat="1" customHeight="1" s="209">
      <c r="A6" s="219" t="n">
        <v>91</v>
      </c>
      <c r="B6" s="14" t="inlineStr">
        <is>
          <t>KQCY0091</t>
        </is>
      </c>
      <c r="C6" s="221" t="inlineStr">
        <is>
          <t>江苏航运思本轩食堂</t>
        </is>
      </c>
      <c r="D6" s="219" t="inlineStr">
        <is>
          <t>分组作业</t>
        </is>
      </c>
      <c r="E6" s="222" t="inlineStr">
        <is>
          <t>位军浩</t>
        </is>
      </c>
      <c r="F6" s="222" t="inlineStr">
        <is>
          <t>第十一班组</t>
        </is>
      </c>
      <c r="G6" s="232" t="inlineStr">
        <is>
          <t>大碗面</t>
        </is>
      </c>
      <c r="H6" s="503" t="inlineStr">
        <is>
          <t>张义丛</t>
        </is>
      </c>
      <c r="I6" s="503" t="n"/>
      <c r="J6" s="349" t="inlineStr">
        <is>
          <t>删除</t>
        </is>
      </c>
      <c r="K6" s="224" t="inlineStr">
        <is>
          <t>/</t>
        </is>
      </c>
      <c r="L6" s="651" t="n">
        <v>545000</v>
      </c>
      <c r="M6" s="22" t="n">
        <v>0.12</v>
      </c>
      <c r="N6" s="22" t="n">
        <v>0.01</v>
      </c>
      <c r="O6" s="22" t="n"/>
      <c r="P6" s="22" t="n">
        <v>0.01</v>
      </c>
      <c r="Q6" s="22" t="n">
        <v>0.01</v>
      </c>
      <c r="R6" s="22" t="n">
        <v>0.01</v>
      </c>
      <c r="S6" s="22" t="n">
        <v>0.02</v>
      </c>
      <c r="T6" s="22" t="n"/>
      <c r="U6" s="653" t="n"/>
      <c r="V6" s="224" t="inlineStr">
        <is>
          <t>/</t>
        </is>
      </c>
      <c r="W6" s="224" t="n"/>
      <c r="X6" s="23" t="n">
        <v>0.03</v>
      </c>
      <c r="Y6" s="502" t="inlineStr">
        <is>
          <t>/</t>
        </is>
      </c>
      <c r="Z6" s="224" t="n"/>
      <c r="AA6" s="349" t="inlineStr">
        <is>
          <t>/</t>
        </is>
      </c>
      <c r="AB6" s="22" t="inlineStr">
        <is>
          <t>/</t>
        </is>
      </c>
      <c r="AC6" s="224" t="inlineStr">
        <is>
          <t>/</t>
        </is>
      </c>
      <c r="AD6" s="25" t="inlineStr">
        <is>
          <t>1、签订期间：2025.9.1-2026.8.31；
2、指标按照全年换算；
3、已撤场（2026年1月）；</t>
        </is>
      </c>
    </row>
    <row r="7" ht="36" customFormat="1" customHeight="1" s="209">
      <c r="A7" s="219" t="n">
        <v>92</v>
      </c>
      <c r="B7" s="14" t="inlineStr">
        <is>
          <t>KQCY0092</t>
        </is>
      </c>
      <c r="C7" s="221" t="inlineStr">
        <is>
          <t>江苏航运思本轩食堂</t>
        </is>
      </c>
      <c r="D7" s="219" t="inlineStr">
        <is>
          <t>分组作业</t>
        </is>
      </c>
      <c r="E7" s="222" t="inlineStr">
        <is>
          <t>位军浩</t>
        </is>
      </c>
      <c r="F7" s="222" t="inlineStr">
        <is>
          <t>第十二班组</t>
        </is>
      </c>
      <c r="G7" s="232" t="inlineStr">
        <is>
          <t>闽韩咸饭</t>
        </is>
      </c>
      <c r="H7" s="503" t="inlineStr">
        <is>
          <t>王冬</t>
        </is>
      </c>
      <c r="I7" s="503" t="n"/>
      <c r="J7" s="349" t="inlineStr">
        <is>
          <t>删除</t>
        </is>
      </c>
      <c r="K7" s="224" t="inlineStr">
        <is>
          <t>/</t>
        </is>
      </c>
      <c r="L7" s="651" t="n">
        <v>395000</v>
      </c>
      <c r="M7" s="22" t="n">
        <v>0.12</v>
      </c>
      <c r="N7" s="22" t="n">
        <v>0.01</v>
      </c>
      <c r="O7" s="22" t="n"/>
      <c r="P7" s="22" t="n">
        <v>0.01</v>
      </c>
      <c r="Q7" s="22" t="n">
        <v>0.01</v>
      </c>
      <c r="R7" s="22" t="n">
        <v>0.01</v>
      </c>
      <c r="S7" s="22" t="n">
        <v>0.02</v>
      </c>
      <c r="T7" s="22" t="n"/>
      <c r="U7" s="653" t="n"/>
      <c r="V7" s="224" t="inlineStr">
        <is>
          <t>/</t>
        </is>
      </c>
      <c r="W7" s="224" t="n"/>
      <c r="X7" s="23" t="n">
        <v>0.03</v>
      </c>
      <c r="Y7" s="502" t="inlineStr">
        <is>
          <t>/</t>
        </is>
      </c>
      <c r="Z7" s="224" t="n"/>
      <c r="AA7" s="349" t="inlineStr">
        <is>
          <t>/</t>
        </is>
      </c>
      <c r="AB7" s="22" t="inlineStr">
        <is>
          <t>/</t>
        </is>
      </c>
      <c r="AC7" s="224" t="inlineStr">
        <is>
          <t>/</t>
        </is>
      </c>
      <c r="AD7" s="25" t="inlineStr">
        <is>
          <t>1、签订期间：2025.9.1-2026.8.31；
2、指标按照全年换算；
3、已撤场（2025年11月）；</t>
        </is>
      </c>
    </row>
    <row r="8" ht="36" customFormat="1" customHeight="1" s="209">
      <c r="A8" s="219" t="n">
        <v>93</v>
      </c>
      <c r="B8" s="14" t="inlineStr">
        <is>
          <t>KQCY0093</t>
        </is>
      </c>
      <c r="C8" s="221" t="inlineStr">
        <is>
          <t>江苏航运思本轩食堂</t>
        </is>
      </c>
      <c r="D8" s="219" t="inlineStr">
        <is>
          <t>分组作业</t>
        </is>
      </c>
      <c r="E8" s="222" t="inlineStr">
        <is>
          <t>位军浩</t>
        </is>
      </c>
      <c r="F8" s="222" t="inlineStr">
        <is>
          <t>第十三班组</t>
        </is>
      </c>
      <c r="G8" s="232" t="inlineStr">
        <is>
          <t>张亮麻辣烫</t>
        </is>
      </c>
      <c r="H8" s="503" t="inlineStr">
        <is>
          <t>杨爱兵</t>
        </is>
      </c>
      <c r="I8" s="503" t="n"/>
      <c r="J8" s="349" t="inlineStr">
        <is>
          <t>删除</t>
        </is>
      </c>
      <c r="K8" s="224" t="inlineStr">
        <is>
          <t>/</t>
        </is>
      </c>
      <c r="L8" s="651" t="n">
        <v>585000</v>
      </c>
      <c r="M8" s="22" t="n">
        <v>0.12</v>
      </c>
      <c r="N8" s="22" t="n">
        <v>0.01</v>
      </c>
      <c r="O8" s="22" t="n"/>
      <c r="P8" s="22" t="n">
        <v>0.01</v>
      </c>
      <c r="Q8" s="22" t="n">
        <v>0.01</v>
      </c>
      <c r="R8" s="22" t="n">
        <v>0.01</v>
      </c>
      <c r="S8" s="22" t="n">
        <v>0.02</v>
      </c>
      <c r="T8" s="22" t="n"/>
      <c r="U8" s="653" t="n"/>
      <c r="V8" s="224" t="inlineStr">
        <is>
          <t>/</t>
        </is>
      </c>
      <c r="W8" s="224" t="n"/>
      <c r="X8" s="23" t="n">
        <v>0.03</v>
      </c>
      <c r="Y8" s="502" t="inlineStr">
        <is>
          <t>/</t>
        </is>
      </c>
      <c r="Z8" s="224" t="n"/>
      <c r="AA8" s="349" t="inlineStr">
        <is>
          <t>/</t>
        </is>
      </c>
      <c r="AB8" s="22" t="inlineStr">
        <is>
          <t>/</t>
        </is>
      </c>
      <c r="AC8" s="224" t="inlineStr">
        <is>
          <t>/</t>
        </is>
      </c>
      <c r="AD8" s="25" t="inlineStr">
        <is>
          <t>1、签订期间：2025.9.1-2026.8.31；
2、指标按照全年换算；
3、已撤场（2025年10月）；</t>
        </is>
      </c>
    </row>
  </sheetData>
  <sheetProtection selectLockedCells="0" selectUnlockedCells="0" sheet="1" objects="0" insertRows="0" insertHyperlinks="0" autoFilter="0" scenarios="0" formatColumns="0" deleteColumns="0" insertColumns="0" pivotTables="0" deleteRows="0" formatCells="0" formatRows="0" sort="0"/>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489"/>
  <sheetViews>
    <sheetView showGridLines="0" workbookViewId="0">
      <pane ySplit="3" topLeftCell="A4" activePane="bottomLeft" state="frozen"/>
      <selection pane="bottomLeft" activeCell="A1" sqref="A1"/>
    </sheetView>
  </sheetViews>
  <sheetFormatPr baseColWidth="8" defaultRowHeight="15"/>
  <cols>
    <col width="8" customWidth="1" style="537" min="1" max="1"/>
    <col width="16" customWidth="1" style="537" min="2" max="2"/>
    <col width="18" customWidth="1" style="537" min="3" max="3"/>
    <col width="14" customWidth="1" style="537" min="4" max="4"/>
    <col width="30" customWidth="1" style="537" min="5" max="5"/>
    <col width="14" customWidth="1" style="537" min="6" max="6"/>
    <col width="14" customWidth="1" style="537" min="7" max="7"/>
    <col width="18" customWidth="1" style="537" min="8" max="8"/>
    <col width="34" customWidth="1" style="537" min="9" max="9"/>
    <col width="14" customWidth="1" style="537" min="10" max="10"/>
  </cols>
  <sheetData>
    <row r="1">
      <c r="A1" s="638" t="inlineStr">
        <is>
          <t>目标基准（来自成本明细模板；作为收入侧匹配基准）</t>
        </is>
      </c>
    </row>
    <row r="3">
      <c r="A3" s="640" t="inlineStr">
        <is>
          <t>序号</t>
        </is>
      </c>
      <c r="B3" s="640" t="inlineStr">
        <is>
          <t>档口唯一标志</t>
        </is>
      </c>
      <c r="C3" s="640" t="inlineStr">
        <is>
          <t>分部名称</t>
        </is>
      </c>
      <c r="D3" s="640" t="inlineStr">
        <is>
          <t>项目代码</t>
        </is>
      </c>
      <c r="E3" s="640" t="inlineStr">
        <is>
          <t>项目名称</t>
        </is>
      </c>
      <c r="F3" s="640" t="inlineStr">
        <is>
          <t>项目类型</t>
        </is>
      </c>
      <c r="G3" s="640" t="inlineStr">
        <is>
          <t>核算会计</t>
        </is>
      </c>
      <c r="H3" s="640" t="inlineStr">
        <is>
          <t>分组作业名称</t>
        </is>
      </c>
      <c r="I3" s="640" t="inlineStr">
        <is>
          <t>分组作业窗口名称</t>
        </is>
      </c>
      <c r="J3" s="640" t="inlineStr">
        <is>
          <t>责任人</t>
        </is>
      </c>
    </row>
    <row r="4">
      <c r="A4" s="540" t="n">
        <v>4</v>
      </c>
      <c r="B4" s="540" t="inlineStr">
        <is>
          <t>KQCY0004</t>
        </is>
      </c>
      <c r="C4" s="540" t="inlineStr">
        <is>
          <t>餐饮一分部</t>
        </is>
      </c>
      <c r="D4" s="540" t="inlineStr">
        <is>
          <t>CF751</t>
        </is>
      </c>
      <c r="E4" s="540" t="inlineStr">
        <is>
          <t>国防科大（长沙）食堂</t>
        </is>
      </c>
      <c r="F4" s="540" t="inlineStr">
        <is>
          <t>人员服务外包</t>
        </is>
      </c>
      <c r="G4" s="540" t="inlineStr">
        <is>
          <t>徐敏捷</t>
        </is>
      </c>
      <c r="H4" s="540" t="inlineStr">
        <is>
          <t>/</t>
        </is>
      </c>
      <c r="I4" s="540" t="inlineStr">
        <is>
          <t>/</t>
        </is>
      </c>
      <c r="J4" s="540" t="inlineStr">
        <is>
          <t>/</t>
        </is>
      </c>
    </row>
    <row r="5">
      <c r="A5" s="540" t="n">
        <v>6</v>
      </c>
      <c r="B5" s="540" t="inlineStr">
        <is>
          <t>KQCY0006</t>
        </is>
      </c>
      <c r="C5" s="540" t="inlineStr">
        <is>
          <t>餐饮一分部</t>
        </is>
      </c>
      <c r="D5" s="540" t="inlineStr">
        <is>
          <t>CF474</t>
        </is>
      </c>
      <c r="E5" s="540" t="inlineStr">
        <is>
          <t>安工大七食堂</t>
        </is>
      </c>
      <c r="F5" s="540" t="inlineStr">
        <is>
          <t>强责</t>
        </is>
      </c>
      <c r="G5" s="540" t="inlineStr">
        <is>
          <t>卫屹</t>
        </is>
      </c>
      <c r="H5" s="540" t="inlineStr">
        <is>
          <t>第一班组</t>
        </is>
      </c>
      <c r="I5" s="540" t="inlineStr">
        <is>
          <t>手工馄饨（大陷水饺、刀削面/汆肉米线）</t>
        </is>
      </c>
      <c r="J5" s="540" t="inlineStr">
        <is>
          <t>潘海英</t>
        </is>
      </c>
    </row>
    <row r="6">
      <c r="A6" s="540" t="n">
        <v>7</v>
      </c>
      <c r="B6" s="540" t="inlineStr">
        <is>
          <t>KQCY0007</t>
        </is>
      </c>
      <c r="C6" s="540" t="inlineStr">
        <is>
          <t>餐饮一分部</t>
        </is>
      </c>
      <c r="D6" s="540" t="inlineStr">
        <is>
          <t>CF474</t>
        </is>
      </c>
      <c r="E6" s="540" t="inlineStr">
        <is>
          <t>安工大七食堂</t>
        </is>
      </c>
      <c r="F6" s="540" t="inlineStr">
        <is>
          <t>强责</t>
        </is>
      </c>
      <c r="G6" s="540" t="inlineStr">
        <is>
          <t>卫屹</t>
        </is>
      </c>
      <c r="H6" s="540" t="inlineStr">
        <is>
          <t>第二班组</t>
        </is>
      </c>
      <c r="I6" s="540" t="inlineStr">
        <is>
          <t>黄焖系列（酸菜肉煲系列、椒麻鸡系列、酸菜鱼系列）</t>
        </is>
      </c>
      <c r="J6" s="540" t="inlineStr">
        <is>
          <t>胡科才</t>
        </is>
      </c>
    </row>
    <row r="7">
      <c r="A7" s="540" t="n">
        <v>8</v>
      </c>
      <c r="B7" s="540" t="inlineStr">
        <is>
          <t>KQCY0008</t>
        </is>
      </c>
      <c r="C7" s="540" t="inlineStr">
        <is>
          <t>餐饮一分部</t>
        </is>
      </c>
      <c r="D7" s="540" t="inlineStr">
        <is>
          <t>CF474</t>
        </is>
      </c>
      <c r="E7" s="540" t="inlineStr">
        <is>
          <t>安工大七食堂</t>
        </is>
      </c>
      <c r="F7" s="540" t="inlineStr">
        <is>
          <t>强责</t>
        </is>
      </c>
      <c r="G7" s="540" t="inlineStr">
        <is>
          <t>卫屹</t>
        </is>
      </c>
      <c r="H7" s="540" t="inlineStr">
        <is>
          <t>第三班组</t>
        </is>
      </c>
      <c r="I7" s="540" t="inlineStr">
        <is>
          <t>猪脚饭系列（套饭系列、菜饭骨头汤系列）</t>
        </is>
      </c>
      <c r="J7" s="540" t="inlineStr">
        <is>
          <t>杨克顺</t>
        </is>
      </c>
    </row>
    <row r="8">
      <c r="A8" s="540" t="n">
        <v>9</v>
      </c>
      <c r="B8" s="540" t="inlineStr">
        <is>
          <t>KQCY0009</t>
        </is>
      </c>
      <c r="C8" s="540" t="inlineStr">
        <is>
          <t>餐饮一分部</t>
        </is>
      </c>
      <c r="D8" s="540" t="inlineStr">
        <is>
          <t>CF474</t>
        </is>
      </c>
      <c r="E8" s="540" t="inlineStr">
        <is>
          <t>安工大七食堂</t>
        </is>
      </c>
      <c r="F8" s="540" t="inlineStr">
        <is>
          <t>强责</t>
        </is>
      </c>
      <c r="G8" s="540" t="inlineStr">
        <is>
          <t>卫屹</t>
        </is>
      </c>
      <c r="H8" s="540" t="inlineStr">
        <is>
          <t>第四班组</t>
        </is>
      </c>
      <c r="I8" s="540" t="inlineStr">
        <is>
          <t>拌饭系列（肉夹馍、紫菜包饭）</t>
        </is>
      </c>
      <c r="J8" s="540" t="inlineStr">
        <is>
          <t>魏祖华</t>
        </is>
      </c>
    </row>
    <row r="9">
      <c r="A9" s="540" t="n">
        <v>11</v>
      </c>
      <c r="B9" s="540" t="inlineStr">
        <is>
          <t>KQCY0011</t>
        </is>
      </c>
      <c r="C9" s="540" t="inlineStr">
        <is>
          <t>餐饮一分部</t>
        </is>
      </c>
      <c r="D9" s="540" t="inlineStr">
        <is>
          <t>CF477</t>
        </is>
      </c>
      <c r="E9" s="540" t="inlineStr">
        <is>
          <t>上海民航第一食堂</t>
        </is>
      </c>
      <c r="F9" s="540" t="inlineStr">
        <is>
          <t>分组作业</t>
        </is>
      </c>
      <c r="G9" s="540" t="inlineStr">
        <is>
          <t>卫屹</t>
        </is>
      </c>
      <c r="H9" s="540" t="inlineStr">
        <is>
          <t>第二班组</t>
        </is>
      </c>
      <c r="I9" s="540" t="inlineStr">
        <is>
          <t>山东煎饼</t>
        </is>
      </c>
      <c r="J9" s="540" t="inlineStr">
        <is>
          <t>姚群</t>
        </is>
      </c>
    </row>
    <row r="10">
      <c r="A10" s="540" t="n">
        <v>12</v>
      </c>
      <c r="B10" s="540" t="inlineStr">
        <is>
          <t>KQCY0012</t>
        </is>
      </c>
      <c r="C10" s="540" t="inlineStr">
        <is>
          <t>餐饮一分部</t>
        </is>
      </c>
      <c r="D10" s="540" t="inlineStr">
        <is>
          <t>CF477</t>
        </is>
      </c>
      <c r="E10" s="540" t="inlineStr">
        <is>
          <t>上海民航第一食堂</t>
        </is>
      </c>
      <c r="F10" s="540" t="inlineStr">
        <is>
          <t>分组作业</t>
        </is>
      </c>
      <c r="G10" s="540" t="inlineStr">
        <is>
          <t>卫屹</t>
        </is>
      </c>
      <c r="H10" s="540" t="inlineStr">
        <is>
          <t>第六班组</t>
        </is>
      </c>
      <c r="I10" s="540" t="inlineStr">
        <is>
          <t>蜜雪冰城</t>
        </is>
      </c>
      <c r="J10" s="540" t="inlineStr">
        <is>
          <t>任黎明</t>
        </is>
      </c>
    </row>
    <row r="11">
      <c r="A11" s="540" t="n">
        <v>13</v>
      </c>
      <c r="B11" s="540" t="inlineStr">
        <is>
          <t>KQCY0013</t>
        </is>
      </c>
      <c r="C11" s="540" t="inlineStr">
        <is>
          <t>餐饮一分部</t>
        </is>
      </c>
      <c r="D11" s="540" t="inlineStr">
        <is>
          <t>CF477</t>
        </is>
      </c>
      <c r="E11" s="540" t="inlineStr">
        <is>
          <t>上海民航第一食堂</t>
        </is>
      </c>
      <c r="F11" s="540" t="inlineStr">
        <is>
          <t>分组作业</t>
        </is>
      </c>
      <c r="G11" s="540" t="inlineStr">
        <is>
          <t>卫屹</t>
        </is>
      </c>
      <c r="H11" s="540" t="inlineStr">
        <is>
          <t>第三班组</t>
        </is>
      </c>
      <c r="I11" s="540" t="inlineStr">
        <is>
          <t>糖水粥铺</t>
        </is>
      </c>
      <c r="J11" s="540" t="inlineStr">
        <is>
          <t>孙青青</t>
        </is>
      </c>
    </row>
    <row r="12">
      <c r="A12" s="540" t="n">
        <v>14</v>
      </c>
      <c r="B12" s="540" t="inlineStr">
        <is>
          <t>KQCY0014</t>
        </is>
      </c>
      <c r="C12" s="540" t="inlineStr">
        <is>
          <t>餐饮一分部</t>
        </is>
      </c>
      <c r="D12" s="540" t="inlineStr">
        <is>
          <t>CF477</t>
        </is>
      </c>
      <c r="E12" s="540" t="inlineStr">
        <is>
          <t>上海民航第一食堂</t>
        </is>
      </c>
      <c r="F12" s="540" t="inlineStr">
        <is>
          <t>分组作业</t>
        </is>
      </c>
      <c r="G12" s="540" t="inlineStr">
        <is>
          <t>卫屹</t>
        </is>
      </c>
      <c r="H12" s="540" t="inlineStr">
        <is>
          <t>第四班组</t>
        </is>
      </c>
      <c r="I12" s="540" t="inlineStr">
        <is>
          <t>大碗面</t>
        </is>
      </c>
      <c r="J12" s="540" t="inlineStr">
        <is>
          <t>景帅帅</t>
        </is>
      </c>
    </row>
    <row r="13">
      <c r="A13" s="540" t="n">
        <v>15</v>
      </c>
      <c r="B13" s="540" t="inlineStr">
        <is>
          <t>KQCY0015</t>
        </is>
      </c>
      <c r="C13" s="540" t="inlineStr">
        <is>
          <t>餐饮一分部</t>
        </is>
      </c>
      <c r="D13" s="540" t="inlineStr">
        <is>
          <t>CF477</t>
        </is>
      </c>
      <c r="E13" s="540" t="inlineStr">
        <is>
          <t>上海民航第一食堂</t>
        </is>
      </c>
      <c r="F13" s="540" t="inlineStr">
        <is>
          <t>分组作业</t>
        </is>
      </c>
      <c r="G13" s="540" t="inlineStr">
        <is>
          <t>卫屹</t>
        </is>
      </c>
      <c r="H13" s="540" t="inlineStr">
        <is>
          <t>第一班组</t>
        </is>
      </c>
      <c r="I13" s="540" t="inlineStr">
        <is>
          <t>早餐</t>
        </is>
      </c>
      <c r="J13" s="540" t="inlineStr">
        <is>
          <t>芦磊</t>
        </is>
      </c>
    </row>
    <row r="14">
      <c r="A14" s="540" t="n">
        <v>16</v>
      </c>
      <c r="B14" s="540" t="inlineStr">
        <is>
          <t>KQCY0016</t>
        </is>
      </c>
      <c r="C14" s="540" t="inlineStr">
        <is>
          <t>餐饮一分部</t>
        </is>
      </c>
      <c r="D14" s="540" t="inlineStr">
        <is>
          <t>CF272</t>
        </is>
      </c>
      <c r="E14" s="540" t="inlineStr">
        <is>
          <t>苏州工学院南一食堂</t>
        </is>
      </c>
      <c r="F14" s="540" t="inlineStr">
        <is>
          <t>强责</t>
        </is>
      </c>
      <c r="G14" s="540" t="inlineStr">
        <is>
          <t>郑虎</t>
        </is>
      </c>
      <c r="H14" s="540" t="inlineStr">
        <is>
          <t>/</t>
        </is>
      </c>
      <c r="I14" s="540" t="inlineStr">
        <is>
          <t>/</t>
        </is>
      </c>
      <c r="J14" s="540" t="inlineStr">
        <is>
          <t>/</t>
        </is>
      </c>
    </row>
    <row r="15">
      <c r="A15" s="540" t="n">
        <v>17</v>
      </c>
      <c r="B15" s="540" t="inlineStr">
        <is>
          <t>KQCY0017</t>
        </is>
      </c>
      <c r="C15" s="540" t="inlineStr">
        <is>
          <t>餐饮一分部</t>
        </is>
      </c>
      <c r="D15" s="540" t="inlineStr">
        <is>
          <t>CF272</t>
        </is>
      </c>
      <c r="E15" s="540" t="inlineStr">
        <is>
          <t>苏州工学院南一食堂</t>
        </is>
      </c>
      <c r="F15" s="540" t="inlineStr">
        <is>
          <t>强责</t>
        </is>
      </c>
      <c r="G15" s="540" t="inlineStr">
        <is>
          <t>郑虎</t>
        </is>
      </c>
      <c r="H15" s="540" t="inlineStr">
        <is>
          <t>/</t>
        </is>
      </c>
      <c r="I15" s="540" t="inlineStr">
        <is>
          <t>饼铺</t>
        </is>
      </c>
      <c r="J15" s="540" t="inlineStr">
        <is>
          <t>纪洪强</t>
        </is>
      </c>
    </row>
    <row r="16">
      <c r="A16" s="540" t="n">
        <v>18</v>
      </c>
      <c r="B16" s="540" t="inlineStr">
        <is>
          <t>KQCY0018</t>
        </is>
      </c>
      <c r="C16" s="540" t="inlineStr">
        <is>
          <t>餐饮一分部</t>
        </is>
      </c>
      <c r="D16" s="540" t="inlineStr">
        <is>
          <t>CF272</t>
        </is>
      </c>
      <c r="E16" s="540" t="inlineStr">
        <is>
          <t>苏州工学院南一食堂</t>
        </is>
      </c>
      <c r="F16" s="540" t="inlineStr">
        <is>
          <t>强责</t>
        </is>
      </c>
      <c r="G16" s="540" t="inlineStr">
        <is>
          <t>郑虎</t>
        </is>
      </c>
      <c r="H16" s="540" t="inlineStr">
        <is>
          <t>/</t>
        </is>
      </c>
      <c r="I16" s="540" t="inlineStr">
        <is>
          <t>粥铺</t>
        </is>
      </c>
      <c r="J16" s="540" t="inlineStr">
        <is>
          <t>贺明</t>
        </is>
      </c>
    </row>
    <row r="17">
      <c r="A17" s="540" t="n">
        <v>19</v>
      </c>
      <c r="B17" s="540" t="inlineStr">
        <is>
          <t>KQCY0019</t>
        </is>
      </c>
      <c r="C17" s="540" t="inlineStr">
        <is>
          <t>餐饮一分部</t>
        </is>
      </c>
      <c r="D17" s="540" t="inlineStr">
        <is>
          <t>CF272</t>
        </is>
      </c>
      <c r="E17" s="540" t="inlineStr">
        <is>
          <t>苏州工学院南一食堂</t>
        </is>
      </c>
      <c r="F17" s="540" t="inlineStr">
        <is>
          <t>强责</t>
        </is>
      </c>
      <c r="G17" s="540" t="inlineStr">
        <is>
          <t>郑虎</t>
        </is>
      </c>
      <c r="H17" s="540" t="inlineStr">
        <is>
          <t>/</t>
        </is>
      </c>
      <c r="I17" s="540" t="inlineStr">
        <is>
          <t>老乡邨</t>
        </is>
      </c>
      <c r="J17" s="540" t="inlineStr">
        <is>
          <t>刘少军</t>
        </is>
      </c>
    </row>
    <row r="18">
      <c r="A18" s="540" t="n">
        <v>20</v>
      </c>
      <c r="B18" s="540" t="inlineStr">
        <is>
          <t>KQCY0020</t>
        </is>
      </c>
      <c r="C18" s="540" t="inlineStr">
        <is>
          <t>餐饮一分部</t>
        </is>
      </c>
      <c r="D18" s="540" t="inlineStr">
        <is>
          <t>CF272</t>
        </is>
      </c>
      <c r="E18" s="540" t="inlineStr">
        <is>
          <t>苏州工学院南一食堂</t>
        </is>
      </c>
      <c r="F18" s="540" t="inlineStr">
        <is>
          <t>强责</t>
        </is>
      </c>
      <c r="G18" s="540" t="inlineStr">
        <is>
          <t>郑虎</t>
        </is>
      </c>
      <c r="H18" s="540" t="inlineStr">
        <is>
          <t>/</t>
        </is>
      </c>
      <c r="I18" s="540" t="inlineStr">
        <is>
          <t>科桥小厨</t>
        </is>
      </c>
      <c r="J18" s="540" t="inlineStr">
        <is>
          <t>吴浩</t>
        </is>
      </c>
    </row>
    <row r="19">
      <c r="A19" s="540" t="n">
        <v>21</v>
      </c>
      <c r="B19" s="540" t="inlineStr">
        <is>
          <t>KQCY0021</t>
        </is>
      </c>
      <c r="C19" s="540" t="inlineStr">
        <is>
          <t>餐饮一分部</t>
        </is>
      </c>
      <c r="D19" s="540" t="inlineStr">
        <is>
          <t>CF272</t>
        </is>
      </c>
      <c r="E19" s="540" t="inlineStr">
        <is>
          <t>苏州工学院南一食堂</t>
        </is>
      </c>
      <c r="F19" s="540" t="inlineStr">
        <is>
          <t>强责</t>
        </is>
      </c>
      <c r="G19" s="540" t="inlineStr">
        <is>
          <t>郑虎</t>
        </is>
      </c>
      <c r="H19" s="540" t="inlineStr">
        <is>
          <t>/</t>
        </is>
      </c>
      <c r="I19" s="540" t="inlineStr">
        <is>
          <t>清汤米线</t>
        </is>
      </c>
      <c r="J19" s="540" t="inlineStr">
        <is>
          <t>张郁磊</t>
        </is>
      </c>
    </row>
    <row r="20">
      <c r="A20" s="540" t="n">
        <v>22</v>
      </c>
      <c r="B20" s="540" t="inlineStr">
        <is>
          <t>KQCY0022</t>
        </is>
      </c>
      <c r="C20" s="540" t="inlineStr">
        <is>
          <t>餐饮一分部</t>
        </is>
      </c>
      <c r="D20" s="540" t="inlineStr">
        <is>
          <t>CF272</t>
        </is>
      </c>
      <c r="E20" s="540" t="inlineStr">
        <is>
          <t>苏州工学院南一食堂</t>
        </is>
      </c>
      <c r="F20" s="540" t="inlineStr">
        <is>
          <t>强责</t>
        </is>
      </c>
      <c r="G20" s="540" t="inlineStr">
        <is>
          <t>郑虎</t>
        </is>
      </c>
      <c r="H20" s="540" t="inlineStr">
        <is>
          <t>/</t>
        </is>
      </c>
      <c r="I20" s="540" t="inlineStr">
        <is>
          <t>黑鸭堡</t>
        </is>
      </c>
      <c r="J20" s="540" t="inlineStr">
        <is>
          <t>张郁磊</t>
        </is>
      </c>
    </row>
    <row r="21">
      <c r="A21" s="540" t="n">
        <v>23</v>
      </c>
      <c r="B21" s="540" t="inlineStr">
        <is>
          <t>KQCY0023</t>
        </is>
      </c>
      <c r="C21" s="540" t="inlineStr">
        <is>
          <t>餐饮一分部</t>
        </is>
      </c>
      <c r="D21" s="540" t="inlineStr">
        <is>
          <t>CF272</t>
        </is>
      </c>
      <c r="E21" s="540" t="inlineStr">
        <is>
          <t>苏州工学院南一食堂</t>
        </is>
      </c>
      <c r="F21" s="540" t="inlineStr">
        <is>
          <t>强责</t>
        </is>
      </c>
      <c r="G21" s="540" t="inlineStr">
        <is>
          <t>郑虎</t>
        </is>
      </c>
      <c r="H21" s="540" t="inlineStr">
        <is>
          <t>/</t>
        </is>
      </c>
      <c r="I21" s="540" t="inlineStr">
        <is>
          <t>7分甜</t>
        </is>
      </c>
      <c r="J21" s="540" t="inlineStr">
        <is>
          <t>纪洪强</t>
        </is>
      </c>
    </row>
    <row r="22">
      <c r="A22" s="540" t="n">
        <v>24</v>
      </c>
      <c r="B22" s="540" t="inlineStr">
        <is>
          <t>KQCY0024</t>
        </is>
      </c>
      <c r="C22" s="540" t="inlineStr">
        <is>
          <t>餐饮一分部</t>
        </is>
      </c>
      <c r="D22" s="540" t="inlineStr">
        <is>
          <t>CF272</t>
        </is>
      </c>
      <c r="E22" s="540" t="inlineStr">
        <is>
          <t>苏州工学院南一食堂</t>
        </is>
      </c>
      <c r="F22" s="540" t="inlineStr">
        <is>
          <t>强责</t>
        </is>
      </c>
      <c r="G22" s="540" t="inlineStr">
        <is>
          <t>郑虎</t>
        </is>
      </c>
      <c r="H22" s="540" t="inlineStr">
        <is>
          <t>/</t>
        </is>
      </c>
      <c r="I22" s="540" t="inlineStr">
        <is>
          <t>药膳鸡</t>
        </is>
      </c>
      <c r="J22" s="540" t="inlineStr">
        <is>
          <t>匡正娟</t>
        </is>
      </c>
    </row>
    <row r="23">
      <c r="A23" s="540" t="n">
        <v>25</v>
      </c>
      <c r="B23" s="540" t="inlineStr">
        <is>
          <t>KQCY0025</t>
        </is>
      </c>
      <c r="C23" s="540" t="inlineStr">
        <is>
          <t>餐饮一分部</t>
        </is>
      </c>
      <c r="D23" s="540" t="inlineStr">
        <is>
          <t>CF272</t>
        </is>
      </c>
      <c r="E23" s="540" t="inlineStr">
        <is>
          <t>苏州工学院南一食堂</t>
        </is>
      </c>
      <c r="F23" s="540" t="inlineStr">
        <is>
          <t>强责</t>
        </is>
      </c>
      <c r="G23" s="540" t="inlineStr">
        <is>
          <t>郑虎</t>
        </is>
      </c>
      <c r="H23" s="540" t="inlineStr">
        <is>
          <t>/</t>
        </is>
      </c>
      <c r="I23" s="540" t="inlineStr">
        <is>
          <t>麻辣香锅</t>
        </is>
      </c>
      <c r="J23" s="540" t="inlineStr">
        <is>
          <t>纪洪强</t>
        </is>
      </c>
    </row>
    <row r="24">
      <c r="A24" s="540" t="n">
        <v>26</v>
      </c>
      <c r="B24" s="540" t="inlineStr">
        <is>
          <t>KQCY0026</t>
        </is>
      </c>
      <c r="C24" s="540" t="inlineStr">
        <is>
          <t>餐饮一分部</t>
        </is>
      </c>
      <c r="D24" s="540" t="inlineStr">
        <is>
          <t>CF272</t>
        </is>
      </c>
      <c r="E24" s="540" t="inlineStr">
        <is>
          <t>苏州工学院南一食堂</t>
        </is>
      </c>
      <c r="F24" s="540" t="inlineStr">
        <is>
          <t>强责</t>
        </is>
      </c>
      <c r="G24" s="540" t="inlineStr">
        <is>
          <t>郑虎</t>
        </is>
      </c>
      <c r="H24" s="540" t="inlineStr">
        <is>
          <t>/</t>
        </is>
      </c>
      <c r="I24" s="540" t="inlineStr">
        <is>
          <t>生煎牛肉汤</t>
        </is>
      </c>
      <c r="J24" s="540" t="inlineStr">
        <is>
          <t>徐雪晗</t>
        </is>
      </c>
    </row>
    <row r="25">
      <c r="A25" s="540" t="n">
        <v>27</v>
      </c>
      <c r="B25" s="540" t="inlineStr">
        <is>
          <t>KQCY0027</t>
        </is>
      </c>
      <c r="C25" s="540" t="inlineStr">
        <is>
          <t>餐饮一分部</t>
        </is>
      </c>
      <c r="D25" s="540" t="inlineStr">
        <is>
          <t>CF272</t>
        </is>
      </c>
      <c r="E25" s="540" t="inlineStr">
        <is>
          <t>苏州工学院南一食堂</t>
        </is>
      </c>
      <c r="F25" s="540" t="inlineStr">
        <is>
          <t>强责</t>
        </is>
      </c>
      <c r="G25" s="540" t="inlineStr">
        <is>
          <t>郑虎</t>
        </is>
      </c>
      <c r="H25" s="540" t="inlineStr">
        <is>
          <t>/</t>
        </is>
      </c>
      <c r="I25" s="540" t="inlineStr">
        <is>
          <t>西式简餐</t>
        </is>
      </c>
      <c r="J25" s="540" t="inlineStr">
        <is>
          <t>李明发</t>
        </is>
      </c>
    </row>
    <row r="26">
      <c r="A26" s="540" t="n">
        <v>28</v>
      </c>
      <c r="B26" s="540" t="inlineStr">
        <is>
          <t>KQCY0028</t>
        </is>
      </c>
      <c r="C26" s="540" t="inlineStr">
        <is>
          <t>餐饮一分部</t>
        </is>
      </c>
      <c r="D26" s="540" t="inlineStr">
        <is>
          <t>CF272</t>
        </is>
      </c>
      <c r="E26" s="540" t="inlineStr">
        <is>
          <t>苏州工学院南一食堂</t>
        </is>
      </c>
      <c r="F26" s="540" t="inlineStr">
        <is>
          <t>强责</t>
        </is>
      </c>
      <c r="G26" s="540" t="inlineStr">
        <is>
          <t>郑虎</t>
        </is>
      </c>
      <c r="H26" s="540" t="inlineStr">
        <is>
          <t>/</t>
        </is>
      </c>
      <c r="I26" s="540" t="inlineStr">
        <is>
          <t>苏式面</t>
        </is>
      </c>
      <c r="J26" s="540" t="inlineStr">
        <is>
          <t>许正芳</t>
        </is>
      </c>
    </row>
    <row r="27">
      <c r="A27" s="540" t="n">
        <v>29</v>
      </c>
      <c r="B27" s="540" t="inlineStr">
        <is>
          <t>KQCY0029</t>
        </is>
      </c>
      <c r="C27" s="540" t="inlineStr">
        <is>
          <t>餐饮一分部</t>
        </is>
      </c>
      <c r="D27" s="540" t="inlineStr">
        <is>
          <t>CF272</t>
        </is>
      </c>
      <c r="E27" s="540" t="inlineStr">
        <is>
          <t>苏州工学院南一食堂</t>
        </is>
      </c>
      <c r="F27" s="540" t="inlineStr">
        <is>
          <t>强责</t>
        </is>
      </c>
      <c r="G27" s="540" t="inlineStr">
        <is>
          <t>郑虎</t>
        </is>
      </c>
      <c r="H27" s="540" t="inlineStr">
        <is>
          <t>/</t>
        </is>
      </c>
      <c r="I27" s="540" t="inlineStr">
        <is>
          <t>王记炒饭</t>
        </is>
      </c>
      <c r="J27" s="540" t="inlineStr">
        <is>
          <t>王梓骏</t>
        </is>
      </c>
    </row>
    <row r="28">
      <c r="A28" s="540" t="n">
        <v>30</v>
      </c>
      <c r="B28" s="540" t="inlineStr">
        <is>
          <t>KQCY0030</t>
        </is>
      </c>
      <c r="C28" s="540" t="inlineStr">
        <is>
          <t>餐饮一分部</t>
        </is>
      </c>
      <c r="D28" s="540" t="inlineStr">
        <is>
          <t>CF272</t>
        </is>
      </c>
      <c r="E28" s="540" t="inlineStr">
        <is>
          <t>苏州工学院南一食堂</t>
        </is>
      </c>
      <c r="F28" s="540" t="inlineStr">
        <is>
          <t>强责</t>
        </is>
      </c>
      <c r="G28" s="540" t="inlineStr">
        <is>
          <t>郑虎</t>
        </is>
      </c>
      <c r="H28" s="540" t="inlineStr">
        <is>
          <t>/</t>
        </is>
      </c>
      <c r="I28" s="540" t="inlineStr">
        <is>
          <t>烤鸭</t>
        </is>
      </c>
      <c r="J28" s="540" t="inlineStr">
        <is>
          <t>王鑫</t>
        </is>
      </c>
    </row>
    <row r="29">
      <c r="A29" s="540" t="n">
        <v>31</v>
      </c>
      <c r="B29" s="540" t="inlineStr">
        <is>
          <t>KQCY0031</t>
        </is>
      </c>
      <c r="C29" s="540" t="inlineStr">
        <is>
          <t>餐饮一分部</t>
        </is>
      </c>
      <c r="D29" s="540" t="inlineStr">
        <is>
          <t>CF272</t>
        </is>
      </c>
      <c r="E29" s="540" t="inlineStr">
        <is>
          <t>苏州工学院南一食堂</t>
        </is>
      </c>
      <c r="F29" s="540" t="inlineStr">
        <is>
          <t>强责</t>
        </is>
      </c>
      <c r="G29" s="540" t="inlineStr">
        <is>
          <t>郑虎</t>
        </is>
      </c>
      <c r="H29" s="540" t="inlineStr">
        <is>
          <t>/</t>
        </is>
      </c>
      <c r="I29" s="540" t="inlineStr">
        <is>
          <t>小街胡同牛杂面</t>
        </is>
      </c>
      <c r="J29" s="540" t="inlineStr">
        <is>
          <t>黄雨</t>
        </is>
      </c>
    </row>
    <row r="30">
      <c r="A30" s="540" t="n">
        <v>32</v>
      </c>
      <c r="B30" s="540" t="inlineStr">
        <is>
          <t>KQCY0032</t>
        </is>
      </c>
      <c r="C30" s="540" t="inlineStr">
        <is>
          <t>餐饮一分部</t>
        </is>
      </c>
      <c r="D30" s="540" t="inlineStr">
        <is>
          <t>CF272</t>
        </is>
      </c>
      <c r="E30" s="540" t="inlineStr">
        <is>
          <t>苏州工学院南一食堂</t>
        </is>
      </c>
      <c r="F30" s="540" t="inlineStr">
        <is>
          <t>强责</t>
        </is>
      </c>
      <c r="G30" s="540" t="inlineStr">
        <is>
          <t>郑虎</t>
        </is>
      </c>
      <c r="H30" s="540" t="inlineStr">
        <is>
          <t>/</t>
        </is>
      </c>
      <c r="I30" s="540" t="inlineStr">
        <is>
          <t>汉堡炸鸡</t>
        </is>
      </c>
      <c r="J30" s="540" t="inlineStr">
        <is>
          <t>陆林峰</t>
        </is>
      </c>
    </row>
    <row r="31">
      <c r="A31" s="540" t="n">
        <v>33</v>
      </c>
      <c r="B31" s="540" t="inlineStr">
        <is>
          <t>KQCY0033</t>
        </is>
      </c>
      <c r="C31" s="540" t="inlineStr">
        <is>
          <t>餐饮一分部</t>
        </is>
      </c>
      <c r="D31" s="540" t="inlineStr">
        <is>
          <t>CF272</t>
        </is>
      </c>
      <c r="E31" s="540" t="inlineStr">
        <is>
          <t>苏州工学院南一食堂</t>
        </is>
      </c>
      <c r="F31" s="540" t="inlineStr">
        <is>
          <t>强责</t>
        </is>
      </c>
      <c r="G31" s="540" t="inlineStr">
        <is>
          <t>郑虎</t>
        </is>
      </c>
      <c r="H31" s="540" t="inlineStr">
        <is>
          <t>/</t>
        </is>
      </c>
      <c r="I31" s="540" t="inlineStr">
        <is>
          <t>旋转小火锅</t>
        </is>
      </c>
      <c r="J31" s="540" t="inlineStr">
        <is>
          <t>潘祥</t>
        </is>
      </c>
    </row>
    <row r="32">
      <c r="A32" s="540" t="n">
        <v>43</v>
      </c>
      <c r="B32" s="540" t="inlineStr">
        <is>
          <t>KQCY0043</t>
        </is>
      </c>
      <c r="C32" s="540" t="inlineStr">
        <is>
          <t>餐饮二分部</t>
        </is>
      </c>
      <c r="D32" s="540" t="inlineStr">
        <is>
          <t>CF125</t>
        </is>
      </c>
      <c r="E32" s="540" t="inlineStr">
        <is>
          <t>西浦大学宏愿食堂（南）</t>
        </is>
      </c>
      <c r="F32" s="540" t="inlineStr">
        <is>
          <t>分组作业</t>
        </is>
      </c>
      <c r="G32" s="540" t="inlineStr">
        <is>
          <t>徐敏娟</t>
        </is>
      </c>
      <c r="H32" s="540" t="inlineStr">
        <is>
          <t>/</t>
        </is>
      </c>
      <c r="I32" s="540" t="inlineStr">
        <is>
          <t>麻辣烫</t>
        </is>
      </c>
      <c r="J32" s="540" t="inlineStr">
        <is>
          <t>何军军</t>
        </is>
      </c>
    </row>
    <row r="33">
      <c r="A33" s="540" t="n">
        <v>44</v>
      </c>
      <c r="B33" s="540" t="inlineStr">
        <is>
          <t>KQCY0044</t>
        </is>
      </c>
      <c r="C33" s="540" t="inlineStr">
        <is>
          <t>餐饮二分部</t>
        </is>
      </c>
      <c r="D33" s="540" t="inlineStr">
        <is>
          <t>CF125</t>
        </is>
      </c>
      <c r="E33" s="540" t="inlineStr">
        <is>
          <t>西浦大学宏愿食堂（南）</t>
        </is>
      </c>
      <c r="F33" s="540" t="inlineStr">
        <is>
          <t>分组作业</t>
        </is>
      </c>
      <c r="G33" s="540" t="inlineStr">
        <is>
          <t>徐敏娟</t>
        </is>
      </c>
      <c r="H33" s="540" t="inlineStr">
        <is>
          <t>/</t>
        </is>
      </c>
      <c r="I33" s="540" t="inlineStr">
        <is>
          <t>小炒</t>
        </is>
      </c>
      <c r="J33" s="540" t="inlineStr">
        <is>
          <t>王成龙</t>
        </is>
      </c>
    </row>
    <row r="34">
      <c r="A34" s="540" t="n">
        <v>45</v>
      </c>
      <c r="B34" s="540" t="inlineStr">
        <is>
          <t>KQCY0045</t>
        </is>
      </c>
      <c r="C34" s="540" t="inlineStr">
        <is>
          <t>餐饮二分部</t>
        </is>
      </c>
      <c r="D34" s="540" t="inlineStr">
        <is>
          <t>CF125</t>
        </is>
      </c>
      <c r="E34" s="540" t="inlineStr">
        <is>
          <t>西浦大学宏愿食堂（南）</t>
        </is>
      </c>
      <c r="F34" s="540" t="inlineStr">
        <is>
          <t>分组作业</t>
        </is>
      </c>
      <c r="G34" s="540" t="inlineStr">
        <is>
          <t>徐敏娟</t>
        </is>
      </c>
      <c r="H34" s="540" t="inlineStr">
        <is>
          <t>/</t>
        </is>
      </c>
      <c r="I34" s="540" t="inlineStr">
        <is>
          <t>枣糕</t>
        </is>
      </c>
      <c r="J34" s="540" t="inlineStr">
        <is>
          <t>杜松松</t>
        </is>
      </c>
    </row>
    <row r="35">
      <c r="A35" s="540" t="n">
        <v>46</v>
      </c>
      <c r="B35" s="540" t="inlineStr">
        <is>
          <t>KQCY0046</t>
        </is>
      </c>
      <c r="C35" s="540" t="inlineStr">
        <is>
          <t>餐饮二分部</t>
        </is>
      </c>
      <c r="D35" s="540" t="inlineStr">
        <is>
          <t>CF125</t>
        </is>
      </c>
      <c r="E35" s="540" t="inlineStr">
        <is>
          <t>西浦大学宏愿食堂（南）</t>
        </is>
      </c>
      <c r="F35" s="540" t="inlineStr">
        <is>
          <t>分组作业</t>
        </is>
      </c>
      <c r="G35" s="540" t="inlineStr">
        <is>
          <t>徐敏娟</t>
        </is>
      </c>
      <c r="H35" s="540" t="inlineStr">
        <is>
          <t>/</t>
        </is>
      </c>
      <c r="I35" s="540" t="inlineStr">
        <is>
          <t>面条</t>
        </is>
      </c>
      <c r="J35" s="540" t="inlineStr">
        <is>
          <t>葛文静</t>
        </is>
      </c>
    </row>
    <row r="36">
      <c r="A36" s="540" t="n">
        <v>47</v>
      </c>
      <c r="B36" s="540" t="inlineStr">
        <is>
          <t>KQCY0047</t>
        </is>
      </c>
      <c r="C36" s="540" t="inlineStr">
        <is>
          <t>餐饮二分部</t>
        </is>
      </c>
      <c r="D36" s="540" t="inlineStr">
        <is>
          <t>CF125</t>
        </is>
      </c>
      <c r="E36" s="540" t="inlineStr">
        <is>
          <t>西浦大学宏愿食堂（南）</t>
        </is>
      </c>
      <c r="F36" s="540" t="inlineStr">
        <is>
          <t>分组作业</t>
        </is>
      </c>
      <c r="G36" s="540" t="inlineStr">
        <is>
          <t>徐敏娟</t>
        </is>
      </c>
      <c r="H36" s="540" t="inlineStr">
        <is>
          <t>/</t>
        </is>
      </c>
      <c r="I36" s="540" t="inlineStr">
        <is>
          <t>烤肉</t>
        </is>
      </c>
      <c r="J36" s="540" t="inlineStr">
        <is>
          <t>杜松松</t>
        </is>
      </c>
    </row>
    <row r="37">
      <c r="A37" s="540" t="n">
        <v>48</v>
      </c>
      <c r="B37" s="540" t="inlineStr">
        <is>
          <t>KQCY0048</t>
        </is>
      </c>
      <c r="C37" s="540" t="inlineStr">
        <is>
          <t>餐饮二分部</t>
        </is>
      </c>
      <c r="D37" s="540" t="inlineStr">
        <is>
          <t>CF125</t>
        </is>
      </c>
      <c r="E37" s="540" t="inlineStr">
        <is>
          <t>西浦大学宏愿食堂（南）</t>
        </is>
      </c>
      <c r="F37" s="540" t="inlineStr">
        <is>
          <t>分组作业</t>
        </is>
      </c>
      <c r="G37" s="540" t="inlineStr">
        <is>
          <t>徐敏娟</t>
        </is>
      </c>
      <c r="H37" s="540" t="inlineStr">
        <is>
          <t>/</t>
        </is>
      </c>
      <c r="I37" s="540" t="inlineStr">
        <is>
          <t>粉丝汤</t>
        </is>
      </c>
      <c r="J37" s="540" t="inlineStr">
        <is>
          <t>李鑫</t>
        </is>
      </c>
    </row>
    <row r="38">
      <c r="A38" s="540" t="n">
        <v>50</v>
      </c>
      <c r="B38" s="540" t="inlineStr">
        <is>
          <t>KQCY0050</t>
        </is>
      </c>
      <c r="C38" s="540" t="inlineStr">
        <is>
          <t>餐饮二分部</t>
        </is>
      </c>
      <c r="D38" s="540" t="inlineStr">
        <is>
          <t>CF137</t>
        </is>
      </c>
      <c r="E38" s="540" t="inlineStr">
        <is>
          <t>西浦大学宏愿食堂（北）</t>
        </is>
      </c>
      <c r="F38" s="540" t="inlineStr">
        <is>
          <t>分组作业</t>
        </is>
      </c>
      <c r="G38" s="540" t="inlineStr">
        <is>
          <t>徐敏娟</t>
        </is>
      </c>
      <c r="H38" s="540" t="inlineStr">
        <is>
          <t>/</t>
        </is>
      </c>
      <c r="I38" s="540" t="inlineStr">
        <is>
          <t>滑蛋饭</t>
        </is>
      </c>
      <c r="J38" s="540" t="inlineStr">
        <is>
          <t>赵广伟</t>
        </is>
      </c>
    </row>
    <row r="39">
      <c r="A39" s="540" t="n">
        <v>51</v>
      </c>
      <c r="B39" s="540" t="inlineStr">
        <is>
          <t>KQCY0051</t>
        </is>
      </c>
      <c r="C39" s="540" t="inlineStr">
        <is>
          <t>餐饮二分部</t>
        </is>
      </c>
      <c r="D39" s="540" t="inlineStr">
        <is>
          <t>CF137</t>
        </is>
      </c>
      <c r="E39" s="540" t="inlineStr">
        <is>
          <t>西浦大学宏愿食堂（北）</t>
        </is>
      </c>
      <c r="F39" s="540" t="inlineStr">
        <is>
          <t>分组作业</t>
        </is>
      </c>
      <c r="G39" s="540" t="inlineStr">
        <is>
          <t>徐敏娟</t>
        </is>
      </c>
      <c r="H39" s="540" t="inlineStr">
        <is>
          <t>/</t>
        </is>
      </c>
      <c r="I39" s="540" t="inlineStr">
        <is>
          <t>手工水饺</t>
        </is>
      </c>
      <c r="J39" s="540" t="inlineStr">
        <is>
          <t>赵玉才</t>
        </is>
      </c>
    </row>
    <row r="40">
      <c r="A40" s="540" t="n">
        <v>52</v>
      </c>
      <c r="B40" s="540" t="inlineStr">
        <is>
          <t>KQCY0052</t>
        </is>
      </c>
      <c r="C40" s="540" t="inlineStr">
        <is>
          <t>餐饮二分部</t>
        </is>
      </c>
      <c r="D40" s="540" t="inlineStr">
        <is>
          <t>CF137</t>
        </is>
      </c>
      <c r="E40" s="540" t="inlineStr">
        <is>
          <t>西浦大学宏愿食堂（北）</t>
        </is>
      </c>
      <c r="F40" s="540" t="inlineStr">
        <is>
          <t>分组作业</t>
        </is>
      </c>
      <c r="G40" s="540" t="inlineStr">
        <is>
          <t>徐敏娟</t>
        </is>
      </c>
      <c r="H40" s="540" t="inlineStr">
        <is>
          <t>/</t>
        </is>
      </c>
      <c r="I40" s="540" t="inlineStr">
        <is>
          <t>烤盘饭</t>
        </is>
      </c>
      <c r="J40" s="540" t="inlineStr">
        <is>
          <t>付昌杰</t>
        </is>
      </c>
    </row>
    <row r="41">
      <c r="A41" s="540" t="n">
        <v>53</v>
      </c>
      <c r="B41" s="540" t="inlineStr">
        <is>
          <t>KQCY0053</t>
        </is>
      </c>
      <c r="C41" s="540" t="inlineStr">
        <is>
          <t>餐饮二分部</t>
        </is>
      </c>
      <c r="D41" s="540" t="inlineStr">
        <is>
          <t>CF137</t>
        </is>
      </c>
      <c r="E41" s="540" t="inlineStr">
        <is>
          <t>西浦大学宏愿食堂（北）</t>
        </is>
      </c>
      <c r="F41" s="540" t="inlineStr">
        <is>
          <t>分组作业</t>
        </is>
      </c>
      <c r="G41" s="540" t="inlineStr">
        <is>
          <t>徐敏娟</t>
        </is>
      </c>
      <c r="H41" s="540" t="inlineStr">
        <is>
          <t>/</t>
        </is>
      </c>
      <c r="I41" s="540" t="inlineStr">
        <is>
          <t>大花米线</t>
        </is>
      </c>
      <c r="J41" s="540" t="inlineStr">
        <is>
          <t>钱卫军</t>
        </is>
      </c>
    </row>
    <row r="42">
      <c r="A42" s="540" t="n">
        <v>54</v>
      </c>
      <c r="B42" s="540" t="inlineStr">
        <is>
          <t>KQCY0054</t>
        </is>
      </c>
      <c r="C42" s="540" t="inlineStr">
        <is>
          <t>餐饮二分部</t>
        </is>
      </c>
      <c r="D42" s="540" t="inlineStr">
        <is>
          <t>CF137</t>
        </is>
      </c>
      <c r="E42" s="540" t="inlineStr">
        <is>
          <t>西浦大学宏愿食堂（北）</t>
        </is>
      </c>
      <c r="F42" s="540" t="inlineStr">
        <is>
          <t>分组作业</t>
        </is>
      </c>
      <c r="G42" s="540" t="inlineStr">
        <is>
          <t>徐敏娟</t>
        </is>
      </c>
      <c r="H42" s="540" t="inlineStr">
        <is>
          <t>/</t>
        </is>
      </c>
      <c r="I42" s="540" t="inlineStr">
        <is>
          <t>石锅饭</t>
        </is>
      </c>
      <c r="J42" s="540" t="inlineStr">
        <is>
          <t>葛颖</t>
        </is>
      </c>
    </row>
    <row r="43">
      <c r="A43" s="540" t="n">
        <v>55</v>
      </c>
      <c r="B43" s="540" t="inlineStr">
        <is>
          <t>KQCY0055</t>
        </is>
      </c>
      <c r="C43" s="540" t="inlineStr">
        <is>
          <t>餐饮二分部</t>
        </is>
      </c>
      <c r="D43" s="540" t="inlineStr">
        <is>
          <t>CF137</t>
        </is>
      </c>
      <c r="E43" s="540" t="inlineStr">
        <is>
          <t>西浦大学宏愿食堂（北）</t>
        </is>
      </c>
      <c r="F43" s="540" t="inlineStr">
        <is>
          <t>分组作业</t>
        </is>
      </c>
      <c r="G43" s="540" t="inlineStr">
        <is>
          <t>徐敏娟</t>
        </is>
      </c>
      <c r="H43" s="540" t="inlineStr">
        <is>
          <t>/</t>
        </is>
      </c>
      <c r="I43" s="540" t="inlineStr">
        <is>
          <t>一鸣鲜奶吧</t>
        </is>
      </c>
      <c r="J43" s="540" t="inlineStr">
        <is>
          <t>黎欢</t>
        </is>
      </c>
    </row>
    <row r="44">
      <c r="A44" s="540" t="n">
        <v>57</v>
      </c>
      <c r="B44" s="540" t="inlineStr">
        <is>
          <t>KQCY0057</t>
        </is>
      </c>
      <c r="C44" s="540" t="inlineStr">
        <is>
          <t>餐饮二分部</t>
        </is>
      </c>
      <c r="D44" s="540" t="inlineStr">
        <is>
          <t>CF140</t>
        </is>
      </c>
      <c r="E44" s="540" t="inlineStr">
        <is>
          <t>西浦大学太仓校区食堂</t>
        </is>
      </c>
      <c r="F44" s="540" t="inlineStr">
        <is>
          <t>分组作业</t>
        </is>
      </c>
      <c r="G44" s="540" t="inlineStr">
        <is>
          <t>徐敏娟</t>
        </is>
      </c>
      <c r="H44" s="540" t="inlineStr">
        <is>
          <t>第一班组</t>
        </is>
      </c>
      <c r="I44" s="540" t="inlineStr">
        <is>
          <t>蛋包饭(肥牛米线、水饺、烤盘饭)</t>
        </is>
      </c>
      <c r="J44" s="540" t="inlineStr">
        <is>
          <t>赵广伟</t>
        </is>
      </c>
    </row>
    <row r="45">
      <c r="A45" s="540" t="n">
        <v>58</v>
      </c>
      <c r="B45" s="540" t="inlineStr">
        <is>
          <t>KQCY0058</t>
        </is>
      </c>
      <c r="C45" s="540" t="inlineStr">
        <is>
          <t>餐饮二分部</t>
        </is>
      </c>
      <c r="D45" s="540" t="inlineStr">
        <is>
          <t>CF140</t>
        </is>
      </c>
      <c r="E45" s="540" t="inlineStr">
        <is>
          <t>西浦大学太仓校区食堂</t>
        </is>
      </c>
      <c r="F45" s="540" t="inlineStr">
        <is>
          <t>分组作业</t>
        </is>
      </c>
      <c r="G45" s="540" t="inlineStr">
        <is>
          <t>徐敏娟</t>
        </is>
      </c>
      <c r="H45" s="540" t="inlineStr">
        <is>
          <t>第二班组</t>
        </is>
      </c>
      <c r="I45" s="540" t="inlineStr">
        <is>
          <t>枣糕&amp;热饮(韩式拌饭)</t>
        </is>
      </c>
      <c r="J45" s="540" t="inlineStr">
        <is>
          <t>杜松松</t>
        </is>
      </c>
    </row>
    <row r="46">
      <c r="A46" s="540" t="n">
        <v>60</v>
      </c>
      <c r="B46" s="540" t="inlineStr">
        <is>
          <t>KQCY0060</t>
        </is>
      </c>
      <c r="C46" s="540" t="inlineStr">
        <is>
          <t>餐饮二分部</t>
        </is>
      </c>
      <c r="D46" s="540" t="inlineStr">
        <is>
          <t>CF182</t>
        </is>
      </c>
      <c r="E46" s="540" t="inlineStr">
        <is>
          <t>无锡工艺第二食堂</t>
        </is>
      </c>
      <c r="F46" s="540" t="inlineStr">
        <is>
          <t>分组作业</t>
        </is>
      </c>
      <c r="G46" s="540" t="inlineStr">
        <is>
          <t>徐敏娟</t>
        </is>
      </c>
      <c r="H46" s="540" t="inlineStr">
        <is>
          <t>/</t>
        </is>
      </c>
      <c r="I46" s="540" t="inlineStr">
        <is>
          <t>快餐</t>
        </is>
      </c>
      <c r="J46" s="540" t="inlineStr">
        <is>
          <t>林见锋</t>
        </is>
      </c>
    </row>
    <row r="47">
      <c r="A47" s="540" t="n">
        <v>61</v>
      </c>
      <c r="B47" s="540" t="inlineStr">
        <is>
          <t>KQCY0061</t>
        </is>
      </c>
      <c r="C47" s="540" t="inlineStr">
        <is>
          <t>餐饮二分部</t>
        </is>
      </c>
      <c r="D47" s="540" t="inlineStr">
        <is>
          <t>CF182</t>
        </is>
      </c>
      <c r="E47" s="540" t="inlineStr">
        <is>
          <t>无锡工艺第二食堂</t>
        </is>
      </c>
      <c r="F47" s="540" t="inlineStr">
        <is>
          <t>分组作业</t>
        </is>
      </c>
      <c r="G47" s="540" t="inlineStr">
        <is>
          <t>徐敏娟</t>
        </is>
      </c>
      <c r="H47" s="540" t="inlineStr">
        <is>
          <t>第二班组</t>
        </is>
      </c>
      <c r="I47" s="540" t="inlineStr">
        <is>
          <t>烤鸭饭</t>
        </is>
      </c>
      <c r="J47" s="540" t="inlineStr">
        <is>
          <t>徐其国</t>
        </is>
      </c>
    </row>
    <row r="48">
      <c r="A48" s="540" t="n">
        <v>62</v>
      </c>
      <c r="B48" s="540" t="inlineStr">
        <is>
          <t>KQCY0062</t>
        </is>
      </c>
      <c r="C48" s="540" t="inlineStr">
        <is>
          <t>餐饮二分部</t>
        </is>
      </c>
      <c r="D48" s="540" t="inlineStr">
        <is>
          <t>CF182</t>
        </is>
      </c>
      <c r="E48" s="540" t="inlineStr">
        <is>
          <t>无锡工艺第二食堂</t>
        </is>
      </c>
      <c r="F48" s="540" t="inlineStr">
        <is>
          <t>分组作业</t>
        </is>
      </c>
      <c r="G48" s="540" t="inlineStr">
        <is>
          <t>徐敏娟</t>
        </is>
      </c>
      <c r="H48" s="540" t="inlineStr">
        <is>
          <t>第三班组</t>
        </is>
      </c>
      <c r="I48" s="540" t="inlineStr">
        <is>
          <t>营养粥、小笼包</t>
        </is>
      </c>
      <c r="J48" s="540" t="inlineStr">
        <is>
          <t>朱德保</t>
        </is>
      </c>
    </row>
    <row r="49">
      <c r="A49" s="540" t="n">
        <v>63</v>
      </c>
      <c r="B49" s="540" t="inlineStr">
        <is>
          <t>KQCY0063</t>
        </is>
      </c>
      <c r="C49" s="540" t="inlineStr">
        <is>
          <t>餐饮二分部</t>
        </is>
      </c>
      <c r="D49" s="540" t="inlineStr">
        <is>
          <t>CF182</t>
        </is>
      </c>
      <c r="E49" s="540" t="inlineStr">
        <is>
          <t>无锡工艺第二食堂</t>
        </is>
      </c>
      <c r="F49" s="540" t="inlineStr">
        <is>
          <t>分组作业</t>
        </is>
      </c>
      <c r="G49" s="540" t="inlineStr">
        <is>
          <t>徐敏娟</t>
        </is>
      </c>
      <c r="H49" s="540" t="inlineStr">
        <is>
          <t>第四班组</t>
        </is>
      </c>
      <c r="I49" s="540" t="inlineStr">
        <is>
          <t>武汉热干面、隆江猪脚饭</t>
        </is>
      </c>
      <c r="J49" s="540" t="inlineStr">
        <is>
          <t>田振</t>
        </is>
      </c>
    </row>
    <row r="50">
      <c r="A50" s="540" t="n">
        <v>64</v>
      </c>
      <c r="B50" s="540" t="inlineStr">
        <is>
          <t>KQCY0064</t>
        </is>
      </c>
      <c r="C50" s="540" t="inlineStr">
        <is>
          <t>餐饮二分部</t>
        </is>
      </c>
      <c r="D50" s="540" t="inlineStr">
        <is>
          <t>CF182</t>
        </is>
      </c>
      <c r="E50" s="540" t="inlineStr">
        <is>
          <t>无锡工艺第二食堂</t>
        </is>
      </c>
      <c r="F50" s="540" t="inlineStr">
        <is>
          <t>分组作业</t>
        </is>
      </c>
      <c r="G50" s="540" t="inlineStr">
        <is>
          <t>徐敏娟</t>
        </is>
      </c>
      <c r="H50" s="540" t="inlineStr">
        <is>
          <t>第六班组</t>
        </is>
      </c>
      <c r="I50" s="540" t="inlineStr">
        <is>
          <t>称重水饺、馄饨</t>
        </is>
      </c>
      <c r="J50" s="540" t="inlineStr">
        <is>
          <t>张宜轩</t>
        </is>
      </c>
    </row>
    <row r="51">
      <c r="A51" s="540" t="n">
        <v>65</v>
      </c>
      <c r="B51" s="540" t="inlineStr">
        <is>
          <t>KQCY0065</t>
        </is>
      </c>
      <c r="C51" s="540" t="inlineStr">
        <is>
          <t>餐饮二分部</t>
        </is>
      </c>
      <c r="D51" s="540" t="inlineStr">
        <is>
          <t>CF182</t>
        </is>
      </c>
      <c r="E51" s="540" t="inlineStr">
        <is>
          <t>无锡工艺第二食堂</t>
        </is>
      </c>
      <c r="F51" s="540" t="inlineStr">
        <is>
          <t>分组作业</t>
        </is>
      </c>
      <c r="G51" s="540" t="inlineStr">
        <is>
          <t>徐敏娟</t>
        </is>
      </c>
      <c r="H51" s="540" t="inlineStr">
        <is>
          <t>第七班组</t>
        </is>
      </c>
      <c r="I51" s="540" t="inlineStr">
        <is>
          <t>掉渣饼、徐州米线、鸡汤饭</t>
        </is>
      </c>
      <c r="J51" s="540" t="inlineStr">
        <is>
          <t>武玉柳</t>
        </is>
      </c>
    </row>
    <row r="52">
      <c r="A52" s="540" t="n">
        <v>66</v>
      </c>
      <c r="B52" s="540" t="inlineStr">
        <is>
          <t>KQCY0066</t>
        </is>
      </c>
      <c r="C52" s="540" t="inlineStr">
        <is>
          <t>餐饮二分部</t>
        </is>
      </c>
      <c r="D52" s="540" t="inlineStr">
        <is>
          <t>CF182</t>
        </is>
      </c>
      <c r="E52" s="540" t="inlineStr">
        <is>
          <t>无锡工艺第二食堂</t>
        </is>
      </c>
      <c r="F52" s="540" t="inlineStr">
        <is>
          <t>分组作业</t>
        </is>
      </c>
      <c r="G52" s="540" t="inlineStr">
        <is>
          <t>徐敏娟</t>
        </is>
      </c>
      <c r="H52" s="540" t="inlineStr">
        <is>
          <t>第八班组</t>
        </is>
      </c>
      <c r="I52" s="540" t="inlineStr">
        <is>
          <t>爆炒盖浇饭、套餐饭</t>
        </is>
      </c>
      <c r="J52" s="540" t="inlineStr">
        <is>
          <t>赵裕旭</t>
        </is>
      </c>
    </row>
    <row r="53">
      <c r="A53" s="540" t="n">
        <v>67</v>
      </c>
      <c r="B53" s="540" t="inlineStr">
        <is>
          <t>KQCY0067</t>
        </is>
      </c>
      <c r="C53" s="540" t="inlineStr">
        <is>
          <t>餐饮二分部</t>
        </is>
      </c>
      <c r="D53" s="540" t="inlineStr">
        <is>
          <t>CF182</t>
        </is>
      </c>
      <c r="E53" s="540" t="inlineStr">
        <is>
          <t>无锡工艺第二食堂</t>
        </is>
      </c>
      <c r="F53" s="540" t="inlineStr">
        <is>
          <t>分组作业</t>
        </is>
      </c>
      <c r="G53" s="540" t="inlineStr">
        <is>
          <t>徐敏娟</t>
        </is>
      </c>
      <c r="H53" s="540" t="inlineStr">
        <is>
          <t>第九班组</t>
        </is>
      </c>
      <c r="I53" s="540" t="inlineStr">
        <is>
          <t>休闲水吧、水果</t>
        </is>
      </c>
      <c r="J53" s="540" t="inlineStr">
        <is>
          <t>党玉真</t>
        </is>
      </c>
    </row>
    <row r="54">
      <c r="A54" s="540" t="n">
        <v>68</v>
      </c>
      <c r="B54" s="540" t="inlineStr">
        <is>
          <t>KQCY0068</t>
        </is>
      </c>
      <c r="C54" s="540" t="inlineStr">
        <is>
          <t>餐饮二分部</t>
        </is>
      </c>
      <c r="D54" s="540" t="inlineStr">
        <is>
          <t>CF182</t>
        </is>
      </c>
      <c r="E54" s="540" t="inlineStr">
        <is>
          <t>无锡工艺第二食堂</t>
        </is>
      </c>
      <c r="F54" s="540" t="inlineStr">
        <is>
          <t>分组作业</t>
        </is>
      </c>
      <c r="G54" s="540" t="inlineStr">
        <is>
          <t>徐敏娟</t>
        </is>
      </c>
      <c r="H54" s="540" t="inlineStr">
        <is>
          <t>第十一班组</t>
        </is>
      </c>
      <c r="I54" s="540" t="inlineStr">
        <is>
          <t>（二楼特色小吃）汉堡、炸鸡、自主称重快餐、千里香馄饨、手擀面</t>
        </is>
      </c>
      <c r="J54" s="540" t="inlineStr">
        <is>
          <t>常霞</t>
        </is>
      </c>
    </row>
    <row r="55">
      <c r="A55" s="540" t="n">
        <v>70</v>
      </c>
      <c r="B55" s="540" t="inlineStr">
        <is>
          <t>KQCY0070</t>
        </is>
      </c>
      <c r="C55" s="540" t="inlineStr">
        <is>
          <t>餐饮二分部</t>
        </is>
      </c>
      <c r="D55" s="540" t="inlineStr">
        <is>
          <t>CF360</t>
        </is>
      </c>
      <c r="E55" s="540" t="inlineStr">
        <is>
          <t>南通师专新校区食堂</t>
        </is>
      </c>
      <c r="F55" s="540" t="inlineStr">
        <is>
          <t>分组作业</t>
        </is>
      </c>
      <c r="G55" s="540" t="inlineStr">
        <is>
          <t>郑虎</t>
        </is>
      </c>
      <c r="H55" s="540" t="inlineStr">
        <is>
          <t>第一班组</t>
        </is>
      </c>
      <c r="I55" s="540" t="inlineStr">
        <is>
          <t>琳榆炸鸡腿</t>
        </is>
      </c>
      <c r="J55" s="540" t="inlineStr">
        <is>
          <t>王友强</t>
        </is>
      </c>
    </row>
    <row r="56">
      <c r="A56" s="540" t="n">
        <v>71</v>
      </c>
      <c r="B56" s="540" t="inlineStr">
        <is>
          <t>KQCY0071</t>
        </is>
      </c>
      <c r="C56" s="540" t="inlineStr">
        <is>
          <t>餐饮二分部</t>
        </is>
      </c>
      <c r="D56" s="540" t="inlineStr">
        <is>
          <t>CF360</t>
        </is>
      </c>
      <c r="E56" s="540" t="inlineStr">
        <is>
          <t>南通师专新校区食堂</t>
        </is>
      </c>
      <c r="F56" s="540" t="inlineStr">
        <is>
          <t>分组作业</t>
        </is>
      </c>
      <c r="G56" s="540" t="inlineStr">
        <is>
          <t>郑虎</t>
        </is>
      </c>
      <c r="H56" s="540" t="inlineStr">
        <is>
          <t>第二班组</t>
        </is>
      </c>
      <c r="I56" s="540" t="inlineStr">
        <is>
          <t>中式早点</t>
        </is>
      </c>
      <c r="J56" s="540" t="inlineStr">
        <is>
          <t>何小杏</t>
        </is>
      </c>
    </row>
    <row r="57">
      <c r="A57" s="540" t="n">
        <v>72</v>
      </c>
      <c r="B57" s="540" t="inlineStr">
        <is>
          <t>KQCY0072</t>
        </is>
      </c>
      <c r="C57" s="540" t="inlineStr">
        <is>
          <t>餐饮二分部</t>
        </is>
      </c>
      <c r="D57" s="540" t="inlineStr">
        <is>
          <t>CF360</t>
        </is>
      </c>
      <c r="E57" s="540" t="inlineStr">
        <is>
          <t>南通师专新校区食堂</t>
        </is>
      </c>
      <c r="F57" s="540" t="inlineStr">
        <is>
          <t>分组作业</t>
        </is>
      </c>
      <c r="G57" s="540" t="inlineStr">
        <is>
          <t>郑虎</t>
        </is>
      </c>
      <c r="H57" s="540" t="inlineStr">
        <is>
          <t>第三班组</t>
        </is>
      </c>
      <c r="I57" s="540" t="inlineStr">
        <is>
          <t>土耳其烤肉饭</t>
        </is>
      </c>
      <c r="J57" s="540" t="inlineStr">
        <is>
          <t>薛小勇</t>
        </is>
      </c>
    </row>
    <row r="58">
      <c r="A58" s="540" t="n">
        <v>73</v>
      </c>
      <c r="B58" s="540" t="inlineStr">
        <is>
          <t>KQCY0073</t>
        </is>
      </c>
      <c r="C58" s="540" t="inlineStr">
        <is>
          <t>餐饮二分部</t>
        </is>
      </c>
      <c r="D58" s="540" t="inlineStr">
        <is>
          <t>CF360</t>
        </is>
      </c>
      <c r="E58" s="540" t="inlineStr">
        <is>
          <t>南通师专新校区食堂</t>
        </is>
      </c>
      <c r="F58" s="540" t="inlineStr">
        <is>
          <t>分组作业</t>
        </is>
      </c>
      <c r="G58" s="540" t="inlineStr">
        <is>
          <t>郑虎</t>
        </is>
      </c>
      <c r="H58" s="540" t="inlineStr">
        <is>
          <t>第四班组</t>
        </is>
      </c>
      <c r="I58" s="540" t="inlineStr">
        <is>
          <t>营养粥小笼包</t>
        </is>
      </c>
      <c r="J58" s="540" t="inlineStr">
        <is>
          <t>沈玲</t>
        </is>
      </c>
    </row>
    <row r="59">
      <c r="A59" s="540" t="n">
        <v>74</v>
      </c>
      <c r="B59" s="540" t="inlineStr">
        <is>
          <t>KQCY0074</t>
        </is>
      </c>
      <c r="C59" s="540" t="inlineStr">
        <is>
          <t>餐饮二分部</t>
        </is>
      </c>
      <c r="D59" s="540" t="inlineStr">
        <is>
          <t>CF360</t>
        </is>
      </c>
      <c r="E59" s="540" t="inlineStr">
        <is>
          <t>南通师专新校区食堂</t>
        </is>
      </c>
      <c r="F59" s="540" t="inlineStr">
        <is>
          <t>分组作业</t>
        </is>
      </c>
      <c r="G59" s="540" t="inlineStr">
        <is>
          <t>郑虎</t>
        </is>
      </c>
      <c r="H59" s="540" t="inlineStr">
        <is>
          <t>第五班组</t>
        </is>
      </c>
      <c r="I59" s="540" t="inlineStr">
        <is>
          <t>生烫牛肉米线</t>
        </is>
      </c>
      <c r="J59" s="540" t="inlineStr">
        <is>
          <t>刘海霞</t>
        </is>
      </c>
    </row>
    <row r="60">
      <c r="A60" s="540" t="n">
        <v>75</v>
      </c>
      <c r="B60" s="540" t="inlineStr">
        <is>
          <t>KQCY0075</t>
        </is>
      </c>
      <c r="C60" s="540" t="inlineStr">
        <is>
          <t>餐饮二分部</t>
        </is>
      </c>
      <c r="D60" s="540" t="inlineStr">
        <is>
          <t>CF360</t>
        </is>
      </c>
      <c r="E60" s="540" t="inlineStr">
        <is>
          <t>南通师专新校区食堂</t>
        </is>
      </c>
      <c r="F60" s="540" t="inlineStr">
        <is>
          <t>分组作业</t>
        </is>
      </c>
      <c r="G60" s="540" t="inlineStr">
        <is>
          <t>郑虎</t>
        </is>
      </c>
      <c r="H60" s="540" t="inlineStr">
        <is>
          <t>第六班组</t>
        </is>
      </c>
      <c r="I60" s="540" t="inlineStr">
        <is>
          <t>咖喱蛋包饭</t>
        </is>
      </c>
      <c r="J60" s="540" t="inlineStr">
        <is>
          <t>余娇</t>
        </is>
      </c>
    </row>
    <row r="61">
      <c r="A61" s="540" t="n">
        <v>76</v>
      </c>
      <c r="B61" s="540" t="inlineStr">
        <is>
          <t>KQCY0076</t>
        </is>
      </c>
      <c r="C61" s="540" t="inlineStr">
        <is>
          <t>餐饮二分部</t>
        </is>
      </c>
      <c r="D61" s="540" t="inlineStr">
        <is>
          <t>CF360</t>
        </is>
      </c>
      <c r="E61" s="540" t="inlineStr">
        <is>
          <t>南通师专新校区食堂</t>
        </is>
      </c>
      <c r="F61" s="540" t="inlineStr">
        <is>
          <t>分组作业</t>
        </is>
      </c>
      <c r="G61" s="540" t="inlineStr">
        <is>
          <t>郑虎</t>
        </is>
      </c>
      <c r="H61" s="540" t="inlineStr">
        <is>
          <t>第七班组</t>
        </is>
      </c>
      <c r="I61" s="540" t="inlineStr">
        <is>
          <t>麻辣烫麻辣拌</t>
        </is>
      </c>
      <c r="J61" s="540" t="inlineStr">
        <is>
          <t>虞冬梅</t>
        </is>
      </c>
    </row>
    <row r="62">
      <c r="A62" s="540" t="n">
        <v>77</v>
      </c>
      <c r="B62" s="540" t="inlineStr">
        <is>
          <t>KQCY0077</t>
        </is>
      </c>
      <c r="C62" s="540" t="inlineStr">
        <is>
          <t>餐饮二分部</t>
        </is>
      </c>
      <c r="D62" s="540" t="inlineStr">
        <is>
          <t>CF360</t>
        </is>
      </c>
      <c r="E62" s="540" t="inlineStr">
        <is>
          <t>南通师专新校区食堂</t>
        </is>
      </c>
      <c r="F62" s="540" t="inlineStr">
        <is>
          <t>分组作业</t>
        </is>
      </c>
      <c r="G62" s="540" t="inlineStr">
        <is>
          <t>郑虎</t>
        </is>
      </c>
      <c r="H62" s="540" t="inlineStr">
        <is>
          <t>第八班组</t>
        </is>
      </c>
      <c r="I62" s="540" t="inlineStr">
        <is>
          <t>真老大手工云吞</t>
        </is>
      </c>
      <c r="J62" s="540" t="inlineStr">
        <is>
          <t>彭晴</t>
        </is>
      </c>
    </row>
    <row r="63">
      <c r="A63" s="540" t="n">
        <v>78</v>
      </c>
      <c r="B63" s="540" t="inlineStr">
        <is>
          <t>KQCY0078</t>
        </is>
      </c>
      <c r="C63" s="540" t="inlineStr">
        <is>
          <t>餐饮二分部</t>
        </is>
      </c>
      <c r="D63" s="540" t="inlineStr">
        <is>
          <t>CF360</t>
        </is>
      </c>
      <c r="E63" s="540" t="inlineStr">
        <is>
          <t>南通师专新校区食堂</t>
        </is>
      </c>
      <c r="F63" s="540" t="inlineStr">
        <is>
          <t>分组作业</t>
        </is>
      </c>
      <c r="G63" s="540" t="inlineStr">
        <is>
          <t>郑虎</t>
        </is>
      </c>
      <c r="H63" s="540" t="inlineStr">
        <is>
          <t>第九班组</t>
        </is>
      </c>
      <c r="I63" s="540" t="inlineStr">
        <is>
          <t>朱家小馆羊杂面</t>
        </is>
      </c>
      <c r="J63" s="540" t="inlineStr">
        <is>
          <t>薛桂中</t>
        </is>
      </c>
    </row>
    <row r="64">
      <c r="A64" s="540" t="n">
        <v>79</v>
      </c>
      <c r="B64" s="540" t="inlineStr">
        <is>
          <t>KQCY0079</t>
        </is>
      </c>
      <c r="C64" s="540" t="inlineStr">
        <is>
          <t>餐饮二分部</t>
        </is>
      </c>
      <c r="D64" s="540" t="inlineStr">
        <is>
          <t>CF360</t>
        </is>
      </c>
      <c r="E64" s="540" t="inlineStr">
        <is>
          <t>南通师专新校区食堂</t>
        </is>
      </c>
      <c r="F64" s="540" t="inlineStr">
        <is>
          <t>分组作业</t>
        </is>
      </c>
      <c r="G64" s="540" t="inlineStr">
        <is>
          <t>郑虎</t>
        </is>
      </c>
      <c r="H64" s="540" t="inlineStr">
        <is>
          <t>第十班组</t>
        </is>
      </c>
      <c r="I64" s="540" t="inlineStr">
        <is>
          <t>奶茶</t>
        </is>
      </c>
      <c r="J64" s="540" t="inlineStr">
        <is>
          <t>王艳</t>
        </is>
      </c>
    </row>
    <row r="65">
      <c r="A65" s="540" t="n">
        <v>82</v>
      </c>
      <c r="B65" s="540" t="inlineStr">
        <is>
          <t>KQCY0082</t>
        </is>
      </c>
      <c r="C65" s="540" t="inlineStr">
        <is>
          <t>餐饮二分部</t>
        </is>
      </c>
      <c r="D65" s="540" t="inlineStr">
        <is>
          <t>CF364</t>
        </is>
      </c>
      <c r="E65" s="540" t="inlineStr">
        <is>
          <t>江苏航运思本轩食堂</t>
        </is>
      </c>
      <c r="F65" s="540" t="inlineStr">
        <is>
          <t>分组作业</t>
        </is>
      </c>
      <c r="G65" s="540" t="inlineStr">
        <is>
          <t>郑虎</t>
        </is>
      </c>
      <c r="H65" s="540" t="inlineStr">
        <is>
          <t>第二班组</t>
        </is>
      </c>
      <c r="I65" s="540" t="inlineStr">
        <is>
          <t>粉丝汤（牛肉、老母鸡、牛杂、拆骨）</t>
        </is>
      </c>
      <c r="J65" s="540" t="inlineStr">
        <is>
          <t>满超</t>
        </is>
      </c>
    </row>
    <row r="66">
      <c r="A66" s="540" t="n">
        <v>83</v>
      </c>
      <c r="B66" s="540" t="inlineStr">
        <is>
          <t>KQCY0083</t>
        </is>
      </c>
      <c r="C66" s="540" t="inlineStr">
        <is>
          <t>餐饮二分部</t>
        </is>
      </c>
      <c r="D66" s="540" t="inlineStr">
        <is>
          <t>CF364</t>
        </is>
      </c>
      <c r="E66" s="540" t="inlineStr">
        <is>
          <t>江苏航运思本轩食堂</t>
        </is>
      </c>
      <c r="F66" s="540" t="inlineStr">
        <is>
          <t>分组作业</t>
        </is>
      </c>
      <c r="G66" s="540" t="inlineStr">
        <is>
          <t>郑虎</t>
        </is>
      </c>
      <c r="H66" s="540" t="inlineStr">
        <is>
          <t>第三班组</t>
        </is>
      </c>
      <c r="I66" s="540" t="inlineStr">
        <is>
          <t>拌饭（鸡腿饭、酸梅鸭饭）</t>
        </is>
      </c>
      <c r="J66" s="540" t="inlineStr">
        <is>
          <t>唐德生</t>
        </is>
      </c>
    </row>
    <row r="67">
      <c r="A67" s="540" t="n">
        <v>84</v>
      </c>
      <c r="B67" s="540" t="inlineStr">
        <is>
          <t>KQCY0084</t>
        </is>
      </c>
      <c r="C67" s="540" t="inlineStr">
        <is>
          <t>餐饮二分部</t>
        </is>
      </c>
      <c r="D67" s="540" t="inlineStr">
        <is>
          <t>CF364</t>
        </is>
      </c>
      <c r="E67" s="540" t="inlineStr">
        <is>
          <t>江苏航运思本轩食堂</t>
        </is>
      </c>
      <c r="F67" s="540" t="inlineStr">
        <is>
          <t>分组作业</t>
        </is>
      </c>
      <c r="G67" s="540" t="inlineStr">
        <is>
          <t>郑虎</t>
        </is>
      </c>
      <c r="H67" s="540" t="inlineStr">
        <is>
          <t>第五班组</t>
        </is>
      </c>
      <c r="I67" s="540" t="inlineStr">
        <is>
          <t>早餐</t>
        </is>
      </c>
      <c r="J67" s="540" t="inlineStr">
        <is>
          <t>潘捷</t>
        </is>
      </c>
    </row>
    <row r="68">
      <c r="A68" s="540" t="n">
        <v>86</v>
      </c>
      <c r="B68" s="540" t="inlineStr">
        <is>
          <t>KQCY0086</t>
        </is>
      </c>
      <c r="C68" s="540" t="inlineStr">
        <is>
          <t>餐饮二分部</t>
        </is>
      </c>
      <c r="D68" s="540" t="inlineStr">
        <is>
          <t>CF364</t>
        </is>
      </c>
      <c r="E68" s="540" t="inlineStr">
        <is>
          <t>江苏航运思本轩食堂</t>
        </is>
      </c>
      <c r="F68" s="540" t="inlineStr">
        <is>
          <t>分组作业</t>
        </is>
      </c>
      <c r="G68" s="540" t="inlineStr">
        <is>
          <t>郑虎</t>
        </is>
      </c>
      <c r="H68" s="540" t="inlineStr">
        <is>
          <t>第七班组</t>
        </is>
      </c>
      <c r="I68" s="540" t="inlineStr">
        <is>
          <t>锡纸饭</t>
        </is>
      </c>
      <c r="J68" s="540" t="inlineStr">
        <is>
          <t>陈芳</t>
        </is>
      </c>
    </row>
    <row r="69">
      <c r="A69" s="540" t="n">
        <v>89</v>
      </c>
      <c r="B69" s="540" t="inlineStr">
        <is>
          <t>KQCY0089</t>
        </is>
      </c>
      <c r="C69" s="540" t="inlineStr">
        <is>
          <t>餐饮二分部</t>
        </is>
      </c>
      <c r="D69" s="540" t="inlineStr">
        <is>
          <t>CF364</t>
        </is>
      </c>
      <c r="E69" s="540" t="inlineStr">
        <is>
          <t>江苏航运思本轩食堂</t>
        </is>
      </c>
      <c r="F69" s="540" t="inlineStr">
        <is>
          <t>分组作业</t>
        </is>
      </c>
      <c r="G69" s="540" t="inlineStr">
        <is>
          <t>郑虎</t>
        </is>
      </c>
      <c r="H69" s="540" t="inlineStr">
        <is>
          <t>第十班组</t>
        </is>
      </c>
      <c r="I69" s="540" t="inlineStr">
        <is>
          <t>烤鸭饭</t>
        </is>
      </c>
      <c r="J69" s="540" t="inlineStr">
        <is>
          <t>蒋继承</t>
        </is>
      </c>
    </row>
    <row r="70">
      <c r="A70" s="540" t="n">
        <v>90</v>
      </c>
      <c r="B70" s="540" t="inlineStr">
        <is>
          <t>KQCY0090</t>
        </is>
      </c>
      <c r="C70" s="540" t="inlineStr">
        <is>
          <t>餐饮二分部</t>
        </is>
      </c>
      <c r="D70" s="540" t="inlineStr">
        <is>
          <t>CF364</t>
        </is>
      </c>
      <c r="E70" s="540" t="inlineStr">
        <is>
          <t>江苏航运思本轩食堂</t>
        </is>
      </c>
      <c r="F70" s="540" t="inlineStr">
        <is>
          <t>分组作业</t>
        </is>
      </c>
      <c r="G70" s="540" t="inlineStr">
        <is>
          <t>郑虎</t>
        </is>
      </c>
      <c r="H70" s="540" t="inlineStr">
        <is>
          <t>第十一班组</t>
        </is>
      </c>
      <c r="I70" s="540" t="inlineStr">
        <is>
          <t>朱家小馆</t>
        </is>
      </c>
      <c r="J70" s="540" t="inlineStr">
        <is>
          <t>张慧南</t>
        </is>
      </c>
    </row>
    <row r="71">
      <c r="A71" s="540" t="n">
        <v>95</v>
      </c>
      <c r="B71" s="540" t="inlineStr">
        <is>
          <t>KQCY0095</t>
        </is>
      </c>
      <c r="C71" s="540" t="inlineStr">
        <is>
          <t>餐饮二分部</t>
        </is>
      </c>
      <c r="D71" s="540" t="inlineStr">
        <is>
          <t>CF363</t>
        </is>
      </c>
      <c r="E71" s="540" t="inlineStr">
        <is>
          <t>南通大学启东校区</t>
        </is>
      </c>
      <c r="F71" s="540" t="inlineStr">
        <is>
          <t>分组作业</t>
        </is>
      </c>
      <c r="G71" s="540" t="inlineStr">
        <is>
          <t>郑虎</t>
        </is>
      </c>
      <c r="H71" s="540" t="inlineStr">
        <is>
          <t>第一班组</t>
        </is>
      </c>
      <c r="I71" s="540" t="inlineStr">
        <is>
          <t>基本大伙</t>
        </is>
      </c>
      <c r="J71" s="540" t="inlineStr">
        <is>
          <t>朱寿凤</t>
        </is>
      </c>
    </row>
    <row r="72">
      <c r="A72" s="540" t="n">
        <v>96</v>
      </c>
      <c r="B72" s="540" t="inlineStr">
        <is>
          <t>KQCY0096</t>
        </is>
      </c>
      <c r="C72" s="540" t="inlineStr">
        <is>
          <t>餐饮二分部</t>
        </is>
      </c>
      <c r="D72" s="540" t="inlineStr">
        <is>
          <t>CF363</t>
        </is>
      </c>
      <c r="E72" s="540" t="inlineStr">
        <is>
          <t>南通大学启东校区</t>
        </is>
      </c>
      <c r="F72" s="540" t="inlineStr">
        <is>
          <t>分组作业</t>
        </is>
      </c>
      <c r="G72" s="540" t="inlineStr">
        <is>
          <t>郑虎</t>
        </is>
      </c>
      <c r="H72" s="540" t="inlineStr">
        <is>
          <t>第二班组</t>
        </is>
      </c>
      <c r="I72" s="540" t="inlineStr">
        <is>
          <t>自选称重</t>
        </is>
      </c>
      <c r="J72" s="540" t="inlineStr">
        <is>
          <t>朱寿凤</t>
        </is>
      </c>
    </row>
    <row r="73">
      <c r="A73" s="540" t="n">
        <v>97</v>
      </c>
      <c r="B73" s="540" t="inlineStr">
        <is>
          <t>KQCY0097</t>
        </is>
      </c>
      <c r="C73" s="540" t="inlineStr">
        <is>
          <t>餐饮二分部</t>
        </is>
      </c>
      <c r="D73" s="540" t="inlineStr">
        <is>
          <t>CF363</t>
        </is>
      </c>
      <c r="E73" s="540" t="inlineStr">
        <is>
          <t>南通大学启东校区</t>
        </is>
      </c>
      <c r="F73" s="540" t="inlineStr">
        <is>
          <t>分组作业</t>
        </is>
      </c>
      <c r="G73" s="540" t="inlineStr">
        <is>
          <t>郑虎</t>
        </is>
      </c>
      <c r="H73" s="540" t="inlineStr">
        <is>
          <t>第三班组</t>
        </is>
      </c>
      <c r="I73" s="540" t="inlineStr">
        <is>
          <t>中式早点</t>
        </is>
      </c>
      <c r="J73" s="540" t="inlineStr">
        <is>
          <t>王正明</t>
        </is>
      </c>
    </row>
    <row r="74">
      <c r="A74" s="540" t="n">
        <v>98</v>
      </c>
      <c r="B74" s="540" t="inlineStr">
        <is>
          <t>KQCY0098</t>
        </is>
      </c>
      <c r="C74" s="540" t="inlineStr">
        <is>
          <t>餐饮二分部</t>
        </is>
      </c>
      <c r="D74" s="540" t="inlineStr">
        <is>
          <t>CF363</t>
        </is>
      </c>
      <c r="E74" s="540" t="inlineStr">
        <is>
          <t>南通大学启东校区</t>
        </is>
      </c>
      <c r="F74" s="540" t="inlineStr">
        <is>
          <t>分组作业</t>
        </is>
      </c>
      <c r="G74" s="540" t="inlineStr">
        <is>
          <t>郑虎</t>
        </is>
      </c>
      <c r="H74" s="540" t="inlineStr">
        <is>
          <t>第四班组</t>
        </is>
      </c>
      <c r="I74" s="540" t="inlineStr">
        <is>
          <t>黄焖鸡酸菜鱼</t>
        </is>
      </c>
      <c r="J74" s="540" t="inlineStr">
        <is>
          <t>金健华</t>
        </is>
      </c>
    </row>
    <row r="75">
      <c r="A75" s="540" t="n">
        <v>99</v>
      </c>
      <c r="B75" s="540" t="inlineStr">
        <is>
          <t>KQCY0099</t>
        </is>
      </c>
      <c r="C75" s="540" t="inlineStr">
        <is>
          <t>餐饮二分部</t>
        </is>
      </c>
      <c r="D75" s="540" t="inlineStr">
        <is>
          <t>CF363</t>
        </is>
      </c>
      <c r="E75" s="540" t="inlineStr">
        <is>
          <t>南通大学启东校区</t>
        </is>
      </c>
      <c r="F75" s="540" t="inlineStr">
        <is>
          <t>分组作业</t>
        </is>
      </c>
      <c r="G75" s="540" t="inlineStr">
        <is>
          <t>郑虎</t>
        </is>
      </c>
      <c r="H75" s="540" t="inlineStr">
        <is>
          <t>第五班组</t>
        </is>
      </c>
      <c r="I75" s="540" t="inlineStr">
        <is>
          <t>卤肉饭套餐</t>
        </is>
      </c>
      <c r="J75" s="540" t="inlineStr">
        <is>
          <t>金健华</t>
        </is>
      </c>
    </row>
    <row r="76">
      <c r="A76" s="540" t="n">
        <v>100</v>
      </c>
      <c r="B76" s="540" t="inlineStr">
        <is>
          <t>KQCY0100</t>
        </is>
      </c>
      <c r="C76" s="540" t="inlineStr">
        <is>
          <t>餐饮二分部</t>
        </is>
      </c>
      <c r="D76" s="540" t="inlineStr">
        <is>
          <t>CF363</t>
        </is>
      </c>
      <c r="E76" s="540" t="inlineStr">
        <is>
          <t>南通大学启东校区</t>
        </is>
      </c>
      <c r="F76" s="540" t="inlineStr">
        <is>
          <t>分组作业</t>
        </is>
      </c>
      <c r="G76" s="540" t="inlineStr">
        <is>
          <t>郑虎</t>
        </is>
      </c>
      <c r="H76" s="540" t="inlineStr">
        <is>
          <t>第六班组</t>
        </is>
      </c>
      <c r="I76" s="540" t="inlineStr">
        <is>
          <t>营养粥杂粮煎饼</t>
        </is>
      </c>
      <c r="J76" s="540" t="inlineStr">
        <is>
          <t>邵国才</t>
        </is>
      </c>
    </row>
    <row r="77">
      <c r="A77" s="540" t="n">
        <v>101</v>
      </c>
      <c r="B77" s="540" t="inlineStr">
        <is>
          <t>KQCY0101</t>
        </is>
      </c>
      <c r="C77" s="540" t="inlineStr">
        <is>
          <t>餐饮二分部</t>
        </is>
      </c>
      <c r="D77" s="540" t="inlineStr">
        <is>
          <t>CF363</t>
        </is>
      </c>
      <c r="E77" s="540" t="inlineStr">
        <is>
          <t>南通大学启东校区</t>
        </is>
      </c>
      <c r="F77" s="540" t="inlineStr">
        <is>
          <t>分组作业</t>
        </is>
      </c>
      <c r="G77" s="540" t="inlineStr">
        <is>
          <t>郑虎</t>
        </is>
      </c>
      <c r="H77" s="540" t="inlineStr">
        <is>
          <t>第七班组</t>
        </is>
      </c>
      <c r="I77" s="540" t="inlineStr">
        <is>
          <t>面条馄饨</t>
        </is>
      </c>
      <c r="J77" s="540" t="inlineStr">
        <is>
          <t>邵国才</t>
        </is>
      </c>
    </row>
    <row r="78">
      <c r="A78" s="540" t="n">
        <v>102</v>
      </c>
      <c r="B78" s="540" t="inlineStr">
        <is>
          <t>KQCY0102</t>
        </is>
      </c>
      <c r="C78" s="540" t="inlineStr">
        <is>
          <t>餐饮二分部</t>
        </is>
      </c>
      <c r="D78" s="540" t="inlineStr">
        <is>
          <t>CF363</t>
        </is>
      </c>
      <c r="E78" s="540" t="inlineStr">
        <is>
          <t>南通大学启东校区</t>
        </is>
      </c>
      <c r="F78" s="540" t="inlineStr">
        <is>
          <t>分组作业</t>
        </is>
      </c>
      <c r="G78" s="540" t="inlineStr">
        <is>
          <t>郑虎</t>
        </is>
      </c>
      <c r="H78" s="540" t="inlineStr">
        <is>
          <t>第八班组</t>
        </is>
      </c>
      <c r="I78" s="540" t="inlineStr">
        <is>
          <t>米线汤包</t>
        </is>
      </c>
      <c r="J78" s="540" t="inlineStr">
        <is>
          <t>王友强</t>
        </is>
      </c>
    </row>
    <row r="79">
      <c r="A79" s="540" t="n">
        <v>103</v>
      </c>
      <c r="B79" s="540" t="inlineStr">
        <is>
          <t>KQCY0103</t>
        </is>
      </c>
      <c r="C79" s="540" t="inlineStr">
        <is>
          <t>餐饮二分部</t>
        </is>
      </c>
      <c r="D79" s="540" t="inlineStr">
        <is>
          <t>CF363</t>
        </is>
      </c>
      <c r="E79" s="540" t="inlineStr">
        <is>
          <t>南通大学启东校区</t>
        </is>
      </c>
      <c r="F79" s="540" t="inlineStr">
        <is>
          <t>分组作业</t>
        </is>
      </c>
      <c r="G79" s="540" t="inlineStr">
        <is>
          <t>郑虎</t>
        </is>
      </c>
      <c r="H79" s="540" t="inlineStr">
        <is>
          <t>第九班组</t>
        </is>
      </c>
      <c r="I79" s="540" t="inlineStr">
        <is>
          <t>香锅焖面</t>
        </is>
      </c>
      <c r="J79" s="540" t="inlineStr">
        <is>
          <t>王正明</t>
        </is>
      </c>
    </row>
    <row r="80">
      <c r="A80" s="540" t="n">
        <v>104</v>
      </c>
      <c r="B80" s="540" t="inlineStr">
        <is>
          <t>KQCY0104</t>
        </is>
      </c>
      <c r="C80" s="540" t="inlineStr">
        <is>
          <t>餐饮二分部</t>
        </is>
      </c>
      <c r="D80" s="540" t="inlineStr">
        <is>
          <t>CF363</t>
        </is>
      </c>
      <c r="E80" s="540" t="inlineStr">
        <is>
          <t>南通大学启东校区</t>
        </is>
      </c>
      <c r="F80" s="540" t="inlineStr">
        <is>
          <t>分组作业</t>
        </is>
      </c>
      <c r="G80" s="540" t="inlineStr">
        <is>
          <t>郑虎</t>
        </is>
      </c>
      <c r="H80" s="540" t="inlineStr">
        <is>
          <t>第十班组</t>
        </is>
      </c>
      <c r="I80" s="540" t="inlineStr">
        <is>
          <t>猪肚鸡瓦罐汤套餐</t>
        </is>
      </c>
      <c r="J80" s="540" t="inlineStr">
        <is>
          <t>翟林璐</t>
        </is>
      </c>
    </row>
    <row r="81">
      <c r="A81" s="540" t="n">
        <v>105</v>
      </c>
      <c r="B81" s="540" t="inlineStr">
        <is>
          <t>KQCY0105</t>
        </is>
      </c>
      <c r="C81" s="540" t="inlineStr">
        <is>
          <t>餐饮二分部</t>
        </is>
      </c>
      <c r="D81" s="540" t="inlineStr">
        <is>
          <t>CF363</t>
        </is>
      </c>
      <c r="E81" s="540" t="inlineStr">
        <is>
          <t>南通大学启东校区</t>
        </is>
      </c>
      <c r="F81" s="540" t="inlineStr">
        <is>
          <t>分组作业</t>
        </is>
      </c>
      <c r="G81" s="540" t="inlineStr">
        <is>
          <t>郑虎</t>
        </is>
      </c>
      <c r="H81" s="540" t="inlineStr">
        <is>
          <t>第十一班组</t>
        </is>
      </c>
      <c r="I81" s="540" t="inlineStr">
        <is>
          <t>汉堡小锅现炒</t>
        </is>
      </c>
      <c r="J81" s="540" t="inlineStr">
        <is>
          <t>韩荣荣</t>
        </is>
      </c>
    </row>
    <row r="82">
      <c r="A82" s="540" t="n">
        <v>106</v>
      </c>
      <c r="B82" s="540" t="inlineStr">
        <is>
          <t>KQCY0106</t>
        </is>
      </c>
      <c r="C82" s="540" t="inlineStr">
        <is>
          <t>餐饮二分部</t>
        </is>
      </c>
      <c r="D82" s="540" t="inlineStr">
        <is>
          <t>CF363</t>
        </is>
      </c>
      <c r="E82" s="540" t="inlineStr">
        <is>
          <t>南通大学启东校区</t>
        </is>
      </c>
      <c r="F82" s="540" t="inlineStr">
        <is>
          <t>分组作业</t>
        </is>
      </c>
      <c r="G82" s="540" t="inlineStr">
        <is>
          <t>郑虎</t>
        </is>
      </c>
      <c r="H82" s="540" t="inlineStr">
        <is>
          <t>第十二班组</t>
        </is>
      </c>
      <c r="I82" s="540" t="inlineStr">
        <is>
          <t>铁板炒饭</t>
        </is>
      </c>
      <c r="J82" s="540" t="inlineStr">
        <is>
          <t>王志河</t>
        </is>
      </c>
    </row>
    <row r="83">
      <c r="A83" s="540" t="n">
        <v>107</v>
      </c>
      <c r="B83" s="540" t="inlineStr">
        <is>
          <t>KQCY0107</t>
        </is>
      </c>
      <c r="C83" s="540" t="inlineStr">
        <is>
          <t>餐饮二分部</t>
        </is>
      </c>
      <c r="D83" s="540" t="inlineStr">
        <is>
          <t>CF160</t>
        </is>
      </c>
      <c r="E83" s="540" t="inlineStr">
        <is>
          <t>高新区实验高中食堂(金山路校区)</t>
        </is>
      </c>
      <c r="F83" s="540" t="inlineStr">
        <is>
          <t>人员服务外包</t>
        </is>
      </c>
      <c r="G83" s="540" t="inlineStr">
        <is>
          <t>陈晨</t>
        </is>
      </c>
      <c r="H83" s="540" t="inlineStr">
        <is>
          <t>/</t>
        </is>
      </c>
      <c r="I83" s="540" t="inlineStr">
        <is>
          <t>/</t>
        </is>
      </c>
      <c r="J83" s="540" t="inlineStr">
        <is>
          <t>/</t>
        </is>
      </c>
    </row>
    <row r="84">
      <c r="A84" s="540" t="n">
        <v>108</v>
      </c>
      <c r="B84" s="540" t="inlineStr">
        <is>
          <t>KQCY0108</t>
        </is>
      </c>
      <c r="C84" s="540" t="inlineStr">
        <is>
          <t>餐饮二分部</t>
        </is>
      </c>
      <c r="D84" s="540" t="inlineStr">
        <is>
          <t>CF174</t>
        </is>
      </c>
      <c r="E84" s="540" t="inlineStr">
        <is>
          <t>高新区实验高中食堂(科技城校区)</t>
        </is>
      </c>
      <c r="F84" s="540" t="inlineStr">
        <is>
          <t>人员服务外包</t>
        </is>
      </c>
      <c r="G84" s="540" t="inlineStr">
        <is>
          <t>陈晨</t>
        </is>
      </c>
      <c r="H84" s="540" t="inlineStr">
        <is>
          <t>/</t>
        </is>
      </c>
      <c r="I84" s="540" t="inlineStr">
        <is>
          <t>/</t>
        </is>
      </c>
      <c r="J84" s="540" t="inlineStr">
        <is>
          <t>/</t>
        </is>
      </c>
    </row>
    <row r="85">
      <c r="A85" s="540" t="n">
        <v>109</v>
      </c>
      <c r="B85" s="540" t="inlineStr">
        <is>
          <t>KQCY0109</t>
        </is>
      </c>
      <c r="C85" s="540" t="inlineStr">
        <is>
          <t>餐饮二分部</t>
        </is>
      </c>
      <c r="D85" s="540" t="inlineStr">
        <is>
          <t>CF175</t>
        </is>
      </c>
      <c r="E85" s="540" t="inlineStr">
        <is>
          <t>高新区实验初中食堂(金山路校区)</t>
        </is>
      </c>
      <c r="F85" s="540" t="inlineStr">
        <is>
          <t>人员服务外包</t>
        </is>
      </c>
      <c r="G85" s="540" t="inlineStr">
        <is>
          <t>陈晨</t>
        </is>
      </c>
      <c r="H85" s="540" t="inlineStr">
        <is>
          <t>/</t>
        </is>
      </c>
      <c r="I85" s="540" t="inlineStr">
        <is>
          <t>/</t>
        </is>
      </c>
      <c r="J85" s="540" t="inlineStr">
        <is>
          <t>/</t>
        </is>
      </c>
    </row>
    <row r="86">
      <c r="A86" s="540" t="n">
        <v>110</v>
      </c>
      <c r="B86" s="540" t="inlineStr">
        <is>
          <t>KQCY0110</t>
        </is>
      </c>
      <c r="C86" s="540" t="inlineStr">
        <is>
          <t>餐饮二分部</t>
        </is>
      </c>
      <c r="D86" s="540" t="inlineStr">
        <is>
          <t>CF177</t>
        </is>
      </c>
      <c r="E86" s="540" t="inlineStr">
        <is>
          <t>高新区实验初中食堂(锦峰路校区)</t>
        </is>
      </c>
      <c r="F86" s="540" t="inlineStr">
        <is>
          <t>人员服务外包</t>
        </is>
      </c>
      <c r="G86" s="540" t="inlineStr">
        <is>
          <t>陈晨</t>
        </is>
      </c>
      <c r="H86" s="540" t="inlineStr">
        <is>
          <t>/</t>
        </is>
      </c>
      <c r="I86" s="540" t="inlineStr">
        <is>
          <t>/</t>
        </is>
      </c>
      <c r="J86" s="540" t="inlineStr">
        <is>
          <t>/</t>
        </is>
      </c>
    </row>
    <row r="87">
      <c r="A87" s="540" t="n">
        <v>111</v>
      </c>
      <c r="B87" s="540" t="inlineStr">
        <is>
          <t>KQCY0111</t>
        </is>
      </c>
      <c r="C87" s="540" t="inlineStr">
        <is>
          <t>餐饮二分部</t>
        </is>
      </c>
      <c r="D87" s="540" t="inlineStr">
        <is>
          <t>CF173</t>
        </is>
      </c>
      <c r="E87" s="540" t="inlineStr">
        <is>
          <t>高新区一中食堂（汾湖路校区）</t>
        </is>
      </c>
      <c r="F87" s="540" t="inlineStr">
        <is>
          <t>人员服务外包</t>
        </is>
      </c>
      <c r="G87" s="540" t="inlineStr">
        <is>
          <t>陈晨</t>
        </is>
      </c>
      <c r="H87" s="540" t="inlineStr">
        <is>
          <t>/</t>
        </is>
      </c>
      <c r="I87" s="540" t="inlineStr">
        <is>
          <t>/</t>
        </is>
      </c>
      <c r="J87" s="540" t="inlineStr">
        <is>
          <t>/</t>
        </is>
      </c>
    </row>
    <row r="88">
      <c r="A88" s="540" t="n">
        <v>112</v>
      </c>
      <c r="B88" s="540" t="inlineStr">
        <is>
          <t>KQCY0112</t>
        </is>
      </c>
      <c r="C88" s="540" t="inlineStr">
        <is>
          <t>餐饮二分部</t>
        </is>
      </c>
      <c r="D88" s="540" t="inlineStr">
        <is>
          <t>CF179</t>
        </is>
      </c>
      <c r="E88" s="540" t="inlineStr">
        <is>
          <t>高新区一中食堂（科技城校区）</t>
        </is>
      </c>
      <c r="F88" s="540" t="inlineStr">
        <is>
          <t>人员服务外包</t>
        </is>
      </c>
      <c r="G88" s="540" t="inlineStr">
        <is>
          <t>陈晨</t>
        </is>
      </c>
      <c r="H88" s="540" t="inlineStr">
        <is>
          <t>/</t>
        </is>
      </c>
      <c r="I88" s="540" t="inlineStr">
        <is>
          <t>/</t>
        </is>
      </c>
      <c r="J88" s="540" t="inlineStr">
        <is>
          <t>/</t>
        </is>
      </c>
    </row>
    <row r="89">
      <c r="A89" s="540" t="n">
        <v>113</v>
      </c>
      <c r="B89" s="540" t="inlineStr">
        <is>
          <t>KQCY0113</t>
        </is>
      </c>
      <c r="C89" s="540" t="inlineStr">
        <is>
          <t>餐饮二分部</t>
        </is>
      </c>
      <c r="D89" s="540" t="inlineStr">
        <is>
          <t>CF180</t>
        </is>
      </c>
      <c r="E89" s="540" t="inlineStr">
        <is>
          <t>高新区一初中食堂（珠江路校区）</t>
        </is>
      </c>
      <c r="F89" s="540" t="inlineStr">
        <is>
          <t>人员服务外包</t>
        </is>
      </c>
      <c r="G89" s="540" t="inlineStr">
        <is>
          <t>陈晨</t>
        </is>
      </c>
      <c r="H89" s="540" t="inlineStr">
        <is>
          <t>/</t>
        </is>
      </c>
      <c r="I89" s="540" t="inlineStr">
        <is>
          <t>/</t>
        </is>
      </c>
      <c r="J89" s="540" t="inlineStr">
        <is>
          <t>/</t>
        </is>
      </c>
    </row>
    <row r="90">
      <c r="A90" s="540" t="n">
        <v>114</v>
      </c>
      <c r="B90" s="540" t="inlineStr">
        <is>
          <t>KQCY0114</t>
        </is>
      </c>
      <c r="C90" s="540" t="inlineStr">
        <is>
          <t>餐饮二分部</t>
        </is>
      </c>
      <c r="D90" s="540" t="inlineStr">
        <is>
          <t>CF183</t>
        </is>
      </c>
      <c r="E90" s="540" t="inlineStr">
        <is>
          <t>中医科苏州新校区食堂</t>
        </is>
      </c>
      <c r="F90" s="540" t="inlineStr">
        <is>
          <t>人员服务外包</t>
        </is>
      </c>
      <c r="G90" s="540" t="inlineStr">
        <is>
          <t>徐敏捷</t>
        </is>
      </c>
      <c r="H90" s="540" t="inlineStr">
        <is>
          <t>/</t>
        </is>
      </c>
      <c r="I90" s="540" t="inlineStr">
        <is>
          <t>/</t>
        </is>
      </c>
      <c r="J90" s="540" t="inlineStr">
        <is>
          <t>/</t>
        </is>
      </c>
    </row>
    <row r="91">
      <c r="A91" s="540" t="n">
        <v>117</v>
      </c>
      <c r="B91" s="540" t="inlineStr">
        <is>
          <t>KQCY0117</t>
        </is>
      </c>
      <c r="C91" s="540" t="inlineStr">
        <is>
          <t>餐饮二分部</t>
        </is>
      </c>
      <c r="D91" s="540" t="inlineStr">
        <is>
          <t>CF450</t>
        </is>
      </c>
      <c r="E91" s="540" t="inlineStr">
        <is>
          <t>天津大学学二食堂</t>
        </is>
      </c>
      <c r="F91" s="540" t="inlineStr">
        <is>
          <t>强责</t>
        </is>
      </c>
      <c r="G91" s="540" t="inlineStr">
        <is>
          <t>徐敏捷</t>
        </is>
      </c>
      <c r="H91" s="540" t="inlineStr">
        <is>
          <t>/</t>
        </is>
      </c>
      <c r="I91" s="540" t="inlineStr">
        <is>
          <t>馄饨（轻食）</t>
        </is>
      </c>
      <c r="J91" s="540" t="inlineStr">
        <is>
          <t>李佳玉</t>
        </is>
      </c>
    </row>
    <row r="92">
      <c r="A92" s="540" t="n">
        <v>118</v>
      </c>
      <c r="B92" s="540" t="inlineStr">
        <is>
          <t>KQCY0118</t>
        </is>
      </c>
      <c r="C92" s="540" t="inlineStr">
        <is>
          <t>餐饮二分部</t>
        </is>
      </c>
      <c r="D92" s="540" t="inlineStr">
        <is>
          <t>CF450</t>
        </is>
      </c>
      <c r="E92" s="540" t="inlineStr">
        <is>
          <t>天津大学学二食堂</t>
        </is>
      </c>
      <c r="F92" s="540" t="inlineStr">
        <is>
          <t>强责</t>
        </is>
      </c>
      <c r="G92" s="540" t="inlineStr">
        <is>
          <t>徐敏捷</t>
        </is>
      </c>
      <c r="H92" s="540" t="inlineStr">
        <is>
          <t>/</t>
        </is>
      </c>
      <c r="I92" s="540" t="inlineStr">
        <is>
          <t>面夫子</t>
        </is>
      </c>
      <c r="J92" s="540" t="inlineStr">
        <is>
          <t>刘魁</t>
        </is>
      </c>
    </row>
    <row r="93">
      <c r="A93" s="540" t="n">
        <v>119</v>
      </c>
      <c r="B93" s="540" t="inlineStr">
        <is>
          <t>KQCY0119</t>
        </is>
      </c>
      <c r="C93" s="540" t="inlineStr">
        <is>
          <t>餐饮二分部</t>
        </is>
      </c>
      <c r="D93" s="540" t="inlineStr">
        <is>
          <t>CF450</t>
        </is>
      </c>
      <c r="E93" s="540" t="inlineStr">
        <is>
          <t>天津大学学二食堂</t>
        </is>
      </c>
      <c r="F93" s="540" t="inlineStr">
        <is>
          <t>强责</t>
        </is>
      </c>
      <c r="G93" s="540" t="inlineStr">
        <is>
          <t>徐敏捷</t>
        </is>
      </c>
      <c r="H93" s="540" t="inlineStr">
        <is>
          <t>/</t>
        </is>
      </c>
      <c r="I93" s="540" t="inlineStr">
        <is>
          <t>滑蛋饭</t>
        </is>
      </c>
      <c r="J93" s="540" t="inlineStr">
        <is>
          <t>李保</t>
        </is>
      </c>
    </row>
    <row r="94">
      <c r="A94" s="540" t="n">
        <v>120</v>
      </c>
      <c r="B94" s="540" t="inlineStr">
        <is>
          <t>KQCY0120</t>
        </is>
      </c>
      <c r="C94" s="540" t="inlineStr">
        <is>
          <t>餐饮二分部</t>
        </is>
      </c>
      <c r="D94" s="540" t="inlineStr">
        <is>
          <t>CF450</t>
        </is>
      </c>
      <c r="E94" s="540" t="inlineStr">
        <is>
          <t>天津大学学二食堂</t>
        </is>
      </c>
      <c r="F94" s="540" t="inlineStr">
        <is>
          <t>强责</t>
        </is>
      </c>
      <c r="G94" s="540" t="inlineStr">
        <is>
          <t>徐敏捷</t>
        </is>
      </c>
      <c r="H94" s="540" t="inlineStr">
        <is>
          <t>/</t>
        </is>
      </c>
      <c r="I94" s="540" t="inlineStr">
        <is>
          <t>基本伙窗口</t>
        </is>
      </c>
      <c r="J94" s="540" t="inlineStr">
        <is>
          <t>孟祥东</t>
        </is>
      </c>
    </row>
    <row r="95">
      <c r="A95" s="540" t="n">
        <v>121</v>
      </c>
      <c r="B95" s="540" t="inlineStr">
        <is>
          <t>KQCY0121</t>
        </is>
      </c>
      <c r="C95" s="540" t="inlineStr">
        <is>
          <t>餐饮二分部</t>
        </is>
      </c>
      <c r="D95" s="540" t="inlineStr">
        <is>
          <t>CF450</t>
        </is>
      </c>
      <c r="E95" s="540" t="inlineStr">
        <is>
          <t>天津大学学二食堂</t>
        </is>
      </c>
      <c r="F95" s="540" t="inlineStr">
        <is>
          <t>强责</t>
        </is>
      </c>
      <c r="G95" s="540" t="inlineStr">
        <is>
          <t>徐敏捷</t>
        </is>
      </c>
      <c r="H95" s="540" t="inlineStr">
        <is>
          <t>/</t>
        </is>
      </c>
      <c r="I95" s="540" t="inlineStr">
        <is>
          <t>小卖部</t>
        </is>
      </c>
      <c r="J95" s="540" t="inlineStr">
        <is>
          <t>张玉珠</t>
        </is>
      </c>
    </row>
    <row r="96">
      <c r="A96" s="540" t="n">
        <v>122</v>
      </c>
      <c r="B96" s="540" t="inlineStr">
        <is>
          <t>KQCY0122</t>
        </is>
      </c>
      <c r="C96" s="540" t="inlineStr">
        <is>
          <t>餐饮二分部</t>
        </is>
      </c>
      <c r="D96" s="540" t="inlineStr">
        <is>
          <t>CF450</t>
        </is>
      </c>
      <c r="E96" s="540" t="inlineStr">
        <is>
          <t>天津大学学二食堂</t>
        </is>
      </c>
      <c r="F96" s="540" t="inlineStr">
        <is>
          <t>强责</t>
        </is>
      </c>
      <c r="G96" s="540" t="inlineStr">
        <is>
          <t>徐敏捷</t>
        </is>
      </c>
      <c r="H96" s="540" t="inlineStr">
        <is>
          <t>/</t>
        </is>
      </c>
      <c r="I96" s="540" t="inlineStr">
        <is>
          <t>黄焖鸡</t>
        </is>
      </c>
      <c r="J96" s="540" t="inlineStr">
        <is>
          <t>蒋彩云</t>
        </is>
      </c>
    </row>
    <row r="97">
      <c r="A97" s="540" t="n">
        <v>123</v>
      </c>
      <c r="B97" s="540" t="inlineStr">
        <is>
          <t>KQCY0123</t>
        </is>
      </c>
      <c r="C97" s="540" t="inlineStr">
        <is>
          <t>餐饮二分部</t>
        </is>
      </c>
      <c r="D97" s="540" t="inlineStr">
        <is>
          <t>CF450</t>
        </is>
      </c>
      <c r="E97" s="540" t="inlineStr">
        <is>
          <t>天津大学学二食堂</t>
        </is>
      </c>
      <c r="F97" s="540" t="inlineStr">
        <is>
          <t>强责</t>
        </is>
      </c>
      <c r="G97" s="540" t="inlineStr">
        <is>
          <t>徐敏捷</t>
        </is>
      </c>
      <c r="H97" s="540" t="inlineStr">
        <is>
          <t>/</t>
        </is>
      </c>
      <c r="I97" s="540" t="inlineStr">
        <is>
          <t>南方面条</t>
        </is>
      </c>
      <c r="J97" s="540" t="inlineStr">
        <is>
          <t>孟祥东</t>
        </is>
      </c>
    </row>
    <row r="98">
      <c r="A98" s="540" t="n">
        <v>124</v>
      </c>
      <c r="B98" s="540" t="inlineStr">
        <is>
          <t>KQCY0124</t>
        </is>
      </c>
      <c r="C98" s="540" t="inlineStr">
        <is>
          <t>餐饮二分部</t>
        </is>
      </c>
      <c r="D98" s="540" t="inlineStr">
        <is>
          <t>CF450</t>
        </is>
      </c>
      <c r="E98" s="540" t="inlineStr">
        <is>
          <t>天津大学学二食堂</t>
        </is>
      </c>
      <c r="F98" s="540" t="inlineStr">
        <is>
          <t>强责</t>
        </is>
      </c>
      <c r="G98" s="540" t="inlineStr">
        <is>
          <t>徐敏捷</t>
        </is>
      </c>
      <c r="H98" s="540" t="inlineStr">
        <is>
          <t>/</t>
        </is>
      </c>
      <c r="I98" s="540" t="inlineStr">
        <is>
          <t>饸饹面</t>
        </is>
      </c>
      <c r="J98" s="540" t="inlineStr">
        <is>
          <t>要志远</t>
        </is>
      </c>
    </row>
    <row r="99">
      <c r="A99" s="540" t="n">
        <v>125</v>
      </c>
      <c r="B99" s="540" t="inlineStr">
        <is>
          <t>KQCY0125</t>
        </is>
      </c>
      <c r="C99" s="540" t="inlineStr">
        <is>
          <t>餐饮二分部</t>
        </is>
      </c>
      <c r="D99" s="540" t="inlineStr">
        <is>
          <t>CF450</t>
        </is>
      </c>
      <c r="E99" s="540" t="inlineStr">
        <is>
          <t>天津大学学二食堂</t>
        </is>
      </c>
      <c r="F99" s="540" t="inlineStr">
        <is>
          <t>强责</t>
        </is>
      </c>
      <c r="G99" s="540" t="inlineStr">
        <is>
          <t>徐敏捷</t>
        </is>
      </c>
      <c r="H99" s="540" t="inlineStr">
        <is>
          <t>/</t>
        </is>
      </c>
      <c r="I99" s="540" t="inlineStr">
        <is>
          <t>麻辣烫</t>
        </is>
      </c>
      <c r="J99" s="540" t="inlineStr">
        <is>
          <t>孟迪</t>
        </is>
      </c>
    </row>
    <row r="100">
      <c r="A100" s="540" t="n">
        <v>126</v>
      </c>
      <c r="B100" s="540" t="inlineStr">
        <is>
          <t>KQCY0126</t>
        </is>
      </c>
      <c r="C100" s="540" t="inlineStr">
        <is>
          <t>餐饮二分部</t>
        </is>
      </c>
      <c r="D100" s="540" t="inlineStr">
        <is>
          <t>CF450</t>
        </is>
      </c>
      <c r="E100" s="540" t="inlineStr">
        <is>
          <t>天津大学学二食堂</t>
        </is>
      </c>
      <c r="F100" s="540" t="inlineStr">
        <is>
          <t>强责</t>
        </is>
      </c>
      <c r="G100" s="540" t="inlineStr">
        <is>
          <t>徐敏捷</t>
        </is>
      </c>
      <c r="H100" s="540" t="inlineStr">
        <is>
          <t>/</t>
        </is>
      </c>
      <c r="I100" s="540" t="inlineStr">
        <is>
          <t>烤鸭饭</t>
        </is>
      </c>
      <c r="J100" s="540" t="inlineStr">
        <is>
          <t>董子帅</t>
        </is>
      </c>
    </row>
    <row r="101">
      <c r="A101" s="540" t="n">
        <v>127</v>
      </c>
      <c r="B101" s="540" t="inlineStr">
        <is>
          <t>KQCY0127</t>
        </is>
      </c>
      <c r="C101" s="540" t="inlineStr">
        <is>
          <t>餐饮二分部</t>
        </is>
      </c>
      <c r="D101" s="540" t="inlineStr">
        <is>
          <t>CF450</t>
        </is>
      </c>
      <c r="E101" s="540" t="inlineStr">
        <is>
          <t>天津大学学二食堂</t>
        </is>
      </c>
      <c r="F101" s="540" t="inlineStr">
        <is>
          <t>强责</t>
        </is>
      </c>
      <c r="G101" s="540" t="inlineStr">
        <is>
          <t>徐敏捷</t>
        </is>
      </c>
      <c r="H101" s="540" t="inlineStr">
        <is>
          <t>/</t>
        </is>
      </c>
      <c r="I101" s="540" t="inlineStr">
        <is>
          <t>真有面</t>
        </is>
      </c>
      <c r="J101" s="540" t="inlineStr">
        <is>
          <t>尹细老</t>
        </is>
      </c>
    </row>
    <row r="102">
      <c r="A102" s="540" t="n">
        <v>128</v>
      </c>
      <c r="B102" s="540" t="inlineStr">
        <is>
          <t>KQCY0128</t>
        </is>
      </c>
      <c r="C102" s="540" t="inlineStr">
        <is>
          <t>餐饮二分部</t>
        </is>
      </c>
      <c r="D102" s="540" t="inlineStr">
        <is>
          <t>CF450</t>
        </is>
      </c>
      <c r="E102" s="540" t="inlineStr">
        <is>
          <t>天津大学学二食堂</t>
        </is>
      </c>
      <c r="F102" s="540" t="inlineStr">
        <is>
          <t>强责</t>
        </is>
      </c>
      <c r="G102" s="540" t="inlineStr">
        <is>
          <t>徐敏捷</t>
        </is>
      </c>
      <c r="H102" s="540" t="inlineStr">
        <is>
          <t>/</t>
        </is>
      </c>
      <c r="I102" s="540" t="inlineStr">
        <is>
          <t>云南生烫米线</t>
        </is>
      </c>
      <c r="J102" s="540" t="inlineStr">
        <is>
          <t>由俊楠</t>
        </is>
      </c>
    </row>
    <row r="103">
      <c r="A103" s="540" t="n">
        <v>129</v>
      </c>
      <c r="B103" s="540" t="inlineStr">
        <is>
          <t>KQCY0129</t>
        </is>
      </c>
      <c r="C103" s="540" t="inlineStr">
        <is>
          <t>餐饮二分部</t>
        </is>
      </c>
      <c r="D103" s="540" t="inlineStr">
        <is>
          <t>CF513</t>
        </is>
      </c>
      <c r="E103" s="540" t="inlineStr">
        <is>
          <t>天津大学学三食堂</t>
        </is>
      </c>
      <c r="F103" s="540" t="inlineStr">
        <is>
          <t>人员服务外包</t>
        </is>
      </c>
      <c r="G103" s="540" t="inlineStr">
        <is>
          <t>徐敏捷</t>
        </is>
      </c>
      <c r="H103" s="540" t="inlineStr">
        <is>
          <t>/</t>
        </is>
      </c>
      <c r="I103" s="540" t="inlineStr">
        <is>
          <t>/</t>
        </is>
      </c>
      <c r="J103" s="540" t="inlineStr">
        <is>
          <t>/</t>
        </is>
      </c>
    </row>
    <row r="104">
      <c r="A104" s="540" t="n">
        <v>130</v>
      </c>
      <c r="B104" s="540" t="inlineStr">
        <is>
          <t>KQCY0130</t>
        </is>
      </c>
      <c r="C104" s="540" t="inlineStr">
        <is>
          <t>餐饮二分部</t>
        </is>
      </c>
      <c r="D104" s="540" t="inlineStr">
        <is>
          <t>CF453</t>
        </is>
      </c>
      <c r="E104" s="540" t="inlineStr">
        <is>
          <t>天津大学学四食堂</t>
        </is>
      </c>
      <c r="F104" s="540" t="inlineStr">
        <is>
          <t>人员服务外包</t>
        </is>
      </c>
      <c r="G104" s="540" t="inlineStr">
        <is>
          <t>徐敏捷</t>
        </is>
      </c>
      <c r="H104" s="540" t="inlineStr">
        <is>
          <t>/</t>
        </is>
      </c>
      <c r="I104" s="540" t="inlineStr">
        <is>
          <t>/</t>
        </is>
      </c>
      <c r="J104" s="540" t="inlineStr">
        <is>
          <t>/</t>
        </is>
      </c>
    </row>
    <row r="105">
      <c r="A105" s="540" t="n">
        <v>131</v>
      </c>
      <c r="B105" s="540" t="inlineStr">
        <is>
          <t>KQCY0131</t>
        </is>
      </c>
      <c r="C105" s="540" t="inlineStr">
        <is>
          <t>餐饮三分部</t>
        </is>
      </c>
      <c r="D105" s="540" t="inlineStr">
        <is>
          <t>CF190</t>
        </is>
      </c>
      <c r="E105" s="540" t="inlineStr">
        <is>
          <t>苏旅财食堂</t>
        </is>
      </c>
      <c r="F105" s="540" t="inlineStr">
        <is>
          <t>人员服务外包</t>
        </is>
      </c>
      <c r="G105" s="540" t="inlineStr">
        <is>
          <t>郑虎</t>
        </is>
      </c>
      <c r="H105" s="540" t="inlineStr">
        <is>
          <t>/</t>
        </is>
      </c>
      <c r="I105" s="540" t="inlineStr">
        <is>
          <t>/</t>
        </is>
      </c>
      <c r="J105" s="540" t="inlineStr">
        <is>
          <t>/</t>
        </is>
      </c>
    </row>
    <row r="106">
      <c r="A106" s="540" t="n">
        <v>132</v>
      </c>
      <c r="B106" s="540" t="inlineStr">
        <is>
          <t>KQCY0132</t>
        </is>
      </c>
      <c r="C106" s="540" t="inlineStr">
        <is>
          <t>餐饮三分部</t>
        </is>
      </c>
      <c r="D106" s="540" t="inlineStr">
        <is>
          <t>CF190</t>
        </is>
      </c>
      <c r="E106" s="540" t="inlineStr">
        <is>
          <t>苏旅财食堂</t>
        </is>
      </c>
      <c r="F106" s="540" t="inlineStr">
        <is>
          <t>人员服务外包</t>
        </is>
      </c>
      <c r="G106" s="540" t="inlineStr">
        <is>
          <t>郑虎</t>
        </is>
      </c>
      <c r="H106" s="540" t="inlineStr">
        <is>
          <t>第一班组</t>
        </is>
      </c>
      <c r="I106" s="540" t="inlineStr">
        <is>
          <t>苏式汤面</t>
        </is>
      </c>
      <c r="J106" s="540" t="inlineStr">
        <is>
          <t>闵晓均</t>
        </is>
      </c>
    </row>
    <row r="107">
      <c r="A107" s="540" t="n">
        <v>133</v>
      </c>
      <c r="B107" s="540" t="inlineStr">
        <is>
          <t>KQCY0133</t>
        </is>
      </c>
      <c r="C107" s="540" t="inlineStr">
        <is>
          <t>餐饮三分部</t>
        </is>
      </c>
      <c r="D107" s="540" t="inlineStr">
        <is>
          <t>CF190</t>
        </is>
      </c>
      <c r="E107" s="540" t="inlineStr">
        <is>
          <t>苏旅财食堂</t>
        </is>
      </c>
      <c r="F107" s="540" t="inlineStr">
        <is>
          <t>人员服务外包</t>
        </is>
      </c>
      <c r="G107" s="540" t="inlineStr">
        <is>
          <t>郑虎</t>
        </is>
      </c>
      <c r="H107" s="540" t="inlineStr">
        <is>
          <t>第二班组</t>
        </is>
      </c>
      <c r="I107" s="540" t="inlineStr">
        <is>
          <t>铁板砂锅</t>
        </is>
      </c>
      <c r="J107" s="540" t="inlineStr">
        <is>
          <t>付鹏亮</t>
        </is>
      </c>
    </row>
    <row r="108">
      <c r="A108" s="540" t="n">
        <v>134</v>
      </c>
      <c r="B108" s="540" t="inlineStr">
        <is>
          <t>KQCY0134</t>
        </is>
      </c>
      <c r="C108" s="540" t="inlineStr">
        <is>
          <t>餐饮三分部</t>
        </is>
      </c>
      <c r="D108" s="540" t="inlineStr">
        <is>
          <t>CF190</t>
        </is>
      </c>
      <c r="E108" s="540" t="inlineStr">
        <is>
          <t>苏旅财食堂</t>
        </is>
      </c>
      <c r="F108" s="540" t="inlineStr">
        <is>
          <t>人员服务外包</t>
        </is>
      </c>
      <c r="G108" s="540" t="inlineStr">
        <is>
          <t>郑虎</t>
        </is>
      </c>
      <c r="H108" s="540" t="inlineStr">
        <is>
          <t>第三班组</t>
        </is>
      </c>
      <c r="I108" s="540" t="inlineStr">
        <is>
          <t>石锅拌饭</t>
        </is>
      </c>
      <c r="J108" s="540" t="inlineStr">
        <is>
          <t>于红艳</t>
        </is>
      </c>
    </row>
    <row r="109">
      <c r="A109" s="540" t="n">
        <v>135</v>
      </c>
      <c r="B109" s="540" t="inlineStr">
        <is>
          <t>KQCY0135</t>
        </is>
      </c>
      <c r="C109" s="540" t="inlineStr">
        <is>
          <t>餐饮三分部</t>
        </is>
      </c>
      <c r="D109" s="540" t="inlineStr">
        <is>
          <t>CF190</t>
        </is>
      </c>
      <c r="E109" s="540" t="inlineStr">
        <is>
          <t>苏旅财食堂</t>
        </is>
      </c>
      <c r="F109" s="540" t="inlineStr">
        <is>
          <t>人员服务外包</t>
        </is>
      </c>
      <c r="G109" s="540" t="inlineStr">
        <is>
          <t>郑虎</t>
        </is>
      </c>
      <c r="H109" s="540" t="inlineStr">
        <is>
          <t>第四班组</t>
        </is>
      </c>
      <c r="I109" s="540" t="inlineStr">
        <is>
          <t>杂粮煎饼</t>
        </is>
      </c>
      <c r="J109" s="540" t="inlineStr">
        <is>
          <t>李右华</t>
        </is>
      </c>
    </row>
    <row r="110">
      <c r="A110" s="540" t="n">
        <v>136</v>
      </c>
      <c r="B110" s="540" t="inlineStr">
        <is>
          <t>KQCY0136</t>
        </is>
      </c>
      <c r="C110" s="540" t="inlineStr">
        <is>
          <t>餐饮三分部</t>
        </is>
      </c>
      <c r="D110" s="540" t="inlineStr">
        <is>
          <t>CF190</t>
        </is>
      </c>
      <c r="E110" s="540" t="inlineStr">
        <is>
          <t>苏旅财食堂</t>
        </is>
      </c>
      <c r="F110" s="540" t="inlineStr">
        <is>
          <t>人员服务外包</t>
        </is>
      </c>
      <c r="G110" s="540" t="inlineStr">
        <is>
          <t>郑虎</t>
        </is>
      </c>
      <c r="H110" s="540" t="inlineStr">
        <is>
          <t>第五班组</t>
        </is>
      </c>
      <c r="I110" s="540" t="inlineStr">
        <is>
          <t>水饺</t>
        </is>
      </c>
      <c r="J110" s="540" t="inlineStr">
        <is>
          <t>汪于超</t>
        </is>
      </c>
    </row>
    <row r="111">
      <c r="A111" s="540" t="n">
        <v>137</v>
      </c>
      <c r="B111" s="540" t="inlineStr">
        <is>
          <t>KQCY0137</t>
        </is>
      </c>
      <c r="C111" s="540" t="inlineStr">
        <is>
          <t>餐饮三分部</t>
        </is>
      </c>
      <c r="D111" s="540" t="inlineStr">
        <is>
          <t>CF190</t>
        </is>
      </c>
      <c r="E111" s="540" t="inlineStr">
        <is>
          <t>苏旅财食堂</t>
        </is>
      </c>
      <c r="F111" s="540" t="inlineStr">
        <is>
          <t>人员服务外包</t>
        </is>
      </c>
      <c r="G111" s="540" t="inlineStr">
        <is>
          <t>郑虎</t>
        </is>
      </c>
      <c r="H111" s="540" t="inlineStr">
        <is>
          <t>第六班组</t>
        </is>
      </c>
      <c r="I111" s="540" t="inlineStr">
        <is>
          <t>奶茶汉堡</t>
        </is>
      </c>
      <c r="J111" s="540" t="inlineStr">
        <is>
          <t>吕鹏飞</t>
        </is>
      </c>
    </row>
    <row r="112">
      <c r="A112" s="540" t="n">
        <v>138</v>
      </c>
      <c r="B112" s="540" t="inlineStr">
        <is>
          <t>KQCY0138</t>
        </is>
      </c>
      <c r="C112" s="540" t="inlineStr">
        <is>
          <t>餐饮三分部</t>
        </is>
      </c>
      <c r="D112" s="540" t="inlineStr">
        <is>
          <t>CF190</t>
        </is>
      </c>
      <c r="E112" s="540" t="inlineStr">
        <is>
          <t>苏旅财食堂</t>
        </is>
      </c>
      <c r="F112" s="540" t="inlineStr">
        <is>
          <t>人员服务外包</t>
        </is>
      </c>
      <c r="G112" s="540" t="inlineStr">
        <is>
          <t>郑虎</t>
        </is>
      </c>
      <c r="H112" s="540" t="inlineStr">
        <is>
          <t>第七班组</t>
        </is>
      </c>
      <c r="I112" s="540" t="inlineStr">
        <is>
          <t>麻辣烫</t>
        </is>
      </c>
      <c r="J112" s="540" t="inlineStr">
        <is>
          <t>袁吉</t>
        </is>
      </c>
    </row>
    <row r="113">
      <c r="A113" s="540" t="n">
        <v>140</v>
      </c>
      <c r="B113" s="540" t="inlineStr">
        <is>
          <t>KQCY0140</t>
        </is>
      </c>
      <c r="C113" s="540" t="inlineStr">
        <is>
          <t>餐饮三分部</t>
        </is>
      </c>
      <c r="D113" s="540" t="inlineStr">
        <is>
          <t>CF276</t>
        </is>
      </c>
      <c r="E113" s="540" t="inlineStr">
        <is>
          <t>苏州经贸二食堂</t>
        </is>
      </c>
      <c r="F113" s="540" t="inlineStr">
        <is>
          <t>分组作业</t>
        </is>
      </c>
      <c r="G113" s="540" t="inlineStr">
        <is>
          <t>郑虎</t>
        </is>
      </c>
      <c r="H113" s="540" t="inlineStr">
        <is>
          <t>第一班组</t>
        </is>
      </c>
      <c r="I113" s="540" t="inlineStr">
        <is>
          <t>卤烤套餐饭</t>
        </is>
      </c>
      <c r="J113" s="540" t="inlineStr">
        <is>
          <t>康小伟</t>
        </is>
      </c>
    </row>
    <row r="114">
      <c r="A114" s="540" t="n">
        <v>141</v>
      </c>
      <c r="B114" s="540" t="inlineStr">
        <is>
          <t>KQCY0141</t>
        </is>
      </c>
      <c r="C114" s="540" t="inlineStr">
        <is>
          <t>餐饮三分部</t>
        </is>
      </c>
      <c r="D114" s="540" t="inlineStr">
        <is>
          <t>CF276</t>
        </is>
      </c>
      <c r="E114" s="540" t="inlineStr">
        <is>
          <t>苏州经贸二食堂</t>
        </is>
      </c>
      <c r="F114" s="540" t="inlineStr">
        <is>
          <t>分组作业</t>
        </is>
      </c>
      <c r="G114" s="540" t="inlineStr">
        <is>
          <t>郑虎</t>
        </is>
      </c>
      <c r="H114" s="540" t="inlineStr">
        <is>
          <t>第二班组</t>
        </is>
      </c>
      <c r="I114" s="540" t="inlineStr">
        <is>
          <t>阿满烤鸭</t>
        </is>
      </c>
      <c r="J114" s="540" t="inlineStr">
        <is>
          <t>李嘉康</t>
        </is>
      </c>
    </row>
    <row r="115">
      <c r="A115" s="540" t="n">
        <v>142</v>
      </c>
      <c r="B115" s="540" t="inlineStr">
        <is>
          <t>KQCY0142</t>
        </is>
      </c>
      <c r="C115" s="540" t="inlineStr">
        <is>
          <t>餐饮三分部</t>
        </is>
      </c>
      <c r="D115" s="540" t="inlineStr">
        <is>
          <t>CF276</t>
        </is>
      </c>
      <c r="E115" s="540" t="inlineStr">
        <is>
          <t>苏州经贸二食堂</t>
        </is>
      </c>
      <c r="F115" s="540" t="inlineStr">
        <is>
          <t>分组作业</t>
        </is>
      </c>
      <c r="G115" s="540" t="inlineStr">
        <is>
          <t>郑虎</t>
        </is>
      </c>
      <c r="H115" s="540" t="inlineStr">
        <is>
          <t>第三班组</t>
        </is>
      </c>
      <c r="I115" s="540" t="inlineStr">
        <is>
          <t>鸡公煲</t>
        </is>
      </c>
      <c r="J115" s="540" t="inlineStr">
        <is>
          <t>陈洋</t>
        </is>
      </c>
    </row>
    <row r="116">
      <c r="A116" s="540" t="n">
        <v>143</v>
      </c>
      <c r="B116" s="540" t="inlineStr">
        <is>
          <t>KQCY0143</t>
        </is>
      </c>
      <c r="C116" s="540" t="inlineStr">
        <is>
          <t>餐饮三分部</t>
        </is>
      </c>
      <c r="D116" s="540" t="inlineStr">
        <is>
          <t>CF276</t>
        </is>
      </c>
      <c r="E116" s="540" t="inlineStr">
        <is>
          <t>苏州经贸二食堂</t>
        </is>
      </c>
      <c r="F116" s="540" t="inlineStr">
        <is>
          <t>分组作业</t>
        </is>
      </c>
      <c r="G116" s="540" t="inlineStr">
        <is>
          <t>郑虎</t>
        </is>
      </c>
      <c r="H116" s="540" t="inlineStr">
        <is>
          <t>第四班组</t>
        </is>
      </c>
      <c r="I116" s="540" t="inlineStr">
        <is>
          <t>羊杂面</t>
        </is>
      </c>
      <c r="J116" s="540" t="inlineStr">
        <is>
          <t>赵连财</t>
        </is>
      </c>
    </row>
    <row r="117">
      <c r="A117" s="540" t="n">
        <v>144</v>
      </c>
      <c r="B117" s="540" t="inlineStr">
        <is>
          <t>KQCY0144</t>
        </is>
      </c>
      <c r="C117" s="540" t="inlineStr">
        <is>
          <t>餐饮三分部</t>
        </is>
      </c>
      <c r="D117" s="540" t="inlineStr">
        <is>
          <t>CF276</t>
        </is>
      </c>
      <c r="E117" s="540" t="inlineStr">
        <is>
          <t>苏州经贸二食堂</t>
        </is>
      </c>
      <c r="F117" s="540" t="inlineStr">
        <is>
          <t>分组作业</t>
        </is>
      </c>
      <c r="G117" s="540" t="inlineStr">
        <is>
          <t>郑虎</t>
        </is>
      </c>
      <c r="H117" s="540" t="inlineStr">
        <is>
          <t>第五班组</t>
        </is>
      </c>
      <c r="I117" s="540" t="inlineStr">
        <is>
          <t>汉堡</t>
        </is>
      </c>
      <c r="J117" s="540" t="inlineStr">
        <is>
          <t>邵宁</t>
        </is>
      </c>
    </row>
    <row r="118">
      <c r="A118" s="540" t="n">
        <v>145</v>
      </c>
      <c r="B118" s="540" t="inlineStr">
        <is>
          <t>KQCY0145</t>
        </is>
      </c>
      <c r="C118" s="540" t="inlineStr">
        <is>
          <t>餐饮三分部</t>
        </is>
      </c>
      <c r="D118" s="540" t="inlineStr">
        <is>
          <t>CF276</t>
        </is>
      </c>
      <c r="E118" s="540" t="inlineStr">
        <is>
          <t>苏州经贸二食堂</t>
        </is>
      </c>
      <c r="F118" s="540" t="inlineStr">
        <is>
          <t>分组作业</t>
        </is>
      </c>
      <c r="G118" s="540" t="inlineStr">
        <is>
          <t>郑虎</t>
        </is>
      </c>
      <c r="H118" s="540" t="inlineStr">
        <is>
          <t>第六班组</t>
        </is>
      </c>
      <c r="I118" s="540" t="inlineStr">
        <is>
          <t>精品菜</t>
        </is>
      </c>
      <c r="J118" s="540" t="inlineStr">
        <is>
          <t>查祈恩</t>
        </is>
      </c>
    </row>
    <row r="119">
      <c r="A119" s="540" t="n">
        <v>146</v>
      </c>
      <c r="B119" s="540" t="inlineStr">
        <is>
          <t>KQCY0146</t>
        </is>
      </c>
      <c r="C119" s="540" t="inlineStr">
        <is>
          <t>餐饮三分部</t>
        </is>
      </c>
      <c r="D119" s="540" t="inlineStr">
        <is>
          <t>CF276</t>
        </is>
      </c>
      <c r="E119" s="540" t="inlineStr">
        <is>
          <t>苏州经贸二食堂</t>
        </is>
      </c>
      <c r="F119" s="540" t="inlineStr">
        <is>
          <t>分组作业</t>
        </is>
      </c>
      <c r="G119" s="540" t="inlineStr">
        <is>
          <t>郑虎</t>
        </is>
      </c>
      <c r="H119" s="540" t="inlineStr">
        <is>
          <t>第七班组</t>
        </is>
      </c>
      <c r="I119" s="540" t="inlineStr">
        <is>
          <t>快餐</t>
        </is>
      </c>
      <c r="J119" s="540" t="inlineStr">
        <is>
          <t>黄化里</t>
        </is>
      </c>
    </row>
    <row r="120">
      <c r="A120" s="540" t="n">
        <v>147</v>
      </c>
      <c r="B120" s="540" t="inlineStr">
        <is>
          <t>KQCY0147</t>
        </is>
      </c>
      <c r="C120" s="540" t="inlineStr">
        <is>
          <t>餐饮三分部</t>
        </is>
      </c>
      <c r="D120" s="540" t="inlineStr">
        <is>
          <t>CF276</t>
        </is>
      </c>
      <c r="E120" s="540" t="inlineStr">
        <is>
          <t>苏州经贸二食堂</t>
        </is>
      </c>
      <c r="F120" s="540" t="inlineStr">
        <is>
          <t>分组作业</t>
        </is>
      </c>
      <c r="G120" s="540" t="inlineStr">
        <is>
          <t>郑虎</t>
        </is>
      </c>
      <c r="H120" s="540" t="inlineStr">
        <is>
          <t>第八班组</t>
        </is>
      </c>
      <c r="I120" s="540" t="inlineStr">
        <is>
          <t>教工餐厅</t>
        </is>
      </c>
      <c r="J120" s="540" t="inlineStr">
        <is>
          <t>黄化里</t>
        </is>
      </c>
    </row>
    <row r="121">
      <c r="A121" s="540" t="n">
        <v>149</v>
      </c>
      <c r="B121" s="540" t="inlineStr">
        <is>
          <t>KQCY0149</t>
        </is>
      </c>
      <c r="C121" s="540" t="inlineStr">
        <is>
          <t>餐饮三分部</t>
        </is>
      </c>
      <c r="D121" s="540" t="inlineStr">
        <is>
          <t>CF782</t>
        </is>
      </c>
      <c r="E121" s="540" t="inlineStr">
        <is>
          <t>宿迁安园中央厨房</t>
        </is>
      </c>
      <c r="F121" s="540" t="inlineStr">
        <is>
          <t>人员服务外包</t>
        </is>
      </c>
      <c r="G121" s="540" t="inlineStr">
        <is>
          <t>徐敏捷</t>
        </is>
      </c>
      <c r="H121" s="540" t="inlineStr">
        <is>
          <t>/</t>
        </is>
      </c>
      <c r="I121" s="540" t="inlineStr">
        <is>
          <t>/</t>
        </is>
      </c>
      <c r="J121" s="540" t="inlineStr">
        <is>
          <t>/</t>
        </is>
      </c>
    </row>
    <row r="122">
      <c r="A122" s="540" t="n">
        <v>151</v>
      </c>
      <c r="B122" s="540" t="inlineStr">
        <is>
          <t>KQCY0151</t>
        </is>
      </c>
      <c r="C122" s="540" t="inlineStr">
        <is>
          <t>餐饮三分部</t>
        </is>
      </c>
      <c r="D122" s="540" t="inlineStr">
        <is>
          <t>CF699</t>
        </is>
      </c>
      <c r="E122" s="540" t="inlineStr">
        <is>
          <t>徐医大第一食堂</t>
        </is>
      </c>
      <c r="F122" s="540" t="inlineStr">
        <is>
          <t>分组作业</t>
        </is>
      </c>
      <c r="G122" s="540" t="inlineStr">
        <is>
          <t>徐敏捷</t>
        </is>
      </c>
      <c r="H122" s="540" t="inlineStr">
        <is>
          <t>/</t>
        </is>
      </c>
      <c r="I122" s="540" t="inlineStr">
        <is>
          <t>麻辣烫</t>
        </is>
      </c>
      <c r="J122" s="540" t="inlineStr">
        <is>
          <t>董浩</t>
        </is>
      </c>
    </row>
    <row r="123">
      <c r="A123" s="540" t="n">
        <v>152</v>
      </c>
      <c r="B123" s="540" t="inlineStr">
        <is>
          <t>KQCY0152</t>
        </is>
      </c>
      <c r="C123" s="540" t="inlineStr">
        <is>
          <t>餐饮三分部</t>
        </is>
      </c>
      <c r="D123" s="540" t="inlineStr">
        <is>
          <t>CF699</t>
        </is>
      </c>
      <c r="E123" s="540" t="inlineStr">
        <is>
          <t>徐医大第一食堂</t>
        </is>
      </c>
      <c r="F123" s="540" t="inlineStr">
        <is>
          <t>分组作业</t>
        </is>
      </c>
      <c r="G123" s="540" t="inlineStr">
        <is>
          <t>徐敏捷</t>
        </is>
      </c>
      <c r="H123" s="540" t="inlineStr">
        <is>
          <t>/</t>
        </is>
      </c>
      <c r="I123" s="540" t="inlineStr">
        <is>
          <t>脆香鸡</t>
        </is>
      </c>
      <c r="J123" s="540" t="inlineStr">
        <is>
          <t>闫玉净</t>
        </is>
      </c>
    </row>
    <row r="124">
      <c r="A124" s="540" t="n">
        <v>153</v>
      </c>
      <c r="B124" s="540" t="inlineStr">
        <is>
          <t>KQCY0153</t>
        </is>
      </c>
      <c r="C124" s="540" t="inlineStr">
        <is>
          <t>餐饮三分部</t>
        </is>
      </c>
      <c r="D124" s="540" t="inlineStr">
        <is>
          <t>CF699</t>
        </is>
      </c>
      <c r="E124" s="540" t="inlineStr">
        <is>
          <t>徐医大第一食堂</t>
        </is>
      </c>
      <c r="F124" s="540" t="inlineStr">
        <is>
          <t>分组作业</t>
        </is>
      </c>
      <c r="G124" s="540" t="inlineStr">
        <is>
          <t>徐敏捷</t>
        </is>
      </c>
      <c r="H124" s="540" t="inlineStr">
        <is>
          <t>/</t>
        </is>
      </c>
      <c r="I124" s="540" t="inlineStr">
        <is>
          <t>鸡柳窜巷</t>
        </is>
      </c>
      <c r="J124" s="540" t="inlineStr">
        <is>
          <t>王晨</t>
        </is>
      </c>
    </row>
    <row r="125">
      <c r="A125" s="540" t="n">
        <v>154</v>
      </c>
      <c r="B125" s="540" t="inlineStr">
        <is>
          <t>KQCY0154</t>
        </is>
      </c>
      <c r="C125" s="540" t="inlineStr">
        <is>
          <t>餐饮三分部</t>
        </is>
      </c>
      <c r="D125" s="540" t="inlineStr">
        <is>
          <t>CF699</t>
        </is>
      </c>
      <c r="E125" s="540" t="inlineStr">
        <is>
          <t>徐医大第一食堂</t>
        </is>
      </c>
      <c r="F125" s="540" t="inlineStr">
        <is>
          <t>分组作业</t>
        </is>
      </c>
      <c r="G125" s="540" t="inlineStr">
        <is>
          <t>徐敏捷</t>
        </is>
      </c>
      <c r="H125" s="540" t="inlineStr">
        <is>
          <t>/</t>
        </is>
      </c>
      <c r="I125" s="540" t="inlineStr">
        <is>
          <t>螺蛳粉</t>
        </is>
      </c>
      <c r="J125" s="540" t="inlineStr">
        <is>
          <t>王梅</t>
        </is>
      </c>
    </row>
    <row r="126">
      <c r="A126" s="540" t="n">
        <v>155</v>
      </c>
      <c r="B126" s="540" t="inlineStr">
        <is>
          <t>KQCY0155</t>
        </is>
      </c>
      <c r="C126" s="540" t="inlineStr">
        <is>
          <t>餐饮三分部</t>
        </is>
      </c>
      <c r="D126" s="540" t="inlineStr">
        <is>
          <t>CF699</t>
        </is>
      </c>
      <c r="E126" s="540" t="inlineStr">
        <is>
          <t>徐医大第一食堂</t>
        </is>
      </c>
      <c r="F126" s="540" t="inlineStr">
        <is>
          <t>分组作业</t>
        </is>
      </c>
      <c r="G126" s="540" t="inlineStr">
        <is>
          <t>徐敏捷</t>
        </is>
      </c>
      <c r="H126" s="540" t="inlineStr">
        <is>
          <t>/</t>
        </is>
      </c>
      <c r="I126" s="540" t="inlineStr">
        <is>
          <t>苏式汤面</t>
        </is>
      </c>
      <c r="J126" s="540" t="inlineStr">
        <is>
          <t>刘行行</t>
        </is>
      </c>
    </row>
    <row r="127">
      <c r="A127" s="540" t="n">
        <v>156</v>
      </c>
      <c r="B127" s="540" t="inlineStr">
        <is>
          <t>KQCY0156</t>
        </is>
      </c>
      <c r="C127" s="540" t="inlineStr">
        <is>
          <t>餐饮三分部</t>
        </is>
      </c>
      <c r="D127" s="540" t="inlineStr">
        <is>
          <t>CF699</t>
        </is>
      </c>
      <c r="E127" s="540" t="inlineStr">
        <is>
          <t>徐医大第一食堂</t>
        </is>
      </c>
      <c r="F127" s="540" t="inlineStr">
        <is>
          <t>分组作业</t>
        </is>
      </c>
      <c r="G127" s="540" t="inlineStr">
        <is>
          <t>徐敏捷</t>
        </is>
      </c>
      <c r="H127" s="540" t="inlineStr">
        <is>
          <t>/</t>
        </is>
      </c>
      <c r="I127" s="540" t="inlineStr">
        <is>
          <t>营养粥</t>
        </is>
      </c>
      <c r="J127" s="540" t="inlineStr">
        <is>
          <t>周冰</t>
        </is>
      </c>
    </row>
    <row r="128">
      <c r="A128" s="540" t="n">
        <v>157</v>
      </c>
      <c r="B128" s="540" t="inlineStr">
        <is>
          <t>KQCY0157</t>
        </is>
      </c>
      <c r="C128" s="540" t="inlineStr">
        <is>
          <t>餐饮三分部</t>
        </is>
      </c>
      <c r="D128" s="540" t="inlineStr">
        <is>
          <t>CF699</t>
        </is>
      </c>
      <c r="E128" s="540" t="inlineStr">
        <is>
          <t>徐医大第一食堂</t>
        </is>
      </c>
      <c r="F128" s="540" t="inlineStr">
        <is>
          <t>分组作业</t>
        </is>
      </c>
      <c r="G128" s="540" t="inlineStr">
        <is>
          <t>徐敏捷</t>
        </is>
      </c>
      <c r="H128" s="540" t="inlineStr">
        <is>
          <t>/</t>
        </is>
      </c>
      <c r="I128" s="540" t="inlineStr">
        <is>
          <t>辣椒炒肉</t>
        </is>
      </c>
      <c r="J128" s="540" t="inlineStr">
        <is>
          <t>王桐</t>
        </is>
      </c>
    </row>
    <row r="129">
      <c r="A129" s="540" t="n">
        <v>158</v>
      </c>
      <c r="B129" s="540" t="inlineStr">
        <is>
          <t>KQCY0158</t>
        </is>
      </c>
      <c r="C129" s="540" t="inlineStr">
        <is>
          <t>餐饮三分部</t>
        </is>
      </c>
      <c r="D129" s="540" t="inlineStr">
        <is>
          <t>CF699</t>
        </is>
      </c>
      <c r="E129" s="540" t="inlineStr">
        <is>
          <t>徐医大第一食堂</t>
        </is>
      </c>
      <c r="F129" s="540" t="inlineStr">
        <is>
          <t>分组作业</t>
        </is>
      </c>
      <c r="G129" s="540" t="inlineStr">
        <is>
          <t>徐敏捷</t>
        </is>
      </c>
      <c r="H129" s="540" t="inlineStr">
        <is>
          <t>/</t>
        </is>
      </c>
      <c r="I129" s="540" t="inlineStr">
        <is>
          <t>板煮演义</t>
        </is>
      </c>
      <c r="J129" s="540" t="inlineStr">
        <is>
          <t>郑亚兰</t>
        </is>
      </c>
    </row>
    <row r="130">
      <c r="A130" s="540" t="n">
        <v>159</v>
      </c>
      <c r="B130" s="540" t="inlineStr">
        <is>
          <t>KQCY0159</t>
        </is>
      </c>
      <c r="C130" s="540" t="inlineStr">
        <is>
          <t>餐饮三分部</t>
        </is>
      </c>
      <c r="D130" s="540" t="inlineStr">
        <is>
          <t>CF699</t>
        </is>
      </c>
      <c r="E130" s="540" t="inlineStr">
        <is>
          <t>徐医大第一食堂</t>
        </is>
      </c>
      <c r="F130" s="540" t="inlineStr">
        <is>
          <t>分组作业</t>
        </is>
      </c>
      <c r="G130" s="540" t="inlineStr">
        <is>
          <t>徐敏捷</t>
        </is>
      </c>
      <c r="H130" s="540" t="inlineStr">
        <is>
          <t>/</t>
        </is>
      </c>
      <c r="I130" s="540" t="inlineStr">
        <is>
          <t>老翟板面</t>
        </is>
      </c>
      <c r="J130" s="540" t="inlineStr">
        <is>
          <t>经蕊蕊</t>
        </is>
      </c>
    </row>
    <row r="131">
      <c r="A131" s="540" t="n">
        <v>160</v>
      </c>
      <c r="B131" s="540" t="inlineStr">
        <is>
          <t>KQCY0160</t>
        </is>
      </c>
      <c r="C131" s="540" t="inlineStr">
        <is>
          <t>餐饮三分部</t>
        </is>
      </c>
      <c r="D131" s="540" t="inlineStr">
        <is>
          <t>CF699</t>
        </is>
      </c>
      <c r="E131" s="540" t="inlineStr">
        <is>
          <t>徐医大第一食堂</t>
        </is>
      </c>
      <c r="F131" s="540" t="inlineStr">
        <is>
          <t>分组作业</t>
        </is>
      </c>
      <c r="G131" s="540" t="inlineStr">
        <is>
          <t>徐敏捷</t>
        </is>
      </c>
      <c r="H131" s="540" t="inlineStr">
        <is>
          <t>/</t>
        </is>
      </c>
      <c r="I131" s="540" t="inlineStr">
        <is>
          <t>杂粮煎饼</t>
        </is>
      </c>
      <c r="J131" s="540" t="inlineStr">
        <is>
          <t>陈希广</t>
        </is>
      </c>
    </row>
    <row r="132">
      <c r="A132" s="540" t="n">
        <v>161</v>
      </c>
      <c r="B132" s="540" t="inlineStr">
        <is>
          <t>KQCY0161</t>
        </is>
      </c>
      <c r="C132" s="540" t="inlineStr">
        <is>
          <t>餐饮三分部</t>
        </is>
      </c>
      <c r="D132" s="540" t="inlineStr">
        <is>
          <t>CF699</t>
        </is>
      </c>
      <c r="E132" s="540" t="inlineStr">
        <is>
          <t>徐医大第一食堂</t>
        </is>
      </c>
      <c r="F132" s="540" t="inlineStr">
        <is>
          <t>分组作业</t>
        </is>
      </c>
      <c r="G132" s="540" t="inlineStr">
        <is>
          <t>徐敏捷</t>
        </is>
      </c>
      <c r="H132" s="540" t="inlineStr">
        <is>
          <t>/</t>
        </is>
      </c>
      <c r="I132" s="540" t="inlineStr">
        <is>
          <t>早餐</t>
        </is>
      </c>
      <c r="J132" s="540" t="inlineStr">
        <is>
          <t>张召兵</t>
        </is>
      </c>
    </row>
    <row r="133">
      <c r="A133" s="540" t="n">
        <v>162</v>
      </c>
      <c r="B133" s="540" t="inlineStr">
        <is>
          <t>KQCY0162</t>
        </is>
      </c>
      <c r="C133" s="540" t="inlineStr">
        <is>
          <t>餐饮三分部</t>
        </is>
      </c>
      <c r="D133" s="540" t="inlineStr">
        <is>
          <t>CF699</t>
        </is>
      </c>
      <c r="E133" s="540" t="inlineStr">
        <is>
          <t>徐医大第一食堂</t>
        </is>
      </c>
      <c r="F133" s="540" t="inlineStr">
        <is>
          <t>分组作业</t>
        </is>
      </c>
      <c r="G133" s="540" t="inlineStr">
        <is>
          <t>徐敏捷</t>
        </is>
      </c>
      <c r="H133" s="540" t="inlineStr">
        <is>
          <t>/</t>
        </is>
      </c>
      <c r="I133" s="540" t="inlineStr">
        <is>
          <t>快餐</t>
        </is>
      </c>
      <c r="J133" s="540" t="inlineStr">
        <is>
          <t>任现军</t>
        </is>
      </c>
    </row>
    <row r="134">
      <c r="A134" s="540" t="n">
        <v>163</v>
      </c>
      <c r="B134" s="540" t="inlineStr">
        <is>
          <t>KQCY0163</t>
        </is>
      </c>
      <c r="C134" s="540" t="inlineStr">
        <is>
          <t>餐饮三分部</t>
        </is>
      </c>
      <c r="D134" s="540" t="inlineStr">
        <is>
          <t>CF699</t>
        </is>
      </c>
      <c r="E134" s="540" t="inlineStr">
        <is>
          <t>徐医大第一食堂</t>
        </is>
      </c>
      <c r="F134" s="540" t="inlineStr">
        <is>
          <t>分组作业</t>
        </is>
      </c>
      <c r="G134" s="540" t="inlineStr">
        <is>
          <t>徐敏捷</t>
        </is>
      </c>
      <c r="H134" s="540" t="inlineStr">
        <is>
          <t>/</t>
        </is>
      </c>
      <c r="I134" s="540" t="inlineStr">
        <is>
          <t>精品套餐</t>
        </is>
      </c>
      <c r="J134" s="540" t="inlineStr">
        <is>
          <t>任现军</t>
        </is>
      </c>
    </row>
    <row r="135">
      <c r="A135" s="540" t="n">
        <v>164</v>
      </c>
      <c r="B135" s="540" t="inlineStr">
        <is>
          <t>KQCY0164</t>
        </is>
      </c>
      <c r="C135" s="540" t="inlineStr">
        <is>
          <t>餐饮三分部</t>
        </is>
      </c>
      <c r="D135" s="540" t="inlineStr">
        <is>
          <t>CF699</t>
        </is>
      </c>
      <c r="E135" s="540" t="inlineStr">
        <is>
          <t>徐医大第一食堂</t>
        </is>
      </c>
      <c r="F135" s="540" t="inlineStr">
        <is>
          <t>分组作业</t>
        </is>
      </c>
      <c r="G135" s="540" t="inlineStr">
        <is>
          <t>徐敏捷</t>
        </is>
      </c>
      <c r="H135" s="540" t="inlineStr">
        <is>
          <t>/</t>
        </is>
      </c>
      <c r="I135" s="540" t="inlineStr">
        <is>
          <t>家家乐烘焙</t>
        </is>
      </c>
      <c r="J135" s="540" t="inlineStr">
        <is>
          <t>朱江平</t>
        </is>
      </c>
    </row>
    <row r="136">
      <c r="A136" s="540" t="n">
        <v>165</v>
      </c>
      <c r="B136" s="540" t="inlineStr">
        <is>
          <t>KQCY0165</t>
        </is>
      </c>
      <c r="C136" s="540" t="inlineStr">
        <is>
          <t>餐饮三分部</t>
        </is>
      </c>
      <c r="D136" s="540" t="inlineStr">
        <is>
          <t>CF699</t>
        </is>
      </c>
      <c r="E136" s="540" t="inlineStr">
        <is>
          <t>徐医大第一食堂</t>
        </is>
      </c>
      <c r="F136" s="540" t="inlineStr">
        <is>
          <t>分组作业</t>
        </is>
      </c>
      <c r="G136" s="540" t="inlineStr">
        <is>
          <t>徐敏捷</t>
        </is>
      </c>
      <c r="H136" s="540" t="inlineStr">
        <is>
          <t>/</t>
        </is>
      </c>
      <c r="I136" s="540" t="inlineStr">
        <is>
          <t>马老头江南小吃（炒饭）</t>
        </is>
      </c>
      <c r="J136" s="540" t="inlineStr">
        <is>
          <t>曾莉</t>
        </is>
      </c>
    </row>
    <row r="137">
      <c r="A137" s="540" t="n">
        <v>166</v>
      </c>
      <c r="B137" s="540" t="inlineStr">
        <is>
          <t>KQCY0166</t>
        </is>
      </c>
      <c r="C137" s="540" t="inlineStr">
        <is>
          <t>餐饮三分部</t>
        </is>
      </c>
      <c r="D137" s="540" t="inlineStr">
        <is>
          <t>CF699</t>
        </is>
      </c>
      <c r="E137" s="540" t="inlineStr">
        <is>
          <t>徐医大第一食堂</t>
        </is>
      </c>
      <c r="F137" s="540" t="inlineStr">
        <is>
          <t>分组作业</t>
        </is>
      </c>
      <c r="G137" s="540" t="inlineStr">
        <is>
          <t>徐敏捷</t>
        </is>
      </c>
      <c r="H137" s="540" t="inlineStr">
        <is>
          <t>/</t>
        </is>
      </c>
      <c r="I137" s="540" t="inlineStr">
        <is>
          <t>鸡架拌面</t>
        </is>
      </c>
      <c r="J137" s="540" t="inlineStr">
        <is>
          <t>冀振杰</t>
        </is>
      </c>
    </row>
    <row r="138">
      <c r="A138" s="540" t="n">
        <v>167</v>
      </c>
      <c r="B138" s="540" t="inlineStr">
        <is>
          <t>KQCY0167</t>
        </is>
      </c>
      <c r="C138" s="540" t="inlineStr">
        <is>
          <t>餐饮三分部</t>
        </is>
      </c>
      <c r="D138" s="540" t="inlineStr">
        <is>
          <t>CF699</t>
        </is>
      </c>
      <c r="E138" s="540" t="inlineStr">
        <is>
          <t>徐医大第一食堂</t>
        </is>
      </c>
      <c r="F138" s="540" t="inlineStr">
        <is>
          <t>分组作业</t>
        </is>
      </c>
      <c r="G138" s="540" t="inlineStr">
        <is>
          <t>徐敏捷</t>
        </is>
      </c>
      <c r="H138" s="540" t="inlineStr">
        <is>
          <t>/</t>
        </is>
      </c>
      <c r="I138" s="540" t="inlineStr">
        <is>
          <t>自选称菜</t>
        </is>
      </c>
      <c r="J138" s="540" t="inlineStr">
        <is>
          <t>韦志得</t>
        </is>
      </c>
    </row>
    <row r="139">
      <c r="A139" s="540" t="n">
        <v>168</v>
      </c>
      <c r="B139" s="540" t="inlineStr">
        <is>
          <t>KQCY0168</t>
        </is>
      </c>
      <c r="C139" s="540" t="inlineStr">
        <is>
          <t>餐饮三分部</t>
        </is>
      </c>
      <c r="D139" s="540" t="inlineStr">
        <is>
          <t>CF699</t>
        </is>
      </c>
      <c r="E139" s="540" t="inlineStr">
        <is>
          <t>徐医大第一食堂</t>
        </is>
      </c>
      <c r="F139" s="540" t="inlineStr">
        <is>
          <t>分组作业</t>
        </is>
      </c>
      <c r="G139" s="540" t="inlineStr">
        <is>
          <t>徐敏捷</t>
        </is>
      </c>
      <c r="H139" s="540" t="inlineStr">
        <is>
          <t>/</t>
        </is>
      </c>
      <c r="I139" s="540" t="inlineStr">
        <is>
          <t>药膳卤肉套餐饭</t>
        </is>
      </c>
      <c r="J139" s="540" t="inlineStr">
        <is>
          <t>崔小平</t>
        </is>
      </c>
    </row>
    <row r="140">
      <c r="A140" s="540" t="n">
        <v>169</v>
      </c>
      <c r="B140" s="540" t="inlineStr">
        <is>
          <t>KQCY0169</t>
        </is>
      </c>
      <c r="C140" s="540" t="inlineStr">
        <is>
          <t>餐饮三分部</t>
        </is>
      </c>
      <c r="D140" s="540" t="inlineStr">
        <is>
          <t>CF699</t>
        </is>
      </c>
      <c r="E140" s="540" t="inlineStr">
        <is>
          <t>徐医大第一食堂</t>
        </is>
      </c>
      <c r="F140" s="540" t="inlineStr">
        <is>
          <t>分组作业</t>
        </is>
      </c>
      <c r="G140" s="540" t="inlineStr">
        <is>
          <t>徐敏捷</t>
        </is>
      </c>
      <c r="H140" s="540" t="inlineStr">
        <is>
          <t>/</t>
        </is>
      </c>
      <c r="I140" s="540" t="inlineStr">
        <is>
          <t>千里香馄饨</t>
        </is>
      </c>
      <c r="J140" s="540" t="inlineStr">
        <is>
          <t>王才早</t>
        </is>
      </c>
    </row>
    <row r="141">
      <c r="A141" s="540" t="n">
        <v>170</v>
      </c>
      <c r="B141" s="540" t="inlineStr">
        <is>
          <t>KQCY0170</t>
        </is>
      </c>
      <c r="C141" s="540" t="inlineStr">
        <is>
          <t>餐饮三分部</t>
        </is>
      </c>
      <c r="D141" s="540" t="inlineStr">
        <is>
          <t>CF699</t>
        </is>
      </c>
      <c r="E141" s="540" t="inlineStr">
        <is>
          <t>徐医大第一食堂</t>
        </is>
      </c>
      <c r="F141" s="540" t="inlineStr">
        <is>
          <t>分组作业</t>
        </is>
      </c>
      <c r="G141" s="540" t="inlineStr">
        <is>
          <t>徐敏捷</t>
        </is>
      </c>
      <c r="H141" s="540" t="inlineStr">
        <is>
          <t>/</t>
        </is>
      </c>
      <c r="I141" s="540" t="inlineStr">
        <is>
          <t>农家小炒盖浇饭</t>
        </is>
      </c>
      <c r="J141" s="540" t="inlineStr">
        <is>
          <t>崔小平</t>
        </is>
      </c>
    </row>
    <row r="142">
      <c r="A142" s="540" t="n">
        <v>171</v>
      </c>
      <c r="B142" s="540" t="inlineStr">
        <is>
          <t>KQCY0171</t>
        </is>
      </c>
      <c r="C142" s="540" t="inlineStr">
        <is>
          <t>餐饮三分部</t>
        </is>
      </c>
      <c r="D142" s="540" t="inlineStr">
        <is>
          <t>CF699</t>
        </is>
      </c>
      <c r="E142" s="540" t="inlineStr">
        <is>
          <t>徐医大第一食堂</t>
        </is>
      </c>
      <c r="F142" s="540" t="inlineStr">
        <is>
          <t>分组作业</t>
        </is>
      </c>
      <c r="G142" s="540" t="inlineStr">
        <is>
          <t>徐敏捷</t>
        </is>
      </c>
      <c r="H142" s="540" t="inlineStr">
        <is>
          <t>/</t>
        </is>
      </c>
      <c r="I142" s="540" t="inlineStr">
        <is>
          <t>蜜雪冰城</t>
        </is>
      </c>
      <c r="J142" s="540" t="inlineStr">
        <is>
          <t>周雨</t>
        </is>
      </c>
    </row>
    <row r="143">
      <c r="A143" s="540" t="n">
        <v>173</v>
      </c>
      <c r="B143" s="540" t="inlineStr">
        <is>
          <t>KQCY0173</t>
        </is>
      </c>
      <c r="C143" s="540" t="inlineStr">
        <is>
          <t>餐饮三分部</t>
        </is>
      </c>
      <c r="D143" s="540" t="inlineStr">
        <is>
          <t>CF251</t>
        </is>
      </c>
      <c r="E143" s="540" t="inlineStr">
        <is>
          <t>苏州职大二食堂</t>
        </is>
      </c>
      <c r="F143" s="540" t="inlineStr">
        <is>
          <t>分组作业</t>
        </is>
      </c>
      <c r="G143" s="540" t="inlineStr">
        <is>
          <t>张镁镁</t>
        </is>
      </c>
      <c r="H143" s="540" t="inlineStr">
        <is>
          <t>第一班组</t>
        </is>
      </c>
      <c r="I143" s="540" t="inlineStr">
        <is>
          <t>烘焙</t>
        </is>
      </c>
      <c r="J143" s="540" t="inlineStr">
        <is>
          <t>邵晓丽</t>
        </is>
      </c>
    </row>
    <row r="144">
      <c r="A144" s="540" t="n">
        <v>174</v>
      </c>
      <c r="B144" s="540" t="inlineStr">
        <is>
          <t>KQCY0174</t>
        </is>
      </c>
      <c r="C144" s="540" t="inlineStr">
        <is>
          <t>餐饮三分部</t>
        </is>
      </c>
      <c r="D144" s="540" t="inlineStr">
        <is>
          <t>CF251</t>
        </is>
      </c>
      <c r="E144" s="540" t="inlineStr">
        <is>
          <t>苏州职大二食堂</t>
        </is>
      </c>
      <c r="F144" s="540" t="inlineStr">
        <is>
          <t>分组作业</t>
        </is>
      </c>
      <c r="G144" s="540" t="inlineStr">
        <is>
          <t>张镁镁</t>
        </is>
      </c>
      <c r="H144" s="540" t="inlineStr">
        <is>
          <t>第二班组</t>
        </is>
      </c>
      <c r="I144" s="540" t="inlineStr">
        <is>
          <t>奶茶饮品</t>
        </is>
      </c>
      <c r="J144" s="540" t="inlineStr">
        <is>
          <t>严振宇</t>
        </is>
      </c>
    </row>
    <row r="145">
      <c r="A145" s="540" t="n">
        <v>175</v>
      </c>
      <c r="B145" s="540" t="inlineStr">
        <is>
          <t>KQCY0175</t>
        </is>
      </c>
      <c r="C145" s="540" t="inlineStr">
        <is>
          <t>餐饮三分部</t>
        </is>
      </c>
      <c r="D145" s="540" t="inlineStr">
        <is>
          <t>CF251</t>
        </is>
      </c>
      <c r="E145" s="540" t="inlineStr">
        <is>
          <t>苏州职大二食堂</t>
        </is>
      </c>
      <c r="F145" s="540" t="inlineStr">
        <is>
          <t>分组作业</t>
        </is>
      </c>
      <c r="G145" s="540" t="inlineStr">
        <is>
          <t>张镁镁</t>
        </is>
      </c>
      <c r="H145" s="540" t="inlineStr">
        <is>
          <t>第三班组</t>
        </is>
      </c>
      <c r="I145" s="540" t="inlineStr">
        <is>
          <t>早点</t>
        </is>
      </c>
      <c r="J145" s="540" t="inlineStr">
        <is>
          <t>缪文</t>
        </is>
      </c>
    </row>
    <row r="146">
      <c r="A146" s="540" t="n">
        <v>176</v>
      </c>
      <c r="B146" s="540" t="inlineStr">
        <is>
          <t>KQCY0176</t>
        </is>
      </c>
      <c r="C146" s="540" t="inlineStr">
        <is>
          <t>餐饮三分部</t>
        </is>
      </c>
      <c r="D146" s="540" t="inlineStr">
        <is>
          <t>CF251</t>
        </is>
      </c>
      <c r="E146" s="540" t="inlineStr">
        <is>
          <t>苏州职大二食堂</t>
        </is>
      </c>
      <c r="F146" s="540" t="inlineStr">
        <is>
          <t>分组作业</t>
        </is>
      </c>
      <c r="G146" s="540" t="inlineStr">
        <is>
          <t>张镁镁</t>
        </is>
      </c>
      <c r="H146" s="540" t="inlineStr">
        <is>
          <t>第四班组</t>
        </is>
      </c>
      <c r="I146" s="540" t="inlineStr">
        <is>
          <t>快餐</t>
        </is>
      </c>
      <c r="J146" s="540" t="inlineStr">
        <is>
          <t>耿传垒</t>
        </is>
      </c>
    </row>
    <row r="147">
      <c r="A147" s="540" t="n">
        <v>177</v>
      </c>
      <c r="B147" s="540" t="inlineStr">
        <is>
          <t>KQCY0177</t>
        </is>
      </c>
      <c r="C147" s="540" t="inlineStr">
        <is>
          <t>餐饮三分部</t>
        </is>
      </c>
      <c r="D147" s="540" t="inlineStr">
        <is>
          <t>CF251</t>
        </is>
      </c>
      <c r="E147" s="540" t="inlineStr">
        <is>
          <t>苏州职大二食堂</t>
        </is>
      </c>
      <c r="F147" s="540" t="inlineStr">
        <is>
          <t>分组作业</t>
        </is>
      </c>
      <c r="G147" s="540" t="inlineStr">
        <is>
          <t>张镁镁</t>
        </is>
      </c>
      <c r="H147" s="540" t="inlineStr">
        <is>
          <t>第五班组</t>
        </is>
      </c>
      <c r="I147" s="540" t="inlineStr">
        <is>
          <t>盖浇饭</t>
        </is>
      </c>
      <c r="J147" s="540" t="inlineStr">
        <is>
          <t>龙明涛</t>
        </is>
      </c>
    </row>
    <row r="148">
      <c r="A148" s="540" t="n">
        <v>178</v>
      </c>
      <c r="B148" s="540" t="inlineStr">
        <is>
          <t>KQCY0178</t>
        </is>
      </c>
      <c r="C148" s="540" t="inlineStr">
        <is>
          <t>餐饮三分部</t>
        </is>
      </c>
      <c r="D148" s="540" t="inlineStr">
        <is>
          <t>CF251</t>
        </is>
      </c>
      <c r="E148" s="540" t="inlineStr">
        <is>
          <t>苏州职大二食堂</t>
        </is>
      </c>
      <c r="F148" s="540" t="inlineStr">
        <is>
          <t>分组作业</t>
        </is>
      </c>
      <c r="G148" s="540" t="inlineStr">
        <is>
          <t>张镁镁</t>
        </is>
      </c>
      <c r="H148" s="540" t="inlineStr">
        <is>
          <t>第六班组</t>
        </is>
      </c>
      <c r="I148" s="540" t="inlineStr">
        <is>
          <t>黄焖鸡</t>
        </is>
      </c>
      <c r="J148" s="540" t="inlineStr">
        <is>
          <t>余国凤</t>
        </is>
      </c>
    </row>
    <row r="149">
      <c r="A149" s="540" t="n">
        <v>179</v>
      </c>
      <c r="B149" s="540" t="inlineStr">
        <is>
          <t>KQCY0179</t>
        </is>
      </c>
      <c r="C149" s="540" t="inlineStr">
        <is>
          <t>餐饮三分部</t>
        </is>
      </c>
      <c r="D149" s="540" t="inlineStr">
        <is>
          <t>CF251</t>
        </is>
      </c>
      <c r="E149" s="540" t="inlineStr">
        <is>
          <t>苏州职大二食堂</t>
        </is>
      </c>
      <c r="F149" s="540" t="inlineStr">
        <is>
          <t>分组作业</t>
        </is>
      </c>
      <c r="G149" s="540" t="inlineStr">
        <is>
          <t>张镁镁</t>
        </is>
      </c>
      <c r="H149" s="540" t="inlineStr">
        <is>
          <t>第七班组</t>
        </is>
      </c>
      <c r="I149" s="540" t="inlineStr">
        <is>
          <t>杂粮煎饼</t>
        </is>
      </c>
      <c r="J149" s="540" t="inlineStr">
        <is>
          <t>王朝风</t>
        </is>
      </c>
    </row>
    <row r="150">
      <c r="A150" s="540" t="n">
        <v>180</v>
      </c>
      <c r="B150" s="540" t="inlineStr">
        <is>
          <t>KQCY0180</t>
        </is>
      </c>
      <c r="C150" s="540" t="inlineStr">
        <is>
          <t>餐饮三分部</t>
        </is>
      </c>
      <c r="D150" s="540" t="inlineStr">
        <is>
          <t>CF251</t>
        </is>
      </c>
      <c r="E150" s="540" t="inlineStr">
        <is>
          <t>苏州职大二食堂</t>
        </is>
      </c>
      <c r="F150" s="540" t="inlineStr">
        <is>
          <t>分组作业</t>
        </is>
      </c>
      <c r="G150" s="540" t="inlineStr">
        <is>
          <t>张镁镁</t>
        </is>
      </c>
      <c r="H150" s="540" t="inlineStr">
        <is>
          <t>第八班组</t>
        </is>
      </c>
      <c r="I150" s="540" t="inlineStr">
        <is>
          <t>苏式热干面</t>
        </is>
      </c>
      <c r="J150" s="540" t="inlineStr">
        <is>
          <t>田振</t>
        </is>
      </c>
    </row>
    <row r="151">
      <c r="A151" s="540" t="n">
        <v>181</v>
      </c>
      <c r="B151" s="540" t="inlineStr">
        <is>
          <t>KQCY0181</t>
        </is>
      </c>
      <c r="C151" s="540" t="inlineStr">
        <is>
          <t>餐饮三分部</t>
        </is>
      </c>
      <c r="D151" s="540" t="inlineStr">
        <is>
          <t>CF251</t>
        </is>
      </c>
      <c r="E151" s="540" t="inlineStr">
        <is>
          <t>苏州职大二食堂</t>
        </is>
      </c>
      <c r="F151" s="540" t="inlineStr">
        <is>
          <t>分组作业</t>
        </is>
      </c>
      <c r="G151" s="540" t="inlineStr">
        <is>
          <t>张镁镁</t>
        </is>
      </c>
      <c r="H151" s="540" t="inlineStr">
        <is>
          <t>第九班组</t>
        </is>
      </c>
      <c r="I151" s="540" t="inlineStr">
        <is>
          <t>馄饨炒饭</t>
        </is>
      </c>
      <c r="J151" s="540" t="inlineStr">
        <is>
          <t>戴国强</t>
        </is>
      </c>
    </row>
    <row r="152">
      <c r="A152" s="540" t="n">
        <v>182</v>
      </c>
      <c r="B152" s="540" t="inlineStr">
        <is>
          <t>KQCY0182</t>
        </is>
      </c>
      <c r="C152" s="540" t="inlineStr">
        <is>
          <t>餐饮三分部</t>
        </is>
      </c>
      <c r="D152" s="540" t="inlineStr">
        <is>
          <t>CF251</t>
        </is>
      </c>
      <c r="E152" s="540" t="inlineStr">
        <is>
          <t>苏州职大二食堂</t>
        </is>
      </c>
      <c r="F152" s="540" t="inlineStr">
        <is>
          <t>分组作业</t>
        </is>
      </c>
      <c r="G152" s="540" t="inlineStr">
        <is>
          <t>张镁镁</t>
        </is>
      </c>
      <c r="H152" s="540" t="inlineStr">
        <is>
          <t>第十班组</t>
        </is>
      </c>
      <c r="I152" s="540" t="inlineStr">
        <is>
          <t>汉堡</t>
        </is>
      </c>
      <c r="J152" s="540" t="inlineStr">
        <is>
          <t>朱燕</t>
        </is>
      </c>
    </row>
    <row r="153">
      <c r="A153" s="540" t="n">
        <v>183</v>
      </c>
      <c r="B153" s="540" t="inlineStr">
        <is>
          <t>KQCY0183</t>
        </is>
      </c>
      <c r="C153" s="540" t="inlineStr">
        <is>
          <t>餐饮三分部</t>
        </is>
      </c>
      <c r="D153" s="540" t="inlineStr">
        <is>
          <t>CF251</t>
        </is>
      </c>
      <c r="E153" s="540" t="inlineStr">
        <is>
          <t>苏州职大二食堂</t>
        </is>
      </c>
      <c r="F153" s="540" t="inlineStr">
        <is>
          <t>分组作业</t>
        </is>
      </c>
      <c r="G153" s="540" t="inlineStr">
        <is>
          <t>张镁镁</t>
        </is>
      </c>
      <c r="H153" s="540" t="inlineStr">
        <is>
          <t>第十一班组</t>
        </is>
      </c>
      <c r="I153" s="540" t="inlineStr">
        <is>
          <t>麻辣烫</t>
        </is>
      </c>
      <c r="J153" s="540" t="inlineStr">
        <is>
          <t>孙华玲</t>
        </is>
      </c>
    </row>
    <row r="154">
      <c r="A154" s="540" t="n">
        <v>184</v>
      </c>
      <c r="B154" s="540" t="inlineStr">
        <is>
          <t>KQCY0184</t>
        </is>
      </c>
      <c r="C154" s="540" t="inlineStr">
        <is>
          <t>餐饮三分部</t>
        </is>
      </c>
      <c r="D154" s="540" t="inlineStr">
        <is>
          <t>CF251</t>
        </is>
      </c>
      <c r="E154" s="540" t="inlineStr">
        <is>
          <t>苏州职大二食堂</t>
        </is>
      </c>
      <c r="F154" s="540" t="inlineStr">
        <is>
          <t>分组作业</t>
        </is>
      </c>
      <c r="G154" s="540" t="inlineStr">
        <is>
          <t>张镁镁</t>
        </is>
      </c>
      <c r="H154" s="540" t="inlineStr">
        <is>
          <t>第十二班组</t>
        </is>
      </c>
      <c r="I154" s="540" t="inlineStr">
        <is>
          <t>香扒饭</t>
        </is>
      </c>
      <c r="J154" s="540" t="inlineStr">
        <is>
          <t>魏加健</t>
        </is>
      </c>
    </row>
    <row r="155">
      <c r="A155" s="540" t="n">
        <v>185</v>
      </c>
      <c r="B155" s="540" t="inlineStr">
        <is>
          <t>KQCY0185</t>
        </is>
      </c>
      <c r="C155" s="540" t="inlineStr">
        <is>
          <t>餐饮三分部</t>
        </is>
      </c>
      <c r="D155" s="540" t="inlineStr">
        <is>
          <t>CF251</t>
        </is>
      </c>
      <c r="E155" s="540" t="inlineStr">
        <is>
          <t>苏州职大二食堂</t>
        </is>
      </c>
      <c r="F155" s="540" t="inlineStr">
        <is>
          <t>分组作业</t>
        </is>
      </c>
      <c r="G155" s="540" t="inlineStr">
        <is>
          <t>张镁镁</t>
        </is>
      </c>
      <c r="H155" s="540" t="inlineStr">
        <is>
          <t>第十三班组</t>
        </is>
      </c>
      <c r="I155" s="540" t="inlineStr">
        <is>
          <t>瓦香鸡</t>
        </is>
      </c>
      <c r="J155" s="540" t="inlineStr">
        <is>
          <t>张明明</t>
        </is>
      </c>
    </row>
    <row r="156">
      <c r="A156" s="540" t="n">
        <v>186</v>
      </c>
      <c r="B156" s="540" t="inlineStr">
        <is>
          <t>KQCY0186</t>
        </is>
      </c>
      <c r="C156" s="540" t="inlineStr">
        <is>
          <t>餐饮三分部</t>
        </is>
      </c>
      <c r="D156" s="540" t="inlineStr">
        <is>
          <t>CF251</t>
        </is>
      </c>
      <c r="E156" s="540" t="inlineStr">
        <is>
          <t>苏州职大二食堂</t>
        </is>
      </c>
      <c r="F156" s="540" t="inlineStr">
        <is>
          <t>分组作业</t>
        </is>
      </c>
      <c r="G156" s="540" t="inlineStr">
        <is>
          <t>张镁镁</t>
        </is>
      </c>
      <c r="H156" s="540" t="inlineStr">
        <is>
          <t>第十四班组</t>
        </is>
      </c>
      <c r="I156" s="540" t="inlineStr">
        <is>
          <t>羊杂面</t>
        </is>
      </c>
      <c r="J156" s="540" t="inlineStr">
        <is>
          <t>王俊鹏</t>
        </is>
      </c>
    </row>
    <row r="157">
      <c r="A157" s="540" t="n">
        <v>187</v>
      </c>
      <c r="B157" s="540" t="inlineStr">
        <is>
          <t>KQCY0187</t>
        </is>
      </c>
      <c r="C157" s="540" t="inlineStr">
        <is>
          <t>餐饮三分部</t>
        </is>
      </c>
      <c r="D157" s="540" t="inlineStr">
        <is>
          <t>CF251</t>
        </is>
      </c>
      <c r="E157" s="540" t="inlineStr">
        <is>
          <t>苏州职大二食堂</t>
        </is>
      </c>
      <c r="F157" s="540" t="inlineStr">
        <is>
          <t>分组作业</t>
        </is>
      </c>
      <c r="G157" s="540" t="inlineStr">
        <is>
          <t>张镁镁</t>
        </is>
      </c>
      <c r="H157" s="540" t="inlineStr">
        <is>
          <t>第十五班组</t>
        </is>
      </c>
      <c r="I157" s="540" t="inlineStr">
        <is>
          <t>苏式红汤面</t>
        </is>
      </c>
      <c r="J157" s="540" t="inlineStr">
        <is>
          <t>程周如</t>
        </is>
      </c>
    </row>
    <row r="158">
      <c r="A158" s="540" t="n">
        <v>188</v>
      </c>
      <c r="B158" s="540" t="inlineStr">
        <is>
          <t>KQCY0188</t>
        </is>
      </c>
      <c r="C158" s="540" t="inlineStr">
        <is>
          <t>餐饮三分部</t>
        </is>
      </c>
      <c r="D158" s="540" t="inlineStr">
        <is>
          <t>CF251</t>
        </is>
      </c>
      <c r="E158" s="540" t="inlineStr">
        <is>
          <t>苏州职大二食堂</t>
        </is>
      </c>
      <c r="F158" s="540" t="inlineStr">
        <is>
          <t>分组作业</t>
        </is>
      </c>
      <c r="G158" s="540" t="inlineStr">
        <is>
          <t>张镁镁</t>
        </is>
      </c>
      <c r="H158" s="540" t="inlineStr">
        <is>
          <t>第十六班组</t>
        </is>
      </c>
      <c r="I158" s="540" t="inlineStr">
        <is>
          <t>烤鸭</t>
        </is>
      </c>
      <c r="J158" s="540" t="inlineStr">
        <is>
          <t>李嘉康</t>
        </is>
      </c>
    </row>
    <row r="159">
      <c r="A159" s="540" t="n">
        <v>189</v>
      </c>
      <c r="B159" s="540" t="inlineStr">
        <is>
          <t>KQCY0189</t>
        </is>
      </c>
      <c r="C159" s="540" t="inlineStr">
        <is>
          <t>餐饮三分部</t>
        </is>
      </c>
      <c r="D159" s="540" t="inlineStr">
        <is>
          <t>CF251</t>
        </is>
      </c>
      <c r="E159" s="540" t="inlineStr">
        <is>
          <t>苏州职大二食堂</t>
        </is>
      </c>
      <c r="F159" s="540" t="inlineStr">
        <is>
          <t>分组作业</t>
        </is>
      </c>
      <c r="G159" s="540" t="inlineStr">
        <is>
          <t>张镁镁</t>
        </is>
      </c>
      <c r="H159" s="540" t="inlineStr">
        <is>
          <t>第十七班组</t>
        </is>
      </c>
      <c r="I159" s="540" t="inlineStr">
        <is>
          <t>手工水饺</t>
        </is>
      </c>
      <c r="J159" s="540" t="inlineStr">
        <is>
          <t>汪玉凤</t>
        </is>
      </c>
    </row>
    <row r="160">
      <c r="A160" s="540" t="n">
        <v>190</v>
      </c>
      <c r="B160" s="540" t="inlineStr">
        <is>
          <t>KQCY0190</t>
        </is>
      </c>
      <c r="C160" s="540" t="inlineStr">
        <is>
          <t>餐饮三分部</t>
        </is>
      </c>
      <c r="D160" s="540" t="inlineStr">
        <is>
          <t>CF251</t>
        </is>
      </c>
      <c r="E160" s="540" t="inlineStr">
        <is>
          <t>苏州职大二食堂</t>
        </is>
      </c>
      <c r="F160" s="540" t="inlineStr">
        <is>
          <t>分组作业</t>
        </is>
      </c>
      <c r="G160" s="540" t="inlineStr">
        <is>
          <t>张镁镁</t>
        </is>
      </c>
      <c r="H160" s="540" t="inlineStr">
        <is>
          <t>第十八班组</t>
        </is>
      </c>
      <c r="I160" s="540" t="inlineStr">
        <is>
          <t>把子肉</t>
        </is>
      </c>
      <c r="J160" s="540" t="inlineStr">
        <is>
          <t>杜故乡</t>
        </is>
      </c>
    </row>
    <row r="161">
      <c r="A161" s="540" t="n">
        <v>192</v>
      </c>
      <c r="B161" s="540" t="inlineStr">
        <is>
          <t>KQCY0192</t>
        </is>
      </c>
      <c r="C161" s="540" t="inlineStr">
        <is>
          <t>餐饮三分部</t>
        </is>
      </c>
      <c r="D161" s="540" t="inlineStr">
        <is>
          <t>CF780</t>
        </is>
      </c>
      <c r="E161" s="540" t="inlineStr">
        <is>
          <t>吉建大二食堂</t>
        </is>
      </c>
      <c r="F161" s="540" t="inlineStr">
        <is>
          <t>分组作业</t>
        </is>
      </c>
      <c r="G161" s="540" t="inlineStr">
        <is>
          <t>徐敏娟</t>
        </is>
      </c>
      <c r="H161" s="540" t="inlineStr">
        <is>
          <t>/</t>
        </is>
      </c>
      <c r="I161" s="540" t="inlineStr">
        <is>
          <t>早点</t>
        </is>
      </c>
      <c r="J161" s="540" t="inlineStr">
        <is>
          <t>李帮</t>
        </is>
      </c>
    </row>
    <row r="162">
      <c r="A162" s="540" t="n">
        <v>193</v>
      </c>
      <c r="B162" s="540" t="inlineStr">
        <is>
          <t>KQCY0193</t>
        </is>
      </c>
      <c r="C162" s="540" t="inlineStr">
        <is>
          <t>餐饮三分部</t>
        </is>
      </c>
      <c r="D162" s="540" t="inlineStr">
        <is>
          <t>CF780</t>
        </is>
      </c>
      <c r="E162" s="540" t="inlineStr">
        <is>
          <t>吉建大二食堂</t>
        </is>
      </c>
      <c r="F162" s="540" t="inlineStr">
        <is>
          <t>分组作业</t>
        </is>
      </c>
      <c r="G162" s="540" t="inlineStr">
        <is>
          <t>徐敏娟</t>
        </is>
      </c>
      <c r="H162" s="540" t="inlineStr">
        <is>
          <t>/</t>
        </is>
      </c>
      <c r="I162" s="540" t="inlineStr">
        <is>
          <t>0090汉堡</t>
        </is>
      </c>
      <c r="J162" s="540" t="inlineStr">
        <is>
          <t>戴杰</t>
        </is>
      </c>
    </row>
    <row r="163">
      <c r="A163" s="540" t="n">
        <v>194</v>
      </c>
      <c r="B163" s="540" t="inlineStr">
        <is>
          <t>KQCY0194</t>
        </is>
      </c>
      <c r="C163" s="540" t="inlineStr">
        <is>
          <t>餐饮三分部</t>
        </is>
      </c>
      <c r="D163" s="540" t="inlineStr">
        <is>
          <t>CF780</t>
        </is>
      </c>
      <c r="E163" s="540" t="inlineStr">
        <is>
          <t>吉建大二食堂</t>
        </is>
      </c>
      <c r="F163" s="540" t="inlineStr">
        <is>
          <t>分组作业</t>
        </is>
      </c>
      <c r="G163" s="540" t="inlineStr">
        <is>
          <t>徐敏娟</t>
        </is>
      </c>
      <c r="H163" s="540" t="inlineStr">
        <is>
          <t>/</t>
        </is>
      </c>
      <c r="I163" s="540" t="inlineStr">
        <is>
          <t>果檬鲜果</t>
        </is>
      </c>
      <c r="J163" s="540" t="inlineStr">
        <is>
          <t>曹雪</t>
        </is>
      </c>
    </row>
    <row r="164">
      <c r="A164" s="540" t="n">
        <v>195</v>
      </c>
      <c r="B164" s="540" t="inlineStr">
        <is>
          <t>KQCY0195</t>
        </is>
      </c>
      <c r="C164" s="540" t="inlineStr">
        <is>
          <t>餐饮三分部</t>
        </is>
      </c>
      <c r="D164" s="540" t="inlineStr">
        <is>
          <t>CF780</t>
        </is>
      </c>
      <c r="E164" s="540" t="inlineStr">
        <is>
          <t>吉建大二食堂</t>
        </is>
      </c>
      <c r="F164" s="540" t="inlineStr">
        <is>
          <t>分组作业</t>
        </is>
      </c>
      <c r="G164" s="540" t="inlineStr">
        <is>
          <t>徐敏娟</t>
        </is>
      </c>
      <c r="H164" s="540" t="inlineStr">
        <is>
          <t>/</t>
        </is>
      </c>
      <c r="I164" s="540" t="inlineStr">
        <is>
          <t>自选水饺</t>
        </is>
      </c>
      <c r="J164" s="540" t="inlineStr">
        <is>
          <t>李英</t>
        </is>
      </c>
    </row>
    <row r="165">
      <c r="A165" s="540" t="n">
        <v>196</v>
      </c>
      <c r="B165" s="540" t="inlineStr">
        <is>
          <t>KQCY0196</t>
        </is>
      </c>
      <c r="C165" s="540" t="inlineStr">
        <is>
          <t>餐饮三分部</t>
        </is>
      </c>
      <c r="D165" s="540" t="inlineStr">
        <is>
          <t>CF780</t>
        </is>
      </c>
      <c r="E165" s="540" t="inlineStr">
        <is>
          <t>吉建大二食堂</t>
        </is>
      </c>
      <c r="F165" s="540" t="inlineStr">
        <is>
          <t>分组作业</t>
        </is>
      </c>
      <c r="G165" s="540" t="inlineStr">
        <is>
          <t>徐敏娟</t>
        </is>
      </c>
      <c r="H165" s="540" t="inlineStr">
        <is>
          <t>/</t>
        </is>
      </c>
      <c r="I165" s="540" t="inlineStr">
        <is>
          <t>渔之谷渔粉</t>
        </is>
      </c>
      <c r="J165" s="540" t="inlineStr">
        <is>
          <t>李荣</t>
        </is>
      </c>
    </row>
    <row r="166">
      <c r="A166" s="540" t="n">
        <v>197</v>
      </c>
      <c r="B166" s="540" t="inlineStr">
        <is>
          <t>KQCY0197</t>
        </is>
      </c>
      <c r="C166" s="540" t="inlineStr">
        <is>
          <t>餐饮三分部</t>
        </is>
      </c>
      <c r="D166" s="540" t="inlineStr">
        <is>
          <t>CF780</t>
        </is>
      </c>
      <c r="E166" s="540" t="inlineStr">
        <is>
          <t>吉建大二食堂</t>
        </is>
      </c>
      <c r="F166" s="540" t="inlineStr">
        <is>
          <t>分组作业</t>
        </is>
      </c>
      <c r="G166" s="540" t="inlineStr">
        <is>
          <t>徐敏娟</t>
        </is>
      </c>
      <c r="H166" s="540" t="inlineStr">
        <is>
          <t>/</t>
        </is>
      </c>
      <c r="I166" s="540" t="inlineStr">
        <is>
          <t>昆吉双拼饭</t>
        </is>
      </c>
      <c r="J166" s="540" t="inlineStr">
        <is>
          <t>郑金娟</t>
        </is>
      </c>
    </row>
    <row r="167">
      <c r="A167" s="540" t="n">
        <v>198</v>
      </c>
      <c r="B167" s="540" t="inlineStr">
        <is>
          <t>KQCY0198</t>
        </is>
      </c>
      <c r="C167" s="540" t="inlineStr">
        <is>
          <t>餐饮三分部</t>
        </is>
      </c>
      <c r="D167" s="540" t="inlineStr">
        <is>
          <t>CF780</t>
        </is>
      </c>
      <c r="E167" s="540" t="inlineStr">
        <is>
          <t>吉建大二食堂</t>
        </is>
      </c>
      <c r="F167" s="540" t="inlineStr">
        <is>
          <t>分组作业</t>
        </is>
      </c>
      <c r="G167" s="540" t="inlineStr">
        <is>
          <t>徐敏娟</t>
        </is>
      </c>
      <c r="H167" s="540" t="inlineStr">
        <is>
          <t>/</t>
        </is>
      </c>
      <c r="I167" s="540" t="inlineStr">
        <is>
          <t>杭州小笼包</t>
        </is>
      </c>
      <c r="J167" s="540" t="inlineStr">
        <is>
          <t>李红岷</t>
        </is>
      </c>
    </row>
    <row r="168">
      <c r="A168" s="540" t="n">
        <v>199</v>
      </c>
      <c r="B168" s="540" t="inlineStr">
        <is>
          <t>KQCY0199</t>
        </is>
      </c>
      <c r="C168" s="540" t="inlineStr">
        <is>
          <t>餐饮三分部</t>
        </is>
      </c>
      <c r="D168" s="540" t="inlineStr">
        <is>
          <t>CF780</t>
        </is>
      </c>
      <c r="E168" s="540" t="inlineStr">
        <is>
          <t>吉建大二食堂</t>
        </is>
      </c>
      <c r="F168" s="540" t="inlineStr">
        <is>
          <t>分组作业</t>
        </is>
      </c>
      <c r="G168" s="540" t="inlineStr">
        <is>
          <t>徐敏娟</t>
        </is>
      </c>
      <c r="H168" s="540" t="inlineStr">
        <is>
          <t>/</t>
        </is>
      </c>
      <c r="I168" s="540" t="inlineStr">
        <is>
          <t>辣椒炒肉</t>
        </is>
      </c>
      <c r="J168" s="540" t="inlineStr">
        <is>
          <t>马永波</t>
        </is>
      </c>
    </row>
    <row r="169">
      <c r="A169" s="540" t="n">
        <v>200</v>
      </c>
      <c r="B169" s="540" t="inlineStr">
        <is>
          <t>KQCY0200</t>
        </is>
      </c>
      <c r="C169" s="540" t="inlineStr">
        <is>
          <t>餐饮三分部</t>
        </is>
      </c>
      <c r="D169" s="540" t="inlineStr">
        <is>
          <t>CF780</t>
        </is>
      </c>
      <c r="E169" s="540" t="inlineStr">
        <is>
          <t>吉建大二食堂</t>
        </is>
      </c>
      <c r="F169" s="540" t="inlineStr">
        <is>
          <t>分组作业</t>
        </is>
      </c>
      <c r="G169" s="540" t="inlineStr">
        <is>
          <t>徐敏娟</t>
        </is>
      </c>
      <c r="H169" s="540" t="inlineStr">
        <is>
          <t>/</t>
        </is>
      </c>
      <c r="I169" s="540" t="inlineStr">
        <is>
          <t>土豆粉</t>
        </is>
      </c>
      <c r="J169" s="540" t="inlineStr">
        <is>
          <t>郑丹丹</t>
        </is>
      </c>
    </row>
    <row r="170">
      <c r="A170" s="540" t="n">
        <v>201</v>
      </c>
      <c r="B170" s="540" t="inlineStr">
        <is>
          <t>KQCY0201</t>
        </is>
      </c>
      <c r="C170" s="540" t="inlineStr">
        <is>
          <t>餐饮三分部</t>
        </is>
      </c>
      <c r="D170" s="540" t="inlineStr">
        <is>
          <t>CF780</t>
        </is>
      </c>
      <c r="E170" s="540" t="inlineStr">
        <is>
          <t>吉建大二食堂</t>
        </is>
      </c>
      <c r="F170" s="540" t="inlineStr">
        <is>
          <t>分组作业</t>
        </is>
      </c>
      <c r="G170" s="540" t="inlineStr">
        <is>
          <t>徐敏娟</t>
        </is>
      </c>
      <c r="H170" s="540" t="inlineStr">
        <is>
          <t>/</t>
        </is>
      </c>
      <c r="I170" s="540" t="inlineStr">
        <is>
          <t>一纸鸡</t>
        </is>
      </c>
      <c r="J170" s="540" t="inlineStr">
        <is>
          <t>徐玉珍</t>
        </is>
      </c>
    </row>
    <row r="171">
      <c r="A171" s="540" t="n">
        <v>202</v>
      </c>
      <c r="B171" s="540" t="inlineStr">
        <is>
          <t>KQCY0202</t>
        </is>
      </c>
      <c r="C171" s="540" t="inlineStr">
        <is>
          <t>餐饮三分部</t>
        </is>
      </c>
      <c r="D171" s="540" t="inlineStr">
        <is>
          <t>CF780</t>
        </is>
      </c>
      <c r="E171" s="540" t="inlineStr">
        <is>
          <t>吉建大二食堂</t>
        </is>
      </c>
      <c r="F171" s="540" t="inlineStr">
        <is>
          <t>分组作业</t>
        </is>
      </c>
      <c r="G171" s="540" t="inlineStr">
        <is>
          <t>徐敏娟</t>
        </is>
      </c>
      <c r="H171" s="540" t="inlineStr">
        <is>
          <t>/</t>
        </is>
      </c>
      <c r="I171" s="540" t="inlineStr">
        <is>
          <t>现炒浇头面</t>
        </is>
      </c>
      <c r="J171" s="540" t="inlineStr">
        <is>
          <t>尹士元</t>
        </is>
      </c>
    </row>
    <row r="172">
      <c r="A172" s="540" t="n">
        <v>203</v>
      </c>
      <c r="B172" s="540" t="inlineStr">
        <is>
          <t>KQCY0203</t>
        </is>
      </c>
      <c r="C172" s="540" t="inlineStr">
        <is>
          <t>餐饮三分部</t>
        </is>
      </c>
      <c r="D172" s="540" t="inlineStr">
        <is>
          <t>CF780</t>
        </is>
      </c>
      <c r="E172" s="540" t="inlineStr">
        <is>
          <t>吉建大二食堂</t>
        </is>
      </c>
      <c r="F172" s="540" t="inlineStr">
        <is>
          <t>分组作业</t>
        </is>
      </c>
      <c r="G172" s="540" t="inlineStr">
        <is>
          <t>徐敏娟</t>
        </is>
      </c>
      <c r="H172" s="540" t="inlineStr">
        <is>
          <t>/</t>
        </is>
      </c>
      <c r="I172" s="540" t="inlineStr">
        <is>
          <t>炒饭专家</t>
        </is>
      </c>
      <c r="J172" s="540" t="inlineStr">
        <is>
          <t>贡海涛</t>
        </is>
      </c>
    </row>
    <row r="173">
      <c r="A173" s="540" t="n">
        <v>204</v>
      </c>
      <c r="B173" s="540" t="inlineStr">
        <is>
          <t>KQCY0204</t>
        </is>
      </c>
      <c r="C173" s="540" t="inlineStr">
        <is>
          <t>餐饮三分部</t>
        </is>
      </c>
      <c r="D173" s="540" t="inlineStr">
        <is>
          <t>CF780</t>
        </is>
      </c>
      <c r="E173" s="540" t="inlineStr">
        <is>
          <t>吉建大二食堂</t>
        </is>
      </c>
      <c r="F173" s="540" t="inlineStr">
        <is>
          <t>分组作业</t>
        </is>
      </c>
      <c r="G173" s="540" t="inlineStr">
        <is>
          <t>徐敏娟</t>
        </is>
      </c>
      <c r="H173" s="540" t="inlineStr">
        <is>
          <t>/</t>
        </is>
      </c>
      <c r="I173" s="540" t="inlineStr">
        <is>
          <t>瓦香鸡</t>
        </is>
      </c>
      <c r="J173" s="540" t="inlineStr">
        <is>
          <t>马永波</t>
        </is>
      </c>
    </row>
    <row r="174">
      <c r="A174" s="540" t="n">
        <v>205</v>
      </c>
      <c r="B174" s="540" t="inlineStr">
        <is>
          <t>KQCY0205</t>
        </is>
      </c>
      <c r="C174" s="540" t="inlineStr">
        <is>
          <t>餐饮三分部</t>
        </is>
      </c>
      <c r="D174" s="540" t="inlineStr">
        <is>
          <t>CF780</t>
        </is>
      </c>
      <c r="E174" s="540" t="inlineStr">
        <is>
          <t>吉建大二食堂</t>
        </is>
      </c>
      <c r="F174" s="540" t="inlineStr">
        <is>
          <t>分组作业</t>
        </is>
      </c>
      <c r="G174" s="540" t="inlineStr">
        <is>
          <t>徐敏娟</t>
        </is>
      </c>
      <c r="H174" s="540" t="inlineStr">
        <is>
          <t>/</t>
        </is>
      </c>
      <c r="I174" s="540" t="inlineStr">
        <is>
          <t>热干面</t>
        </is>
      </c>
      <c r="J174" s="540" t="inlineStr">
        <is>
          <t>徐成龙</t>
        </is>
      </c>
    </row>
    <row r="175">
      <c r="A175" s="540" t="n">
        <v>206</v>
      </c>
      <c r="B175" s="540" t="inlineStr">
        <is>
          <t>KQCY0206</t>
        </is>
      </c>
      <c r="C175" s="540" t="inlineStr">
        <is>
          <t>餐饮三分部</t>
        </is>
      </c>
      <c r="D175" s="540" t="inlineStr">
        <is>
          <t>CF780</t>
        </is>
      </c>
      <c r="E175" s="540" t="inlineStr">
        <is>
          <t>吉建大二食堂</t>
        </is>
      </c>
      <c r="F175" s="540" t="inlineStr">
        <is>
          <t>分组作业</t>
        </is>
      </c>
      <c r="G175" s="540" t="inlineStr">
        <is>
          <t>徐敏娟</t>
        </is>
      </c>
      <c r="H175" s="540" t="inlineStr">
        <is>
          <t>/</t>
        </is>
      </c>
      <c r="I175" s="540" t="inlineStr">
        <is>
          <t>喜翻拌麻辣拌</t>
        </is>
      </c>
      <c r="J175" s="540" t="inlineStr">
        <is>
          <t>兰国强</t>
        </is>
      </c>
    </row>
    <row r="176">
      <c r="A176" s="540" t="n">
        <v>207</v>
      </c>
      <c r="B176" s="540" t="inlineStr">
        <is>
          <t>KQCY0207</t>
        </is>
      </c>
      <c r="C176" s="540" t="inlineStr">
        <is>
          <t>餐饮三分部</t>
        </is>
      </c>
      <c r="D176" s="540" t="inlineStr">
        <is>
          <t>CF780</t>
        </is>
      </c>
      <c r="E176" s="540" t="inlineStr">
        <is>
          <t>吉建大二食堂</t>
        </is>
      </c>
      <c r="F176" s="540" t="inlineStr">
        <is>
          <t>分组作业</t>
        </is>
      </c>
      <c r="G176" s="540" t="inlineStr">
        <is>
          <t>徐敏娟</t>
        </is>
      </c>
      <c r="H176" s="540" t="inlineStr">
        <is>
          <t>/</t>
        </is>
      </c>
      <c r="I176" s="540" t="inlineStr">
        <is>
          <t>檬大咖</t>
        </is>
      </c>
      <c r="J176" s="540" t="inlineStr">
        <is>
          <t>于广东</t>
        </is>
      </c>
    </row>
    <row r="177">
      <c r="A177" s="540" t="n">
        <v>208</v>
      </c>
      <c r="B177" s="540" t="inlineStr">
        <is>
          <t>KQCY0208</t>
        </is>
      </c>
      <c r="C177" s="540" t="inlineStr">
        <is>
          <t>餐饮三分部</t>
        </is>
      </c>
      <c r="D177" s="540" t="inlineStr">
        <is>
          <t>CF780</t>
        </is>
      </c>
      <c r="E177" s="540" t="inlineStr">
        <is>
          <t>吉建大二食堂</t>
        </is>
      </c>
      <c r="F177" s="540" t="inlineStr">
        <is>
          <t>分组作业</t>
        </is>
      </c>
      <c r="G177" s="540" t="inlineStr">
        <is>
          <t>徐敏娟</t>
        </is>
      </c>
      <c r="H177" s="540" t="inlineStr">
        <is>
          <t>/</t>
        </is>
      </c>
      <c r="I177" s="540" t="inlineStr">
        <is>
          <t>烤盘饭</t>
        </is>
      </c>
      <c r="J177" s="540" t="inlineStr">
        <is>
          <t>曹晓东</t>
        </is>
      </c>
    </row>
    <row r="178">
      <c r="A178" s="540" t="n">
        <v>209</v>
      </c>
      <c r="B178" s="540" t="inlineStr">
        <is>
          <t>KQCY0209</t>
        </is>
      </c>
      <c r="C178" s="540" t="inlineStr">
        <is>
          <t>餐饮三分部</t>
        </is>
      </c>
      <c r="D178" s="540" t="inlineStr">
        <is>
          <t>CF780</t>
        </is>
      </c>
      <c r="E178" s="540" t="inlineStr">
        <is>
          <t>吉建大二食堂</t>
        </is>
      </c>
      <c r="F178" s="540" t="inlineStr">
        <is>
          <t>分组作业</t>
        </is>
      </c>
      <c r="G178" s="540" t="inlineStr">
        <is>
          <t>徐敏娟</t>
        </is>
      </c>
      <c r="H178" s="540" t="inlineStr">
        <is>
          <t>/</t>
        </is>
      </c>
      <c r="I178" s="540" t="inlineStr">
        <is>
          <t>蜀道吉水煮肉</t>
        </is>
      </c>
      <c r="J178" s="540" t="inlineStr">
        <is>
          <t>刘旭东</t>
        </is>
      </c>
    </row>
    <row r="179">
      <c r="A179" s="540" t="n">
        <v>210</v>
      </c>
      <c r="B179" s="540" t="inlineStr">
        <is>
          <t>KQCY0210</t>
        </is>
      </c>
      <c r="C179" s="540" t="inlineStr">
        <is>
          <t>餐饮三分部</t>
        </is>
      </c>
      <c r="D179" s="540" t="inlineStr">
        <is>
          <t>CF780</t>
        </is>
      </c>
      <c r="E179" s="540" t="inlineStr">
        <is>
          <t>吉建大二食堂</t>
        </is>
      </c>
      <c r="F179" s="540" t="inlineStr">
        <is>
          <t>分组作业</t>
        </is>
      </c>
      <c r="G179" s="540" t="inlineStr">
        <is>
          <t>徐敏娟</t>
        </is>
      </c>
      <c r="H179" s="540" t="inlineStr">
        <is>
          <t>/</t>
        </is>
      </c>
      <c r="I179" s="540" t="inlineStr">
        <is>
          <t>拼好饭</t>
        </is>
      </c>
      <c r="J179" s="540" t="inlineStr">
        <is>
          <t>陈国利</t>
        </is>
      </c>
    </row>
    <row r="180">
      <c r="A180" s="540" t="n">
        <v>211</v>
      </c>
      <c r="B180" s="540" t="inlineStr">
        <is>
          <t>KQCY0211</t>
        </is>
      </c>
      <c r="C180" s="540" t="inlineStr">
        <is>
          <t>餐饮三分部</t>
        </is>
      </c>
      <c r="D180" s="540" t="inlineStr">
        <is>
          <t>CF780</t>
        </is>
      </c>
      <c r="E180" s="540" t="inlineStr">
        <is>
          <t>吉建大二食堂</t>
        </is>
      </c>
      <c r="F180" s="540" t="inlineStr">
        <is>
          <t>分组作业</t>
        </is>
      </c>
      <c r="G180" s="540" t="inlineStr">
        <is>
          <t>徐敏娟</t>
        </is>
      </c>
      <c r="H180" s="540" t="inlineStr">
        <is>
          <t>/</t>
        </is>
      </c>
      <c r="I180" s="540" t="inlineStr">
        <is>
          <t>烤鸭饭</t>
        </is>
      </c>
      <c r="J180" s="540" t="inlineStr">
        <is>
          <t>付冬玲</t>
        </is>
      </c>
    </row>
    <row r="181">
      <c r="A181" s="540" t="n">
        <v>212</v>
      </c>
      <c r="B181" s="540" t="inlineStr">
        <is>
          <t>KQCY0212</t>
        </is>
      </c>
      <c r="C181" s="540" t="inlineStr">
        <is>
          <t>餐饮三分部</t>
        </is>
      </c>
      <c r="D181" s="540" t="inlineStr">
        <is>
          <t>CF780</t>
        </is>
      </c>
      <c r="E181" s="540" t="inlineStr">
        <is>
          <t>吉建大二食堂</t>
        </is>
      </c>
      <c r="F181" s="540" t="inlineStr">
        <is>
          <t>分组作业</t>
        </is>
      </c>
      <c r="G181" s="540" t="inlineStr">
        <is>
          <t>徐敏娟</t>
        </is>
      </c>
      <c r="H181" s="540" t="inlineStr">
        <is>
          <t>/</t>
        </is>
      </c>
      <c r="I181" s="540" t="inlineStr">
        <is>
          <t>海南鸡饭</t>
        </is>
      </c>
      <c r="J181" s="540" t="inlineStr">
        <is>
          <t>曲丽平</t>
        </is>
      </c>
    </row>
    <row r="182">
      <c r="A182" s="540" t="n">
        <v>213</v>
      </c>
      <c r="B182" s="540" t="inlineStr">
        <is>
          <t>KQCY0213</t>
        </is>
      </c>
      <c r="C182" s="540" t="inlineStr">
        <is>
          <t>餐饮三分部</t>
        </is>
      </c>
      <c r="D182" s="540" t="inlineStr">
        <is>
          <t>CF780</t>
        </is>
      </c>
      <c r="E182" s="540" t="inlineStr">
        <is>
          <t>吉建大二食堂</t>
        </is>
      </c>
      <c r="F182" s="540" t="inlineStr">
        <is>
          <t>分组作业</t>
        </is>
      </c>
      <c r="G182" s="540" t="inlineStr">
        <is>
          <t>徐敏娟</t>
        </is>
      </c>
      <c r="H182" s="540" t="inlineStr">
        <is>
          <t>/</t>
        </is>
      </c>
      <c r="I182" s="540" t="inlineStr">
        <is>
          <t>小街牛杂面</t>
        </is>
      </c>
      <c r="J182" s="540" t="inlineStr">
        <is>
          <t>郭铁军</t>
        </is>
      </c>
    </row>
    <row r="183">
      <c r="A183" s="540" t="n">
        <v>214</v>
      </c>
      <c r="B183" s="540" t="inlineStr">
        <is>
          <t>KQCY0214</t>
        </is>
      </c>
      <c r="C183" s="540" t="inlineStr">
        <is>
          <t>餐饮三分部</t>
        </is>
      </c>
      <c r="D183" s="540" t="inlineStr">
        <is>
          <t>CF780</t>
        </is>
      </c>
      <c r="E183" s="540" t="inlineStr">
        <is>
          <t>吉建大二食堂</t>
        </is>
      </c>
      <c r="F183" s="540" t="inlineStr">
        <is>
          <t>分组作业</t>
        </is>
      </c>
      <c r="G183" s="540" t="inlineStr">
        <is>
          <t>徐敏娟</t>
        </is>
      </c>
      <c r="H183" s="540" t="inlineStr">
        <is>
          <t>/</t>
        </is>
      </c>
      <c r="I183" s="540" t="inlineStr">
        <is>
          <t>炙烤五花肉</t>
        </is>
      </c>
      <c r="J183" s="540" t="inlineStr">
        <is>
          <t>付炜</t>
        </is>
      </c>
    </row>
    <row r="184">
      <c r="A184" s="540" t="n">
        <v>215</v>
      </c>
      <c r="B184" s="540" t="inlineStr">
        <is>
          <t>KQCY0215</t>
        </is>
      </c>
      <c r="C184" s="540" t="inlineStr">
        <is>
          <t>餐饮三分部</t>
        </is>
      </c>
      <c r="D184" s="540" t="inlineStr">
        <is>
          <t>CF780</t>
        </is>
      </c>
      <c r="E184" s="540" t="inlineStr">
        <is>
          <t>吉建大二食堂</t>
        </is>
      </c>
      <c r="F184" s="540" t="inlineStr">
        <is>
          <t>分组作业</t>
        </is>
      </c>
      <c r="G184" s="540" t="inlineStr">
        <is>
          <t>徐敏娟</t>
        </is>
      </c>
      <c r="H184" s="540" t="inlineStr">
        <is>
          <t>/</t>
        </is>
      </c>
      <c r="I184" s="540" t="inlineStr">
        <is>
          <t>朴大叔拌饭</t>
        </is>
      </c>
      <c r="J184" s="540" t="inlineStr">
        <is>
          <t>沈延斌</t>
        </is>
      </c>
    </row>
    <row r="185">
      <c r="A185" s="540" t="n">
        <v>216</v>
      </c>
      <c r="B185" s="540" t="inlineStr">
        <is>
          <t>KQCY0216</t>
        </is>
      </c>
      <c r="C185" s="540" t="inlineStr">
        <is>
          <t>餐饮三分部</t>
        </is>
      </c>
      <c r="D185" s="540" t="inlineStr">
        <is>
          <t>CF780</t>
        </is>
      </c>
      <c r="E185" s="540" t="inlineStr">
        <is>
          <t>吉建大二食堂</t>
        </is>
      </c>
      <c r="F185" s="540" t="inlineStr">
        <is>
          <t>分组作业</t>
        </is>
      </c>
      <c r="G185" s="540" t="inlineStr">
        <is>
          <t>徐敏娟</t>
        </is>
      </c>
      <c r="H185" s="540" t="inlineStr">
        <is>
          <t>/</t>
        </is>
      </c>
      <c r="I185" s="540" t="inlineStr">
        <is>
          <t>猪脚饭</t>
        </is>
      </c>
      <c r="J185" s="540" t="inlineStr">
        <is>
          <t>陈超</t>
        </is>
      </c>
    </row>
    <row r="186">
      <c r="A186" s="540" t="n">
        <v>217</v>
      </c>
      <c r="B186" s="540" t="inlineStr">
        <is>
          <t>KQCY0217</t>
        </is>
      </c>
      <c r="C186" s="540" t="inlineStr">
        <is>
          <t>餐饮三分部</t>
        </is>
      </c>
      <c r="D186" s="540" t="inlineStr">
        <is>
          <t>CF780</t>
        </is>
      </c>
      <c r="E186" s="540" t="inlineStr">
        <is>
          <t>吉建大二食堂</t>
        </is>
      </c>
      <c r="F186" s="540" t="inlineStr">
        <is>
          <t>分组作业</t>
        </is>
      </c>
      <c r="G186" s="540" t="inlineStr">
        <is>
          <t>徐敏娟</t>
        </is>
      </c>
      <c r="H186" s="540" t="inlineStr">
        <is>
          <t>/</t>
        </is>
      </c>
      <c r="I186" s="540" t="inlineStr">
        <is>
          <t>羊杂面</t>
        </is>
      </c>
      <c r="J186" s="540" t="inlineStr">
        <is>
          <t>扬中理</t>
        </is>
      </c>
    </row>
    <row r="187">
      <c r="A187" s="540" t="n">
        <v>218</v>
      </c>
      <c r="B187" s="540" t="inlineStr">
        <is>
          <t>KQCY0218</t>
        </is>
      </c>
      <c r="C187" s="540" t="inlineStr">
        <is>
          <t>餐饮三分部</t>
        </is>
      </c>
      <c r="D187" s="540" t="inlineStr">
        <is>
          <t>CF780</t>
        </is>
      </c>
      <c r="E187" s="540" t="inlineStr">
        <is>
          <t>吉建大二食堂</t>
        </is>
      </c>
      <c r="F187" s="540" t="inlineStr">
        <is>
          <t>分组作业</t>
        </is>
      </c>
      <c r="G187" s="540" t="inlineStr">
        <is>
          <t>徐敏娟</t>
        </is>
      </c>
      <c r="H187" s="540" t="inlineStr">
        <is>
          <t>/</t>
        </is>
      </c>
      <c r="I187" s="540" t="inlineStr">
        <is>
          <t>原粉公煮</t>
        </is>
      </c>
      <c r="J187" s="540" t="inlineStr">
        <is>
          <t>田卓</t>
        </is>
      </c>
    </row>
    <row r="188">
      <c r="A188" s="540" t="n">
        <v>219</v>
      </c>
      <c r="B188" s="540" t="inlineStr">
        <is>
          <t>KQCY0219</t>
        </is>
      </c>
      <c r="C188" s="540" t="inlineStr">
        <is>
          <t>餐饮三分部</t>
        </is>
      </c>
      <c r="D188" s="540" t="inlineStr">
        <is>
          <t>CF780</t>
        </is>
      </c>
      <c r="E188" s="540" t="inlineStr">
        <is>
          <t>吉建大二食堂</t>
        </is>
      </c>
      <c r="F188" s="540" t="inlineStr">
        <is>
          <t>分组作业</t>
        </is>
      </c>
      <c r="G188" s="540" t="inlineStr">
        <is>
          <t>徐敏娟</t>
        </is>
      </c>
      <c r="H188" s="540" t="inlineStr">
        <is>
          <t>/</t>
        </is>
      </c>
      <c r="I188" s="540" t="inlineStr">
        <is>
          <t>大块牛肉饭</t>
        </is>
      </c>
      <c r="J188" s="540" t="inlineStr">
        <is>
          <t>王亮</t>
        </is>
      </c>
    </row>
    <row r="189">
      <c r="A189" s="540" t="n">
        <v>220</v>
      </c>
      <c r="B189" s="540" t="inlineStr">
        <is>
          <t>KQCY0220</t>
        </is>
      </c>
      <c r="C189" s="540" t="inlineStr">
        <is>
          <t>餐饮三分部</t>
        </is>
      </c>
      <c r="D189" s="540" t="inlineStr">
        <is>
          <t>CF780</t>
        </is>
      </c>
      <c r="E189" s="540" t="inlineStr">
        <is>
          <t>吉建大二食堂</t>
        </is>
      </c>
      <c r="F189" s="540" t="inlineStr">
        <is>
          <t>分组作业</t>
        </is>
      </c>
      <c r="G189" s="540" t="inlineStr">
        <is>
          <t>徐敏娟</t>
        </is>
      </c>
      <c r="H189" s="540" t="inlineStr">
        <is>
          <t>/</t>
        </is>
      </c>
      <c r="I189" s="540" t="inlineStr">
        <is>
          <t>嘻哈密语</t>
        </is>
      </c>
      <c r="J189" s="540" t="inlineStr">
        <is>
          <t>陶志鹏</t>
        </is>
      </c>
    </row>
    <row r="190">
      <c r="A190" s="540" t="n">
        <v>221</v>
      </c>
      <c r="B190" s="540" t="inlineStr">
        <is>
          <t>KQCY0221</t>
        </is>
      </c>
      <c r="C190" s="540" t="inlineStr">
        <is>
          <t>餐饮三分部</t>
        </is>
      </c>
      <c r="D190" s="540" t="inlineStr">
        <is>
          <t>CF780</t>
        </is>
      </c>
      <c r="E190" s="540" t="inlineStr">
        <is>
          <t>吉建大二食堂</t>
        </is>
      </c>
      <c r="F190" s="540" t="inlineStr">
        <is>
          <t>分组作业</t>
        </is>
      </c>
      <c r="G190" s="540" t="inlineStr">
        <is>
          <t>徐敏娟</t>
        </is>
      </c>
      <c r="H190" s="540" t="inlineStr">
        <is>
          <t>/</t>
        </is>
      </c>
      <c r="I190" s="540" t="inlineStr">
        <is>
          <t>炸鸡汉堡</t>
        </is>
      </c>
      <c r="J190" s="540" t="inlineStr">
        <is>
          <t>隗伟</t>
        </is>
      </c>
    </row>
    <row r="191">
      <c r="A191" s="540" t="n">
        <v>222</v>
      </c>
      <c r="B191" s="540" t="inlineStr">
        <is>
          <t>KQCY0222</t>
        </is>
      </c>
      <c r="C191" s="540" t="inlineStr">
        <is>
          <t>餐饮三分部</t>
        </is>
      </c>
      <c r="D191" s="540" t="inlineStr">
        <is>
          <t>CF780</t>
        </is>
      </c>
      <c r="E191" s="540" t="inlineStr">
        <is>
          <t>吉建大二食堂</t>
        </is>
      </c>
      <c r="F191" s="540" t="inlineStr">
        <is>
          <t>分组作业</t>
        </is>
      </c>
      <c r="G191" s="540" t="inlineStr">
        <is>
          <t>徐敏娟</t>
        </is>
      </c>
      <c r="H191" s="540" t="inlineStr">
        <is>
          <t>/</t>
        </is>
      </c>
      <c r="I191" s="540" t="inlineStr">
        <is>
          <t>九阳豆浆</t>
        </is>
      </c>
      <c r="J191" s="540" t="inlineStr">
        <is>
          <t>李宝友</t>
        </is>
      </c>
    </row>
    <row r="192">
      <c r="A192" s="540" t="n">
        <v>223</v>
      </c>
      <c r="B192" s="540" t="inlineStr">
        <is>
          <t>KQCY0223</t>
        </is>
      </c>
      <c r="C192" s="540" t="inlineStr">
        <is>
          <t>餐饮三分部</t>
        </is>
      </c>
      <c r="D192" s="540" t="inlineStr">
        <is>
          <t>CF780</t>
        </is>
      </c>
      <c r="E192" s="540" t="inlineStr">
        <is>
          <t>吉建大二食堂</t>
        </is>
      </c>
      <c r="F192" s="540" t="inlineStr">
        <is>
          <t>分组作业</t>
        </is>
      </c>
      <c r="G192" s="540" t="inlineStr">
        <is>
          <t>徐敏娟</t>
        </is>
      </c>
      <c r="H192" s="540" t="inlineStr">
        <is>
          <t>/</t>
        </is>
      </c>
      <c r="I192" s="540" t="inlineStr">
        <is>
          <t>杂粮煎饼</t>
        </is>
      </c>
      <c r="J192" s="540" t="inlineStr">
        <is>
          <t>仲伟兴</t>
        </is>
      </c>
    </row>
    <row r="193">
      <c r="A193" s="540" t="n">
        <v>224</v>
      </c>
      <c r="B193" s="540" t="inlineStr">
        <is>
          <t>KQCY0224</t>
        </is>
      </c>
      <c r="C193" s="540" t="inlineStr">
        <is>
          <t>餐饮三分部</t>
        </is>
      </c>
      <c r="D193" s="540" t="inlineStr">
        <is>
          <t>CF780</t>
        </is>
      </c>
      <c r="E193" s="540" t="inlineStr">
        <is>
          <t>吉建大二食堂</t>
        </is>
      </c>
      <c r="F193" s="540" t="inlineStr">
        <is>
          <t>分组作业</t>
        </is>
      </c>
      <c r="G193" s="540" t="inlineStr">
        <is>
          <t>徐敏娟</t>
        </is>
      </c>
      <c r="H193" s="540" t="inlineStr">
        <is>
          <t>/</t>
        </is>
      </c>
      <c r="I193" s="540" t="inlineStr">
        <is>
          <t>特色餐厅</t>
        </is>
      </c>
      <c r="J193" s="540" t="inlineStr">
        <is>
          <t>王友峰</t>
        </is>
      </c>
    </row>
    <row r="194">
      <c r="A194" s="540" t="n">
        <v>226</v>
      </c>
      <c r="B194" s="540" t="inlineStr">
        <is>
          <t>KQCY0226</t>
        </is>
      </c>
      <c r="C194" s="540" t="inlineStr">
        <is>
          <t>餐饮三分部</t>
        </is>
      </c>
      <c r="D194" s="540" t="inlineStr">
        <is>
          <t>CF641</t>
        </is>
      </c>
      <c r="E194" s="540" t="inlineStr">
        <is>
          <t>中山大学北学二食堂</t>
        </is>
      </c>
      <c r="F194" s="540" t="inlineStr">
        <is>
          <t>分组作业</t>
        </is>
      </c>
      <c r="G194" s="540" t="inlineStr">
        <is>
          <t>徐敏娟</t>
        </is>
      </c>
      <c r="H194" s="540" t="inlineStr">
        <is>
          <t>第一班组</t>
        </is>
      </c>
      <c r="I194" s="540" t="inlineStr">
        <is>
          <t>早点（大众餐、粉面）</t>
        </is>
      </c>
      <c r="J194" s="540" t="inlineStr">
        <is>
          <t>蒲久龙</t>
        </is>
      </c>
    </row>
    <row r="195">
      <c r="A195" s="540" t="n">
        <v>227</v>
      </c>
      <c r="B195" s="540" t="inlineStr">
        <is>
          <t>KQCY0227</t>
        </is>
      </c>
      <c r="C195" s="540" t="inlineStr">
        <is>
          <t>餐饮三分部</t>
        </is>
      </c>
      <c r="D195" s="540" t="inlineStr">
        <is>
          <t>CF641</t>
        </is>
      </c>
      <c r="E195" s="540" t="inlineStr">
        <is>
          <t>中山大学北学二食堂</t>
        </is>
      </c>
      <c r="F195" s="540" t="inlineStr">
        <is>
          <t>分组作业</t>
        </is>
      </c>
      <c r="G195" s="540" t="inlineStr">
        <is>
          <t>徐敏娟</t>
        </is>
      </c>
      <c r="H195" s="540" t="inlineStr">
        <is>
          <t>第二班组</t>
        </is>
      </c>
      <c r="I195" s="540" t="inlineStr">
        <is>
          <t>喜多多扒饭</t>
        </is>
      </c>
      <c r="J195" s="540" t="inlineStr">
        <is>
          <t>郝晓敏</t>
        </is>
      </c>
    </row>
    <row r="196">
      <c r="A196" s="540" t="n">
        <v>228</v>
      </c>
      <c r="B196" s="540" t="inlineStr">
        <is>
          <t>KQCY0228</t>
        </is>
      </c>
      <c r="C196" s="540" t="inlineStr">
        <is>
          <t>餐饮三分部</t>
        </is>
      </c>
      <c r="D196" s="540" t="inlineStr">
        <is>
          <t>CF641</t>
        </is>
      </c>
      <c r="E196" s="540" t="inlineStr">
        <is>
          <t>中山大学北学二食堂</t>
        </is>
      </c>
      <c r="F196" s="540" t="inlineStr">
        <is>
          <t>分组作业</t>
        </is>
      </c>
      <c r="G196" s="540" t="inlineStr">
        <is>
          <t>徐敏娟</t>
        </is>
      </c>
      <c r="H196" s="540" t="inlineStr">
        <is>
          <t>第三班组</t>
        </is>
      </c>
      <c r="I196" s="540" t="inlineStr">
        <is>
          <t>香锅（麻辣烫）</t>
        </is>
      </c>
      <c r="J196" s="540" t="inlineStr">
        <is>
          <t>魏国义</t>
        </is>
      </c>
    </row>
    <row r="197">
      <c r="A197" s="540" t="n">
        <v>229</v>
      </c>
      <c r="B197" s="540" t="inlineStr">
        <is>
          <t>KQCY0229</t>
        </is>
      </c>
      <c r="C197" s="540" t="inlineStr">
        <is>
          <t>餐饮三分部</t>
        </is>
      </c>
      <c r="D197" s="540" t="inlineStr">
        <is>
          <t>CF641</t>
        </is>
      </c>
      <c r="E197" s="540" t="inlineStr">
        <is>
          <t>中山大学北学二食堂</t>
        </is>
      </c>
      <c r="F197" s="540" t="inlineStr">
        <is>
          <t>分组作业</t>
        </is>
      </c>
      <c r="G197" s="540" t="inlineStr">
        <is>
          <t>徐敏娟</t>
        </is>
      </c>
      <c r="H197" s="540" t="inlineStr">
        <is>
          <t>第四班组</t>
        </is>
      </c>
      <c r="I197" s="540" t="inlineStr">
        <is>
          <t>面条（螺蛳粉）</t>
        </is>
      </c>
      <c r="J197" s="540" t="inlineStr">
        <is>
          <t>张玉雷</t>
        </is>
      </c>
    </row>
    <row r="198">
      <c r="A198" s="540" t="n">
        <v>230</v>
      </c>
      <c r="B198" s="540" t="inlineStr">
        <is>
          <t>KQCY0230</t>
        </is>
      </c>
      <c r="C198" s="540" t="inlineStr">
        <is>
          <t>餐饮三分部</t>
        </is>
      </c>
      <c r="D198" s="540" t="inlineStr">
        <is>
          <t>CF641</t>
        </is>
      </c>
      <c r="E198" s="540" t="inlineStr">
        <is>
          <t>中山大学北学二食堂</t>
        </is>
      </c>
      <c r="F198" s="540" t="inlineStr">
        <is>
          <t>分组作业</t>
        </is>
      </c>
      <c r="G198" s="540" t="inlineStr">
        <is>
          <t>徐敏娟</t>
        </is>
      </c>
      <c r="H198" s="540" t="inlineStr">
        <is>
          <t>第五班组</t>
        </is>
      </c>
      <c r="I198" s="540" t="inlineStr">
        <is>
          <t>牛肉饭（烤肉拌饭）</t>
        </is>
      </c>
      <c r="J198" s="540" t="inlineStr">
        <is>
          <t>张磊</t>
        </is>
      </c>
    </row>
    <row r="199">
      <c r="A199" s="540" t="n">
        <v>232</v>
      </c>
      <c r="B199" s="540" t="inlineStr">
        <is>
          <t>KQCY0232</t>
        </is>
      </c>
      <c r="C199" s="540" t="inlineStr">
        <is>
          <t>餐饮三分部</t>
        </is>
      </c>
      <c r="D199" s="540" t="inlineStr">
        <is>
          <t>CF640</t>
        </is>
      </c>
      <c r="E199" s="540" t="inlineStr">
        <is>
          <t>广东财大雅食园食堂</t>
        </is>
      </c>
      <c r="F199" s="540" t="inlineStr">
        <is>
          <t>分组作业</t>
        </is>
      </c>
      <c r="G199" s="540" t="inlineStr">
        <is>
          <t>徐敏娟</t>
        </is>
      </c>
      <c r="H199" s="540" t="inlineStr">
        <is>
          <t>第一班组</t>
        </is>
      </c>
      <c r="I199" s="540" t="inlineStr">
        <is>
          <t>早点(大众餐)</t>
        </is>
      </c>
      <c r="J199" s="540" t="inlineStr">
        <is>
          <t>黄国青</t>
        </is>
      </c>
    </row>
    <row r="200">
      <c r="A200" s="540" t="n">
        <v>234</v>
      </c>
      <c r="B200" s="540" t="inlineStr">
        <is>
          <t>KQCY0234</t>
        </is>
      </c>
      <c r="C200" s="540" t="inlineStr">
        <is>
          <t>餐饮三分部</t>
        </is>
      </c>
      <c r="D200" s="540" t="inlineStr">
        <is>
          <t>CF781</t>
        </is>
      </c>
      <c r="E200" s="540" t="inlineStr">
        <is>
          <t>苏食院第一学生食堂</t>
        </is>
      </c>
      <c r="F200" s="540" t="inlineStr">
        <is>
          <t>分组作业</t>
        </is>
      </c>
      <c r="G200" s="540" t="inlineStr">
        <is>
          <t>徐敏娟</t>
        </is>
      </c>
      <c r="H200" s="540" t="inlineStr">
        <is>
          <t>/</t>
        </is>
      </c>
      <c r="I200" s="540" t="inlineStr">
        <is>
          <t>兰州拉面</t>
        </is>
      </c>
      <c r="J200" s="540" t="inlineStr">
        <is>
          <t>马金明</t>
        </is>
      </c>
    </row>
    <row r="201">
      <c r="A201" s="540" t="n">
        <v>235</v>
      </c>
      <c r="B201" s="540" t="inlineStr">
        <is>
          <t>KQCY0235</t>
        </is>
      </c>
      <c r="C201" s="540" t="inlineStr">
        <is>
          <t>餐饮三分部</t>
        </is>
      </c>
      <c r="D201" s="540" t="inlineStr">
        <is>
          <t>CF781</t>
        </is>
      </c>
      <c r="E201" s="540" t="inlineStr">
        <is>
          <t>苏食院第一学生食堂</t>
        </is>
      </c>
      <c r="F201" s="540" t="inlineStr">
        <is>
          <t>分组作业</t>
        </is>
      </c>
      <c r="G201" s="540" t="inlineStr">
        <is>
          <t>徐敏娟</t>
        </is>
      </c>
      <c r="H201" s="540" t="inlineStr">
        <is>
          <t>/</t>
        </is>
      </c>
      <c r="I201" s="540" t="inlineStr">
        <is>
          <t>米线</t>
        </is>
      </c>
      <c r="J201" s="540" t="inlineStr">
        <is>
          <t>许慧强</t>
        </is>
      </c>
    </row>
    <row r="202">
      <c r="A202" s="540" t="n">
        <v>236</v>
      </c>
      <c r="B202" s="540" t="inlineStr">
        <is>
          <t>KQCY0236</t>
        </is>
      </c>
      <c r="C202" s="540" t="inlineStr">
        <is>
          <t>餐饮三分部</t>
        </is>
      </c>
      <c r="D202" s="540" t="inlineStr">
        <is>
          <t>CF781</t>
        </is>
      </c>
      <c r="E202" s="540" t="inlineStr">
        <is>
          <t>苏食院第一学生食堂</t>
        </is>
      </c>
      <c r="F202" s="540" t="inlineStr">
        <is>
          <t>分组作业</t>
        </is>
      </c>
      <c r="G202" s="540" t="inlineStr">
        <is>
          <t>徐敏娟</t>
        </is>
      </c>
      <c r="H202" s="540" t="inlineStr">
        <is>
          <t>/</t>
        </is>
      </c>
      <c r="I202" s="540" t="inlineStr">
        <is>
          <t>早点</t>
        </is>
      </c>
      <c r="J202" s="540" t="inlineStr">
        <is>
          <t>李帮</t>
        </is>
      </c>
    </row>
    <row r="203">
      <c r="A203" s="540" t="n">
        <v>237</v>
      </c>
      <c r="B203" s="540" t="inlineStr">
        <is>
          <t>KQCY0237</t>
        </is>
      </c>
      <c r="C203" s="540" t="inlineStr">
        <is>
          <t>餐饮三分部</t>
        </is>
      </c>
      <c r="D203" s="540" t="inlineStr">
        <is>
          <t>CF781</t>
        </is>
      </c>
      <c r="E203" s="540" t="inlineStr">
        <is>
          <t>苏食院第一学生食堂</t>
        </is>
      </c>
      <c r="F203" s="540" t="inlineStr">
        <is>
          <t>分组作业</t>
        </is>
      </c>
      <c r="G203" s="540" t="inlineStr">
        <is>
          <t>徐敏娟</t>
        </is>
      </c>
      <c r="H203" s="540" t="inlineStr">
        <is>
          <t>/</t>
        </is>
      </c>
      <c r="I203" s="540" t="inlineStr">
        <is>
          <t>快餐</t>
        </is>
      </c>
      <c r="J203" s="540" t="inlineStr">
        <is>
          <t>吴荣花</t>
        </is>
      </c>
    </row>
    <row r="204">
      <c r="A204" s="540" t="n">
        <v>238</v>
      </c>
      <c r="B204" s="540" t="inlineStr">
        <is>
          <t>KQCY0238</t>
        </is>
      </c>
      <c r="C204" s="540" t="inlineStr">
        <is>
          <t>餐饮三分部</t>
        </is>
      </c>
      <c r="D204" s="540" t="inlineStr">
        <is>
          <t>CF781</t>
        </is>
      </c>
      <c r="E204" s="540" t="inlineStr">
        <is>
          <t>苏食院第一学生食堂</t>
        </is>
      </c>
      <c r="F204" s="540" t="inlineStr">
        <is>
          <t>分组作业</t>
        </is>
      </c>
      <c r="G204" s="540" t="inlineStr">
        <is>
          <t>徐敏娟</t>
        </is>
      </c>
      <c r="H204" s="540" t="inlineStr">
        <is>
          <t>/</t>
        </is>
      </c>
      <c r="I204" s="540" t="inlineStr">
        <is>
          <t>羊杂面</t>
        </is>
      </c>
      <c r="J204" s="540" t="inlineStr">
        <is>
          <t>许慧强</t>
        </is>
      </c>
    </row>
    <row r="205">
      <c r="A205" s="540" t="n">
        <v>239</v>
      </c>
      <c r="B205" s="540" t="inlineStr">
        <is>
          <t>KQCY0239</t>
        </is>
      </c>
      <c r="C205" s="540" t="inlineStr">
        <is>
          <t>餐饮三分部</t>
        </is>
      </c>
      <c r="D205" s="540" t="inlineStr">
        <is>
          <t>CF781</t>
        </is>
      </c>
      <c r="E205" s="540" t="inlineStr">
        <is>
          <t>苏食院第一学生食堂</t>
        </is>
      </c>
      <c r="F205" s="540" t="inlineStr">
        <is>
          <t>分组作业</t>
        </is>
      </c>
      <c r="G205" s="540" t="inlineStr">
        <is>
          <t>徐敏娟</t>
        </is>
      </c>
      <c r="H205" s="540" t="inlineStr">
        <is>
          <t>/</t>
        </is>
      </c>
      <c r="I205" s="540" t="inlineStr">
        <is>
          <t>牛肉粉丝汤</t>
        </is>
      </c>
      <c r="J205" s="540" t="inlineStr">
        <is>
          <t>张宗芳</t>
        </is>
      </c>
    </row>
    <row r="206">
      <c r="A206" s="540" t="n">
        <v>240</v>
      </c>
      <c r="B206" s="540" t="inlineStr">
        <is>
          <t>KQCY0240</t>
        </is>
      </c>
      <c r="C206" s="540" t="inlineStr">
        <is>
          <t>餐饮三分部</t>
        </is>
      </c>
      <c r="D206" s="540" t="inlineStr">
        <is>
          <t>CF781</t>
        </is>
      </c>
      <c r="E206" s="540" t="inlineStr">
        <is>
          <t>苏食院第一学生食堂</t>
        </is>
      </c>
      <c r="F206" s="540" t="inlineStr">
        <is>
          <t>分组作业</t>
        </is>
      </c>
      <c r="G206" s="540" t="inlineStr">
        <is>
          <t>徐敏娟</t>
        </is>
      </c>
      <c r="H206" s="540" t="inlineStr">
        <is>
          <t>/</t>
        </is>
      </c>
      <c r="I206" s="540" t="inlineStr">
        <is>
          <t>汤包蒸饺</t>
        </is>
      </c>
      <c r="J206" s="540" t="inlineStr">
        <is>
          <t>嵇炜</t>
        </is>
      </c>
    </row>
    <row r="207">
      <c r="A207" s="540" t="n">
        <v>241</v>
      </c>
      <c r="B207" s="540" t="inlineStr">
        <is>
          <t>KQCY0241</t>
        </is>
      </c>
      <c r="C207" s="540" t="inlineStr">
        <is>
          <t>餐饮三分部</t>
        </is>
      </c>
      <c r="D207" s="540" t="inlineStr">
        <is>
          <t>CF781</t>
        </is>
      </c>
      <c r="E207" s="540" t="inlineStr">
        <is>
          <t>苏食院第一学生食堂</t>
        </is>
      </c>
      <c r="F207" s="540" t="inlineStr">
        <is>
          <t>分组作业</t>
        </is>
      </c>
      <c r="G207" s="540" t="inlineStr">
        <is>
          <t>徐敏娟</t>
        </is>
      </c>
      <c r="H207" s="540" t="inlineStr">
        <is>
          <t>/</t>
        </is>
      </c>
      <c r="I207" s="540" t="inlineStr">
        <is>
          <t>套餐饭</t>
        </is>
      </c>
      <c r="J207" s="540" t="inlineStr">
        <is>
          <t>白亚雪</t>
        </is>
      </c>
    </row>
    <row r="208">
      <c r="A208" s="540" t="n">
        <v>242</v>
      </c>
      <c r="B208" s="540" t="inlineStr">
        <is>
          <t>KQCY0242</t>
        </is>
      </c>
      <c r="C208" s="540" t="inlineStr">
        <is>
          <t>餐饮三分部</t>
        </is>
      </c>
      <c r="D208" s="540" t="inlineStr">
        <is>
          <t>CF781</t>
        </is>
      </c>
      <c r="E208" s="540" t="inlineStr">
        <is>
          <t>苏食院第一学生食堂</t>
        </is>
      </c>
      <c r="F208" s="540" t="inlineStr">
        <is>
          <t>分组作业</t>
        </is>
      </c>
      <c r="G208" s="540" t="inlineStr">
        <is>
          <t>徐敏娟</t>
        </is>
      </c>
      <c r="H208" s="540" t="inlineStr">
        <is>
          <t>/</t>
        </is>
      </c>
      <c r="I208" s="540" t="inlineStr">
        <is>
          <t>拉面</t>
        </is>
      </c>
      <c r="J208" s="540" t="inlineStr">
        <is>
          <t>李小东</t>
        </is>
      </c>
    </row>
    <row r="209">
      <c r="A209" s="540" t="n">
        <v>243</v>
      </c>
      <c r="B209" s="540" t="inlineStr">
        <is>
          <t>KQCY0243</t>
        </is>
      </c>
      <c r="C209" s="540" t="inlineStr">
        <is>
          <t>餐饮三分部</t>
        </is>
      </c>
      <c r="D209" s="540" t="inlineStr">
        <is>
          <t>CF781</t>
        </is>
      </c>
      <c r="E209" s="540" t="inlineStr">
        <is>
          <t>苏食院第一学生食堂</t>
        </is>
      </c>
      <c r="F209" s="540" t="inlineStr">
        <is>
          <t>分组作业</t>
        </is>
      </c>
      <c r="G209" s="540" t="inlineStr">
        <is>
          <t>徐敏娟</t>
        </is>
      </c>
      <c r="H209" s="540" t="inlineStr">
        <is>
          <t>/</t>
        </is>
      </c>
      <c r="I209" s="540" t="inlineStr">
        <is>
          <t>水吧</t>
        </is>
      </c>
      <c r="J209" s="540" t="inlineStr">
        <is>
          <t>王树松</t>
        </is>
      </c>
    </row>
    <row r="210">
      <c r="A210" s="540" t="n">
        <v>244</v>
      </c>
      <c r="B210" s="540" t="inlineStr">
        <is>
          <t>KQCY0244</t>
        </is>
      </c>
      <c r="C210" s="540" t="inlineStr">
        <is>
          <t>餐饮三分部</t>
        </is>
      </c>
      <c r="D210" s="540" t="inlineStr">
        <is>
          <t>CF781</t>
        </is>
      </c>
      <c r="E210" s="540" t="inlineStr">
        <is>
          <t>苏食院第一学生食堂</t>
        </is>
      </c>
      <c r="F210" s="540" t="inlineStr">
        <is>
          <t>分组作业</t>
        </is>
      </c>
      <c r="G210" s="540" t="inlineStr">
        <is>
          <t>徐敏娟</t>
        </is>
      </c>
      <c r="H210" s="540" t="inlineStr">
        <is>
          <t>/</t>
        </is>
      </c>
      <c r="I210" s="540" t="inlineStr">
        <is>
          <t>面包</t>
        </is>
      </c>
      <c r="J210" s="540" t="inlineStr">
        <is>
          <t>汪雨凤</t>
        </is>
      </c>
    </row>
    <row r="211">
      <c r="A211" s="540" t="n">
        <v>245</v>
      </c>
      <c r="B211" s="540" t="inlineStr">
        <is>
          <t>KQCY0245</t>
        </is>
      </c>
      <c r="C211" s="540" t="inlineStr">
        <is>
          <t>餐饮三分部</t>
        </is>
      </c>
      <c r="D211" s="540" t="inlineStr">
        <is>
          <t>CF781</t>
        </is>
      </c>
      <c r="E211" s="540" t="inlineStr">
        <is>
          <t>苏食院第一学生食堂</t>
        </is>
      </c>
      <c r="F211" s="540" t="inlineStr">
        <is>
          <t>分组作业</t>
        </is>
      </c>
      <c r="G211" s="540" t="inlineStr">
        <is>
          <t>徐敏娟</t>
        </is>
      </c>
      <c r="H211" s="540" t="inlineStr">
        <is>
          <t>/</t>
        </is>
      </c>
      <c r="I211" s="540" t="inlineStr">
        <is>
          <t>蹦蹦鸡</t>
        </is>
      </c>
      <c r="J211" s="540" t="inlineStr">
        <is>
          <t>朱海涛</t>
        </is>
      </c>
    </row>
    <row r="212">
      <c r="A212" s="540" t="n">
        <v>246</v>
      </c>
      <c r="B212" s="540" t="inlineStr">
        <is>
          <t>KQCY0246</t>
        </is>
      </c>
      <c r="C212" s="540" t="inlineStr">
        <is>
          <t>餐饮三分部</t>
        </is>
      </c>
      <c r="D212" s="540" t="inlineStr">
        <is>
          <t>CF781</t>
        </is>
      </c>
      <c r="E212" s="540" t="inlineStr">
        <is>
          <t>苏食院第一学生食堂</t>
        </is>
      </c>
      <c r="F212" s="540" t="inlineStr">
        <is>
          <t>分组作业</t>
        </is>
      </c>
      <c r="G212" s="540" t="inlineStr">
        <is>
          <t>徐敏娟</t>
        </is>
      </c>
      <c r="H212" s="540" t="inlineStr">
        <is>
          <t>/</t>
        </is>
      </c>
      <c r="I212" s="540" t="inlineStr">
        <is>
          <t>水饺</t>
        </is>
      </c>
      <c r="J212" s="540" t="inlineStr">
        <is>
          <t>刘淑平</t>
        </is>
      </c>
    </row>
    <row r="213">
      <c r="A213" s="540" t="n">
        <v>247</v>
      </c>
      <c r="B213" s="540" t="inlineStr">
        <is>
          <t>KQCY0247</t>
        </is>
      </c>
      <c r="C213" s="540" t="inlineStr">
        <is>
          <t>餐饮三分部</t>
        </is>
      </c>
      <c r="D213" s="540" t="inlineStr">
        <is>
          <t>CF781</t>
        </is>
      </c>
      <c r="E213" s="540" t="inlineStr">
        <is>
          <t>苏食院第一学生食堂</t>
        </is>
      </c>
      <c r="F213" s="540" t="inlineStr">
        <is>
          <t>分组作业</t>
        </is>
      </c>
      <c r="G213" s="540" t="inlineStr">
        <is>
          <t>徐敏娟</t>
        </is>
      </c>
      <c r="H213" s="540" t="inlineStr">
        <is>
          <t>/</t>
        </is>
      </c>
      <c r="I213" s="540" t="inlineStr">
        <is>
          <t>0900汉堡</t>
        </is>
      </c>
      <c r="J213" s="540" t="inlineStr">
        <is>
          <t>张文浩</t>
        </is>
      </c>
    </row>
    <row r="214">
      <c r="A214" s="540" t="n">
        <v>248</v>
      </c>
      <c r="B214" s="540" t="inlineStr">
        <is>
          <t>KQCY0248</t>
        </is>
      </c>
      <c r="C214" s="540" t="inlineStr">
        <is>
          <t>餐饮三分部</t>
        </is>
      </c>
      <c r="D214" s="540" t="inlineStr">
        <is>
          <t>CF781</t>
        </is>
      </c>
      <c r="E214" s="540" t="inlineStr">
        <is>
          <t>苏食院第一学生食堂</t>
        </is>
      </c>
      <c r="F214" s="540" t="inlineStr">
        <is>
          <t>分组作业</t>
        </is>
      </c>
      <c r="G214" s="540" t="inlineStr">
        <is>
          <t>徐敏娟</t>
        </is>
      </c>
      <c r="H214" s="540" t="inlineStr">
        <is>
          <t>/</t>
        </is>
      </c>
      <c r="I214" s="540" t="inlineStr">
        <is>
          <t>煎饼果子</t>
        </is>
      </c>
      <c r="J214" s="540" t="inlineStr">
        <is>
          <t>朱小林</t>
        </is>
      </c>
    </row>
    <row r="215">
      <c r="A215" s="540" t="n">
        <v>250</v>
      </c>
      <c r="B215" s="540" t="inlineStr">
        <is>
          <t>KQCY0250</t>
        </is>
      </c>
      <c r="C215" s="540" t="inlineStr">
        <is>
          <t>餐饮三分部</t>
        </is>
      </c>
      <c r="D215" s="540" t="inlineStr">
        <is>
          <t>CF320</t>
        </is>
      </c>
      <c r="E215" s="540" t="inlineStr">
        <is>
          <t>江苏财经梅园食堂</t>
        </is>
      </c>
      <c r="F215" s="540" t="inlineStr">
        <is>
          <t>分组作业</t>
        </is>
      </c>
      <c r="G215" s="540" t="inlineStr">
        <is>
          <t>徐敏娟</t>
        </is>
      </c>
      <c r="H215" s="540" t="inlineStr">
        <is>
          <t>/</t>
        </is>
      </c>
      <c r="I215" s="540" t="inlineStr">
        <is>
          <t>喜翻拌</t>
        </is>
      </c>
      <c r="J215" s="540" t="inlineStr">
        <is>
          <t>赵建芳</t>
        </is>
      </c>
    </row>
    <row r="216">
      <c r="A216" s="540" t="n">
        <v>251</v>
      </c>
      <c r="B216" s="540" t="inlineStr">
        <is>
          <t>KQCY0251</t>
        </is>
      </c>
      <c r="C216" s="540" t="inlineStr">
        <is>
          <t>餐饮三分部</t>
        </is>
      </c>
      <c r="D216" s="540" t="inlineStr">
        <is>
          <t>CF320</t>
        </is>
      </c>
      <c r="E216" s="540" t="inlineStr">
        <is>
          <t>江苏财经梅园食堂</t>
        </is>
      </c>
      <c r="F216" s="540" t="inlineStr">
        <is>
          <t>分组作业</t>
        </is>
      </c>
      <c r="G216" s="540" t="inlineStr">
        <is>
          <t>徐敏娟</t>
        </is>
      </c>
      <c r="H216" s="540" t="inlineStr">
        <is>
          <t>/</t>
        </is>
      </c>
      <c r="I216" s="540" t="inlineStr">
        <is>
          <t>石锅菜</t>
        </is>
      </c>
      <c r="J216" s="540" t="inlineStr">
        <is>
          <t>马成霞</t>
        </is>
      </c>
    </row>
    <row r="217">
      <c r="A217" s="540" t="n">
        <v>252</v>
      </c>
      <c r="B217" s="540" t="inlineStr">
        <is>
          <t>KQCY0252</t>
        </is>
      </c>
      <c r="C217" s="540" t="inlineStr">
        <is>
          <t>餐饮三分部</t>
        </is>
      </c>
      <c r="D217" s="540" t="inlineStr">
        <is>
          <t>CF320</t>
        </is>
      </c>
      <c r="E217" s="540" t="inlineStr">
        <is>
          <t>江苏财经梅园食堂</t>
        </is>
      </c>
      <c r="F217" s="540" t="inlineStr">
        <is>
          <t>分组作业</t>
        </is>
      </c>
      <c r="G217" s="540" t="inlineStr">
        <is>
          <t>徐敏娟</t>
        </is>
      </c>
      <c r="H217" s="540" t="inlineStr">
        <is>
          <t>/</t>
        </is>
      </c>
      <c r="I217" s="540" t="inlineStr">
        <is>
          <t>盖码面/饭</t>
        </is>
      </c>
      <c r="J217" s="540" t="inlineStr">
        <is>
          <t>辛保帆</t>
        </is>
      </c>
    </row>
    <row r="218">
      <c r="A218" s="540" t="n">
        <v>253</v>
      </c>
      <c r="B218" s="540" t="inlineStr">
        <is>
          <t>KQCY0253</t>
        </is>
      </c>
      <c r="C218" s="540" t="inlineStr">
        <is>
          <t>餐饮三分部</t>
        </is>
      </c>
      <c r="D218" s="540" t="inlineStr">
        <is>
          <t>CF320</t>
        </is>
      </c>
      <c r="E218" s="540" t="inlineStr">
        <is>
          <t>江苏财经梅园食堂</t>
        </is>
      </c>
      <c r="F218" s="540" t="inlineStr">
        <is>
          <t>分组作业</t>
        </is>
      </c>
      <c r="G218" s="540" t="inlineStr">
        <is>
          <t>徐敏娟</t>
        </is>
      </c>
      <c r="H218" s="540" t="inlineStr">
        <is>
          <t>/</t>
        </is>
      </c>
      <c r="I218" s="540" t="inlineStr">
        <is>
          <t>铁板烧</t>
        </is>
      </c>
      <c r="J218" s="540" t="inlineStr">
        <is>
          <t>姜红霞</t>
        </is>
      </c>
    </row>
    <row r="219">
      <c r="A219" s="540" t="n">
        <v>254</v>
      </c>
      <c r="B219" s="540" t="inlineStr">
        <is>
          <t>KQCY0254</t>
        </is>
      </c>
      <c r="C219" s="540" t="inlineStr">
        <is>
          <t>餐饮三分部</t>
        </is>
      </c>
      <c r="D219" s="540" t="inlineStr">
        <is>
          <t>CF320</t>
        </is>
      </c>
      <c r="E219" s="540" t="inlineStr">
        <is>
          <t>江苏财经梅园食堂</t>
        </is>
      </c>
      <c r="F219" s="540" t="inlineStr">
        <is>
          <t>分组作业</t>
        </is>
      </c>
      <c r="G219" s="540" t="inlineStr">
        <is>
          <t>徐敏娟</t>
        </is>
      </c>
      <c r="H219" s="540" t="inlineStr">
        <is>
          <t>/</t>
        </is>
      </c>
      <c r="I219" s="540" t="inlineStr">
        <is>
          <t>快餐</t>
        </is>
      </c>
      <c r="J219" s="540" t="inlineStr">
        <is>
          <t>黄信生</t>
        </is>
      </c>
    </row>
    <row r="220">
      <c r="A220" s="540" t="n">
        <v>255</v>
      </c>
      <c r="B220" s="540" t="inlineStr">
        <is>
          <t>KQCY0255</t>
        </is>
      </c>
      <c r="C220" s="540" t="inlineStr">
        <is>
          <t>餐饮三分部</t>
        </is>
      </c>
      <c r="D220" s="540" t="inlineStr">
        <is>
          <t>CF320</t>
        </is>
      </c>
      <c r="E220" s="540" t="inlineStr">
        <is>
          <t>江苏财经梅园食堂</t>
        </is>
      </c>
      <c r="F220" s="540" t="inlineStr">
        <is>
          <t>分组作业</t>
        </is>
      </c>
      <c r="G220" s="540" t="inlineStr">
        <is>
          <t>徐敏娟</t>
        </is>
      </c>
      <c r="H220" s="540" t="inlineStr">
        <is>
          <t>/</t>
        </is>
      </c>
      <c r="I220" s="540" t="inlineStr">
        <is>
          <t>早点</t>
        </is>
      </c>
      <c r="J220" s="540" t="inlineStr">
        <is>
          <t>狄国军</t>
        </is>
      </c>
    </row>
    <row r="221">
      <c r="A221" s="540" t="n">
        <v>256</v>
      </c>
      <c r="B221" s="540" t="inlineStr">
        <is>
          <t>KQCY0256</t>
        </is>
      </c>
      <c r="C221" s="540" t="inlineStr">
        <is>
          <t>餐饮三分部</t>
        </is>
      </c>
      <c r="D221" s="540" t="inlineStr">
        <is>
          <t>CF320</t>
        </is>
      </c>
      <c r="E221" s="540" t="inlineStr">
        <is>
          <t>江苏财经梅园食堂</t>
        </is>
      </c>
      <c r="F221" s="540" t="inlineStr">
        <is>
          <t>分组作业</t>
        </is>
      </c>
      <c r="G221" s="540" t="inlineStr">
        <is>
          <t>徐敏娟</t>
        </is>
      </c>
      <c r="H221" s="540" t="inlineStr">
        <is>
          <t>/</t>
        </is>
      </c>
      <c r="I221" s="540" t="inlineStr">
        <is>
          <t>双拼饭</t>
        </is>
      </c>
      <c r="J221" s="540" t="inlineStr">
        <is>
          <t>相加生</t>
        </is>
      </c>
    </row>
    <row r="222">
      <c r="A222" s="540" t="n">
        <v>257</v>
      </c>
      <c r="B222" s="540" t="inlineStr">
        <is>
          <t>KQCY0257</t>
        </is>
      </c>
      <c r="C222" s="540" t="inlineStr">
        <is>
          <t>餐饮三分部</t>
        </is>
      </c>
      <c r="D222" s="540" t="inlineStr">
        <is>
          <t>CF320</t>
        </is>
      </c>
      <c r="E222" s="540" t="inlineStr">
        <is>
          <t>江苏财经梅园食堂</t>
        </is>
      </c>
      <c r="F222" s="540" t="inlineStr">
        <is>
          <t>分组作业</t>
        </is>
      </c>
      <c r="G222" s="540" t="inlineStr">
        <is>
          <t>徐敏娟</t>
        </is>
      </c>
      <c r="H222" s="540" t="inlineStr">
        <is>
          <t>/</t>
        </is>
      </c>
      <c r="I222" s="540" t="inlineStr">
        <is>
          <t>一纸鸡</t>
        </is>
      </c>
      <c r="J222" s="540" t="inlineStr">
        <is>
          <t>王森</t>
        </is>
      </c>
    </row>
    <row r="223">
      <c r="A223" s="540" t="n">
        <v>258</v>
      </c>
      <c r="B223" s="540" t="inlineStr">
        <is>
          <t>KQCY0258</t>
        </is>
      </c>
      <c r="C223" s="540" t="inlineStr">
        <is>
          <t>餐饮三分部</t>
        </is>
      </c>
      <c r="D223" s="540" t="inlineStr">
        <is>
          <t>CF320</t>
        </is>
      </c>
      <c r="E223" s="540" t="inlineStr">
        <is>
          <t>江苏财经梅园食堂</t>
        </is>
      </c>
      <c r="F223" s="540" t="inlineStr">
        <is>
          <t>分组作业</t>
        </is>
      </c>
      <c r="G223" s="540" t="inlineStr">
        <is>
          <t>徐敏娟</t>
        </is>
      </c>
      <c r="H223" s="540" t="inlineStr">
        <is>
          <t>/</t>
        </is>
      </c>
      <c r="I223" s="540" t="inlineStr">
        <is>
          <t>糖水粥铺</t>
        </is>
      </c>
      <c r="J223" s="540" t="inlineStr">
        <is>
          <t>胡跃跃</t>
        </is>
      </c>
    </row>
    <row r="224">
      <c r="A224" s="540" t="n">
        <v>259</v>
      </c>
      <c r="B224" s="540" t="inlineStr">
        <is>
          <t>KQCY0259</t>
        </is>
      </c>
      <c r="C224" s="540" t="inlineStr">
        <is>
          <t>餐饮三分部</t>
        </is>
      </c>
      <c r="D224" s="540" t="inlineStr">
        <is>
          <t>CF320</t>
        </is>
      </c>
      <c r="E224" s="540" t="inlineStr">
        <is>
          <t>江苏财经梅园食堂</t>
        </is>
      </c>
      <c r="F224" s="540" t="inlineStr">
        <is>
          <t>分组作业</t>
        </is>
      </c>
      <c r="G224" s="540" t="inlineStr">
        <is>
          <t>徐敏娟</t>
        </is>
      </c>
      <c r="H224" s="540" t="inlineStr">
        <is>
          <t>/</t>
        </is>
      </c>
      <c r="I224" s="540" t="inlineStr">
        <is>
          <t>五谷渔粉</t>
        </is>
      </c>
      <c r="J224" s="540" t="inlineStr">
        <is>
          <t>赵青青</t>
        </is>
      </c>
    </row>
    <row r="225">
      <c r="A225" s="540" t="n">
        <v>260</v>
      </c>
      <c r="B225" s="540" t="inlineStr">
        <is>
          <t>KQCY0260</t>
        </is>
      </c>
      <c r="C225" s="540" t="inlineStr">
        <is>
          <t>餐饮三分部</t>
        </is>
      </c>
      <c r="D225" s="540" t="inlineStr">
        <is>
          <t>CF320</t>
        </is>
      </c>
      <c r="E225" s="540" t="inlineStr">
        <is>
          <t>江苏财经梅园食堂</t>
        </is>
      </c>
      <c r="F225" s="540" t="inlineStr">
        <is>
          <t>分组作业</t>
        </is>
      </c>
      <c r="G225" s="540" t="inlineStr">
        <is>
          <t>徐敏娟</t>
        </is>
      </c>
      <c r="H225" s="540" t="inlineStr">
        <is>
          <t>/</t>
        </is>
      </c>
      <c r="I225" s="540" t="inlineStr">
        <is>
          <t>吉祥馄饨</t>
        </is>
      </c>
      <c r="J225" s="540" t="inlineStr">
        <is>
          <t>刘淑平</t>
        </is>
      </c>
    </row>
    <row r="226">
      <c r="A226" s="540" t="n">
        <v>261</v>
      </c>
      <c r="B226" s="540" t="inlineStr">
        <is>
          <t>KQCY0261</t>
        </is>
      </c>
      <c r="C226" s="540" t="inlineStr">
        <is>
          <t>餐饮三分部</t>
        </is>
      </c>
      <c r="D226" s="540" t="inlineStr">
        <is>
          <t>CF320</t>
        </is>
      </c>
      <c r="E226" s="540" t="inlineStr">
        <is>
          <t>江苏财经梅园食堂</t>
        </is>
      </c>
      <c r="F226" s="540" t="inlineStr">
        <is>
          <t>分组作业</t>
        </is>
      </c>
      <c r="G226" s="540" t="inlineStr">
        <is>
          <t>徐敏娟</t>
        </is>
      </c>
      <c r="H226" s="540" t="inlineStr">
        <is>
          <t>/</t>
        </is>
      </c>
      <c r="I226" s="540" t="inlineStr">
        <is>
          <t>煎饼</t>
        </is>
      </c>
      <c r="J226" s="540" t="inlineStr">
        <is>
          <t>相丽</t>
        </is>
      </c>
    </row>
    <row r="227">
      <c r="A227" s="540" t="n">
        <v>262</v>
      </c>
      <c r="B227" s="540" t="inlineStr">
        <is>
          <t>KQCY0262</t>
        </is>
      </c>
      <c r="C227" s="540" t="inlineStr">
        <is>
          <t>餐饮三分部</t>
        </is>
      </c>
      <c r="D227" s="540" t="inlineStr">
        <is>
          <t>CF320</t>
        </is>
      </c>
      <c r="E227" s="540" t="inlineStr">
        <is>
          <t>江苏财经梅园食堂</t>
        </is>
      </c>
      <c r="F227" s="540" t="inlineStr">
        <is>
          <t>分组作业</t>
        </is>
      </c>
      <c r="G227" s="540" t="inlineStr">
        <is>
          <t>徐敏娟</t>
        </is>
      </c>
      <c r="H227" s="540" t="inlineStr">
        <is>
          <t>/</t>
        </is>
      </c>
      <c r="I227" s="540" t="inlineStr">
        <is>
          <t>香锅</t>
        </is>
      </c>
      <c r="J227" s="540" t="inlineStr">
        <is>
          <t>王凯</t>
        </is>
      </c>
    </row>
    <row r="228">
      <c r="A228" s="540" t="n">
        <v>263</v>
      </c>
      <c r="B228" s="540" t="inlineStr">
        <is>
          <t>KQCY0263</t>
        </is>
      </c>
      <c r="C228" s="540" t="inlineStr">
        <is>
          <t>餐饮三分部</t>
        </is>
      </c>
      <c r="D228" s="540" t="inlineStr">
        <is>
          <t>CF320</t>
        </is>
      </c>
      <c r="E228" s="540" t="inlineStr">
        <is>
          <t>江苏财经梅园食堂</t>
        </is>
      </c>
      <c r="F228" s="540" t="inlineStr">
        <is>
          <t>分组作业</t>
        </is>
      </c>
      <c r="G228" s="540" t="inlineStr">
        <is>
          <t>徐敏娟</t>
        </is>
      </c>
      <c r="H228" s="540" t="inlineStr">
        <is>
          <t>第十五班组</t>
        </is>
      </c>
      <c r="I228" s="540" t="inlineStr">
        <is>
          <t>柚见鲜茶</t>
        </is>
      </c>
      <c r="J228" s="540" t="inlineStr">
        <is>
          <t>王春梅</t>
        </is>
      </c>
    </row>
    <row r="229">
      <c r="A229" s="540" t="n">
        <v>264</v>
      </c>
      <c r="B229" s="540" t="inlineStr">
        <is>
          <t>KQCY0264</t>
        </is>
      </c>
      <c r="C229" s="540" t="inlineStr">
        <is>
          <t>餐饮三分部</t>
        </is>
      </c>
      <c r="D229" s="540" t="inlineStr">
        <is>
          <t>CF320</t>
        </is>
      </c>
      <c r="E229" s="540" t="inlineStr">
        <is>
          <t>江苏财经梅园食堂</t>
        </is>
      </c>
      <c r="F229" s="540" t="inlineStr">
        <is>
          <t>分组作业</t>
        </is>
      </c>
      <c r="G229" s="540" t="inlineStr">
        <is>
          <t>徐敏娟</t>
        </is>
      </c>
      <c r="H229" s="540" t="inlineStr">
        <is>
          <t>第十六班组</t>
        </is>
      </c>
      <c r="I229" s="540" t="inlineStr">
        <is>
          <t>酷堡王</t>
        </is>
      </c>
      <c r="J229" s="540" t="inlineStr">
        <is>
          <t>籍明明</t>
        </is>
      </c>
    </row>
    <row r="230">
      <c r="A230" s="540" t="n">
        <v>265</v>
      </c>
      <c r="B230" s="540" t="inlineStr">
        <is>
          <t>KQCY0265</t>
        </is>
      </c>
      <c r="C230" s="540" t="inlineStr">
        <is>
          <t>餐饮三分部</t>
        </is>
      </c>
      <c r="D230" s="540" t="inlineStr">
        <is>
          <t>CF320</t>
        </is>
      </c>
      <c r="E230" s="540" t="inlineStr">
        <is>
          <t>江苏财经梅园食堂</t>
        </is>
      </c>
      <c r="F230" s="540" t="inlineStr">
        <is>
          <t>分组作业</t>
        </is>
      </c>
      <c r="G230" s="540" t="inlineStr">
        <is>
          <t>徐敏娟</t>
        </is>
      </c>
      <c r="H230" s="540" t="inlineStr">
        <is>
          <t>/</t>
        </is>
      </c>
      <c r="I230" s="540" t="inlineStr">
        <is>
          <t>水果</t>
        </is>
      </c>
      <c r="J230" s="540" t="inlineStr">
        <is>
          <t>陈龙</t>
        </is>
      </c>
    </row>
    <row r="231">
      <c r="A231" s="540" t="n">
        <v>266</v>
      </c>
      <c r="B231" s="540" t="inlineStr">
        <is>
          <t>KQCY0266</t>
        </is>
      </c>
      <c r="C231" s="540" t="inlineStr">
        <is>
          <t>餐饮三分部</t>
        </is>
      </c>
      <c r="D231" s="540" t="inlineStr">
        <is>
          <t>CF320</t>
        </is>
      </c>
      <c r="E231" s="540" t="inlineStr">
        <is>
          <t>江苏财经梅园食堂</t>
        </is>
      </c>
      <c r="F231" s="540" t="inlineStr">
        <is>
          <t>分组作业</t>
        </is>
      </c>
      <c r="G231" s="540" t="inlineStr">
        <is>
          <t>徐敏娟</t>
        </is>
      </c>
      <c r="H231" s="540" t="inlineStr">
        <is>
          <t>/</t>
        </is>
      </c>
      <c r="I231" s="540" t="inlineStr">
        <is>
          <t>一鸣鲜奶</t>
        </is>
      </c>
      <c r="J231" s="540" t="inlineStr">
        <is>
          <t>吴斯忠</t>
        </is>
      </c>
    </row>
    <row r="232">
      <c r="A232" s="540" t="n">
        <v>267</v>
      </c>
      <c r="B232" s="540" t="inlineStr">
        <is>
          <t>KQCY0267</t>
        </is>
      </c>
      <c r="C232" s="540" t="inlineStr">
        <is>
          <t>餐饮三分部</t>
        </is>
      </c>
      <c r="D232" s="540" t="inlineStr">
        <is>
          <t>CF320</t>
        </is>
      </c>
      <c r="E232" s="540" t="inlineStr">
        <is>
          <t>江苏财经梅园食堂</t>
        </is>
      </c>
      <c r="F232" s="540" t="inlineStr">
        <is>
          <t>分组作业</t>
        </is>
      </c>
      <c r="G232" s="540" t="inlineStr">
        <is>
          <t>徐敏娟</t>
        </is>
      </c>
      <c r="H232" s="540" t="inlineStr">
        <is>
          <t>/</t>
        </is>
      </c>
      <c r="I232" s="540" t="inlineStr">
        <is>
          <t>库迪咖啡</t>
        </is>
      </c>
      <c r="J232" s="540" t="inlineStr">
        <is>
          <t>张凌子</t>
        </is>
      </c>
    </row>
    <row r="233">
      <c r="A233" s="540" t="n">
        <v>268</v>
      </c>
      <c r="B233" s="540" t="inlineStr">
        <is>
          <t>KQCY0268</t>
        </is>
      </c>
      <c r="C233" s="540" t="inlineStr">
        <is>
          <t>餐饮三分部</t>
        </is>
      </c>
      <c r="D233" s="540" t="inlineStr">
        <is>
          <t>CF320</t>
        </is>
      </c>
      <c r="E233" s="540" t="inlineStr">
        <is>
          <t>江苏财经梅园食堂</t>
        </is>
      </c>
      <c r="F233" s="540" t="inlineStr">
        <is>
          <t>分组作业</t>
        </is>
      </c>
      <c r="G233" s="540" t="inlineStr">
        <is>
          <t>徐敏娟</t>
        </is>
      </c>
      <c r="H233" s="540" t="inlineStr">
        <is>
          <t>/</t>
        </is>
      </c>
      <c r="I233" s="540" t="inlineStr">
        <is>
          <t>猪脚饭</t>
        </is>
      </c>
      <c r="J233" s="540" t="inlineStr">
        <is>
          <t>李袁园</t>
        </is>
      </c>
    </row>
    <row r="234">
      <c r="A234" s="540" t="n">
        <v>270</v>
      </c>
      <c r="B234" s="540" t="inlineStr">
        <is>
          <t>KQCY0270</t>
        </is>
      </c>
      <c r="C234" s="540" t="inlineStr">
        <is>
          <t>餐饮五分部</t>
        </is>
      </c>
      <c r="D234" s="540" t="inlineStr">
        <is>
          <t>CF694</t>
        </is>
      </c>
      <c r="E234" s="540" t="inlineStr">
        <is>
          <t>兰理工彭家坪北村食堂</t>
        </is>
      </c>
      <c r="F234" s="540" t="inlineStr">
        <is>
          <t>分组作业</t>
        </is>
      </c>
      <c r="G234" s="540" t="inlineStr">
        <is>
          <t>徐敏捷</t>
        </is>
      </c>
      <c r="H234" s="540" t="inlineStr">
        <is>
          <t>/</t>
        </is>
      </c>
      <c r="I234" s="540" t="inlineStr">
        <is>
          <t>水饺</t>
        </is>
      </c>
      <c r="J234" s="540" t="inlineStr">
        <is>
          <t>穆小芳</t>
        </is>
      </c>
    </row>
    <row r="235">
      <c r="A235" s="540" t="n">
        <v>271</v>
      </c>
      <c r="B235" s="540" t="inlineStr">
        <is>
          <t>KQCY0271</t>
        </is>
      </c>
      <c r="C235" s="540" t="inlineStr">
        <is>
          <t>餐饮五分部</t>
        </is>
      </c>
      <c r="D235" s="540" t="inlineStr">
        <is>
          <t>CF694</t>
        </is>
      </c>
      <c r="E235" s="540" t="inlineStr">
        <is>
          <t>兰理工彭家坪北村食堂</t>
        </is>
      </c>
      <c r="F235" s="540" t="inlineStr">
        <is>
          <t>分组作业</t>
        </is>
      </c>
      <c r="G235" s="540" t="inlineStr">
        <is>
          <t>徐敏捷</t>
        </is>
      </c>
      <c r="H235" s="540" t="inlineStr">
        <is>
          <t>/</t>
        </is>
      </c>
      <c r="I235" s="540" t="inlineStr">
        <is>
          <t>牛肉面</t>
        </is>
      </c>
      <c r="J235" s="540" t="inlineStr">
        <is>
          <t>李俊兵</t>
        </is>
      </c>
    </row>
    <row r="236">
      <c r="A236" s="540" t="n">
        <v>272</v>
      </c>
      <c r="B236" s="540" t="inlineStr">
        <is>
          <t>KQCY0272</t>
        </is>
      </c>
      <c r="C236" s="540" t="inlineStr">
        <is>
          <t>餐饮五分部</t>
        </is>
      </c>
      <c r="D236" s="540" t="inlineStr">
        <is>
          <t>CF694</t>
        </is>
      </c>
      <c r="E236" s="540" t="inlineStr">
        <is>
          <t>兰理工彭家坪北村食堂</t>
        </is>
      </c>
      <c r="F236" s="540" t="inlineStr">
        <is>
          <t>分组作业</t>
        </is>
      </c>
      <c r="G236" s="540" t="inlineStr">
        <is>
          <t>徐敏捷</t>
        </is>
      </c>
      <c r="H236" s="540" t="inlineStr">
        <is>
          <t>/</t>
        </is>
      </c>
      <c r="I236" s="540" t="inlineStr">
        <is>
          <t>韩式煎饼</t>
        </is>
      </c>
      <c r="J236" s="540" t="inlineStr">
        <is>
          <t>赵平花</t>
        </is>
      </c>
    </row>
    <row r="237">
      <c r="A237" s="540" t="n">
        <v>273</v>
      </c>
      <c r="B237" s="540" t="inlineStr">
        <is>
          <t>KQCY0273</t>
        </is>
      </c>
      <c r="C237" s="540" t="inlineStr">
        <is>
          <t>餐饮五分部</t>
        </is>
      </c>
      <c r="D237" s="540" t="inlineStr">
        <is>
          <t>CF694</t>
        </is>
      </c>
      <c r="E237" s="540" t="inlineStr">
        <is>
          <t>兰理工彭家坪北村食堂</t>
        </is>
      </c>
      <c r="F237" s="540" t="inlineStr">
        <is>
          <t>分组作业</t>
        </is>
      </c>
      <c r="G237" s="540" t="inlineStr">
        <is>
          <t>徐敏捷</t>
        </is>
      </c>
      <c r="H237" s="540" t="inlineStr">
        <is>
          <t>/</t>
        </is>
      </c>
      <c r="I237" s="540" t="inlineStr">
        <is>
          <t>米粉</t>
        </is>
      </c>
      <c r="J237" s="540" t="inlineStr">
        <is>
          <t>尚伟云</t>
        </is>
      </c>
    </row>
    <row r="238">
      <c r="A238" s="540" t="n">
        <v>274</v>
      </c>
      <c r="B238" s="540" t="inlineStr">
        <is>
          <t>KQCY0274</t>
        </is>
      </c>
      <c r="C238" s="540" t="inlineStr">
        <is>
          <t>餐饮五分部</t>
        </is>
      </c>
      <c r="D238" s="540" t="inlineStr">
        <is>
          <t>CF694</t>
        </is>
      </c>
      <c r="E238" s="540" t="inlineStr">
        <is>
          <t>兰理工彭家坪北村食堂</t>
        </is>
      </c>
      <c r="F238" s="540" t="inlineStr">
        <is>
          <t>分组作业</t>
        </is>
      </c>
      <c r="G238" s="540" t="inlineStr">
        <is>
          <t>徐敏捷</t>
        </is>
      </c>
      <c r="H238" s="540" t="inlineStr">
        <is>
          <t>/</t>
        </is>
      </c>
      <c r="I238" s="540" t="inlineStr">
        <is>
          <t>肉肉堡</t>
        </is>
      </c>
      <c r="J238" s="540" t="inlineStr">
        <is>
          <t>任洪彦</t>
        </is>
      </c>
    </row>
    <row r="239">
      <c r="A239" s="540" t="n">
        <v>275</v>
      </c>
      <c r="B239" s="540" t="inlineStr">
        <is>
          <t>KQCY0275</t>
        </is>
      </c>
      <c r="C239" s="540" t="inlineStr">
        <is>
          <t>餐饮五分部</t>
        </is>
      </c>
      <c r="D239" s="540" t="inlineStr">
        <is>
          <t>CF694</t>
        </is>
      </c>
      <c r="E239" s="540" t="inlineStr">
        <is>
          <t>兰理工彭家坪北村食堂</t>
        </is>
      </c>
      <c r="F239" s="540" t="inlineStr">
        <is>
          <t>分组作业</t>
        </is>
      </c>
      <c r="G239" s="540" t="inlineStr">
        <is>
          <t>徐敏捷</t>
        </is>
      </c>
      <c r="H239" s="540" t="inlineStr">
        <is>
          <t>/</t>
        </is>
      </c>
      <c r="I239" s="540" t="inlineStr">
        <is>
          <t>肉酱面</t>
        </is>
      </c>
      <c r="J239" s="540" t="inlineStr">
        <is>
          <t>杨小含</t>
        </is>
      </c>
    </row>
    <row r="240">
      <c r="A240" s="540" t="n">
        <v>276</v>
      </c>
      <c r="B240" s="540" t="inlineStr">
        <is>
          <t>KQCY0276</t>
        </is>
      </c>
      <c r="C240" s="540" t="inlineStr">
        <is>
          <t>餐饮五分部</t>
        </is>
      </c>
      <c r="D240" s="540" t="inlineStr">
        <is>
          <t>CF694</t>
        </is>
      </c>
      <c r="E240" s="540" t="inlineStr">
        <is>
          <t>兰理工彭家坪北村食堂</t>
        </is>
      </c>
      <c r="F240" s="540" t="inlineStr">
        <is>
          <t>分组作业</t>
        </is>
      </c>
      <c r="G240" s="540" t="inlineStr">
        <is>
          <t>徐敏捷</t>
        </is>
      </c>
      <c r="H240" s="540" t="inlineStr">
        <is>
          <t>/</t>
        </is>
      </c>
      <c r="I240" s="540" t="inlineStr">
        <is>
          <t>脆皮鸡</t>
        </is>
      </c>
      <c r="J240" s="540" t="inlineStr">
        <is>
          <t>汤瑞珍</t>
        </is>
      </c>
    </row>
    <row r="241">
      <c r="A241" s="540" t="n">
        <v>277</v>
      </c>
      <c r="B241" s="540" t="inlineStr">
        <is>
          <t>KQCY0277</t>
        </is>
      </c>
      <c r="C241" s="540" t="inlineStr">
        <is>
          <t>餐饮五分部</t>
        </is>
      </c>
      <c r="D241" s="540" t="inlineStr">
        <is>
          <t>CF694</t>
        </is>
      </c>
      <c r="E241" s="540" t="inlineStr">
        <is>
          <t>兰理工彭家坪北村食堂</t>
        </is>
      </c>
      <c r="F241" s="540" t="inlineStr">
        <is>
          <t>分组作业</t>
        </is>
      </c>
      <c r="G241" s="540" t="inlineStr">
        <is>
          <t>徐敏捷</t>
        </is>
      </c>
      <c r="H241" s="540" t="inlineStr">
        <is>
          <t>/</t>
        </is>
      </c>
      <c r="I241" s="540" t="inlineStr">
        <is>
          <t>小笼包（渔粉）</t>
        </is>
      </c>
      <c r="J241" s="540" t="inlineStr">
        <is>
          <t>庞大江</t>
        </is>
      </c>
    </row>
    <row r="242">
      <c r="A242" s="540" t="n">
        <v>278</v>
      </c>
      <c r="B242" s="540" t="inlineStr">
        <is>
          <t>KQCY0278</t>
        </is>
      </c>
      <c r="C242" s="540" t="inlineStr">
        <is>
          <t>餐饮五分部</t>
        </is>
      </c>
      <c r="D242" s="540" t="inlineStr">
        <is>
          <t>CF694</t>
        </is>
      </c>
      <c r="E242" s="540" t="inlineStr">
        <is>
          <t>兰理工彭家坪北村食堂</t>
        </is>
      </c>
      <c r="F242" s="540" t="inlineStr">
        <is>
          <t>分组作业</t>
        </is>
      </c>
      <c r="G242" s="540" t="inlineStr">
        <is>
          <t>徐敏捷</t>
        </is>
      </c>
      <c r="H242" s="540" t="inlineStr">
        <is>
          <t>/</t>
        </is>
      </c>
      <c r="I242" s="540" t="inlineStr">
        <is>
          <t>早点</t>
        </is>
      </c>
      <c r="J242" s="540" t="inlineStr">
        <is>
          <t>陶红喜</t>
        </is>
      </c>
    </row>
    <row r="243">
      <c r="A243" s="540" t="n">
        <v>279</v>
      </c>
      <c r="B243" s="540" t="inlineStr">
        <is>
          <t>KQCY0279</t>
        </is>
      </c>
      <c r="C243" s="540" t="inlineStr">
        <is>
          <t>餐饮五分部</t>
        </is>
      </c>
      <c r="D243" s="540" t="inlineStr">
        <is>
          <t>CF694</t>
        </is>
      </c>
      <c r="E243" s="540" t="inlineStr">
        <is>
          <t>兰理工彭家坪北村食堂</t>
        </is>
      </c>
      <c r="F243" s="540" t="inlineStr">
        <is>
          <t>分组作业</t>
        </is>
      </c>
      <c r="G243" s="540" t="inlineStr">
        <is>
          <t>徐敏捷</t>
        </is>
      </c>
      <c r="H243" s="540" t="inlineStr">
        <is>
          <t>/</t>
        </is>
      </c>
      <c r="I243" s="540" t="inlineStr">
        <is>
          <t>湘式小炒</t>
        </is>
      </c>
      <c r="J243" s="540" t="inlineStr">
        <is>
          <t>李雪婷</t>
        </is>
      </c>
    </row>
    <row r="244">
      <c r="A244" s="540" t="n">
        <v>280</v>
      </c>
      <c r="B244" s="540" t="inlineStr">
        <is>
          <t>KQCY0280</t>
        </is>
      </c>
      <c r="C244" s="540" t="inlineStr">
        <is>
          <t>餐饮五分部</t>
        </is>
      </c>
      <c r="D244" s="540" t="inlineStr">
        <is>
          <t>CF694</t>
        </is>
      </c>
      <c r="E244" s="540" t="inlineStr">
        <is>
          <t>兰理工彭家坪北村食堂</t>
        </is>
      </c>
      <c r="F244" s="540" t="inlineStr">
        <is>
          <t>分组作业</t>
        </is>
      </c>
      <c r="G244" s="540" t="inlineStr">
        <is>
          <t>徐敏捷</t>
        </is>
      </c>
      <c r="H244" s="540" t="inlineStr">
        <is>
          <t>/</t>
        </is>
      </c>
      <c r="I244" s="540" t="inlineStr">
        <is>
          <t>饸饹面</t>
        </is>
      </c>
      <c r="J244" s="540" t="inlineStr">
        <is>
          <t>高维秦</t>
        </is>
      </c>
    </row>
    <row r="245">
      <c r="A245" s="540" t="n">
        <v>281</v>
      </c>
      <c r="B245" s="540" t="inlineStr">
        <is>
          <t>KQCY0281</t>
        </is>
      </c>
      <c r="C245" s="540" t="inlineStr">
        <is>
          <t>餐饮五分部</t>
        </is>
      </c>
      <c r="D245" s="540" t="inlineStr">
        <is>
          <t>CF694</t>
        </is>
      </c>
      <c r="E245" s="540" t="inlineStr">
        <is>
          <t>兰理工彭家坪北村食堂</t>
        </is>
      </c>
      <c r="F245" s="540" t="inlineStr">
        <is>
          <t>分组作业</t>
        </is>
      </c>
      <c r="G245" s="540" t="inlineStr">
        <is>
          <t>徐敏捷</t>
        </is>
      </c>
      <c r="H245" s="540" t="inlineStr">
        <is>
          <t>/</t>
        </is>
      </c>
      <c r="I245" s="540" t="inlineStr">
        <is>
          <t>石锅饭</t>
        </is>
      </c>
      <c r="J245" s="540" t="inlineStr">
        <is>
          <t>杨方红</t>
        </is>
      </c>
    </row>
    <row r="246">
      <c r="A246" s="540" t="n">
        <v>282</v>
      </c>
      <c r="B246" s="540" t="inlineStr">
        <is>
          <t>KQCY0282</t>
        </is>
      </c>
      <c r="C246" s="540" t="inlineStr">
        <is>
          <t>餐饮五分部</t>
        </is>
      </c>
      <c r="D246" s="540" t="inlineStr">
        <is>
          <t>CF694</t>
        </is>
      </c>
      <c r="E246" s="540" t="inlineStr">
        <is>
          <t>兰理工彭家坪北村食堂</t>
        </is>
      </c>
      <c r="F246" s="540" t="inlineStr">
        <is>
          <t>分组作业</t>
        </is>
      </c>
      <c r="G246" s="540" t="inlineStr">
        <is>
          <t>徐敏捷</t>
        </is>
      </c>
      <c r="H246" s="540" t="inlineStr">
        <is>
          <t>/</t>
        </is>
      </c>
      <c r="I246" s="540" t="inlineStr">
        <is>
          <t>猪脚饭</t>
        </is>
      </c>
      <c r="J246" s="540" t="inlineStr">
        <is>
          <t>陈发全</t>
        </is>
      </c>
    </row>
    <row r="247">
      <c r="A247" s="540" t="n">
        <v>283</v>
      </c>
      <c r="B247" s="540" t="inlineStr">
        <is>
          <t>KQCY0283</t>
        </is>
      </c>
      <c r="C247" s="540" t="inlineStr">
        <is>
          <t>餐饮五分部</t>
        </is>
      </c>
      <c r="D247" s="540" t="inlineStr">
        <is>
          <t>CF694</t>
        </is>
      </c>
      <c r="E247" s="540" t="inlineStr">
        <is>
          <t>兰理工彭家坪北村食堂</t>
        </is>
      </c>
      <c r="F247" s="540" t="inlineStr">
        <is>
          <t>分组作业</t>
        </is>
      </c>
      <c r="G247" s="540" t="inlineStr">
        <is>
          <t>徐敏捷</t>
        </is>
      </c>
      <c r="H247" s="540" t="inlineStr">
        <is>
          <t>/</t>
        </is>
      </c>
      <c r="I247" s="540" t="inlineStr">
        <is>
          <t>水吧</t>
        </is>
      </c>
      <c r="J247" s="540" t="inlineStr">
        <is>
          <t>陈发全</t>
        </is>
      </c>
    </row>
    <row r="248">
      <c r="A248" s="540" t="n">
        <v>284</v>
      </c>
      <c r="B248" s="540" t="inlineStr">
        <is>
          <t>KQCY0284</t>
        </is>
      </c>
      <c r="C248" s="540" t="inlineStr">
        <is>
          <t>餐饮五分部</t>
        </is>
      </c>
      <c r="D248" s="540" t="inlineStr">
        <is>
          <t>CF694</t>
        </is>
      </c>
      <c r="E248" s="540" t="inlineStr">
        <is>
          <t>兰理工彭家坪北村食堂</t>
        </is>
      </c>
      <c r="F248" s="540" t="inlineStr">
        <is>
          <t>分组作业</t>
        </is>
      </c>
      <c r="G248" s="540" t="inlineStr">
        <is>
          <t>徐敏捷</t>
        </is>
      </c>
      <c r="H248" s="540" t="inlineStr">
        <is>
          <t>/</t>
        </is>
      </c>
      <c r="I248" s="540" t="inlineStr">
        <is>
          <t>小火锅</t>
        </is>
      </c>
      <c r="J248" s="540" t="inlineStr">
        <is>
          <t>韩玉红</t>
        </is>
      </c>
    </row>
    <row r="249">
      <c r="A249" s="540" t="n">
        <v>285</v>
      </c>
      <c r="B249" s="540" t="inlineStr">
        <is>
          <t>KQCY0285</t>
        </is>
      </c>
      <c r="C249" s="540" t="inlineStr">
        <is>
          <t>餐饮五分部</t>
        </is>
      </c>
      <c r="D249" s="540" t="inlineStr">
        <is>
          <t>CF694</t>
        </is>
      </c>
      <c r="E249" s="540" t="inlineStr">
        <is>
          <t>兰理工彭家坪北村食堂</t>
        </is>
      </c>
      <c r="F249" s="540" t="inlineStr">
        <is>
          <t>分组作业</t>
        </is>
      </c>
      <c r="G249" s="540" t="inlineStr">
        <is>
          <t>徐敏捷</t>
        </is>
      </c>
      <c r="H249" s="540" t="inlineStr">
        <is>
          <t>/</t>
        </is>
      </c>
      <c r="I249" s="540" t="inlineStr">
        <is>
          <t>牛肉面</t>
        </is>
      </c>
      <c r="J249" s="540" t="inlineStr">
        <is>
          <t>石磊</t>
        </is>
      </c>
    </row>
    <row r="250">
      <c r="A250" s="540" t="n">
        <v>286</v>
      </c>
      <c r="B250" s="540" t="inlineStr">
        <is>
          <t>KQCY0286</t>
        </is>
      </c>
      <c r="C250" s="540" t="inlineStr">
        <is>
          <t>餐饮五分部</t>
        </is>
      </c>
      <c r="D250" s="540" t="inlineStr">
        <is>
          <t>CF696</t>
        </is>
      </c>
      <c r="E250" s="540" t="inlineStr">
        <is>
          <t>甘肃省气象局</t>
        </is>
      </c>
      <c r="F250" s="540" t="inlineStr">
        <is>
          <t>人员服务外包</t>
        </is>
      </c>
      <c r="G250" s="540" t="inlineStr">
        <is>
          <t>徐敏捷</t>
        </is>
      </c>
      <c r="H250" s="540" t="inlineStr">
        <is>
          <t>/</t>
        </is>
      </c>
      <c r="I250" s="540" t="inlineStr">
        <is>
          <t>/</t>
        </is>
      </c>
      <c r="J250" s="540" t="inlineStr">
        <is>
          <t>/</t>
        </is>
      </c>
    </row>
    <row r="251">
      <c r="A251" s="540" t="n">
        <v>291</v>
      </c>
      <c r="B251" s="540" t="inlineStr">
        <is>
          <t>KQCY0291</t>
        </is>
      </c>
      <c r="C251" s="540" t="inlineStr">
        <is>
          <t>餐饮五分部</t>
        </is>
      </c>
      <c r="D251" s="540" t="inlineStr">
        <is>
          <t>CF620</t>
        </is>
      </c>
      <c r="E251" s="540" t="inlineStr">
        <is>
          <t>山西大学B6食堂三层</t>
        </is>
      </c>
      <c r="F251" s="540" t="inlineStr">
        <is>
          <t>分组作业</t>
        </is>
      </c>
      <c r="G251" s="540" t="inlineStr">
        <is>
          <t>徐敏捷</t>
        </is>
      </c>
      <c r="H251" s="540" t="inlineStr">
        <is>
          <t>第一班组</t>
        </is>
      </c>
      <c r="I251" s="540" t="inlineStr">
        <is>
          <t>辣椒炒肉汉堡</t>
        </is>
      </c>
      <c r="J251" s="540" t="inlineStr">
        <is>
          <t>胡星丽</t>
        </is>
      </c>
    </row>
    <row r="252">
      <c r="A252" s="540" t="n">
        <v>292</v>
      </c>
      <c r="B252" s="540" t="inlineStr">
        <is>
          <t>KQCY0292</t>
        </is>
      </c>
      <c r="C252" s="540" t="inlineStr">
        <is>
          <t>餐饮五分部</t>
        </is>
      </c>
      <c r="D252" s="540" t="inlineStr">
        <is>
          <t>CF620</t>
        </is>
      </c>
      <c r="E252" s="540" t="inlineStr">
        <is>
          <t>山西大学B6食堂三层</t>
        </is>
      </c>
      <c r="F252" s="540" t="inlineStr">
        <is>
          <t>分组作业</t>
        </is>
      </c>
      <c r="G252" s="540" t="inlineStr">
        <is>
          <t>徐敏捷</t>
        </is>
      </c>
      <c r="H252" s="540" t="inlineStr">
        <is>
          <t>第二班组</t>
        </is>
      </c>
      <c r="I252" s="540" t="inlineStr">
        <is>
          <t>石锅菜</t>
        </is>
      </c>
      <c r="J252" s="540" t="inlineStr">
        <is>
          <t>穆瑞霞</t>
        </is>
      </c>
    </row>
    <row r="253">
      <c r="A253" s="540" t="n">
        <v>293</v>
      </c>
      <c r="B253" s="540" t="inlineStr">
        <is>
          <t>KQCY0293</t>
        </is>
      </c>
      <c r="C253" s="540" t="inlineStr">
        <is>
          <t>餐饮五分部</t>
        </is>
      </c>
      <c r="D253" s="540" t="inlineStr">
        <is>
          <t>CF620</t>
        </is>
      </c>
      <c r="E253" s="540" t="inlineStr">
        <is>
          <t>山西大学B6食堂三层</t>
        </is>
      </c>
      <c r="F253" s="540" t="inlineStr">
        <is>
          <t>分组作业</t>
        </is>
      </c>
      <c r="G253" s="540" t="inlineStr">
        <is>
          <t>徐敏捷</t>
        </is>
      </c>
      <c r="H253" s="540" t="inlineStr">
        <is>
          <t>第三班组</t>
        </is>
      </c>
      <c r="I253" s="540" t="inlineStr">
        <is>
          <t>方圆便利</t>
        </is>
      </c>
      <c r="J253" s="540" t="inlineStr">
        <is>
          <t>张志洁</t>
        </is>
      </c>
    </row>
    <row r="254">
      <c r="A254" s="540" t="n">
        <v>294</v>
      </c>
      <c r="B254" s="540" t="inlineStr">
        <is>
          <t>KQCY0294</t>
        </is>
      </c>
      <c r="C254" s="540" t="inlineStr">
        <is>
          <t>餐饮五分部</t>
        </is>
      </c>
      <c r="D254" s="540" t="inlineStr">
        <is>
          <t>CF620</t>
        </is>
      </c>
      <c r="E254" s="540" t="inlineStr">
        <is>
          <t>山西大学B6食堂三层</t>
        </is>
      </c>
      <c r="F254" s="540" t="inlineStr">
        <is>
          <t>分组作业</t>
        </is>
      </c>
      <c r="G254" s="540" t="inlineStr">
        <is>
          <t>徐敏捷</t>
        </is>
      </c>
      <c r="H254" s="540" t="inlineStr">
        <is>
          <t>第四班组</t>
        </is>
      </c>
      <c r="I254" s="540" t="inlineStr">
        <is>
          <t>私抹制茶</t>
        </is>
      </c>
      <c r="J254" s="540" t="inlineStr">
        <is>
          <t>韩美珍</t>
        </is>
      </c>
    </row>
    <row r="255">
      <c r="A255" s="540" t="n">
        <v>296</v>
      </c>
      <c r="B255" s="540" t="inlineStr">
        <is>
          <t>KQCY0296</t>
        </is>
      </c>
      <c r="C255" s="540" t="inlineStr">
        <is>
          <t>餐饮五分部</t>
        </is>
      </c>
      <c r="D255" s="540" t="inlineStr">
        <is>
          <t>CF697</t>
        </is>
      </c>
      <c r="E255" s="540" t="inlineStr">
        <is>
          <t>兰交大百苑二楼食堂</t>
        </is>
      </c>
      <c r="F255" s="540" t="inlineStr">
        <is>
          <t>分组作业</t>
        </is>
      </c>
      <c r="G255" s="540" t="inlineStr">
        <is>
          <t>徐敏捷</t>
        </is>
      </c>
      <c r="H255" s="540" t="inlineStr">
        <is>
          <t>/</t>
        </is>
      </c>
      <c r="I255" s="540" t="inlineStr">
        <is>
          <t>快餐</t>
        </is>
      </c>
      <c r="J255" s="540" t="inlineStr">
        <is>
          <t>胡小娟</t>
        </is>
      </c>
    </row>
    <row r="256">
      <c r="A256" s="540" t="n">
        <v>297</v>
      </c>
      <c r="B256" s="540" t="inlineStr">
        <is>
          <t>KQCY0297</t>
        </is>
      </c>
      <c r="C256" s="540" t="inlineStr">
        <is>
          <t>餐饮五分部</t>
        </is>
      </c>
      <c r="D256" s="540" t="inlineStr">
        <is>
          <t>CF697</t>
        </is>
      </c>
      <c r="E256" s="540" t="inlineStr">
        <is>
          <t>兰交大百苑二楼食堂</t>
        </is>
      </c>
      <c r="F256" s="540" t="inlineStr">
        <is>
          <t>分组作业</t>
        </is>
      </c>
      <c r="G256" s="540" t="inlineStr">
        <is>
          <t>徐敏捷</t>
        </is>
      </c>
      <c r="H256" s="540" t="inlineStr">
        <is>
          <t>/</t>
        </is>
      </c>
      <c r="I256" s="540" t="inlineStr">
        <is>
          <t>热卤饭</t>
        </is>
      </c>
      <c r="J256" s="540" t="inlineStr">
        <is>
          <t>郭建琴</t>
        </is>
      </c>
    </row>
    <row r="257">
      <c r="A257" s="540" t="n">
        <v>298</v>
      </c>
      <c r="B257" s="540" t="inlineStr">
        <is>
          <t>KQCY0298</t>
        </is>
      </c>
      <c r="C257" s="540" t="inlineStr">
        <is>
          <t>餐饮五分部</t>
        </is>
      </c>
      <c r="D257" s="540" t="inlineStr">
        <is>
          <t>CF697</t>
        </is>
      </c>
      <c r="E257" s="540" t="inlineStr">
        <is>
          <t>兰交大百苑二楼食堂</t>
        </is>
      </c>
      <c r="F257" s="540" t="inlineStr">
        <is>
          <t>分组作业</t>
        </is>
      </c>
      <c r="G257" s="540" t="inlineStr">
        <is>
          <t>徐敏捷</t>
        </is>
      </c>
      <c r="H257" s="540" t="inlineStr">
        <is>
          <t>/</t>
        </is>
      </c>
      <c r="I257" s="540" t="inlineStr">
        <is>
          <t>铁锅炖</t>
        </is>
      </c>
      <c r="J257" s="540" t="inlineStr">
        <is>
          <t>白小霞</t>
        </is>
      </c>
    </row>
    <row r="258">
      <c r="A258" s="540" t="n">
        <v>299</v>
      </c>
      <c r="B258" s="540" t="inlineStr">
        <is>
          <t>KQCY0299</t>
        </is>
      </c>
      <c r="C258" s="540" t="inlineStr">
        <is>
          <t>餐饮五分部</t>
        </is>
      </c>
      <c r="D258" s="540" t="inlineStr">
        <is>
          <t>CF697</t>
        </is>
      </c>
      <c r="E258" s="540" t="inlineStr">
        <is>
          <t>兰交大百苑二楼食堂</t>
        </is>
      </c>
      <c r="F258" s="540" t="inlineStr">
        <is>
          <t>分组作业</t>
        </is>
      </c>
      <c r="G258" s="540" t="inlineStr">
        <is>
          <t>徐敏捷</t>
        </is>
      </c>
      <c r="H258" s="540" t="inlineStr">
        <is>
          <t>/</t>
        </is>
      </c>
      <c r="I258" s="540" t="inlineStr">
        <is>
          <t>绝世皇鸭</t>
        </is>
      </c>
      <c r="J258" s="540" t="inlineStr">
        <is>
          <t>魏路虎</t>
        </is>
      </c>
    </row>
    <row r="259">
      <c r="A259" s="540" t="n">
        <v>300</v>
      </c>
      <c r="B259" s="540" t="inlineStr">
        <is>
          <t>KQCY0300</t>
        </is>
      </c>
      <c r="C259" s="540" t="inlineStr">
        <is>
          <t>餐饮五分部</t>
        </is>
      </c>
      <c r="D259" s="540" t="inlineStr">
        <is>
          <t>CF697</t>
        </is>
      </c>
      <c r="E259" s="540" t="inlineStr">
        <is>
          <t>兰交大百苑二楼食堂</t>
        </is>
      </c>
      <c r="F259" s="540" t="inlineStr">
        <is>
          <t>分组作业</t>
        </is>
      </c>
      <c r="G259" s="540" t="inlineStr">
        <is>
          <t>徐敏捷</t>
        </is>
      </c>
      <c r="H259" s="540" t="inlineStr">
        <is>
          <t>/</t>
        </is>
      </c>
      <c r="I259" s="540" t="inlineStr">
        <is>
          <t>螺蛳粉</t>
        </is>
      </c>
      <c r="J259" s="540" t="inlineStr">
        <is>
          <t>孟庆玲</t>
        </is>
      </c>
    </row>
    <row r="260">
      <c r="A260" s="540" t="n">
        <v>301</v>
      </c>
      <c r="B260" s="540" t="inlineStr">
        <is>
          <t>KQCY0301</t>
        </is>
      </c>
      <c r="C260" s="540" t="inlineStr">
        <is>
          <t>餐饮五分部</t>
        </is>
      </c>
      <c r="D260" s="540" t="inlineStr">
        <is>
          <t>CF697</t>
        </is>
      </c>
      <c r="E260" s="540" t="inlineStr">
        <is>
          <t>兰交大百苑二楼食堂</t>
        </is>
      </c>
      <c r="F260" s="540" t="inlineStr">
        <is>
          <t>分组作业</t>
        </is>
      </c>
      <c r="G260" s="540" t="inlineStr">
        <is>
          <t>徐敏捷</t>
        </is>
      </c>
      <c r="H260" s="540" t="inlineStr">
        <is>
          <t>/</t>
        </is>
      </c>
      <c r="I260" s="540" t="inlineStr">
        <is>
          <t>麻辣烫</t>
        </is>
      </c>
      <c r="J260" s="540" t="inlineStr">
        <is>
          <t>姚春</t>
        </is>
      </c>
    </row>
    <row r="261">
      <c r="A261" s="540" t="n">
        <v>302</v>
      </c>
      <c r="B261" s="540" t="inlineStr">
        <is>
          <t>KQCY0302</t>
        </is>
      </c>
      <c r="C261" s="540" t="inlineStr">
        <is>
          <t>餐饮五分部</t>
        </is>
      </c>
      <c r="D261" s="540" t="inlineStr">
        <is>
          <t>CF697</t>
        </is>
      </c>
      <c r="E261" s="540" t="inlineStr">
        <is>
          <t>兰交大百苑二楼食堂</t>
        </is>
      </c>
      <c r="F261" s="540" t="inlineStr">
        <is>
          <t>分组作业</t>
        </is>
      </c>
      <c r="G261" s="540" t="inlineStr">
        <is>
          <t>徐敏捷</t>
        </is>
      </c>
      <c r="H261" s="540" t="inlineStr">
        <is>
          <t>/</t>
        </is>
      </c>
      <c r="I261" s="540" t="inlineStr">
        <is>
          <t>脆皮鸡米饭</t>
        </is>
      </c>
      <c r="J261" s="540" t="inlineStr">
        <is>
          <t>王燕</t>
        </is>
      </c>
    </row>
    <row r="262">
      <c r="A262" s="540" t="n">
        <v>303</v>
      </c>
      <c r="B262" s="540" t="inlineStr">
        <is>
          <t>KQCY0303</t>
        </is>
      </c>
      <c r="C262" s="540" t="inlineStr">
        <is>
          <t>餐饮五分部</t>
        </is>
      </c>
      <c r="D262" s="540" t="inlineStr">
        <is>
          <t>CF697</t>
        </is>
      </c>
      <c r="E262" s="540" t="inlineStr">
        <is>
          <t>兰交大百苑二楼食堂</t>
        </is>
      </c>
      <c r="F262" s="540" t="inlineStr">
        <is>
          <t>分组作业</t>
        </is>
      </c>
      <c r="G262" s="540" t="inlineStr">
        <is>
          <t>徐敏捷</t>
        </is>
      </c>
      <c r="H262" s="540" t="inlineStr">
        <is>
          <t>/</t>
        </is>
      </c>
      <c r="I262" s="540" t="inlineStr">
        <is>
          <t>羊杂面</t>
        </is>
      </c>
      <c r="J262" s="540" t="inlineStr">
        <is>
          <t>裴晓文</t>
        </is>
      </c>
    </row>
    <row r="263">
      <c r="A263" s="540" t="n">
        <v>304</v>
      </c>
      <c r="B263" s="540" t="inlineStr">
        <is>
          <t>KQCY0304</t>
        </is>
      </c>
      <c r="C263" s="540" t="inlineStr">
        <is>
          <t>餐饮五分部</t>
        </is>
      </c>
      <c r="D263" s="540" t="inlineStr">
        <is>
          <t>CF697</t>
        </is>
      </c>
      <c r="E263" s="540" t="inlineStr">
        <is>
          <t>兰交大百苑二楼食堂</t>
        </is>
      </c>
      <c r="F263" s="540" t="inlineStr">
        <is>
          <t>分组作业</t>
        </is>
      </c>
      <c r="G263" s="540" t="inlineStr">
        <is>
          <t>徐敏捷</t>
        </is>
      </c>
      <c r="H263" s="540" t="inlineStr">
        <is>
          <t>/</t>
        </is>
      </c>
      <c r="I263" s="540" t="inlineStr">
        <is>
          <t>快餐</t>
        </is>
      </c>
      <c r="J263" s="540" t="inlineStr">
        <is>
          <t>闫焕平</t>
        </is>
      </c>
    </row>
    <row r="264">
      <c r="A264" s="540" t="n">
        <v>305</v>
      </c>
      <c r="B264" s="540" t="inlineStr">
        <is>
          <t>KQCY0305</t>
        </is>
      </c>
      <c r="C264" s="540" t="inlineStr">
        <is>
          <t>餐饮五分部</t>
        </is>
      </c>
      <c r="D264" s="540" t="inlineStr">
        <is>
          <t>CF697</t>
        </is>
      </c>
      <c r="E264" s="540" t="inlineStr">
        <is>
          <t>兰交大百苑二楼食堂</t>
        </is>
      </c>
      <c r="F264" s="540" t="inlineStr">
        <is>
          <t>分组作业</t>
        </is>
      </c>
      <c r="G264" s="540" t="inlineStr">
        <is>
          <t>徐敏捷</t>
        </is>
      </c>
      <c r="H264" s="540" t="inlineStr">
        <is>
          <t>/</t>
        </is>
      </c>
      <c r="I264" s="540" t="inlineStr">
        <is>
          <t>石锅菜</t>
        </is>
      </c>
      <c r="J264" s="540" t="inlineStr">
        <is>
          <t>李雄飞</t>
        </is>
      </c>
    </row>
    <row r="265">
      <c r="A265" s="540" t="n">
        <v>306</v>
      </c>
      <c r="B265" s="540" t="inlineStr">
        <is>
          <t>KQCY0306</t>
        </is>
      </c>
      <c r="C265" s="540" t="inlineStr">
        <is>
          <t>餐饮五分部</t>
        </is>
      </c>
      <c r="D265" s="540" t="inlineStr">
        <is>
          <t>CF697</t>
        </is>
      </c>
      <c r="E265" s="540" t="inlineStr">
        <is>
          <t>兰交大百苑二楼食堂</t>
        </is>
      </c>
      <c r="F265" s="540" t="inlineStr">
        <is>
          <t>分组作业</t>
        </is>
      </c>
      <c r="G265" s="540" t="inlineStr">
        <is>
          <t>徐敏捷</t>
        </is>
      </c>
      <c r="H265" s="540" t="inlineStr">
        <is>
          <t>/</t>
        </is>
      </c>
      <c r="I265" s="540" t="inlineStr">
        <is>
          <t>米粉</t>
        </is>
      </c>
      <c r="J265" s="540" t="inlineStr">
        <is>
          <t>安平</t>
        </is>
      </c>
    </row>
    <row r="266">
      <c r="A266" s="540" t="n">
        <v>307</v>
      </c>
      <c r="B266" s="540" t="inlineStr">
        <is>
          <t>KQCY0307</t>
        </is>
      </c>
      <c r="C266" s="540" t="inlineStr">
        <is>
          <t>餐饮五分部</t>
        </is>
      </c>
      <c r="D266" s="540" t="inlineStr">
        <is>
          <t>CF697</t>
        </is>
      </c>
      <c r="E266" s="540" t="inlineStr">
        <is>
          <t>兰交大百苑二楼食堂</t>
        </is>
      </c>
      <c r="F266" s="540" t="inlineStr">
        <is>
          <t>分组作业</t>
        </is>
      </c>
      <c r="G266" s="540" t="inlineStr">
        <is>
          <t>徐敏捷</t>
        </is>
      </c>
      <c r="H266" s="540" t="inlineStr">
        <is>
          <t>/</t>
        </is>
      </c>
      <c r="I266" s="540" t="inlineStr">
        <is>
          <t>猪脚饭</t>
        </is>
      </c>
      <c r="J266" s="540" t="inlineStr">
        <is>
          <t>张文权</t>
        </is>
      </c>
    </row>
    <row r="267">
      <c r="A267" s="540" t="n">
        <v>308</v>
      </c>
      <c r="B267" s="540" t="inlineStr">
        <is>
          <t>KQCY0308</t>
        </is>
      </c>
      <c r="C267" s="540" t="inlineStr">
        <is>
          <t>餐饮五分部</t>
        </is>
      </c>
      <c r="D267" s="540" t="inlineStr">
        <is>
          <t>CF697</t>
        </is>
      </c>
      <c r="E267" s="540" t="inlineStr">
        <is>
          <t>兰交大百苑二楼食堂</t>
        </is>
      </c>
      <c r="F267" s="540" t="inlineStr">
        <is>
          <t>分组作业</t>
        </is>
      </c>
      <c r="G267" s="540" t="inlineStr">
        <is>
          <t>徐敏捷</t>
        </is>
      </c>
      <c r="H267" s="540" t="inlineStr">
        <is>
          <t>/</t>
        </is>
      </c>
      <c r="I267" s="540" t="inlineStr">
        <is>
          <t>宋曼烤串</t>
        </is>
      </c>
      <c r="J267" s="540" t="inlineStr">
        <is>
          <t>于金梅</t>
        </is>
      </c>
    </row>
    <row r="268">
      <c r="A268" s="540" t="n">
        <v>309</v>
      </c>
      <c r="B268" s="540" t="inlineStr">
        <is>
          <t>KQCY0309</t>
        </is>
      </c>
      <c r="C268" s="540" t="inlineStr">
        <is>
          <t>餐饮五分部</t>
        </is>
      </c>
      <c r="D268" s="540" t="inlineStr">
        <is>
          <t>CF697</t>
        </is>
      </c>
      <c r="E268" s="540" t="inlineStr">
        <is>
          <t>兰交大百苑二楼食堂</t>
        </is>
      </c>
      <c r="F268" s="540" t="inlineStr">
        <is>
          <t>分组作业</t>
        </is>
      </c>
      <c r="G268" s="540" t="inlineStr">
        <is>
          <t>徐敏捷</t>
        </is>
      </c>
      <c r="H268" s="540" t="inlineStr">
        <is>
          <t>/</t>
        </is>
      </c>
      <c r="I268" s="540" t="inlineStr">
        <is>
          <t>汉堡</t>
        </is>
      </c>
      <c r="J268" s="540" t="inlineStr">
        <is>
          <t>陈发权</t>
        </is>
      </c>
    </row>
    <row r="269">
      <c r="A269" s="540" t="n">
        <v>311</v>
      </c>
      <c r="B269" s="540" t="inlineStr">
        <is>
          <t>KQCY0311</t>
        </is>
      </c>
      <c r="C269" s="540" t="inlineStr">
        <is>
          <t>餐饮五分部</t>
        </is>
      </c>
      <c r="D269" s="540" t="inlineStr">
        <is>
          <t>CF698</t>
        </is>
      </c>
      <c r="E269" s="540" t="inlineStr">
        <is>
          <t>兰理工兰工坪校区一食堂</t>
        </is>
      </c>
      <c r="F269" s="540" t="inlineStr">
        <is>
          <t>分组作业</t>
        </is>
      </c>
      <c r="G269" s="540" t="inlineStr">
        <is>
          <t>徐敏捷</t>
        </is>
      </c>
      <c r="H269" s="540" t="inlineStr">
        <is>
          <t>/</t>
        </is>
      </c>
      <c r="I269" s="540" t="inlineStr">
        <is>
          <t>早餐（包子、粥、馅饼、饺子）</t>
        </is>
      </c>
      <c r="J269" s="540" t="inlineStr">
        <is>
          <t>杨文宏</t>
        </is>
      </c>
    </row>
    <row r="270">
      <c r="A270" s="540" t="n">
        <v>312</v>
      </c>
      <c r="B270" s="540" t="inlineStr">
        <is>
          <t>KQCY0312</t>
        </is>
      </c>
      <c r="C270" s="540" t="inlineStr">
        <is>
          <t>餐饮五分部</t>
        </is>
      </c>
      <c r="D270" s="540" t="inlineStr">
        <is>
          <t>CF698</t>
        </is>
      </c>
      <c r="E270" s="540" t="inlineStr">
        <is>
          <t>兰理工兰工坪校区一食堂</t>
        </is>
      </c>
      <c r="F270" s="540" t="inlineStr">
        <is>
          <t>分组作业</t>
        </is>
      </c>
      <c r="G270" s="540" t="inlineStr">
        <is>
          <t>徐敏捷</t>
        </is>
      </c>
      <c r="H270" s="540" t="inlineStr">
        <is>
          <t>/</t>
        </is>
      </c>
      <c r="I270" s="540" t="inlineStr">
        <is>
          <t>快餐（盖浇饭、锅仔）</t>
        </is>
      </c>
      <c r="J270" s="540" t="inlineStr">
        <is>
          <t>宋玉琴</t>
        </is>
      </c>
    </row>
    <row r="271">
      <c r="A271" s="540" t="n">
        <v>313</v>
      </c>
      <c r="B271" s="540" t="inlineStr">
        <is>
          <t>KQCY0313</t>
        </is>
      </c>
      <c r="C271" s="540" t="inlineStr">
        <is>
          <t>餐饮五分部</t>
        </is>
      </c>
      <c r="D271" s="540" t="inlineStr">
        <is>
          <t>CF698</t>
        </is>
      </c>
      <c r="E271" s="540" t="inlineStr">
        <is>
          <t>兰理工兰工坪校区一食堂</t>
        </is>
      </c>
      <c r="F271" s="540" t="inlineStr">
        <is>
          <t>分组作业</t>
        </is>
      </c>
      <c r="G271" s="540" t="inlineStr">
        <is>
          <t>徐敏捷</t>
        </is>
      </c>
      <c r="H271" s="540" t="inlineStr">
        <is>
          <t>/</t>
        </is>
      </c>
      <c r="I271" s="540" t="inlineStr">
        <is>
          <t>米粉</t>
        </is>
      </c>
      <c r="J271" s="540" t="inlineStr">
        <is>
          <t>尚伟伟</t>
        </is>
      </c>
    </row>
    <row r="272">
      <c r="A272" s="540" t="n">
        <v>314</v>
      </c>
      <c r="B272" s="540" t="inlineStr">
        <is>
          <t>KQCY0314</t>
        </is>
      </c>
      <c r="C272" s="540" t="inlineStr">
        <is>
          <t>餐饮五分部</t>
        </is>
      </c>
      <c r="D272" s="540" t="inlineStr">
        <is>
          <t>CF698</t>
        </is>
      </c>
      <c r="E272" s="540" t="inlineStr">
        <is>
          <t>兰理工兰工坪校区一食堂</t>
        </is>
      </c>
      <c r="F272" s="540" t="inlineStr">
        <is>
          <t>分组作业</t>
        </is>
      </c>
      <c r="G272" s="540" t="inlineStr">
        <is>
          <t>徐敏捷</t>
        </is>
      </c>
      <c r="H272" s="540" t="inlineStr">
        <is>
          <t>/</t>
        </is>
      </c>
      <c r="I272" s="540" t="inlineStr">
        <is>
          <t>烤鸭饭</t>
        </is>
      </c>
      <c r="J272" s="540" t="inlineStr">
        <is>
          <t>何启发</t>
        </is>
      </c>
    </row>
    <row r="273">
      <c r="A273" s="540" t="n">
        <v>315</v>
      </c>
      <c r="B273" s="540" t="inlineStr">
        <is>
          <t>KQCY0315</t>
        </is>
      </c>
      <c r="C273" s="540" t="inlineStr">
        <is>
          <t>餐饮五分部</t>
        </is>
      </c>
      <c r="D273" s="540" t="inlineStr">
        <is>
          <t>CF698</t>
        </is>
      </c>
      <c r="E273" s="540" t="inlineStr">
        <is>
          <t>兰理工兰工坪校区一食堂</t>
        </is>
      </c>
      <c r="F273" s="540" t="inlineStr">
        <is>
          <t>分组作业</t>
        </is>
      </c>
      <c r="G273" s="540" t="inlineStr">
        <is>
          <t>徐敏捷</t>
        </is>
      </c>
      <c r="H273" s="540" t="inlineStr">
        <is>
          <t>/</t>
        </is>
      </c>
      <c r="I273" s="540" t="inlineStr">
        <is>
          <t>香肉拌饭</t>
        </is>
      </c>
      <c r="J273" s="540" t="inlineStr">
        <is>
          <t>尚晓强</t>
        </is>
      </c>
    </row>
    <row r="274">
      <c r="A274" s="540" t="n">
        <v>316</v>
      </c>
      <c r="B274" s="540" t="inlineStr">
        <is>
          <t>KQCY0316</t>
        </is>
      </c>
      <c r="C274" s="540" t="inlineStr">
        <is>
          <t>餐饮五分部</t>
        </is>
      </c>
      <c r="D274" s="540" t="inlineStr">
        <is>
          <t>CF698</t>
        </is>
      </c>
      <c r="E274" s="540" t="inlineStr">
        <is>
          <t>兰理工兰工坪校区一食堂</t>
        </is>
      </c>
      <c r="F274" s="540" t="inlineStr">
        <is>
          <t>分组作业</t>
        </is>
      </c>
      <c r="G274" s="540" t="inlineStr">
        <is>
          <t>徐敏捷</t>
        </is>
      </c>
      <c r="H274" s="540" t="inlineStr">
        <is>
          <t>/</t>
        </is>
      </c>
      <c r="I274" s="540" t="inlineStr">
        <is>
          <t>面夫子包子（煎饺）</t>
        </is>
      </c>
      <c r="J274" s="540" t="inlineStr">
        <is>
          <t>景波波</t>
        </is>
      </c>
    </row>
    <row r="275">
      <c r="A275" s="540" t="n">
        <v>317</v>
      </c>
      <c r="B275" s="540" t="inlineStr">
        <is>
          <t>KQCY0317</t>
        </is>
      </c>
      <c r="C275" s="540" t="inlineStr">
        <is>
          <t>餐饮五分部</t>
        </is>
      </c>
      <c r="D275" s="540" t="inlineStr">
        <is>
          <t>CF698</t>
        </is>
      </c>
      <c r="E275" s="540" t="inlineStr">
        <is>
          <t>兰理工兰工坪校区一食堂</t>
        </is>
      </c>
      <c r="F275" s="540" t="inlineStr">
        <is>
          <t>分组作业</t>
        </is>
      </c>
      <c r="G275" s="540" t="inlineStr">
        <is>
          <t>徐敏捷</t>
        </is>
      </c>
      <c r="H275" s="540" t="inlineStr">
        <is>
          <t>/</t>
        </is>
      </c>
      <c r="I275" s="540" t="inlineStr">
        <is>
          <t>面小福菜拌面</t>
        </is>
      </c>
      <c r="J275" s="540" t="inlineStr">
        <is>
          <t>蔡晓娟</t>
        </is>
      </c>
    </row>
    <row r="276">
      <c r="A276" s="540" t="n">
        <v>318</v>
      </c>
      <c r="B276" s="540" t="inlineStr">
        <is>
          <t>KQCY0318</t>
        </is>
      </c>
      <c r="C276" s="540" t="inlineStr">
        <is>
          <t>餐饮五分部</t>
        </is>
      </c>
      <c r="D276" s="540" t="inlineStr">
        <is>
          <t>CF698</t>
        </is>
      </c>
      <c r="E276" s="540" t="inlineStr">
        <is>
          <t>兰理工兰工坪校区一食堂</t>
        </is>
      </c>
      <c r="F276" s="540" t="inlineStr">
        <is>
          <t>分组作业</t>
        </is>
      </c>
      <c r="G276" s="540" t="inlineStr">
        <is>
          <t>徐敏捷</t>
        </is>
      </c>
      <c r="H276" s="540" t="inlineStr">
        <is>
          <t>/</t>
        </is>
      </c>
      <c r="I276" s="540" t="inlineStr">
        <is>
          <t>饶城湘辣椒炒肉</t>
        </is>
      </c>
      <c r="J276" s="540" t="inlineStr">
        <is>
          <t>蔡晓娟</t>
        </is>
      </c>
    </row>
    <row r="277">
      <c r="A277" s="540" t="n">
        <v>319</v>
      </c>
      <c r="B277" s="540" t="inlineStr">
        <is>
          <t>KQCY0319</t>
        </is>
      </c>
      <c r="C277" s="540" t="inlineStr">
        <is>
          <t>餐饮五分部</t>
        </is>
      </c>
      <c r="D277" s="540" t="inlineStr">
        <is>
          <t>CF698</t>
        </is>
      </c>
      <c r="E277" s="540" t="inlineStr">
        <is>
          <t>兰理工兰工坪校区一食堂</t>
        </is>
      </c>
      <c r="F277" s="540" t="inlineStr">
        <is>
          <t>分组作业</t>
        </is>
      </c>
      <c r="G277" s="540" t="inlineStr">
        <is>
          <t>徐敏捷</t>
        </is>
      </c>
      <c r="H277" s="540" t="inlineStr">
        <is>
          <t>/</t>
        </is>
      </c>
      <c r="I277" s="540" t="inlineStr">
        <is>
          <t>一纸鸡牛肉饭</t>
        </is>
      </c>
      <c r="J277" s="540" t="inlineStr">
        <is>
          <t>王燕</t>
        </is>
      </c>
    </row>
    <row r="278">
      <c r="A278" s="540" t="n">
        <v>320</v>
      </c>
      <c r="B278" s="540" t="inlineStr">
        <is>
          <t>KQCY0320</t>
        </is>
      </c>
      <c r="C278" s="540" t="inlineStr">
        <is>
          <t>餐饮五分部</t>
        </is>
      </c>
      <c r="D278" s="540" t="inlineStr">
        <is>
          <t>CF698</t>
        </is>
      </c>
      <c r="E278" s="540" t="inlineStr">
        <is>
          <t>兰理工兰工坪校区一食堂</t>
        </is>
      </c>
      <c r="F278" s="540" t="inlineStr">
        <is>
          <t>分组作业</t>
        </is>
      </c>
      <c r="G278" s="540" t="inlineStr">
        <is>
          <t>徐敏捷</t>
        </is>
      </c>
      <c r="H278" s="540" t="inlineStr">
        <is>
          <t>/</t>
        </is>
      </c>
      <c r="I278" s="540" t="inlineStr">
        <is>
          <t>波乐宝炸鸡汉堡</t>
        </is>
      </c>
      <c r="J278" s="540" t="inlineStr">
        <is>
          <t>周小鹏</t>
        </is>
      </c>
    </row>
    <row r="279">
      <c r="A279" s="540" t="n">
        <v>321</v>
      </c>
      <c r="B279" s="540" t="inlineStr">
        <is>
          <t>KQCY0321</t>
        </is>
      </c>
      <c r="C279" s="540" t="inlineStr">
        <is>
          <t>餐饮五分部</t>
        </is>
      </c>
      <c r="D279" s="540" t="inlineStr">
        <is>
          <t>CF698</t>
        </is>
      </c>
      <c r="E279" s="540" t="inlineStr">
        <is>
          <t>兰理工兰工坪校区一食堂</t>
        </is>
      </c>
      <c r="F279" s="540" t="inlineStr">
        <is>
          <t>分组作业</t>
        </is>
      </c>
      <c r="G279" s="540" t="inlineStr">
        <is>
          <t>徐敏捷</t>
        </is>
      </c>
      <c r="H279" s="540" t="inlineStr">
        <is>
          <t>/</t>
        </is>
      </c>
      <c r="I279" s="540" t="inlineStr">
        <is>
          <t>冒菜（小火锅）</t>
        </is>
      </c>
      <c r="J279" s="540" t="inlineStr">
        <is>
          <t>马娟娟</t>
        </is>
      </c>
    </row>
    <row r="280">
      <c r="A280" s="540" t="n">
        <v>322</v>
      </c>
      <c r="B280" s="540" t="inlineStr">
        <is>
          <t>KQCY0322</t>
        </is>
      </c>
      <c r="C280" s="540" t="inlineStr">
        <is>
          <t>餐饮五分部</t>
        </is>
      </c>
      <c r="D280" s="540" t="inlineStr">
        <is>
          <t>CF698</t>
        </is>
      </c>
      <c r="E280" s="540" t="inlineStr">
        <is>
          <t>兰理工兰工坪校区一食堂</t>
        </is>
      </c>
      <c r="F280" s="540" t="inlineStr">
        <is>
          <t>分组作业</t>
        </is>
      </c>
      <c r="G280" s="540" t="inlineStr">
        <is>
          <t>徐敏捷</t>
        </is>
      </c>
      <c r="H280" s="540" t="inlineStr">
        <is>
          <t>/</t>
        </is>
      </c>
      <c r="I280" s="540" t="inlineStr">
        <is>
          <t>牛肉面（炒面）</t>
        </is>
      </c>
      <c r="J280" s="540" t="inlineStr">
        <is>
          <t>马娟娟</t>
        </is>
      </c>
    </row>
    <row r="281">
      <c r="A281" s="540" t="n">
        <v>323</v>
      </c>
      <c r="B281" s="540" t="inlineStr">
        <is>
          <t>KQCY0323</t>
        </is>
      </c>
      <c r="C281" s="540" t="inlineStr">
        <is>
          <t>餐饮五分部</t>
        </is>
      </c>
      <c r="D281" s="540" t="inlineStr">
        <is>
          <t>CF698</t>
        </is>
      </c>
      <c r="E281" s="540" t="inlineStr">
        <is>
          <t>兰理工兰工坪校区一食堂</t>
        </is>
      </c>
      <c r="F281" s="540" t="inlineStr">
        <is>
          <t>分组作业</t>
        </is>
      </c>
      <c r="G281" s="540" t="inlineStr">
        <is>
          <t>徐敏捷</t>
        </is>
      </c>
      <c r="H281" s="540" t="inlineStr">
        <is>
          <t>/</t>
        </is>
      </c>
      <c r="I281" s="540" t="inlineStr">
        <is>
          <t>杂粮煎饼</t>
        </is>
      </c>
      <c r="J281" s="540" t="inlineStr">
        <is>
          <t>李超</t>
        </is>
      </c>
    </row>
    <row r="282">
      <c r="A282" s="540" t="n">
        <v>324</v>
      </c>
      <c r="B282" s="540" t="inlineStr">
        <is>
          <t>KQCY0324</t>
        </is>
      </c>
      <c r="C282" s="540" t="inlineStr">
        <is>
          <t>餐饮五分部</t>
        </is>
      </c>
      <c r="D282" s="540" t="inlineStr">
        <is>
          <t>CF698</t>
        </is>
      </c>
      <c r="E282" s="540" t="inlineStr">
        <is>
          <t>兰理工兰工坪校区一食堂</t>
        </is>
      </c>
      <c r="F282" s="540" t="inlineStr">
        <is>
          <t>分组作业</t>
        </is>
      </c>
      <c r="G282" s="540" t="inlineStr">
        <is>
          <t>徐敏捷</t>
        </is>
      </c>
      <c r="H282" s="540" t="inlineStr">
        <is>
          <t>/</t>
        </is>
      </c>
      <c r="I282" s="540" t="inlineStr">
        <is>
          <t>蜜雪冰城</t>
        </is>
      </c>
      <c r="J282" s="540" t="inlineStr">
        <is>
          <t>陈发全</t>
        </is>
      </c>
    </row>
    <row r="283">
      <c r="A283" s="540" t="n">
        <v>326</v>
      </c>
      <c r="B283" s="540" t="inlineStr">
        <is>
          <t>KQCY0326</t>
        </is>
      </c>
      <c r="C283" s="540" t="inlineStr">
        <is>
          <t>餐饮五分部</t>
        </is>
      </c>
      <c r="D283" s="540" t="inlineStr">
        <is>
          <t>CF102</t>
        </is>
      </c>
      <c r="E283" s="540" t="inlineStr">
        <is>
          <t>苏大东区四食堂</t>
        </is>
      </c>
      <c r="F283" s="540" t="inlineStr">
        <is>
          <t>分组作业</t>
        </is>
      </c>
      <c r="G283" s="540" t="inlineStr">
        <is>
          <t>卫屹</t>
        </is>
      </c>
      <c r="H283" s="540" t="inlineStr">
        <is>
          <t>/</t>
        </is>
      </c>
      <c r="I283" s="540" t="inlineStr">
        <is>
          <t>苏秦味馆</t>
        </is>
      </c>
      <c r="J283" s="540" t="inlineStr">
        <is>
          <t>胡朝阳</t>
        </is>
      </c>
    </row>
    <row r="284">
      <c r="A284" s="540" t="n">
        <v>327</v>
      </c>
      <c r="B284" s="540" t="inlineStr">
        <is>
          <t>KQCY0327</t>
        </is>
      </c>
      <c r="C284" s="540" t="inlineStr">
        <is>
          <t>餐饮五分部</t>
        </is>
      </c>
      <c r="D284" s="540" t="inlineStr">
        <is>
          <t>CF102</t>
        </is>
      </c>
      <c r="E284" s="540" t="inlineStr">
        <is>
          <t>苏大东区四食堂</t>
        </is>
      </c>
      <c r="F284" s="540" t="inlineStr">
        <is>
          <t>分组作业</t>
        </is>
      </c>
      <c r="G284" s="540" t="inlineStr">
        <is>
          <t>卫屹</t>
        </is>
      </c>
      <c r="H284" s="540" t="inlineStr">
        <is>
          <t>/</t>
        </is>
      </c>
      <c r="I284" s="540" t="inlineStr">
        <is>
          <t>麻辣香锅</t>
        </is>
      </c>
      <c r="J284" s="540" t="inlineStr">
        <is>
          <t>祁从忙</t>
        </is>
      </c>
    </row>
    <row r="285">
      <c r="A285" s="540" t="n">
        <v>328</v>
      </c>
      <c r="B285" s="540" t="inlineStr">
        <is>
          <t>KQCY0328</t>
        </is>
      </c>
      <c r="C285" s="540" t="inlineStr">
        <is>
          <t>餐饮五分部</t>
        </is>
      </c>
      <c r="D285" s="540" t="inlineStr">
        <is>
          <t>CF102</t>
        </is>
      </c>
      <c r="E285" s="540" t="inlineStr">
        <is>
          <t>苏大东区四食堂</t>
        </is>
      </c>
      <c r="F285" s="540" t="inlineStr">
        <is>
          <t>分组作业</t>
        </is>
      </c>
      <c r="G285" s="540" t="inlineStr">
        <is>
          <t>卫屹</t>
        </is>
      </c>
      <c r="H285" s="540" t="inlineStr">
        <is>
          <t>/</t>
        </is>
      </c>
      <c r="I285" s="540" t="inlineStr">
        <is>
          <t>奉天朱家小馆</t>
        </is>
      </c>
      <c r="J285" s="540" t="inlineStr">
        <is>
          <t>闫闪闪</t>
        </is>
      </c>
    </row>
    <row r="286">
      <c r="A286" s="540" t="n">
        <v>329</v>
      </c>
      <c r="B286" s="540" t="inlineStr">
        <is>
          <t>KQCY0329</t>
        </is>
      </c>
      <c r="C286" s="540" t="inlineStr">
        <is>
          <t>餐饮五分部</t>
        </is>
      </c>
      <c r="D286" s="540" t="inlineStr">
        <is>
          <t>CF102</t>
        </is>
      </c>
      <c r="E286" s="540" t="inlineStr">
        <is>
          <t>苏大东区四食堂</t>
        </is>
      </c>
      <c r="F286" s="540" t="inlineStr">
        <is>
          <t>分组作业</t>
        </is>
      </c>
      <c r="G286" s="540" t="inlineStr">
        <is>
          <t>卫屹</t>
        </is>
      </c>
      <c r="H286" s="540" t="inlineStr">
        <is>
          <t>/</t>
        </is>
      </c>
      <c r="I286" s="540" t="inlineStr">
        <is>
          <t>李左奚香港肥汁米线</t>
        </is>
      </c>
      <c r="J286" s="540" t="inlineStr">
        <is>
          <t>杨伟明</t>
        </is>
      </c>
    </row>
    <row r="287">
      <c r="A287" s="540" t="n">
        <v>330</v>
      </c>
      <c r="B287" s="540" t="inlineStr">
        <is>
          <t>KQCY0330</t>
        </is>
      </c>
      <c r="C287" s="540" t="inlineStr">
        <is>
          <t>餐饮五分部</t>
        </is>
      </c>
      <c r="D287" s="540" t="inlineStr">
        <is>
          <t>CF102</t>
        </is>
      </c>
      <c r="E287" s="540" t="inlineStr">
        <is>
          <t>苏大东区四食堂</t>
        </is>
      </c>
      <c r="F287" s="540" t="inlineStr">
        <is>
          <t>分组作业</t>
        </is>
      </c>
      <c r="G287" s="540" t="inlineStr">
        <is>
          <t>卫屹</t>
        </is>
      </c>
      <c r="H287" s="540" t="inlineStr">
        <is>
          <t>/</t>
        </is>
      </c>
      <c r="I287" s="540" t="inlineStr">
        <is>
          <t>好粥道(卤味套餐饭)</t>
        </is>
      </c>
      <c r="J287" s="540" t="inlineStr">
        <is>
          <t>朱德国</t>
        </is>
      </c>
    </row>
    <row r="288">
      <c r="A288" s="540" t="n">
        <v>331</v>
      </c>
      <c r="B288" s="540" t="inlineStr">
        <is>
          <t>KQCY0331</t>
        </is>
      </c>
      <c r="C288" s="540" t="inlineStr">
        <is>
          <t>餐饮五分部</t>
        </is>
      </c>
      <c r="D288" s="540" t="inlineStr">
        <is>
          <t>CF102</t>
        </is>
      </c>
      <c r="E288" s="540" t="inlineStr">
        <is>
          <t>苏大东区四食堂</t>
        </is>
      </c>
      <c r="F288" s="540" t="inlineStr">
        <is>
          <t>分组作业</t>
        </is>
      </c>
      <c r="G288" s="540" t="inlineStr">
        <is>
          <t>卫屹</t>
        </is>
      </c>
      <c r="H288" s="540" t="inlineStr">
        <is>
          <t>/</t>
        </is>
      </c>
      <c r="I288" s="540" t="inlineStr">
        <is>
          <t>炒饭.炖罐</t>
        </is>
      </c>
      <c r="J288" s="540" t="inlineStr">
        <is>
          <t>朱少谦</t>
        </is>
      </c>
    </row>
    <row r="289">
      <c r="A289" s="540" t="n">
        <v>332</v>
      </c>
      <c r="B289" s="540" t="inlineStr">
        <is>
          <t>KQCY0332</t>
        </is>
      </c>
      <c r="C289" s="540" t="inlineStr">
        <is>
          <t>餐饮五分部</t>
        </is>
      </c>
      <c r="D289" s="540" t="inlineStr">
        <is>
          <t>CF102</t>
        </is>
      </c>
      <c r="E289" s="540" t="inlineStr">
        <is>
          <t>苏大东区四食堂</t>
        </is>
      </c>
      <c r="F289" s="540" t="inlineStr">
        <is>
          <t>分组作业</t>
        </is>
      </c>
      <c r="G289" s="540" t="inlineStr">
        <is>
          <t>卫屹</t>
        </is>
      </c>
      <c r="H289" s="540" t="inlineStr">
        <is>
          <t>/</t>
        </is>
      </c>
      <c r="I289" s="540" t="inlineStr">
        <is>
          <t>七里糖</t>
        </is>
      </c>
      <c r="J289" s="540" t="inlineStr">
        <is>
          <t>任浩龙</t>
        </is>
      </c>
    </row>
    <row r="290">
      <c r="A290" s="540" t="n">
        <v>333</v>
      </c>
      <c r="B290" s="540" t="inlineStr">
        <is>
          <t>KQCY0333</t>
        </is>
      </c>
      <c r="C290" s="540" t="inlineStr">
        <is>
          <t>餐饮五分部</t>
        </is>
      </c>
      <c r="D290" s="540" t="inlineStr">
        <is>
          <t>CF102</t>
        </is>
      </c>
      <c r="E290" s="540" t="inlineStr">
        <is>
          <t>苏大东区四食堂</t>
        </is>
      </c>
      <c r="F290" s="540" t="inlineStr">
        <is>
          <t>分组作业</t>
        </is>
      </c>
      <c r="G290" s="540" t="inlineStr">
        <is>
          <t>卫屹</t>
        </is>
      </c>
      <c r="H290" s="540" t="inlineStr">
        <is>
          <t>/</t>
        </is>
      </c>
      <c r="I290" s="540" t="inlineStr">
        <is>
          <t>港式云吞</t>
        </is>
      </c>
      <c r="J290" s="540" t="inlineStr">
        <is>
          <t>杨华建</t>
        </is>
      </c>
    </row>
    <row r="291">
      <c r="A291" s="540" t="n">
        <v>334</v>
      </c>
      <c r="B291" s="540" t="inlineStr">
        <is>
          <t>KQCY0334</t>
        </is>
      </c>
      <c r="C291" s="540" t="inlineStr">
        <is>
          <t>餐饮五分部</t>
        </is>
      </c>
      <c r="D291" s="540" t="inlineStr">
        <is>
          <t>CF102</t>
        </is>
      </c>
      <c r="E291" s="540" t="inlineStr">
        <is>
          <t>苏大东区四食堂</t>
        </is>
      </c>
      <c r="F291" s="540" t="inlineStr">
        <is>
          <t>分组作业</t>
        </is>
      </c>
      <c r="G291" s="540" t="inlineStr">
        <is>
          <t>卫屹</t>
        </is>
      </c>
      <c r="H291" s="540" t="inlineStr">
        <is>
          <t>/</t>
        </is>
      </c>
      <c r="I291" s="540" t="inlineStr">
        <is>
          <t>烤肉拌饭</t>
        </is>
      </c>
      <c r="J291" s="540" t="inlineStr">
        <is>
          <t>李红利</t>
        </is>
      </c>
    </row>
    <row r="292">
      <c r="A292" s="540" t="n">
        <v>336</v>
      </c>
      <c r="B292" s="540" t="inlineStr">
        <is>
          <t>KQCY0336</t>
        </is>
      </c>
      <c r="C292" s="540" t="inlineStr">
        <is>
          <t>餐饮五分部</t>
        </is>
      </c>
      <c r="D292" s="540" t="inlineStr">
        <is>
          <t>CF108</t>
        </is>
      </c>
      <c r="E292" s="540" t="inlineStr">
        <is>
          <t>苏大北区六食堂</t>
        </is>
      </c>
      <c r="F292" s="540" t="inlineStr">
        <is>
          <t>分组作业</t>
        </is>
      </c>
      <c r="G292" s="540" t="inlineStr">
        <is>
          <t>卫屹</t>
        </is>
      </c>
      <c r="H292" s="540" t="inlineStr">
        <is>
          <t>/</t>
        </is>
      </c>
      <c r="I292" s="540" t="inlineStr">
        <is>
          <t>快餐</t>
        </is>
      </c>
      <c r="J292" s="540" t="inlineStr">
        <is>
          <t>刘立强</t>
        </is>
      </c>
    </row>
    <row r="293">
      <c r="A293" s="540" t="n">
        <v>337</v>
      </c>
      <c r="B293" s="540" t="inlineStr">
        <is>
          <t>KQCY0337</t>
        </is>
      </c>
      <c r="C293" s="540" t="inlineStr">
        <is>
          <t>餐饮五分部</t>
        </is>
      </c>
      <c r="D293" s="540" t="inlineStr">
        <is>
          <t>CF108</t>
        </is>
      </c>
      <c r="E293" s="540" t="inlineStr">
        <is>
          <t>苏大北区六食堂</t>
        </is>
      </c>
      <c r="F293" s="540" t="inlineStr">
        <is>
          <t>分组作业</t>
        </is>
      </c>
      <c r="G293" s="540" t="inlineStr">
        <is>
          <t>卫屹</t>
        </is>
      </c>
      <c r="H293" s="540" t="inlineStr">
        <is>
          <t>/</t>
        </is>
      </c>
      <c r="I293" s="540" t="inlineStr">
        <is>
          <t>香锅</t>
        </is>
      </c>
      <c r="J293" s="540" t="inlineStr">
        <is>
          <t>吕金春</t>
        </is>
      </c>
    </row>
    <row r="294">
      <c r="A294" s="540" t="n">
        <v>338</v>
      </c>
      <c r="B294" s="540" t="inlineStr">
        <is>
          <t>KQCY0338</t>
        </is>
      </c>
      <c r="C294" s="540" t="inlineStr">
        <is>
          <t>餐饮五分部</t>
        </is>
      </c>
      <c r="D294" s="540" t="inlineStr">
        <is>
          <t>CF108</t>
        </is>
      </c>
      <c r="E294" s="540" t="inlineStr">
        <is>
          <t>苏大北区六食堂</t>
        </is>
      </c>
      <c r="F294" s="540" t="inlineStr">
        <is>
          <t>分组作业</t>
        </is>
      </c>
      <c r="G294" s="540" t="inlineStr">
        <is>
          <t>卫屹</t>
        </is>
      </c>
      <c r="H294" s="540" t="inlineStr">
        <is>
          <t>/</t>
        </is>
      </c>
      <c r="I294" s="540" t="inlineStr">
        <is>
          <t>黄焖鸡</t>
        </is>
      </c>
      <c r="J294" s="540" t="inlineStr">
        <is>
          <t>许可</t>
        </is>
      </c>
    </row>
    <row r="295">
      <c r="A295" s="540" t="n">
        <v>339</v>
      </c>
      <c r="B295" s="540" t="inlineStr">
        <is>
          <t>KQCY0339</t>
        </is>
      </c>
      <c r="C295" s="540" t="inlineStr">
        <is>
          <t>餐饮五分部</t>
        </is>
      </c>
      <c r="D295" s="540" t="inlineStr">
        <is>
          <t>CF108</t>
        </is>
      </c>
      <c r="E295" s="540" t="inlineStr">
        <is>
          <t>苏大北区六食堂</t>
        </is>
      </c>
      <c r="F295" s="540" t="inlineStr">
        <is>
          <t>分组作业</t>
        </is>
      </c>
      <c r="G295" s="540" t="inlineStr">
        <is>
          <t>卫屹</t>
        </is>
      </c>
      <c r="H295" s="540" t="inlineStr">
        <is>
          <t>/</t>
        </is>
      </c>
      <c r="I295" s="540" t="inlineStr">
        <is>
          <t>千里香</t>
        </is>
      </c>
      <c r="J295" s="540" t="inlineStr">
        <is>
          <t>刘立强</t>
        </is>
      </c>
    </row>
    <row r="296">
      <c r="A296" s="540" t="n">
        <v>340</v>
      </c>
      <c r="B296" s="540" t="inlineStr">
        <is>
          <t>KQCY0340</t>
        </is>
      </c>
      <c r="C296" s="540" t="inlineStr">
        <is>
          <t>餐饮五分部</t>
        </is>
      </c>
      <c r="D296" s="540" t="inlineStr">
        <is>
          <t>CF108</t>
        </is>
      </c>
      <c r="E296" s="540" t="inlineStr">
        <is>
          <t>苏大北区六食堂</t>
        </is>
      </c>
      <c r="F296" s="540" t="inlineStr">
        <is>
          <t>分组作业</t>
        </is>
      </c>
      <c r="G296" s="540" t="inlineStr">
        <is>
          <t>卫屹</t>
        </is>
      </c>
      <c r="H296" s="540" t="inlineStr">
        <is>
          <t>/</t>
        </is>
      </c>
      <c r="I296" s="540" t="inlineStr">
        <is>
          <t>拌面</t>
        </is>
      </c>
      <c r="J296" s="540" t="inlineStr">
        <is>
          <t>龚文涛</t>
        </is>
      </c>
    </row>
    <row r="297">
      <c r="A297" s="540" t="n">
        <v>341</v>
      </c>
      <c r="B297" s="540" t="inlineStr">
        <is>
          <t>KQCY0341</t>
        </is>
      </c>
      <c r="C297" s="540" t="inlineStr">
        <is>
          <t>餐饮五分部</t>
        </is>
      </c>
      <c r="D297" s="540" t="inlineStr">
        <is>
          <t>CF108</t>
        </is>
      </c>
      <c r="E297" s="540" t="inlineStr">
        <is>
          <t>苏大北区六食堂</t>
        </is>
      </c>
      <c r="F297" s="540" t="inlineStr">
        <is>
          <t>分组作业</t>
        </is>
      </c>
      <c r="G297" s="540" t="inlineStr">
        <is>
          <t>卫屹</t>
        </is>
      </c>
      <c r="H297" s="540" t="inlineStr">
        <is>
          <t>/</t>
        </is>
      </c>
      <c r="I297" s="540" t="inlineStr">
        <is>
          <t>煎饼</t>
        </is>
      </c>
      <c r="J297" s="540" t="inlineStr">
        <is>
          <t>李秀德</t>
        </is>
      </c>
    </row>
    <row r="298">
      <c r="A298" s="540" t="n">
        <v>342</v>
      </c>
      <c r="B298" s="540" t="inlineStr">
        <is>
          <t>KQCY0342</t>
        </is>
      </c>
      <c r="C298" s="540" t="inlineStr">
        <is>
          <t>餐饮五分部</t>
        </is>
      </c>
      <c r="D298" s="540" t="inlineStr">
        <is>
          <t>CF108</t>
        </is>
      </c>
      <c r="E298" s="540" t="inlineStr">
        <is>
          <t>苏大北区六食堂</t>
        </is>
      </c>
      <c r="F298" s="540" t="inlineStr">
        <is>
          <t>分组作业</t>
        </is>
      </c>
      <c r="G298" s="540" t="inlineStr">
        <is>
          <t>卫屹</t>
        </is>
      </c>
      <c r="H298" s="540" t="inlineStr">
        <is>
          <t>/</t>
        </is>
      </c>
      <c r="I298" s="540" t="inlineStr">
        <is>
          <t>汉堡</t>
        </is>
      </c>
      <c r="J298" s="540" t="inlineStr">
        <is>
          <t>吴梦醒</t>
        </is>
      </c>
    </row>
    <row r="299">
      <c r="A299" s="540" t="n">
        <v>344</v>
      </c>
      <c r="B299" s="540" t="inlineStr">
        <is>
          <t>KQCY0344</t>
        </is>
      </c>
      <c r="C299" s="540" t="inlineStr">
        <is>
          <t>餐饮五分部</t>
        </is>
      </c>
      <c r="D299" s="540" t="inlineStr">
        <is>
          <t>CF107</t>
        </is>
      </c>
      <c r="E299" s="540" t="inlineStr">
        <is>
          <t>苏大东区教工食堂</t>
        </is>
      </c>
      <c r="F299" s="540" t="inlineStr">
        <is>
          <t>人员服务外包</t>
        </is>
      </c>
      <c r="G299" s="540" t="inlineStr">
        <is>
          <t>卫屹</t>
        </is>
      </c>
      <c r="H299" s="540" t="inlineStr">
        <is>
          <t>/</t>
        </is>
      </c>
      <c r="I299" s="540" t="inlineStr">
        <is>
          <t>/</t>
        </is>
      </c>
      <c r="J299" s="540" t="inlineStr">
        <is>
          <t>/</t>
        </is>
      </c>
    </row>
    <row r="300">
      <c r="A300" s="540" t="n">
        <v>346</v>
      </c>
      <c r="B300" s="540" t="inlineStr">
        <is>
          <t>KQCY0346</t>
        </is>
      </c>
      <c r="C300" s="540" t="inlineStr">
        <is>
          <t>餐饮五分部</t>
        </is>
      </c>
      <c r="D300" s="540" t="inlineStr">
        <is>
          <t>CF120</t>
        </is>
      </c>
      <c r="E300" s="540" t="inlineStr">
        <is>
          <t>苏大独墅湖一食堂</t>
        </is>
      </c>
      <c r="F300" s="540" t="inlineStr">
        <is>
          <t>强责</t>
        </is>
      </c>
      <c r="G300" s="540" t="inlineStr">
        <is>
          <t>徐敏娟</t>
        </is>
      </c>
      <c r="H300" s="540" t="inlineStr">
        <is>
          <t>/</t>
        </is>
      </c>
      <c r="I300" s="540" t="inlineStr">
        <is>
          <t>麻辣香锅</t>
        </is>
      </c>
      <c r="J300" s="540" t="inlineStr">
        <is>
          <t>周文影</t>
        </is>
      </c>
    </row>
    <row r="301">
      <c r="A301" s="540" t="n">
        <v>347</v>
      </c>
      <c r="B301" s="540" t="inlineStr">
        <is>
          <t>KQCY0347</t>
        </is>
      </c>
      <c r="C301" s="540" t="inlineStr">
        <is>
          <t>餐饮五分部</t>
        </is>
      </c>
      <c r="D301" s="540" t="inlineStr">
        <is>
          <t>CF120</t>
        </is>
      </c>
      <c r="E301" s="540" t="inlineStr">
        <is>
          <t>苏大独墅湖一食堂</t>
        </is>
      </c>
      <c r="F301" s="540" t="inlineStr">
        <is>
          <t>强责</t>
        </is>
      </c>
      <c r="G301" s="540" t="inlineStr">
        <is>
          <t>徐敏娟</t>
        </is>
      </c>
      <c r="H301" s="540" t="inlineStr">
        <is>
          <t>/</t>
        </is>
      </c>
      <c r="I301" s="540" t="inlineStr">
        <is>
          <t>板煮</t>
        </is>
      </c>
      <c r="J301" s="540" t="inlineStr">
        <is>
          <t>郁亚勇</t>
        </is>
      </c>
    </row>
    <row r="302">
      <c r="A302" s="540" t="n">
        <v>349</v>
      </c>
      <c r="B302" s="540" t="inlineStr">
        <is>
          <t>KQCY0349</t>
        </is>
      </c>
      <c r="C302" s="540" t="inlineStr">
        <is>
          <t>餐饮五分部</t>
        </is>
      </c>
      <c r="D302" s="540" t="inlineStr">
        <is>
          <t>CF121</t>
        </is>
      </c>
      <c r="E302" s="540" t="inlineStr">
        <is>
          <t>苏大独墅湖六食堂</t>
        </is>
      </c>
      <c r="F302" s="540" t="inlineStr">
        <is>
          <t>强责</t>
        </is>
      </c>
      <c r="G302" s="540" t="inlineStr">
        <is>
          <t>徐敏娟</t>
        </is>
      </c>
      <c r="H302" s="540" t="inlineStr">
        <is>
          <t>/</t>
        </is>
      </c>
      <c r="I302" s="540" t="inlineStr">
        <is>
          <t>青海拉面</t>
        </is>
      </c>
      <c r="J302" s="540" t="inlineStr">
        <is>
          <t>韩应努四</t>
        </is>
      </c>
    </row>
    <row r="303">
      <c r="A303" s="540" t="n">
        <v>351</v>
      </c>
      <c r="B303" s="540" t="inlineStr">
        <is>
          <t>KQCY0351</t>
        </is>
      </c>
      <c r="C303" s="540" t="inlineStr">
        <is>
          <t>餐饮五分部</t>
        </is>
      </c>
      <c r="D303" s="540" t="inlineStr">
        <is>
          <t>CF121</t>
        </is>
      </c>
      <c r="E303" s="540" t="inlineStr">
        <is>
          <t>苏大独墅湖二食堂</t>
        </is>
      </c>
      <c r="F303" s="540" t="inlineStr">
        <is>
          <t>强责</t>
        </is>
      </c>
      <c r="G303" s="540" t="inlineStr">
        <is>
          <t>徐敏娟</t>
        </is>
      </c>
      <c r="H303" s="540" t="inlineStr">
        <is>
          <t>/</t>
        </is>
      </c>
      <c r="I303" s="540" t="inlineStr">
        <is>
          <t>手工水饺(山东煎饼)</t>
        </is>
      </c>
      <c r="J303" s="540" t="inlineStr">
        <is>
          <t>李俊</t>
        </is>
      </c>
    </row>
    <row r="304">
      <c r="A304" s="540" t="n">
        <v>352</v>
      </c>
      <c r="B304" s="540" t="inlineStr">
        <is>
          <t>KQCY0352</t>
        </is>
      </c>
      <c r="C304" s="540" t="inlineStr">
        <is>
          <t>餐饮五分部</t>
        </is>
      </c>
      <c r="D304" s="540" t="inlineStr">
        <is>
          <t>CF121</t>
        </is>
      </c>
      <c r="E304" s="540" t="inlineStr">
        <is>
          <t>苏大独墅湖二食堂</t>
        </is>
      </c>
      <c r="F304" s="540" t="inlineStr">
        <is>
          <t>强责</t>
        </is>
      </c>
      <c r="G304" s="540" t="inlineStr">
        <is>
          <t>徐敏娟</t>
        </is>
      </c>
      <c r="H304" s="540" t="inlineStr">
        <is>
          <t>/</t>
        </is>
      </c>
      <c r="I304" s="540" t="inlineStr">
        <is>
          <t>苏式汤面</t>
        </is>
      </c>
      <c r="J304" s="540" t="inlineStr">
        <is>
          <t>孙建平</t>
        </is>
      </c>
    </row>
    <row r="305">
      <c r="A305" s="540" t="n">
        <v>353</v>
      </c>
      <c r="B305" s="540" t="inlineStr">
        <is>
          <t>KQCY0353</t>
        </is>
      </c>
      <c r="C305" s="540" t="inlineStr">
        <is>
          <t>餐饮五分部</t>
        </is>
      </c>
      <c r="D305" s="540" t="inlineStr">
        <is>
          <t>CF121</t>
        </is>
      </c>
      <c r="E305" s="540" t="inlineStr">
        <is>
          <t>苏大独墅湖二食堂</t>
        </is>
      </c>
      <c r="F305" s="540" t="inlineStr">
        <is>
          <t>强责</t>
        </is>
      </c>
      <c r="G305" s="540" t="inlineStr">
        <is>
          <t>徐敏娟</t>
        </is>
      </c>
      <c r="H305" s="540" t="inlineStr">
        <is>
          <t>/</t>
        </is>
      </c>
      <c r="I305" s="540" t="inlineStr">
        <is>
          <t>烤盘饭</t>
        </is>
      </c>
      <c r="J305" s="540" t="inlineStr">
        <is>
          <t>梁宇</t>
        </is>
      </c>
    </row>
    <row r="306">
      <c r="A306" s="540" t="n">
        <v>355</v>
      </c>
      <c r="B306" s="540" t="inlineStr">
        <is>
          <t>KQCY0355</t>
        </is>
      </c>
      <c r="C306" s="540" t="inlineStr">
        <is>
          <t>餐饮五分部</t>
        </is>
      </c>
      <c r="D306" s="540" t="inlineStr">
        <is>
          <t>CF134</t>
        </is>
      </c>
      <c r="E306" s="540" t="inlineStr">
        <is>
          <t>苏大独墅湖五食堂</t>
        </is>
      </c>
      <c r="F306" s="540" t="inlineStr">
        <is>
          <t>分组作业</t>
        </is>
      </c>
      <c r="G306" s="540" t="inlineStr">
        <is>
          <t>徐敏娟</t>
        </is>
      </c>
      <c r="H306" s="540" t="inlineStr">
        <is>
          <t>/</t>
        </is>
      </c>
      <c r="I306" s="540" t="inlineStr">
        <is>
          <t>快餐</t>
        </is>
      </c>
      <c r="J306" s="540" t="inlineStr">
        <is>
          <t>赵广伟</t>
        </is>
      </c>
    </row>
    <row r="307">
      <c r="A307" s="540" t="n">
        <v>356</v>
      </c>
      <c r="B307" s="540" t="inlineStr">
        <is>
          <t>KQCY0356</t>
        </is>
      </c>
      <c r="C307" s="540" t="inlineStr">
        <is>
          <t>餐饮五分部</t>
        </is>
      </c>
      <c r="D307" s="540" t="inlineStr">
        <is>
          <t>CF134</t>
        </is>
      </c>
      <c r="E307" s="540" t="inlineStr">
        <is>
          <t>苏大独墅湖五食堂</t>
        </is>
      </c>
      <c r="F307" s="540" t="inlineStr">
        <is>
          <t>分组作业</t>
        </is>
      </c>
      <c r="G307" s="540" t="inlineStr">
        <is>
          <t>徐敏娟</t>
        </is>
      </c>
      <c r="H307" s="540" t="inlineStr">
        <is>
          <t>/</t>
        </is>
      </c>
      <c r="I307" s="540" t="inlineStr">
        <is>
          <t>生烫牛肉米线</t>
        </is>
      </c>
      <c r="J307" s="540" t="inlineStr">
        <is>
          <t>胡振强</t>
        </is>
      </c>
    </row>
    <row r="308">
      <c r="A308" s="540" t="n">
        <v>357</v>
      </c>
      <c r="B308" s="540" t="inlineStr">
        <is>
          <t>KQCY0357</t>
        </is>
      </c>
      <c r="C308" s="540" t="inlineStr">
        <is>
          <t>餐饮五分部</t>
        </is>
      </c>
      <c r="D308" s="540" t="inlineStr">
        <is>
          <t>CF134</t>
        </is>
      </c>
      <c r="E308" s="540" t="inlineStr">
        <is>
          <t>苏大独墅湖五食堂</t>
        </is>
      </c>
      <c r="F308" s="540" t="inlineStr">
        <is>
          <t>分组作业</t>
        </is>
      </c>
      <c r="G308" s="540" t="inlineStr">
        <is>
          <t>徐敏娟</t>
        </is>
      </c>
      <c r="H308" s="540" t="inlineStr">
        <is>
          <t>/</t>
        </is>
      </c>
      <c r="I308" s="540" t="inlineStr">
        <is>
          <t>旋转小火锅</t>
        </is>
      </c>
      <c r="J308" s="540" t="inlineStr">
        <is>
          <t>段姗姗</t>
        </is>
      </c>
    </row>
    <row r="309">
      <c r="A309" s="540" t="n">
        <v>358</v>
      </c>
      <c r="B309" s="540" t="inlineStr">
        <is>
          <t>KQCY0358</t>
        </is>
      </c>
      <c r="C309" s="540" t="inlineStr">
        <is>
          <t>餐饮五分部</t>
        </is>
      </c>
      <c r="D309" s="540" t="inlineStr">
        <is>
          <t>CF134</t>
        </is>
      </c>
      <c r="E309" s="540" t="inlineStr">
        <is>
          <t>苏大独墅湖五食堂</t>
        </is>
      </c>
      <c r="F309" s="540" t="inlineStr">
        <is>
          <t>分组作业</t>
        </is>
      </c>
      <c r="G309" s="540" t="inlineStr">
        <is>
          <t>徐敏娟</t>
        </is>
      </c>
      <c r="H309" s="540" t="inlineStr">
        <is>
          <t>/</t>
        </is>
      </c>
      <c r="I309" s="540" t="inlineStr">
        <is>
          <t>巴比馒头</t>
        </is>
      </c>
      <c r="J309" s="540" t="inlineStr">
        <is>
          <t>赵玉磊</t>
        </is>
      </c>
    </row>
    <row r="310">
      <c r="A310" s="540" t="n">
        <v>359</v>
      </c>
      <c r="B310" s="540" t="inlineStr">
        <is>
          <t>KQCY0359</t>
        </is>
      </c>
      <c r="C310" s="540" t="inlineStr">
        <is>
          <t>餐饮五分部</t>
        </is>
      </c>
      <c r="D310" s="540" t="inlineStr">
        <is>
          <t>CF134</t>
        </is>
      </c>
      <c r="E310" s="540" t="inlineStr">
        <is>
          <t>苏大独墅湖五食堂</t>
        </is>
      </c>
      <c r="F310" s="540" t="inlineStr">
        <is>
          <t>分组作业</t>
        </is>
      </c>
      <c r="G310" s="540" t="inlineStr">
        <is>
          <t>徐敏娟</t>
        </is>
      </c>
      <c r="H310" s="540" t="inlineStr">
        <is>
          <t>/</t>
        </is>
      </c>
      <c r="I310" s="540" t="inlineStr">
        <is>
          <t>北京烤鸭</t>
        </is>
      </c>
      <c r="J310" s="540" t="inlineStr">
        <is>
          <t>韩少卫</t>
        </is>
      </c>
    </row>
    <row r="311">
      <c r="A311" s="540" t="n">
        <v>360</v>
      </c>
      <c r="B311" s="540" t="inlineStr">
        <is>
          <t>KQCY0360</t>
        </is>
      </c>
      <c r="C311" s="540" t="inlineStr">
        <is>
          <t>餐饮五分部</t>
        </is>
      </c>
      <c r="D311" s="540" t="inlineStr">
        <is>
          <t>CF134</t>
        </is>
      </c>
      <c r="E311" s="540" t="inlineStr">
        <is>
          <t>苏大独墅湖五食堂</t>
        </is>
      </c>
      <c r="F311" s="540" t="inlineStr">
        <is>
          <t>分组作业</t>
        </is>
      </c>
      <c r="G311" s="540" t="inlineStr">
        <is>
          <t>徐敏娟</t>
        </is>
      </c>
      <c r="H311" s="540" t="inlineStr">
        <is>
          <t>/</t>
        </is>
      </c>
      <c r="I311" s="540" t="inlineStr">
        <is>
          <t>山东炒鸡</t>
        </is>
      </c>
      <c r="J311" s="540" t="inlineStr">
        <is>
          <t>马明华</t>
        </is>
      </c>
    </row>
    <row r="312">
      <c r="A312" s="540" t="n">
        <v>361</v>
      </c>
      <c r="B312" s="540" t="inlineStr">
        <is>
          <t>KQCY0361</t>
        </is>
      </c>
      <c r="C312" s="540" t="inlineStr">
        <is>
          <t>餐饮五分部</t>
        </is>
      </c>
      <c r="D312" s="540" t="inlineStr">
        <is>
          <t>CF134</t>
        </is>
      </c>
      <c r="E312" s="540" t="inlineStr">
        <is>
          <t>苏大独墅湖五食堂</t>
        </is>
      </c>
      <c r="F312" s="540" t="inlineStr">
        <is>
          <t>分组作业</t>
        </is>
      </c>
      <c r="G312" s="540" t="inlineStr">
        <is>
          <t>徐敏娟</t>
        </is>
      </c>
      <c r="H312" s="540" t="inlineStr">
        <is>
          <t>/</t>
        </is>
      </c>
      <c r="I312" s="540" t="inlineStr">
        <is>
          <t>拌饭(套餐饭)</t>
        </is>
      </c>
      <c r="J312" s="540" t="inlineStr">
        <is>
          <t>刘兆安</t>
        </is>
      </c>
    </row>
    <row r="313">
      <c r="A313" s="540" t="n">
        <v>362</v>
      </c>
      <c r="B313" s="540" t="inlineStr">
        <is>
          <t>KQCY0362</t>
        </is>
      </c>
      <c r="C313" s="540" t="inlineStr">
        <is>
          <t>餐饮五分部</t>
        </is>
      </c>
      <c r="D313" s="540" t="inlineStr">
        <is>
          <t>CF134</t>
        </is>
      </c>
      <c r="E313" s="540" t="inlineStr">
        <is>
          <t>苏大独墅湖五食堂</t>
        </is>
      </c>
      <c r="F313" s="540" t="inlineStr">
        <is>
          <t>分组作业</t>
        </is>
      </c>
      <c r="G313" s="540" t="inlineStr">
        <is>
          <t>徐敏娟</t>
        </is>
      </c>
      <c r="H313" s="540" t="inlineStr">
        <is>
          <t>/</t>
        </is>
      </c>
      <c r="I313" s="540" t="inlineStr">
        <is>
          <t>辣椒炒肉</t>
        </is>
      </c>
      <c r="J313" s="540" t="inlineStr">
        <is>
          <t>李美蓉</t>
        </is>
      </c>
    </row>
    <row r="314">
      <c r="A314" s="540" t="n">
        <v>363</v>
      </c>
      <c r="B314" s="540" t="inlineStr">
        <is>
          <t>KQCY0363</t>
        </is>
      </c>
      <c r="C314" s="540" t="inlineStr">
        <is>
          <t>餐饮五分部</t>
        </is>
      </c>
      <c r="D314" s="540" t="inlineStr">
        <is>
          <t>CF134</t>
        </is>
      </c>
      <c r="E314" s="540" t="inlineStr">
        <is>
          <t>苏大独墅湖五食堂</t>
        </is>
      </c>
      <c r="F314" s="540" t="inlineStr">
        <is>
          <t>分组作业</t>
        </is>
      </c>
      <c r="G314" s="540" t="inlineStr">
        <is>
          <t>徐敏娟</t>
        </is>
      </c>
      <c r="H314" s="540" t="inlineStr">
        <is>
          <t>/</t>
        </is>
      </c>
      <c r="I314" s="540" t="inlineStr">
        <is>
          <t>手工水饺</t>
        </is>
      </c>
      <c r="J314" s="540" t="inlineStr">
        <is>
          <t>王光芬</t>
        </is>
      </c>
    </row>
    <row r="315">
      <c r="A315" s="540" t="n">
        <v>364</v>
      </c>
      <c r="B315" s="540" t="inlineStr">
        <is>
          <t>KQCY0364</t>
        </is>
      </c>
      <c r="C315" s="540" t="inlineStr">
        <is>
          <t>餐饮五分部</t>
        </is>
      </c>
      <c r="D315" s="540" t="inlineStr">
        <is>
          <t>CF134</t>
        </is>
      </c>
      <c r="E315" s="540" t="inlineStr">
        <is>
          <t>苏大独墅湖五食堂</t>
        </is>
      </c>
      <c r="F315" s="540" t="inlineStr">
        <is>
          <t>分组作业</t>
        </is>
      </c>
      <c r="G315" s="540" t="inlineStr">
        <is>
          <t>徐敏娟</t>
        </is>
      </c>
      <c r="H315" s="540" t="inlineStr">
        <is>
          <t>/</t>
        </is>
      </c>
      <c r="I315" s="540" t="inlineStr">
        <is>
          <t>刀削面</t>
        </is>
      </c>
      <c r="J315" s="540" t="inlineStr">
        <is>
          <t>刘红东</t>
        </is>
      </c>
    </row>
    <row r="316">
      <c r="A316" s="540" t="n">
        <v>365</v>
      </c>
      <c r="B316" s="540" t="inlineStr">
        <is>
          <t>KQCY0365</t>
        </is>
      </c>
      <c r="C316" s="540" t="inlineStr">
        <is>
          <t>餐饮五分部</t>
        </is>
      </c>
      <c r="D316" s="540" t="inlineStr">
        <is>
          <t>CF134</t>
        </is>
      </c>
      <c r="E316" s="540" t="inlineStr">
        <is>
          <t>苏大独墅湖五食堂</t>
        </is>
      </c>
      <c r="F316" s="540" t="inlineStr">
        <is>
          <t>分组作业</t>
        </is>
      </c>
      <c r="G316" s="540" t="inlineStr">
        <is>
          <t>徐敏娟</t>
        </is>
      </c>
      <c r="H316" s="540" t="inlineStr">
        <is>
          <t>/</t>
        </is>
      </c>
      <c r="I316" s="540" t="inlineStr">
        <is>
          <t>奶茶、炸鸡</t>
        </is>
      </c>
      <c r="J316" s="540" t="inlineStr">
        <is>
          <t>张斌</t>
        </is>
      </c>
    </row>
    <row r="317">
      <c r="A317" s="540" t="n">
        <v>367</v>
      </c>
      <c r="B317" s="540" t="inlineStr">
        <is>
          <t>KQCY0367</t>
        </is>
      </c>
      <c r="C317" s="540" t="inlineStr">
        <is>
          <t>餐饮六分部</t>
        </is>
      </c>
      <c r="D317" s="540" t="inlineStr">
        <is>
          <t>CF293</t>
        </is>
      </c>
      <c r="E317" s="540" t="inlineStr">
        <is>
          <t>江苏二师石湫校区食堂</t>
        </is>
      </c>
      <c r="F317" s="540" t="inlineStr">
        <is>
          <t>分组作业</t>
        </is>
      </c>
      <c r="G317" s="540" t="inlineStr">
        <is>
          <t>徐敏娟</t>
        </is>
      </c>
      <c r="H317" s="540" t="inlineStr">
        <is>
          <t>第二班组</t>
        </is>
      </c>
      <c r="I317" s="540" t="inlineStr">
        <is>
          <t>水饺面条</t>
        </is>
      </c>
      <c r="J317" s="540" t="inlineStr">
        <is>
          <t>申亮</t>
        </is>
      </c>
    </row>
    <row r="318">
      <c r="A318" s="540" t="n">
        <v>368</v>
      </c>
      <c r="B318" s="540" t="inlineStr">
        <is>
          <t>KQCY0368</t>
        </is>
      </c>
      <c r="C318" s="540" t="inlineStr">
        <is>
          <t>餐饮六分部</t>
        </is>
      </c>
      <c r="D318" s="540" t="inlineStr">
        <is>
          <t>CF293</t>
        </is>
      </c>
      <c r="E318" s="540" t="inlineStr">
        <is>
          <t>江苏二师石湫校区食堂</t>
        </is>
      </c>
      <c r="F318" s="540" t="inlineStr">
        <is>
          <t>分组作业</t>
        </is>
      </c>
      <c r="G318" s="540" t="inlineStr">
        <is>
          <t>徐敏娟</t>
        </is>
      </c>
      <c r="H318" s="540" t="inlineStr">
        <is>
          <t>第三班组</t>
        </is>
      </c>
      <c r="I318" s="540" t="inlineStr">
        <is>
          <t>湘西小炒</t>
        </is>
      </c>
      <c r="J318" s="540" t="inlineStr">
        <is>
          <t>李帮</t>
        </is>
      </c>
    </row>
    <row r="319">
      <c r="A319" s="540" t="n">
        <v>369</v>
      </c>
      <c r="B319" s="540" t="inlineStr">
        <is>
          <t>KQCY0369</t>
        </is>
      </c>
      <c r="C319" s="540" t="inlineStr">
        <is>
          <t>餐饮六分部</t>
        </is>
      </c>
      <c r="D319" s="540" t="inlineStr">
        <is>
          <t>CF293</t>
        </is>
      </c>
      <c r="E319" s="540" t="inlineStr">
        <is>
          <t>江苏二师石湫校区食堂</t>
        </is>
      </c>
      <c r="F319" s="540" t="inlineStr">
        <is>
          <t>分组作业</t>
        </is>
      </c>
      <c r="G319" s="540" t="inlineStr">
        <is>
          <t>徐敏娟</t>
        </is>
      </c>
      <c r="H319" s="540" t="inlineStr">
        <is>
          <t>第七班组</t>
        </is>
      </c>
      <c r="I319" s="540" t="inlineStr">
        <is>
          <t>早餐</t>
        </is>
      </c>
      <c r="J319" s="540" t="inlineStr">
        <is>
          <t>李帮</t>
        </is>
      </c>
    </row>
    <row r="320">
      <c r="A320" s="540" t="n">
        <v>370</v>
      </c>
      <c r="B320" s="540" t="inlineStr">
        <is>
          <t>KQCY0370</t>
        </is>
      </c>
      <c r="C320" s="540" t="inlineStr">
        <is>
          <t>餐饮六分部</t>
        </is>
      </c>
      <c r="D320" s="540" t="inlineStr">
        <is>
          <t>CF293</t>
        </is>
      </c>
      <c r="E320" s="540" t="inlineStr">
        <is>
          <t>江苏二师石湫校区食堂</t>
        </is>
      </c>
      <c r="F320" s="540" t="inlineStr">
        <is>
          <t>分组作业</t>
        </is>
      </c>
      <c r="G320" s="540" t="inlineStr">
        <is>
          <t>徐敏娟</t>
        </is>
      </c>
      <c r="H320" s="540" t="inlineStr">
        <is>
          <t>第一班组</t>
        </is>
      </c>
      <c r="I320" s="540" t="inlineStr">
        <is>
          <t>营养粥(肠粉)</t>
        </is>
      </c>
      <c r="J320" s="540" t="inlineStr">
        <is>
          <t>申亮</t>
        </is>
      </c>
    </row>
    <row r="321">
      <c r="A321" s="540" t="n">
        <v>371</v>
      </c>
      <c r="B321" s="540" t="inlineStr">
        <is>
          <t>KQCY0371</t>
        </is>
      </c>
      <c r="C321" s="540" t="inlineStr">
        <is>
          <t>餐饮六分部</t>
        </is>
      </c>
      <c r="D321" s="540" t="inlineStr">
        <is>
          <t>CF293</t>
        </is>
      </c>
      <c r="E321" s="540" t="inlineStr">
        <is>
          <t>江苏二师石湫校区食堂</t>
        </is>
      </c>
      <c r="F321" s="540" t="inlineStr">
        <is>
          <t>分组作业</t>
        </is>
      </c>
      <c r="G321" s="540" t="inlineStr">
        <is>
          <t>徐敏娟</t>
        </is>
      </c>
      <c r="H321" s="540" t="inlineStr">
        <is>
          <t>第五班组</t>
        </is>
      </c>
      <c r="I321" s="540" t="inlineStr">
        <is>
          <t>米线</t>
        </is>
      </c>
      <c r="J321" s="540" t="inlineStr">
        <is>
          <t>汪芳</t>
        </is>
      </c>
    </row>
    <row r="322">
      <c r="A322" s="540" t="n">
        <v>372</v>
      </c>
      <c r="B322" s="540" t="inlineStr">
        <is>
          <t>KQCY0372</t>
        </is>
      </c>
      <c r="C322" s="540" t="inlineStr">
        <is>
          <t>餐饮六分部</t>
        </is>
      </c>
      <c r="D322" s="540" t="inlineStr">
        <is>
          <t>CF293</t>
        </is>
      </c>
      <c r="E322" s="540" t="inlineStr">
        <is>
          <t>江苏二师石湫校区食堂</t>
        </is>
      </c>
      <c r="F322" s="540" t="inlineStr">
        <is>
          <t>分组作业</t>
        </is>
      </c>
      <c r="G322" s="540" t="inlineStr">
        <is>
          <t>徐敏娟</t>
        </is>
      </c>
      <c r="H322" s="540" t="inlineStr">
        <is>
          <t>第六班组</t>
        </is>
      </c>
      <c r="I322" s="540" t="inlineStr">
        <is>
          <t>麻辣烫(麻辣拌)</t>
        </is>
      </c>
      <c r="J322" s="540" t="inlineStr">
        <is>
          <t>汪芳</t>
        </is>
      </c>
    </row>
    <row r="323">
      <c r="A323" s="540" t="n">
        <v>373</v>
      </c>
      <c r="B323" s="540" t="inlineStr">
        <is>
          <t>KQCY0373</t>
        </is>
      </c>
      <c r="C323" s="540" t="inlineStr">
        <is>
          <t>餐饮六分部</t>
        </is>
      </c>
      <c r="D323" s="540" t="inlineStr">
        <is>
          <t>CF293</t>
        </is>
      </c>
      <c r="E323" s="540" t="inlineStr">
        <is>
          <t>江苏二师石湫校区食堂</t>
        </is>
      </c>
      <c r="F323" s="540" t="inlineStr">
        <is>
          <t>分组作业</t>
        </is>
      </c>
      <c r="G323" s="540" t="inlineStr">
        <is>
          <t>徐敏娟</t>
        </is>
      </c>
      <c r="H323" s="540" t="inlineStr">
        <is>
          <t>第八班组</t>
        </is>
      </c>
      <c r="I323" s="540" t="inlineStr">
        <is>
          <t>炸鸡(汉堡)</t>
        </is>
      </c>
      <c r="J323" s="540" t="inlineStr">
        <is>
          <t>熊跳</t>
        </is>
      </c>
    </row>
    <row r="324">
      <c r="A324" s="540" t="n">
        <v>374</v>
      </c>
      <c r="B324" s="540" t="inlineStr">
        <is>
          <t>KQCY0374</t>
        </is>
      </c>
      <c r="C324" s="540" t="inlineStr">
        <is>
          <t>餐饮六分部</t>
        </is>
      </c>
      <c r="D324" s="540" t="inlineStr">
        <is>
          <t>CF293</t>
        </is>
      </c>
      <c r="E324" s="540" t="inlineStr">
        <is>
          <t>江苏二师石湫校区食堂</t>
        </is>
      </c>
      <c r="F324" s="540" t="inlineStr">
        <is>
          <t>分组作业</t>
        </is>
      </c>
      <c r="G324" s="540" t="inlineStr">
        <is>
          <t>徐敏娟</t>
        </is>
      </c>
      <c r="H324" s="540" t="inlineStr">
        <is>
          <t>第九班组</t>
        </is>
      </c>
      <c r="I324" s="540" t="inlineStr">
        <is>
          <t>七分甜</t>
        </is>
      </c>
      <c r="J324" s="540" t="inlineStr">
        <is>
          <t>熊跳</t>
        </is>
      </c>
    </row>
    <row r="325">
      <c r="A325" s="540" t="n">
        <v>375</v>
      </c>
      <c r="B325" s="540" t="inlineStr">
        <is>
          <t>KQCY0375</t>
        </is>
      </c>
      <c r="C325" s="540" t="inlineStr">
        <is>
          <t>餐饮六分部</t>
        </is>
      </c>
      <c r="D325" s="540" t="inlineStr">
        <is>
          <t>CF293</t>
        </is>
      </c>
      <c r="E325" s="540" t="inlineStr">
        <is>
          <t>江苏二师石湫校区食堂</t>
        </is>
      </c>
      <c r="F325" s="540" t="inlineStr">
        <is>
          <t>分组作业</t>
        </is>
      </c>
      <c r="G325" s="540" t="inlineStr">
        <is>
          <t>徐敏娟</t>
        </is>
      </c>
      <c r="H325" s="540" t="inlineStr">
        <is>
          <t>第四班组</t>
        </is>
      </c>
      <c r="I325" s="540" t="inlineStr">
        <is>
          <t>土豆泥拌饭</t>
        </is>
      </c>
      <c r="J325" s="540" t="inlineStr">
        <is>
          <t>端和伟</t>
        </is>
      </c>
    </row>
    <row r="326">
      <c r="A326" s="540" t="n">
        <v>377</v>
      </c>
      <c r="B326" s="540" t="inlineStr">
        <is>
          <t>KQCY0377</t>
        </is>
      </c>
      <c r="C326" s="540" t="inlineStr">
        <is>
          <t>餐饮六分部</t>
        </is>
      </c>
      <c r="D326" s="540" t="inlineStr">
        <is>
          <t>CF480</t>
        </is>
      </c>
      <c r="E326" s="540" t="inlineStr">
        <is>
          <t>江苏旅游学生食堂二楼</t>
        </is>
      </c>
      <c r="F326" s="540" t="inlineStr">
        <is>
          <t>分组作业</t>
        </is>
      </c>
      <c r="G326" s="540" t="inlineStr">
        <is>
          <t>徐敏娟</t>
        </is>
      </c>
      <c r="H326" s="540" t="inlineStr">
        <is>
          <t>/</t>
        </is>
      </c>
      <c r="I326" s="540" t="inlineStr">
        <is>
          <t>全福记热卤拌饭(牛肉汤)</t>
        </is>
      </c>
      <c r="J326" s="540" t="inlineStr">
        <is>
          <t>张文泉</t>
        </is>
      </c>
    </row>
    <row r="327">
      <c r="A327" s="540" t="n">
        <v>378</v>
      </c>
      <c r="B327" s="540" t="inlineStr">
        <is>
          <t>KQCY0378</t>
        </is>
      </c>
      <c r="C327" s="540" t="inlineStr">
        <is>
          <t>餐饮六分部</t>
        </is>
      </c>
      <c r="D327" s="540" t="inlineStr">
        <is>
          <t>CF480</t>
        </is>
      </c>
      <c r="E327" s="540" t="inlineStr">
        <is>
          <t>江苏旅游学生食堂二楼</t>
        </is>
      </c>
      <c r="F327" s="540" t="inlineStr">
        <is>
          <t>分组作业</t>
        </is>
      </c>
      <c r="G327" s="540" t="inlineStr">
        <is>
          <t>徐敏娟</t>
        </is>
      </c>
      <c r="H327" s="540" t="inlineStr">
        <is>
          <t>/</t>
        </is>
      </c>
      <c r="I327" s="540" t="inlineStr">
        <is>
          <t>盖浇饭(套餐饭)</t>
        </is>
      </c>
      <c r="J327" s="540" t="inlineStr">
        <is>
          <t>刘宝峰</t>
        </is>
      </c>
    </row>
    <row r="328">
      <c r="A328" s="540" t="n">
        <v>379</v>
      </c>
      <c r="B328" s="540" t="inlineStr">
        <is>
          <t>KQCY0379</t>
        </is>
      </c>
      <c r="C328" s="540" t="inlineStr">
        <is>
          <t>餐饮六分部</t>
        </is>
      </c>
      <c r="D328" s="540" t="inlineStr">
        <is>
          <t>CF480</t>
        </is>
      </c>
      <c r="E328" s="540" t="inlineStr">
        <is>
          <t>江苏旅游学生食堂二楼</t>
        </is>
      </c>
      <c r="F328" s="540" t="inlineStr">
        <is>
          <t>分组作业</t>
        </is>
      </c>
      <c r="G328" s="540" t="inlineStr">
        <is>
          <t>徐敏娟</t>
        </is>
      </c>
      <c r="H328" s="540" t="inlineStr">
        <is>
          <t>/</t>
        </is>
      </c>
      <c r="I328" s="540" t="inlineStr">
        <is>
          <t>煎饼(鸡蛋灌饼)</t>
        </is>
      </c>
      <c r="J328" s="540" t="inlineStr">
        <is>
          <t>李中怀</t>
        </is>
      </c>
    </row>
    <row r="329">
      <c r="A329" s="540" t="n">
        <v>380</v>
      </c>
      <c r="B329" s="540" t="inlineStr">
        <is>
          <t>KQCY0380</t>
        </is>
      </c>
      <c r="C329" s="540" t="inlineStr">
        <is>
          <t>餐饮六分部</t>
        </is>
      </c>
      <c r="D329" s="540" t="inlineStr">
        <is>
          <t>CF480</t>
        </is>
      </c>
      <c r="E329" s="540" t="inlineStr">
        <is>
          <t>江苏旅游学生食堂二楼</t>
        </is>
      </c>
      <c r="F329" s="540" t="inlineStr">
        <is>
          <t>分组作业</t>
        </is>
      </c>
      <c r="G329" s="540" t="inlineStr">
        <is>
          <t>徐敏娟</t>
        </is>
      </c>
      <c r="H329" s="540" t="inlineStr">
        <is>
          <t>/</t>
        </is>
      </c>
      <c r="I329" s="540" t="inlineStr">
        <is>
          <t>柒公主焖饭</t>
        </is>
      </c>
      <c r="J329" s="540" t="inlineStr">
        <is>
          <t>张月红</t>
        </is>
      </c>
    </row>
    <row r="330">
      <c r="A330" s="540" t="n">
        <v>381</v>
      </c>
      <c r="B330" s="540" t="inlineStr">
        <is>
          <t>KQCY0381</t>
        </is>
      </c>
      <c r="C330" s="540" t="inlineStr">
        <is>
          <t>餐饮六分部</t>
        </is>
      </c>
      <c r="D330" s="540" t="inlineStr">
        <is>
          <t>CF480</t>
        </is>
      </c>
      <c r="E330" s="540" t="inlineStr">
        <is>
          <t>江苏旅游学生食堂二楼</t>
        </is>
      </c>
      <c r="F330" s="540" t="inlineStr">
        <is>
          <t>分组作业</t>
        </is>
      </c>
      <c r="G330" s="540" t="inlineStr">
        <is>
          <t>徐敏娟</t>
        </is>
      </c>
      <c r="H330" s="540" t="inlineStr">
        <is>
          <t>/</t>
        </is>
      </c>
      <c r="I330" s="540" t="inlineStr">
        <is>
          <t>掉渣饼</t>
        </is>
      </c>
      <c r="J330" s="540" t="inlineStr">
        <is>
          <t>郭保君</t>
        </is>
      </c>
    </row>
    <row r="331">
      <c r="A331" s="540" t="n">
        <v>382</v>
      </c>
      <c r="B331" s="540" t="inlineStr">
        <is>
          <t>KQCY0382</t>
        </is>
      </c>
      <c r="C331" s="540" t="inlineStr">
        <is>
          <t>餐饮六分部</t>
        </is>
      </c>
      <c r="D331" s="540" t="inlineStr">
        <is>
          <t>CF480</t>
        </is>
      </c>
      <c r="E331" s="540" t="inlineStr">
        <is>
          <t>江苏旅游学生食堂二楼</t>
        </is>
      </c>
      <c r="F331" s="540" t="inlineStr">
        <is>
          <t>分组作业</t>
        </is>
      </c>
      <c r="G331" s="540" t="inlineStr">
        <is>
          <t>徐敏娟</t>
        </is>
      </c>
      <c r="H331" s="540" t="inlineStr">
        <is>
          <t>/</t>
        </is>
      </c>
      <c r="I331" s="540" t="inlineStr">
        <is>
          <t>擂椒拌饭(烤鸭饭)</t>
        </is>
      </c>
      <c r="J331" s="540" t="inlineStr">
        <is>
          <t>崔建美</t>
        </is>
      </c>
    </row>
    <row r="332">
      <c r="A332" s="540" t="n">
        <v>383</v>
      </c>
      <c r="B332" s="540" t="inlineStr">
        <is>
          <t>KQCY0383</t>
        </is>
      </c>
      <c r="C332" s="540" t="inlineStr">
        <is>
          <t>餐饮六分部</t>
        </is>
      </c>
      <c r="D332" s="540" t="inlineStr">
        <is>
          <t>CF480</t>
        </is>
      </c>
      <c r="E332" s="540" t="inlineStr">
        <is>
          <t>江苏旅游学生食堂二楼</t>
        </is>
      </c>
      <c r="F332" s="540" t="inlineStr">
        <is>
          <t>分组作业</t>
        </is>
      </c>
      <c r="G332" s="540" t="inlineStr">
        <is>
          <t>徐敏娟</t>
        </is>
      </c>
      <c r="H332" s="540" t="inlineStr">
        <is>
          <t>/</t>
        </is>
      </c>
      <c r="I332" s="540" t="inlineStr">
        <is>
          <t>老成都面(猪脚饭)</t>
        </is>
      </c>
      <c r="J332" s="540" t="inlineStr">
        <is>
          <t>顾卫君</t>
        </is>
      </c>
    </row>
    <row r="333">
      <c r="A333" s="540" t="n">
        <v>384</v>
      </c>
      <c r="B333" s="540" t="inlineStr">
        <is>
          <t>KQCY0384</t>
        </is>
      </c>
      <c r="C333" s="540" t="inlineStr">
        <is>
          <t>餐饮六分部</t>
        </is>
      </c>
      <c r="D333" s="540" t="inlineStr">
        <is>
          <t>CF480</t>
        </is>
      </c>
      <c r="E333" s="540" t="inlineStr">
        <is>
          <t>江苏旅游学生食堂二楼</t>
        </is>
      </c>
      <c r="F333" s="540" t="inlineStr">
        <is>
          <t>分组作业</t>
        </is>
      </c>
      <c r="G333" s="540" t="inlineStr">
        <is>
          <t>徐敏娟</t>
        </is>
      </c>
      <c r="H333" s="540" t="inlineStr">
        <is>
          <t>/</t>
        </is>
      </c>
      <c r="I333" s="540" t="inlineStr">
        <is>
          <t>一纸鸡</t>
        </is>
      </c>
      <c r="J333" s="540" t="inlineStr">
        <is>
          <t>熊朝秀</t>
        </is>
      </c>
    </row>
    <row r="334">
      <c r="A334" s="540" t="n">
        <v>385</v>
      </c>
      <c r="B334" s="540" t="inlineStr">
        <is>
          <t>KQCY0385</t>
        </is>
      </c>
      <c r="C334" s="540" t="inlineStr">
        <is>
          <t>餐饮六分部</t>
        </is>
      </c>
      <c r="D334" s="540" t="inlineStr">
        <is>
          <t>CF480</t>
        </is>
      </c>
      <c r="E334" s="540" t="inlineStr">
        <is>
          <t>江苏旅游学生食堂二楼</t>
        </is>
      </c>
      <c r="F334" s="540" t="inlineStr">
        <is>
          <t>分组作业</t>
        </is>
      </c>
      <c r="G334" s="540" t="inlineStr">
        <is>
          <t>徐敏娟</t>
        </is>
      </c>
      <c r="H334" s="540" t="inlineStr">
        <is>
          <t>/</t>
        </is>
      </c>
      <c r="I334" s="540" t="inlineStr">
        <is>
          <t>炸鸡</t>
        </is>
      </c>
      <c r="J334" s="540" t="inlineStr">
        <is>
          <t>单良</t>
        </is>
      </c>
    </row>
    <row r="335">
      <c r="A335" s="540" t="n">
        <v>386</v>
      </c>
      <c r="B335" s="540" t="inlineStr">
        <is>
          <t>KQCY0386</t>
        </is>
      </c>
      <c r="C335" s="540" t="inlineStr">
        <is>
          <t>餐饮六分部</t>
        </is>
      </c>
      <c r="D335" s="540" t="inlineStr">
        <is>
          <t>CF480</t>
        </is>
      </c>
      <c r="E335" s="540" t="inlineStr">
        <is>
          <t>江苏旅游学生食堂二楼</t>
        </is>
      </c>
      <c r="F335" s="540" t="inlineStr">
        <is>
          <t>分组作业</t>
        </is>
      </c>
      <c r="G335" s="540" t="inlineStr">
        <is>
          <t>徐敏娟</t>
        </is>
      </c>
      <c r="H335" s="540" t="inlineStr">
        <is>
          <t>/</t>
        </is>
      </c>
      <c r="I335" s="540" t="inlineStr">
        <is>
          <t>快餐自选</t>
        </is>
      </c>
      <c r="J335" s="540" t="inlineStr">
        <is>
          <t>王明辉</t>
        </is>
      </c>
    </row>
    <row r="336">
      <c r="A336" s="540" t="n">
        <v>387</v>
      </c>
      <c r="B336" s="540" t="inlineStr">
        <is>
          <t>KQCY0387</t>
        </is>
      </c>
      <c r="C336" s="540" t="inlineStr">
        <is>
          <t>餐饮六分部</t>
        </is>
      </c>
      <c r="D336" s="540" t="inlineStr">
        <is>
          <t>CF480</t>
        </is>
      </c>
      <c r="E336" s="540" t="inlineStr">
        <is>
          <t>江苏旅游学生食堂二楼</t>
        </is>
      </c>
      <c r="F336" s="540" t="inlineStr">
        <is>
          <t>分组作业</t>
        </is>
      </c>
      <c r="G336" s="540" t="inlineStr">
        <is>
          <t>徐敏娟</t>
        </is>
      </c>
      <c r="H336" s="540" t="inlineStr">
        <is>
          <t>/</t>
        </is>
      </c>
      <c r="I336" s="540" t="inlineStr">
        <is>
          <t>早餐</t>
        </is>
      </c>
      <c r="J336" s="540" t="inlineStr">
        <is>
          <t>王明辉</t>
        </is>
      </c>
    </row>
    <row r="337">
      <c r="A337" s="540" t="n">
        <v>388</v>
      </c>
      <c r="B337" s="540" t="inlineStr">
        <is>
          <t>KQCY0388</t>
        </is>
      </c>
      <c r="C337" s="540" t="inlineStr">
        <is>
          <t>餐饮六分部</t>
        </is>
      </c>
      <c r="D337" s="540" t="inlineStr">
        <is>
          <t>CF341</t>
        </is>
      </c>
      <c r="E337" s="540" t="inlineStr">
        <is>
          <t>扬大荷花池校区二楼食堂</t>
        </is>
      </c>
      <c r="F337" s="540" t="inlineStr">
        <is>
          <t>人员服务外包</t>
        </is>
      </c>
      <c r="G337" s="540" t="inlineStr">
        <is>
          <t>徐敏娟</t>
        </is>
      </c>
      <c r="H337" s="540" t="inlineStr">
        <is>
          <t>/</t>
        </is>
      </c>
      <c r="I337" s="540" t="inlineStr">
        <is>
          <t>/</t>
        </is>
      </c>
      <c r="J337" s="540" t="inlineStr">
        <is>
          <t>/</t>
        </is>
      </c>
    </row>
    <row r="338">
      <c r="A338" s="540" t="n">
        <v>389</v>
      </c>
      <c r="B338" s="540" t="inlineStr">
        <is>
          <t>KQCY0389</t>
        </is>
      </c>
      <c r="C338" s="540" t="inlineStr">
        <is>
          <t>餐饮六分部</t>
        </is>
      </c>
      <c r="D338" s="540" t="inlineStr">
        <is>
          <t>CF341</t>
        </is>
      </c>
      <c r="E338" s="540" t="inlineStr">
        <is>
          <t>扬大荷花池校区二楼食堂</t>
        </is>
      </c>
      <c r="F338" s="540" t="inlineStr">
        <is>
          <t>人员服务外包</t>
        </is>
      </c>
      <c r="G338" s="540" t="inlineStr">
        <is>
          <t>徐敏娟</t>
        </is>
      </c>
      <c r="H338" s="540" t="inlineStr">
        <is>
          <t>第一班组</t>
        </is>
      </c>
      <c r="I338" s="540" t="inlineStr">
        <is>
          <t>麻辣烫(麻辣拌、麻酱拌、小碗菜、盖浇饭、猪脚饭)</t>
        </is>
      </c>
      <c r="J338" s="540" t="inlineStr">
        <is>
          <t>于士位</t>
        </is>
      </c>
    </row>
    <row r="339">
      <c r="A339" s="540" t="n">
        <v>390</v>
      </c>
      <c r="B339" s="540" t="inlineStr">
        <is>
          <t>KQCY0390</t>
        </is>
      </c>
      <c r="C339" s="540" t="inlineStr">
        <is>
          <t>餐饮六分部</t>
        </is>
      </c>
      <c r="D339" s="540" t="inlineStr">
        <is>
          <t>CF341</t>
        </is>
      </c>
      <c r="E339" s="540" t="inlineStr">
        <is>
          <t>扬大荷花池校区二楼食堂</t>
        </is>
      </c>
      <c r="F339" s="540" t="inlineStr">
        <is>
          <t>人员服务外包</t>
        </is>
      </c>
      <c r="G339" s="540" t="inlineStr">
        <is>
          <t>徐敏娟</t>
        </is>
      </c>
      <c r="H339" s="540" t="inlineStr">
        <is>
          <t>第二班组</t>
        </is>
      </c>
      <c r="I339" s="540" t="inlineStr">
        <is>
          <t>烤鸭饭</t>
        </is>
      </c>
      <c r="J339" s="540" t="inlineStr">
        <is>
          <t>吴异</t>
        </is>
      </c>
    </row>
    <row r="340">
      <c r="A340" s="540" t="n">
        <v>391</v>
      </c>
      <c r="B340" s="540" t="inlineStr">
        <is>
          <t>KQCY0391</t>
        </is>
      </c>
      <c r="C340" s="540" t="inlineStr">
        <is>
          <t>餐饮六分部</t>
        </is>
      </c>
      <c r="D340" s="540" t="inlineStr">
        <is>
          <t>CF341</t>
        </is>
      </c>
      <c r="E340" s="540" t="inlineStr">
        <is>
          <t>扬大荷花池校区二楼食堂</t>
        </is>
      </c>
      <c r="F340" s="540" t="inlineStr">
        <is>
          <t>人员服务外包</t>
        </is>
      </c>
      <c r="G340" s="540" t="inlineStr">
        <is>
          <t>徐敏娟</t>
        </is>
      </c>
      <c r="H340" s="540" t="inlineStr">
        <is>
          <t>第三班组</t>
        </is>
      </c>
      <c r="I340" s="540" t="inlineStr">
        <is>
          <t>酸菜鱼(砂锅)</t>
        </is>
      </c>
      <c r="J340" s="540" t="inlineStr">
        <is>
          <t>邱康兴</t>
        </is>
      </c>
    </row>
    <row r="341">
      <c r="A341" s="540" t="n">
        <v>392</v>
      </c>
      <c r="B341" s="540" t="inlineStr">
        <is>
          <t>KQCY0392</t>
        </is>
      </c>
      <c r="C341" s="540" t="inlineStr">
        <is>
          <t>餐饮六分部</t>
        </is>
      </c>
      <c r="D341" s="540" t="inlineStr">
        <is>
          <t>CF341</t>
        </is>
      </c>
      <c r="E341" s="540" t="inlineStr">
        <is>
          <t>扬大荷花池校区二楼食堂</t>
        </is>
      </c>
      <c r="F341" s="540" t="inlineStr">
        <is>
          <t>人员服务外包</t>
        </is>
      </c>
      <c r="G341" s="540" t="inlineStr">
        <is>
          <t>徐敏娟</t>
        </is>
      </c>
      <c r="H341" s="540" t="inlineStr">
        <is>
          <t>第四班组</t>
        </is>
      </c>
      <c r="I341" s="540" t="inlineStr">
        <is>
          <t>瓦香鸡</t>
        </is>
      </c>
      <c r="J341" s="540" t="inlineStr">
        <is>
          <t>董伟</t>
        </is>
      </c>
    </row>
    <row r="342">
      <c r="A342" s="540" t="n">
        <v>393</v>
      </c>
      <c r="B342" s="540" t="inlineStr">
        <is>
          <t>KQCY0393</t>
        </is>
      </c>
      <c r="C342" s="540" t="inlineStr">
        <is>
          <t>餐饮六分部</t>
        </is>
      </c>
      <c r="D342" s="540" t="inlineStr">
        <is>
          <t>CF341</t>
        </is>
      </c>
      <c r="E342" s="540" t="inlineStr">
        <is>
          <t>扬大荷花池校区二楼食堂</t>
        </is>
      </c>
      <c r="F342" s="540" t="inlineStr">
        <is>
          <t>人员服务外包</t>
        </is>
      </c>
      <c r="G342" s="540" t="inlineStr">
        <is>
          <t>徐敏娟</t>
        </is>
      </c>
      <c r="H342" s="540" t="inlineStr">
        <is>
          <t>第五班组</t>
        </is>
      </c>
      <c r="I342" s="540" t="inlineStr">
        <is>
          <t>水饺(馄饨)</t>
        </is>
      </c>
      <c r="J342" s="540" t="inlineStr">
        <is>
          <t>周凯</t>
        </is>
      </c>
    </row>
    <row r="343">
      <c r="A343" s="540" t="n">
        <v>394</v>
      </c>
      <c r="B343" s="540" t="inlineStr">
        <is>
          <t>KQCY0394</t>
        </is>
      </c>
      <c r="C343" s="540" t="inlineStr">
        <is>
          <t>餐饮六分部</t>
        </is>
      </c>
      <c r="D343" s="540" t="inlineStr">
        <is>
          <t>CF341</t>
        </is>
      </c>
      <c r="E343" s="540" t="inlineStr">
        <is>
          <t>扬大荷花池校区二楼食堂</t>
        </is>
      </c>
      <c r="F343" s="540" t="inlineStr">
        <is>
          <t>人员服务外包</t>
        </is>
      </c>
      <c r="G343" s="540" t="inlineStr">
        <is>
          <t>徐敏娟</t>
        </is>
      </c>
      <c r="H343" s="540" t="inlineStr">
        <is>
          <t>第六班组</t>
        </is>
      </c>
      <c r="I343" s="540" t="inlineStr">
        <is>
          <t>川湘菜</t>
        </is>
      </c>
      <c r="J343" s="540" t="inlineStr">
        <is>
          <t>刘诚诚</t>
        </is>
      </c>
    </row>
    <row r="344">
      <c r="A344" s="540" t="n">
        <v>395</v>
      </c>
      <c r="B344" s="540" t="inlineStr">
        <is>
          <t>KQCY0395</t>
        </is>
      </c>
      <c r="C344" s="540" t="inlineStr">
        <is>
          <t>餐饮六分部</t>
        </is>
      </c>
      <c r="D344" s="540" t="inlineStr">
        <is>
          <t>CF341</t>
        </is>
      </c>
      <c r="E344" s="540" t="inlineStr">
        <is>
          <t>扬大荷花池校区二楼食堂</t>
        </is>
      </c>
      <c r="F344" s="540" t="inlineStr">
        <is>
          <t>人员服务外包</t>
        </is>
      </c>
      <c r="G344" s="540" t="inlineStr">
        <is>
          <t>徐敏娟</t>
        </is>
      </c>
      <c r="H344" s="540" t="inlineStr">
        <is>
          <t>第七班组</t>
        </is>
      </c>
      <c r="I344" s="540" t="inlineStr">
        <is>
          <t>烤盘饭</t>
        </is>
      </c>
      <c r="J344" s="540" t="inlineStr">
        <is>
          <t>曹清红</t>
        </is>
      </c>
    </row>
    <row r="345">
      <c r="A345" s="540" t="n">
        <v>396</v>
      </c>
      <c r="B345" s="540" t="inlineStr">
        <is>
          <t>KQCY0396</t>
        </is>
      </c>
      <c r="C345" s="540" t="inlineStr">
        <is>
          <t>餐饮六分部</t>
        </is>
      </c>
      <c r="D345" s="540" t="inlineStr">
        <is>
          <t>CF341</t>
        </is>
      </c>
      <c r="E345" s="540" t="inlineStr">
        <is>
          <t>扬大荷花池校区二楼食堂</t>
        </is>
      </c>
      <c r="F345" s="540" t="inlineStr">
        <is>
          <t>人员服务外包</t>
        </is>
      </c>
      <c r="G345" s="540" t="inlineStr">
        <is>
          <t>徐敏娟</t>
        </is>
      </c>
      <c r="H345" s="540" t="inlineStr">
        <is>
          <t>第八班组</t>
        </is>
      </c>
      <c r="I345" s="540" t="inlineStr">
        <is>
          <t>黄焖鸡(黑鸭煲、拌面拌粉)</t>
        </is>
      </c>
      <c r="J345" s="540" t="inlineStr">
        <is>
          <t>刘发治</t>
        </is>
      </c>
    </row>
    <row r="346">
      <c r="A346" s="540" t="n">
        <v>398</v>
      </c>
      <c r="B346" s="540" t="inlineStr">
        <is>
          <t>KQCY0398</t>
        </is>
      </c>
      <c r="C346" s="540" t="inlineStr">
        <is>
          <t>餐饮六分部</t>
        </is>
      </c>
      <c r="D346" s="540" t="inlineStr">
        <is>
          <t>CF213</t>
        </is>
      </c>
      <c r="E346" s="540" t="inlineStr">
        <is>
          <t>苏州大脑营行餐厅</t>
        </is>
      </c>
      <c r="F346" s="540" t="inlineStr">
        <is>
          <t>分组作业</t>
        </is>
      </c>
      <c r="G346" s="540" t="inlineStr">
        <is>
          <t>郑虎</t>
        </is>
      </c>
      <c r="H346" s="540" t="inlineStr">
        <is>
          <t>第一班组</t>
        </is>
      </c>
      <c r="I346" s="540" t="inlineStr">
        <is>
          <t>湘菜</t>
        </is>
      </c>
      <c r="J346" s="540" t="inlineStr">
        <is>
          <t>李勇</t>
        </is>
      </c>
    </row>
    <row r="347">
      <c r="A347" s="540" t="n">
        <v>399</v>
      </c>
      <c r="B347" s="540" t="inlineStr">
        <is>
          <t>KQCY0399</t>
        </is>
      </c>
      <c r="C347" s="540" t="inlineStr">
        <is>
          <t>餐饮六分部</t>
        </is>
      </c>
      <c r="D347" s="540" t="inlineStr">
        <is>
          <t>CF213</t>
        </is>
      </c>
      <c r="E347" s="540" t="inlineStr">
        <is>
          <t>苏州大脑营行餐厅</t>
        </is>
      </c>
      <c r="F347" s="540" t="inlineStr">
        <is>
          <t>分组作业</t>
        </is>
      </c>
      <c r="G347" s="540" t="inlineStr">
        <is>
          <t>郑虎</t>
        </is>
      </c>
      <c r="H347" s="540" t="inlineStr">
        <is>
          <t>第二班组</t>
        </is>
      </c>
      <c r="I347" s="540" t="inlineStr">
        <is>
          <t>猪脚饭（酸菜鱼、米线、鸭血粉丝）</t>
        </is>
      </c>
      <c r="J347" s="540" t="inlineStr">
        <is>
          <t>黄永利</t>
        </is>
      </c>
    </row>
    <row r="348">
      <c r="A348" s="540" t="n">
        <v>400</v>
      </c>
      <c r="B348" s="540" t="inlineStr">
        <is>
          <t>KQCY0400</t>
        </is>
      </c>
      <c r="C348" s="540" t="inlineStr">
        <is>
          <t>餐饮六分部</t>
        </is>
      </c>
      <c r="D348" s="540" t="inlineStr">
        <is>
          <t>CF213</t>
        </is>
      </c>
      <c r="E348" s="540" t="inlineStr">
        <is>
          <t>苏州大脑营行餐厅</t>
        </is>
      </c>
      <c r="F348" s="540" t="inlineStr">
        <is>
          <t>分组作业</t>
        </is>
      </c>
      <c r="G348" s="540" t="inlineStr">
        <is>
          <t>郑虎</t>
        </is>
      </c>
      <c r="H348" s="540" t="inlineStr">
        <is>
          <t>第三班组</t>
        </is>
      </c>
      <c r="I348" s="540" t="inlineStr">
        <is>
          <t>黄焖鸡、沙县小吃</t>
        </is>
      </c>
      <c r="J348" s="540" t="inlineStr">
        <is>
          <t>苏嫩仔</t>
        </is>
      </c>
    </row>
    <row r="349">
      <c r="A349" s="540" t="n">
        <v>402</v>
      </c>
      <c r="B349" s="540" t="inlineStr">
        <is>
          <t>KQCY0402</t>
        </is>
      </c>
      <c r="C349" s="540" t="inlineStr">
        <is>
          <t>餐饮六分部</t>
        </is>
      </c>
      <c r="D349" s="540" t="inlineStr">
        <is>
          <t>CF275</t>
        </is>
      </c>
      <c r="E349" s="540" t="inlineStr">
        <is>
          <t>南大苏州校区西区二食堂</t>
        </is>
      </c>
      <c r="F349" s="540" t="inlineStr">
        <is>
          <t>分组作业</t>
        </is>
      </c>
      <c r="G349" s="540" t="inlineStr">
        <is>
          <t>郑虎</t>
        </is>
      </c>
      <c r="H349" s="540" t="inlineStr">
        <is>
          <t>第一班组</t>
        </is>
      </c>
      <c r="I349" s="540" t="inlineStr">
        <is>
          <t>自选</t>
        </is>
      </c>
      <c r="J349" s="540" t="inlineStr">
        <is>
          <t>刘岩艳</t>
        </is>
      </c>
    </row>
    <row r="350">
      <c r="A350" s="540" t="n">
        <v>403</v>
      </c>
      <c r="B350" s="540" t="inlineStr">
        <is>
          <t>KQCY0403</t>
        </is>
      </c>
      <c r="C350" s="540" t="inlineStr">
        <is>
          <t>餐饮六分部</t>
        </is>
      </c>
      <c r="D350" s="540" t="inlineStr">
        <is>
          <t>CF275</t>
        </is>
      </c>
      <c r="E350" s="540" t="inlineStr">
        <is>
          <t>南大苏州校区西区二食堂</t>
        </is>
      </c>
      <c r="F350" s="540" t="inlineStr">
        <is>
          <t>分组作业</t>
        </is>
      </c>
      <c r="G350" s="540" t="inlineStr">
        <is>
          <t>郑虎</t>
        </is>
      </c>
      <c r="H350" s="540" t="inlineStr">
        <is>
          <t>第二班组</t>
        </is>
      </c>
      <c r="I350" s="540" t="inlineStr">
        <is>
          <t>特色</t>
        </is>
      </c>
      <c r="J350" s="540" t="inlineStr">
        <is>
          <t>朱传兴</t>
        </is>
      </c>
    </row>
    <row r="351">
      <c r="A351" s="540" t="n">
        <v>404</v>
      </c>
      <c r="B351" s="540" t="inlineStr">
        <is>
          <t>KQCY0404</t>
        </is>
      </c>
      <c r="C351" s="540" t="inlineStr">
        <is>
          <t>餐饮六分部</t>
        </is>
      </c>
      <c r="D351" s="540" t="inlineStr">
        <is>
          <t>CF275</t>
        </is>
      </c>
      <c r="E351" s="540" t="inlineStr">
        <is>
          <t>南大苏州校区西区二食堂</t>
        </is>
      </c>
      <c r="F351" s="540" t="inlineStr">
        <is>
          <t>分组作业</t>
        </is>
      </c>
      <c r="G351" s="540" t="inlineStr">
        <is>
          <t>郑虎</t>
        </is>
      </c>
      <c r="H351" s="540" t="inlineStr">
        <is>
          <t>第三班组</t>
        </is>
      </c>
      <c r="I351" s="540" t="inlineStr">
        <is>
          <t>早餐</t>
        </is>
      </c>
      <c r="J351" s="540" t="inlineStr">
        <is>
          <t>李嵩</t>
        </is>
      </c>
    </row>
    <row r="352">
      <c r="A352" s="540" t="n">
        <v>405</v>
      </c>
      <c r="B352" s="540" t="inlineStr">
        <is>
          <t>KQCY0405</t>
        </is>
      </c>
      <c r="C352" s="540" t="inlineStr">
        <is>
          <t>餐饮六分部</t>
        </is>
      </c>
      <c r="D352" s="540" t="inlineStr">
        <is>
          <t>CF275</t>
        </is>
      </c>
      <c r="E352" s="540" t="inlineStr">
        <is>
          <t>南大苏州校区西区二食堂</t>
        </is>
      </c>
      <c r="F352" s="540" t="inlineStr">
        <is>
          <t>分组作业</t>
        </is>
      </c>
      <c r="G352" s="540" t="inlineStr">
        <is>
          <t>郑虎</t>
        </is>
      </c>
      <c r="H352" s="540" t="inlineStr">
        <is>
          <t>第四班组</t>
        </is>
      </c>
      <c r="I352" s="540" t="inlineStr">
        <is>
          <t>民族风味</t>
        </is>
      </c>
      <c r="J352" s="540" t="inlineStr">
        <is>
          <t>马素女</t>
        </is>
      </c>
    </row>
    <row r="353">
      <c r="A353" s="540" t="n">
        <v>406</v>
      </c>
      <c r="B353" s="540" t="inlineStr">
        <is>
          <t>KQCY0406</t>
        </is>
      </c>
      <c r="C353" s="540" t="inlineStr">
        <is>
          <t>餐饮六分部</t>
        </is>
      </c>
      <c r="D353" s="540" t="inlineStr">
        <is>
          <t>CF275</t>
        </is>
      </c>
      <c r="E353" s="540" t="inlineStr">
        <is>
          <t>南大苏州校区西区二食堂</t>
        </is>
      </c>
      <c r="F353" s="540" t="inlineStr">
        <is>
          <t>分组作业</t>
        </is>
      </c>
      <c r="G353" s="540" t="inlineStr">
        <is>
          <t>郑虎</t>
        </is>
      </c>
      <c r="H353" s="540" t="inlineStr">
        <is>
          <t>第五班组</t>
        </is>
      </c>
      <c r="I353" s="540" t="inlineStr">
        <is>
          <t>卤肉饭</t>
        </is>
      </c>
      <c r="J353" s="540" t="inlineStr">
        <is>
          <t>周文琳</t>
        </is>
      </c>
    </row>
    <row r="354">
      <c r="A354" s="540" t="n">
        <v>407</v>
      </c>
      <c r="B354" s="540" t="inlineStr">
        <is>
          <t>KQCY0407</t>
        </is>
      </c>
      <c r="C354" s="540" t="inlineStr">
        <is>
          <t>餐饮六分部</t>
        </is>
      </c>
      <c r="D354" s="540" t="inlineStr">
        <is>
          <t>CF275</t>
        </is>
      </c>
      <c r="E354" s="540" t="inlineStr">
        <is>
          <t>南大苏州校区西区二食堂</t>
        </is>
      </c>
      <c r="F354" s="540" t="inlineStr">
        <is>
          <t>分组作业</t>
        </is>
      </c>
      <c r="G354" s="540" t="inlineStr">
        <is>
          <t>郑虎</t>
        </is>
      </c>
      <c r="H354" s="540" t="inlineStr">
        <is>
          <t>第六班组</t>
        </is>
      </c>
      <c r="I354" s="540" t="inlineStr">
        <is>
          <t>麻辣烫</t>
        </is>
      </c>
      <c r="J354" s="540" t="inlineStr">
        <is>
          <t>余红莹</t>
        </is>
      </c>
    </row>
    <row r="355">
      <c r="A355" s="540" t="n">
        <v>408</v>
      </c>
      <c r="B355" s="540" t="inlineStr">
        <is>
          <t>KQCY0408</t>
        </is>
      </c>
      <c r="C355" s="540" t="inlineStr">
        <is>
          <t>餐饮六分部</t>
        </is>
      </c>
      <c r="D355" s="540" t="inlineStr">
        <is>
          <t>CF275</t>
        </is>
      </c>
      <c r="E355" s="540" t="inlineStr">
        <is>
          <t>南大苏州校区西区二食堂</t>
        </is>
      </c>
      <c r="F355" s="540" t="inlineStr">
        <is>
          <t>分组作业</t>
        </is>
      </c>
      <c r="G355" s="540" t="inlineStr">
        <is>
          <t>郑虎</t>
        </is>
      </c>
      <c r="H355" s="540" t="inlineStr">
        <is>
          <t>第七班组</t>
        </is>
      </c>
      <c r="I355" s="540" t="inlineStr">
        <is>
          <t>面条</t>
        </is>
      </c>
      <c r="J355" s="540" t="inlineStr">
        <is>
          <t>许铭鼎</t>
        </is>
      </c>
    </row>
    <row r="356">
      <c r="A356" s="540" t="n">
        <v>409</v>
      </c>
      <c r="B356" s="540" t="inlineStr">
        <is>
          <t>KQCY0409</t>
        </is>
      </c>
      <c r="C356" s="540" t="inlineStr">
        <is>
          <t>餐饮六分部</t>
        </is>
      </c>
      <c r="D356" s="540" t="inlineStr">
        <is>
          <t>CF275</t>
        </is>
      </c>
      <c r="E356" s="540" t="inlineStr">
        <is>
          <t>南大苏州校区西区二食堂</t>
        </is>
      </c>
      <c r="F356" s="540" t="inlineStr">
        <is>
          <t>分组作业</t>
        </is>
      </c>
      <c r="G356" s="540" t="inlineStr">
        <is>
          <t>郑虎</t>
        </is>
      </c>
      <c r="H356" s="540" t="inlineStr">
        <is>
          <t>第八班组</t>
        </is>
      </c>
      <c r="I356" s="540" t="inlineStr">
        <is>
          <t>辣椒炒肉</t>
        </is>
      </c>
      <c r="J356" s="540" t="inlineStr">
        <is>
          <t>吴海龙</t>
        </is>
      </c>
    </row>
    <row r="357">
      <c r="A357" s="540" t="n">
        <v>410</v>
      </c>
      <c r="B357" s="540" t="inlineStr">
        <is>
          <t>KQCY0410</t>
        </is>
      </c>
      <c r="C357" s="540" t="inlineStr">
        <is>
          <t>餐饮六分部</t>
        </is>
      </c>
      <c r="D357" s="540" t="inlineStr">
        <is>
          <t>CF275</t>
        </is>
      </c>
      <c r="E357" s="540" t="inlineStr">
        <is>
          <t>南大苏州校区西区二食堂</t>
        </is>
      </c>
      <c r="F357" s="540" t="inlineStr">
        <is>
          <t>分组作业</t>
        </is>
      </c>
      <c r="G357" s="540" t="inlineStr">
        <is>
          <t>郑虎</t>
        </is>
      </c>
      <c r="H357" s="540" t="inlineStr">
        <is>
          <t>第九班组</t>
        </is>
      </c>
      <c r="I357" s="540" t="inlineStr">
        <is>
          <t>瓦香鸡</t>
        </is>
      </c>
      <c r="J357" s="540" t="inlineStr">
        <is>
          <t>仲海洋</t>
        </is>
      </c>
    </row>
    <row r="358">
      <c r="A358" s="540" t="n">
        <v>411</v>
      </c>
      <c r="B358" s="540" t="inlineStr">
        <is>
          <t>KQCY0411</t>
        </is>
      </c>
      <c r="C358" s="540" t="inlineStr">
        <is>
          <t>餐饮六分部</t>
        </is>
      </c>
      <c r="D358" s="540" t="inlineStr">
        <is>
          <t>CF275</t>
        </is>
      </c>
      <c r="E358" s="540" t="inlineStr">
        <is>
          <t>南大苏州校区西区二食堂</t>
        </is>
      </c>
      <c r="F358" s="540" t="inlineStr">
        <is>
          <t>分组作业</t>
        </is>
      </c>
      <c r="G358" s="540" t="inlineStr">
        <is>
          <t>郑虎</t>
        </is>
      </c>
      <c r="H358" s="540" t="inlineStr">
        <is>
          <t>第十班组</t>
        </is>
      </c>
      <c r="I358" s="540" t="inlineStr">
        <is>
          <t>炸鸡汉堡</t>
        </is>
      </c>
      <c r="J358" s="540" t="inlineStr">
        <is>
          <t>张栗铭</t>
        </is>
      </c>
    </row>
    <row r="359">
      <c r="A359" s="540" t="n">
        <v>412</v>
      </c>
      <c r="B359" s="540" t="inlineStr">
        <is>
          <t>KQCY0412</t>
        </is>
      </c>
      <c r="C359" s="540" t="inlineStr">
        <is>
          <t>餐饮六分部</t>
        </is>
      </c>
      <c r="D359" s="540" t="inlineStr">
        <is>
          <t>CF275</t>
        </is>
      </c>
      <c r="E359" s="540" t="inlineStr">
        <is>
          <t>南大苏州校区西区二食堂</t>
        </is>
      </c>
      <c r="F359" s="540" t="inlineStr">
        <is>
          <t>分组作业</t>
        </is>
      </c>
      <c r="G359" s="540" t="inlineStr">
        <is>
          <t>郑虎</t>
        </is>
      </c>
      <c r="H359" s="540" t="inlineStr">
        <is>
          <t>第十一班组</t>
        </is>
      </c>
      <c r="I359" s="540" t="inlineStr">
        <is>
          <t>淮南牛肉汤</t>
        </is>
      </c>
      <c r="J359" s="540" t="inlineStr">
        <is>
          <t>钱年英</t>
        </is>
      </c>
    </row>
    <row r="360">
      <c r="A360" s="540" t="n">
        <v>413</v>
      </c>
      <c r="B360" s="540" t="inlineStr">
        <is>
          <t>KQCY0413</t>
        </is>
      </c>
      <c r="C360" s="540" t="inlineStr">
        <is>
          <t>餐饮六分部</t>
        </is>
      </c>
      <c r="D360" s="540" t="inlineStr">
        <is>
          <t>CF275</t>
        </is>
      </c>
      <c r="E360" s="540" t="inlineStr">
        <is>
          <t>南大苏州校区西区二食堂</t>
        </is>
      </c>
      <c r="F360" s="540" t="inlineStr">
        <is>
          <t>分组作业</t>
        </is>
      </c>
      <c r="G360" s="540" t="inlineStr">
        <is>
          <t>郑虎</t>
        </is>
      </c>
      <c r="H360" s="540" t="inlineStr">
        <is>
          <t>第十二班组</t>
        </is>
      </c>
      <c r="I360" s="540" t="inlineStr">
        <is>
          <t>面点</t>
        </is>
      </c>
      <c r="J360" s="540" t="inlineStr">
        <is>
          <t>陈天燕</t>
        </is>
      </c>
    </row>
    <row r="361">
      <c r="A361" s="540" t="n">
        <v>416</v>
      </c>
      <c r="B361" s="540" t="inlineStr">
        <is>
          <t>KQCY0416</t>
        </is>
      </c>
      <c r="C361" s="540" t="inlineStr">
        <is>
          <t>餐饮六分部</t>
        </is>
      </c>
      <c r="D361" s="540" t="inlineStr">
        <is>
          <t>CF191</t>
        </is>
      </c>
      <c r="E361" s="540" t="inlineStr">
        <is>
          <t>苏州旭辉彩园餐厅</t>
        </is>
      </c>
      <c r="F361" s="540" t="inlineStr">
        <is>
          <t>人员服务外包</t>
        </is>
      </c>
      <c r="G361" s="540" t="inlineStr">
        <is>
          <t>张镁镁</t>
        </is>
      </c>
      <c r="H361" s="540" t="inlineStr">
        <is>
          <t>/</t>
        </is>
      </c>
      <c r="I361" s="540" t="inlineStr">
        <is>
          <t>/</t>
        </is>
      </c>
      <c r="J361" s="540" t="inlineStr">
        <is>
          <t>/</t>
        </is>
      </c>
    </row>
    <row r="362">
      <c r="A362" s="540" t="n">
        <v>418</v>
      </c>
      <c r="B362" s="540" t="inlineStr">
        <is>
          <t>KQCY0418</t>
        </is>
      </c>
      <c r="C362" s="540" t="inlineStr">
        <is>
          <t>餐饮六分部</t>
        </is>
      </c>
      <c r="D362" s="540" t="inlineStr">
        <is>
          <t>CF479</t>
        </is>
      </c>
      <c r="E362" s="540" t="inlineStr">
        <is>
          <t>江苏省交通技师学院第一食堂</t>
        </is>
      </c>
      <c r="F362" s="540" t="inlineStr">
        <is>
          <t>分组作业</t>
        </is>
      </c>
      <c r="G362" s="540" t="inlineStr">
        <is>
          <t>卫屹</t>
        </is>
      </c>
      <c r="H362" s="540" t="inlineStr">
        <is>
          <t>第一班组</t>
        </is>
      </c>
      <c r="I362" s="540" t="inlineStr">
        <is>
          <t>八大碗</t>
        </is>
      </c>
      <c r="J362" s="540" t="inlineStr">
        <is>
          <t>丁秀梅</t>
        </is>
      </c>
    </row>
    <row r="363">
      <c r="A363" s="540" t="n">
        <v>419</v>
      </c>
      <c r="B363" s="540" t="inlineStr">
        <is>
          <t>KQCY0419</t>
        </is>
      </c>
      <c r="C363" s="540" t="inlineStr">
        <is>
          <t>餐饮六分部</t>
        </is>
      </c>
      <c r="D363" s="540" t="inlineStr">
        <is>
          <t>CF479</t>
        </is>
      </c>
      <c r="E363" s="540" t="inlineStr">
        <is>
          <t>江苏省交通技师学院第一食堂</t>
        </is>
      </c>
      <c r="F363" s="540" t="inlineStr">
        <is>
          <t>分组作业</t>
        </is>
      </c>
      <c r="G363" s="540" t="inlineStr">
        <is>
          <t>卫屹</t>
        </is>
      </c>
      <c r="H363" s="540" t="inlineStr">
        <is>
          <t>第二班组</t>
        </is>
      </c>
      <c r="I363" s="540" t="inlineStr">
        <is>
          <t>牛肉汤</t>
        </is>
      </c>
      <c r="J363" s="540" t="inlineStr">
        <is>
          <t>范义龙</t>
        </is>
      </c>
    </row>
    <row r="364">
      <c r="A364" s="540" t="n">
        <v>420</v>
      </c>
      <c r="B364" s="540" t="inlineStr">
        <is>
          <t>KQCY0420</t>
        </is>
      </c>
      <c r="C364" s="540" t="inlineStr">
        <is>
          <t>餐饮六分部</t>
        </is>
      </c>
      <c r="D364" s="540" t="inlineStr">
        <is>
          <t>CF479</t>
        </is>
      </c>
      <c r="E364" s="540" t="inlineStr">
        <is>
          <t>江苏省交通技师学院第一食堂</t>
        </is>
      </c>
      <c r="F364" s="540" t="inlineStr">
        <is>
          <t>分组作业</t>
        </is>
      </c>
      <c r="G364" s="540" t="inlineStr">
        <is>
          <t>卫屹</t>
        </is>
      </c>
      <c r="H364" s="540" t="inlineStr">
        <is>
          <t>第三班组</t>
        </is>
      </c>
      <c r="I364" s="540" t="inlineStr">
        <is>
          <t>基本大伙</t>
        </is>
      </c>
      <c r="J364" s="540" t="inlineStr">
        <is>
          <t>查启清</t>
        </is>
      </c>
    </row>
    <row r="365">
      <c r="A365" s="540" t="n">
        <v>421</v>
      </c>
      <c r="B365" s="540" t="inlineStr">
        <is>
          <t>KQCY0421</t>
        </is>
      </c>
      <c r="C365" s="540" t="inlineStr">
        <is>
          <t>餐饮六分部</t>
        </is>
      </c>
      <c r="D365" s="540" t="inlineStr">
        <is>
          <t>CF479</t>
        </is>
      </c>
      <c r="E365" s="540" t="inlineStr">
        <is>
          <t>江苏省交通技师学院第一食堂</t>
        </is>
      </c>
      <c r="F365" s="540" t="inlineStr">
        <is>
          <t>分组作业</t>
        </is>
      </c>
      <c r="G365" s="540" t="inlineStr">
        <is>
          <t>卫屹</t>
        </is>
      </c>
      <c r="H365" s="540" t="inlineStr">
        <is>
          <t>第四班组</t>
        </is>
      </c>
      <c r="I365" s="540" t="inlineStr">
        <is>
          <t>早餐</t>
        </is>
      </c>
      <c r="J365" s="540" t="inlineStr">
        <is>
          <t>苏广前</t>
        </is>
      </c>
    </row>
    <row r="366">
      <c r="A366" s="540" t="n">
        <v>422</v>
      </c>
      <c r="B366" s="540" t="inlineStr">
        <is>
          <t>KQCY0422</t>
        </is>
      </c>
      <c r="C366" s="540" t="inlineStr">
        <is>
          <t>餐饮六分部</t>
        </is>
      </c>
      <c r="D366" s="540" t="inlineStr">
        <is>
          <t>CF479</t>
        </is>
      </c>
      <c r="E366" s="540" t="inlineStr">
        <is>
          <t>江苏省交通技师学院第一食堂</t>
        </is>
      </c>
      <c r="F366" s="540" t="inlineStr">
        <is>
          <t>分组作业</t>
        </is>
      </c>
      <c r="G366" s="540" t="inlineStr">
        <is>
          <t>卫屹</t>
        </is>
      </c>
      <c r="H366" s="540" t="inlineStr">
        <is>
          <t>第五班组</t>
        </is>
      </c>
      <c r="I366" s="540" t="inlineStr">
        <is>
          <t>面条</t>
        </is>
      </c>
      <c r="J366" s="540" t="inlineStr">
        <is>
          <t>李炳志</t>
        </is>
      </c>
    </row>
    <row r="367">
      <c r="A367" s="540" t="n">
        <v>423</v>
      </c>
      <c r="B367" s="540" t="inlineStr">
        <is>
          <t>KQCY0423</t>
        </is>
      </c>
      <c r="C367" s="540" t="inlineStr">
        <is>
          <t>餐饮六分部</t>
        </is>
      </c>
      <c r="D367" s="540" t="inlineStr">
        <is>
          <t>CF479</t>
        </is>
      </c>
      <c r="E367" s="540" t="inlineStr">
        <is>
          <t>江苏省交通技师学院第一食堂</t>
        </is>
      </c>
      <c r="F367" s="540" t="inlineStr">
        <is>
          <t>分组作业</t>
        </is>
      </c>
      <c r="G367" s="540" t="inlineStr">
        <is>
          <t>卫屹</t>
        </is>
      </c>
      <c r="H367" s="540" t="inlineStr">
        <is>
          <t>第六班组</t>
        </is>
      </c>
      <c r="I367" s="540" t="inlineStr">
        <is>
          <t>水饺</t>
        </is>
      </c>
      <c r="J367" s="540" t="inlineStr">
        <is>
          <t>王金华</t>
        </is>
      </c>
    </row>
    <row r="368">
      <c r="A368" s="540" t="n">
        <v>424</v>
      </c>
      <c r="B368" s="540" t="inlineStr">
        <is>
          <t>KQCY0424</t>
        </is>
      </c>
      <c r="C368" s="540" t="inlineStr">
        <is>
          <t>餐饮六分部</t>
        </is>
      </c>
      <c r="D368" s="540" t="inlineStr">
        <is>
          <t>CF479</t>
        </is>
      </c>
      <c r="E368" s="540" t="inlineStr">
        <is>
          <t>江苏省交通技师学院第一食堂</t>
        </is>
      </c>
      <c r="F368" s="540" t="inlineStr">
        <is>
          <t>分组作业</t>
        </is>
      </c>
      <c r="G368" s="540" t="inlineStr">
        <is>
          <t>卫屹</t>
        </is>
      </c>
      <c r="H368" s="540" t="inlineStr">
        <is>
          <t>第七班组</t>
        </is>
      </c>
      <c r="I368" s="540" t="inlineStr">
        <is>
          <t>油泼鸡</t>
        </is>
      </c>
      <c r="J368" s="540" t="inlineStr">
        <is>
          <t>陈永龙</t>
        </is>
      </c>
    </row>
    <row r="369">
      <c r="A369" s="540" t="n">
        <v>425</v>
      </c>
      <c r="B369" s="540" t="inlineStr">
        <is>
          <t>KQCY0425</t>
        </is>
      </c>
      <c r="C369" s="540" t="inlineStr">
        <is>
          <t>餐饮六分部</t>
        </is>
      </c>
      <c r="D369" s="540" t="inlineStr">
        <is>
          <t>CF479</t>
        </is>
      </c>
      <c r="E369" s="540" t="inlineStr">
        <is>
          <t>江苏省交通技师学院第一食堂</t>
        </is>
      </c>
      <c r="F369" s="540" t="inlineStr">
        <is>
          <t>分组作业</t>
        </is>
      </c>
      <c r="G369" s="540" t="inlineStr">
        <is>
          <t>卫屹</t>
        </is>
      </c>
      <c r="H369" s="540" t="inlineStr">
        <is>
          <t>第八班组</t>
        </is>
      </c>
      <c r="I369" s="540" t="inlineStr">
        <is>
          <t>麦多馅饼</t>
        </is>
      </c>
      <c r="J369" s="540" t="inlineStr">
        <is>
          <t>董超</t>
        </is>
      </c>
    </row>
    <row r="370">
      <c r="A370" s="540" t="n">
        <v>426</v>
      </c>
      <c r="B370" s="540" t="inlineStr">
        <is>
          <t>KQCY0426</t>
        </is>
      </c>
      <c r="C370" s="540" t="inlineStr">
        <is>
          <t>餐饮六分部</t>
        </is>
      </c>
      <c r="D370" s="540" t="inlineStr">
        <is>
          <t>CF479</t>
        </is>
      </c>
      <c r="E370" s="540" t="inlineStr">
        <is>
          <t>江苏省交通技师学院第一食堂</t>
        </is>
      </c>
      <c r="F370" s="540" t="inlineStr">
        <is>
          <t>分组作业</t>
        </is>
      </c>
      <c r="G370" s="540" t="inlineStr">
        <is>
          <t>卫屹</t>
        </is>
      </c>
      <c r="H370" s="540" t="inlineStr">
        <is>
          <t>第九班组</t>
        </is>
      </c>
      <c r="I370" s="540" t="inlineStr">
        <is>
          <t>炒饭炒面</t>
        </is>
      </c>
      <c r="J370" s="540" t="inlineStr">
        <is>
          <t>于继文</t>
        </is>
      </c>
    </row>
    <row r="371">
      <c r="A371" s="540" t="n">
        <v>427</v>
      </c>
      <c r="B371" s="540" t="inlineStr">
        <is>
          <t>KQCY0427</t>
        </is>
      </c>
      <c r="C371" s="540" t="inlineStr">
        <is>
          <t>餐饮六分部</t>
        </is>
      </c>
      <c r="D371" s="540" t="inlineStr">
        <is>
          <t>CF479</t>
        </is>
      </c>
      <c r="E371" s="540" t="inlineStr">
        <is>
          <t>江苏省交通技师学院第一食堂</t>
        </is>
      </c>
      <c r="F371" s="540" t="inlineStr">
        <is>
          <t>分组作业</t>
        </is>
      </c>
      <c r="G371" s="540" t="inlineStr">
        <is>
          <t>卫屹</t>
        </is>
      </c>
      <c r="H371" s="540" t="inlineStr">
        <is>
          <t>第十班组</t>
        </is>
      </c>
      <c r="I371" s="540" t="inlineStr">
        <is>
          <t>麻辣烫</t>
        </is>
      </c>
      <c r="J371" s="540" t="inlineStr">
        <is>
          <t xml:space="preserve">于立鑫 </t>
        </is>
      </c>
    </row>
    <row r="372">
      <c r="A372" s="540" t="n">
        <v>428</v>
      </c>
      <c r="B372" s="540" t="inlineStr">
        <is>
          <t>KQCY0428</t>
        </is>
      </c>
      <c r="C372" s="540" t="inlineStr">
        <is>
          <t>餐饮六分部</t>
        </is>
      </c>
      <c r="D372" s="540" t="inlineStr">
        <is>
          <t>CF479</t>
        </is>
      </c>
      <c r="E372" s="540" t="inlineStr">
        <is>
          <t>江苏省交通技师学院第一食堂</t>
        </is>
      </c>
      <c r="F372" s="540" t="inlineStr">
        <is>
          <t>分组作业</t>
        </is>
      </c>
      <c r="G372" s="540" t="inlineStr">
        <is>
          <t>卫屹</t>
        </is>
      </c>
      <c r="H372" s="540" t="inlineStr">
        <is>
          <t>第十一班组</t>
        </is>
      </c>
      <c r="I372" s="540" t="inlineStr">
        <is>
          <t>炸鸡汉堡</t>
        </is>
      </c>
      <c r="J372" s="540" t="inlineStr">
        <is>
          <t>刘立志</t>
        </is>
      </c>
    </row>
    <row r="373">
      <c r="A373" s="540" t="n">
        <v>429</v>
      </c>
      <c r="B373" s="540" t="inlineStr">
        <is>
          <t>KQCY0429</t>
        </is>
      </c>
      <c r="C373" s="540" t="inlineStr">
        <is>
          <t>餐饮六分部</t>
        </is>
      </c>
      <c r="D373" s="540" t="inlineStr">
        <is>
          <t>CF479</t>
        </is>
      </c>
      <c r="E373" s="540" t="inlineStr">
        <is>
          <t>江苏省交通技师学院第一食堂</t>
        </is>
      </c>
      <c r="F373" s="540" t="inlineStr">
        <is>
          <t>分组作业</t>
        </is>
      </c>
      <c r="G373" s="540" t="inlineStr">
        <is>
          <t>卫屹</t>
        </is>
      </c>
      <c r="H373" s="540" t="inlineStr">
        <is>
          <t>第十二班组</t>
        </is>
      </c>
      <c r="I373" s="540" t="inlineStr">
        <is>
          <t>掉渣饼</t>
        </is>
      </c>
      <c r="J373" s="540" t="inlineStr">
        <is>
          <t>武情</t>
        </is>
      </c>
    </row>
    <row r="374">
      <c r="A374" s="540" t="n">
        <v>430</v>
      </c>
      <c r="B374" s="540" t="inlineStr">
        <is>
          <t>KQCY0430</t>
        </is>
      </c>
      <c r="C374" s="540" t="inlineStr">
        <is>
          <t>餐饮六分部</t>
        </is>
      </c>
      <c r="D374" s="540" t="inlineStr">
        <is>
          <t>CF479</t>
        </is>
      </c>
      <c r="E374" s="540" t="inlineStr">
        <is>
          <t>江苏省交通技师学院第一食堂</t>
        </is>
      </c>
      <c r="F374" s="540" t="inlineStr">
        <is>
          <t>分组作业</t>
        </is>
      </c>
      <c r="G374" s="540" t="inlineStr">
        <is>
          <t>卫屹</t>
        </is>
      </c>
      <c r="H374" s="540" t="inlineStr">
        <is>
          <t>第十三班组</t>
        </is>
      </c>
      <c r="I374" s="540" t="inlineStr">
        <is>
          <t>鸭血粉丝</t>
        </is>
      </c>
      <c r="J374" s="540" t="inlineStr">
        <is>
          <t>巫杨银</t>
        </is>
      </c>
    </row>
    <row r="375">
      <c r="A375" s="540" t="n">
        <v>432</v>
      </c>
      <c r="B375" s="540" t="inlineStr">
        <is>
          <t>KQCY0432</t>
        </is>
      </c>
      <c r="C375" s="540" t="inlineStr">
        <is>
          <t>餐饮六分部</t>
        </is>
      </c>
      <c r="D375" s="540" t="inlineStr">
        <is>
          <t>CF475</t>
        </is>
      </c>
      <c r="E375" s="540" t="inlineStr">
        <is>
          <t>国科大南京学院食堂</t>
        </is>
      </c>
      <c r="F375" s="540" t="inlineStr">
        <is>
          <t>分组作业</t>
        </is>
      </c>
      <c r="G375" s="540" t="inlineStr">
        <is>
          <t>卫屹</t>
        </is>
      </c>
      <c r="H375" s="540" t="inlineStr">
        <is>
          <t>第一班组</t>
        </is>
      </c>
      <c r="I375" s="540" t="inlineStr">
        <is>
          <t>茶香鸡、麻辣烫、水吧</t>
        </is>
      </c>
      <c r="J375" s="540" t="inlineStr">
        <is>
          <t>浦卫东</t>
        </is>
      </c>
    </row>
    <row r="376">
      <c r="A376" s="540" t="n">
        <v>433</v>
      </c>
      <c r="B376" s="540" t="inlineStr">
        <is>
          <t>KQCY0433</t>
        </is>
      </c>
      <c r="C376" s="540" t="inlineStr">
        <is>
          <t>餐饮六分部</t>
        </is>
      </c>
      <c r="D376" s="540" t="inlineStr">
        <is>
          <t>CF475</t>
        </is>
      </c>
      <c r="E376" s="540" t="inlineStr">
        <is>
          <t>国科大南京学院食堂</t>
        </is>
      </c>
      <c r="F376" s="540" t="inlineStr">
        <is>
          <t>分组作业</t>
        </is>
      </c>
      <c r="G376" s="540" t="inlineStr">
        <is>
          <t>卫屹</t>
        </is>
      </c>
      <c r="H376" s="540" t="inlineStr">
        <is>
          <t>第二班组</t>
        </is>
      </c>
      <c r="I376" s="540" t="inlineStr">
        <is>
          <t>西北风味</t>
        </is>
      </c>
      <c r="J376" s="540" t="inlineStr">
        <is>
          <t>马山杏尼</t>
        </is>
      </c>
    </row>
    <row r="377">
      <c r="A377" s="540" t="n">
        <v>434</v>
      </c>
      <c r="B377" s="540" t="inlineStr">
        <is>
          <t>KQCY0434</t>
        </is>
      </c>
      <c r="C377" s="540" t="inlineStr">
        <is>
          <t>餐饮六分部</t>
        </is>
      </c>
      <c r="D377" s="540" t="inlineStr">
        <is>
          <t>CF475</t>
        </is>
      </c>
      <c r="E377" s="540" t="inlineStr">
        <is>
          <t>国科大南京学院食堂</t>
        </is>
      </c>
      <c r="F377" s="540" t="inlineStr">
        <is>
          <t>分组作业</t>
        </is>
      </c>
      <c r="G377" s="540" t="inlineStr">
        <is>
          <t>卫屹</t>
        </is>
      </c>
      <c r="H377" s="540" t="inlineStr">
        <is>
          <t>第四班组</t>
        </is>
      </c>
      <c r="I377" s="540" t="inlineStr">
        <is>
          <t>七里塘</t>
        </is>
      </c>
      <c r="J377" s="540" t="inlineStr">
        <is>
          <t>沈汉平</t>
        </is>
      </c>
    </row>
    <row r="378">
      <c r="A378" s="540" t="n"/>
      <c r="B378" s="540" t="inlineStr">
        <is>
          <t>补充</t>
        </is>
      </c>
      <c r="C378" s="540" t="inlineStr">
        <is>
          <t>餐饮六分部</t>
        </is>
      </c>
      <c r="D378" s="540" t="inlineStr">
        <is>
          <t>CF479</t>
        </is>
      </c>
      <c r="E378" s="540" t="inlineStr">
        <is>
          <t>江苏省交通技师学院第一食堂</t>
        </is>
      </c>
      <c r="F378" s="540" t="inlineStr">
        <is>
          <t>分组作业</t>
        </is>
      </c>
      <c r="G378" s="540" t="inlineStr">
        <is>
          <t>卫屹</t>
        </is>
      </c>
      <c r="H378" s="540" t="inlineStr">
        <is>
          <t>第四班组</t>
        </is>
      </c>
      <c r="I378" s="540" t="inlineStr">
        <is>
          <t>早餐</t>
        </is>
      </c>
      <c r="J378" s="540" t="inlineStr">
        <is>
          <t>宋寿荣</t>
        </is>
      </c>
    </row>
    <row r="379">
      <c r="A379" s="540" t="n"/>
      <c r="B379" s="540" t="inlineStr">
        <is>
          <t>补充</t>
        </is>
      </c>
      <c r="C379" s="540" t="inlineStr">
        <is>
          <t>餐饮六分部</t>
        </is>
      </c>
      <c r="D379" s="540" t="inlineStr">
        <is>
          <t>CF479</t>
        </is>
      </c>
      <c r="E379" s="540" t="inlineStr">
        <is>
          <t>江苏省交通技师学院第一食堂</t>
        </is>
      </c>
      <c r="F379" s="540" t="inlineStr">
        <is>
          <t>分组作业</t>
        </is>
      </c>
      <c r="G379" s="540" t="inlineStr">
        <is>
          <t>卫屹</t>
        </is>
      </c>
      <c r="H379" s="540" t="inlineStr">
        <is>
          <t>第八班组</t>
        </is>
      </c>
      <c r="I379" s="540" t="inlineStr">
        <is>
          <t>烤鸭饭</t>
        </is>
      </c>
      <c r="J379" s="540" t="inlineStr">
        <is>
          <t>朱浩浩</t>
        </is>
      </c>
    </row>
    <row r="380">
      <c r="A380" s="540" t="n"/>
      <c r="B380" s="540" t="inlineStr">
        <is>
          <t>补充</t>
        </is>
      </c>
      <c r="C380" s="540" t="inlineStr">
        <is>
          <t>餐饮六分部</t>
        </is>
      </c>
      <c r="D380" s="540" t="inlineStr">
        <is>
          <t>CF479</t>
        </is>
      </c>
      <c r="E380" s="540" t="inlineStr">
        <is>
          <t>江苏省交通技师学院第一食堂</t>
        </is>
      </c>
      <c r="F380" s="540" t="inlineStr">
        <is>
          <t>分组作业</t>
        </is>
      </c>
      <c r="G380" s="540" t="inlineStr">
        <is>
          <t>卫屹</t>
        </is>
      </c>
      <c r="H380" s="540" t="inlineStr">
        <is>
          <t>第九班组</t>
        </is>
      </c>
      <c r="I380" s="540" t="inlineStr">
        <is>
          <t>吊龙米线</t>
        </is>
      </c>
      <c r="J380" s="540" t="inlineStr">
        <is>
          <t>吴发松</t>
        </is>
      </c>
    </row>
    <row r="381">
      <c r="A381" s="540" t="n"/>
      <c r="B381" s="540" t="inlineStr">
        <is>
          <t>补充</t>
        </is>
      </c>
      <c r="C381" s="540" t="inlineStr">
        <is>
          <t>餐饮六分部</t>
        </is>
      </c>
      <c r="D381" s="540" t="inlineStr">
        <is>
          <t>CF479</t>
        </is>
      </c>
      <c r="E381" s="540" t="inlineStr">
        <is>
          <t>江苏省交通技师学院第一食堂</t>
        </is>
      </c>
      <c r="F381" s="540" t="inlineStr">
        <is>
          <t>分组作业</t>
        </is>
      </c>
      <c r="G381" s="540" t="inlineStr">
        <is>
          <t>卫屹</t>
        </is>
      </c>
      <c r="H381" s="540" t="inlineStr">
        <is>
          <t>第十班组</t>
        </is>
      </c>
      <c r="I381" s="540" t="inlineStr">
        <is>
          <t>麻辣烫</t>
        </is>
      </c>
      <c r="J381" s="540" t="inlineStr">
        <is>
          <t>于继文</t>
        </is>
      </c>
    </row>
    <row r="382">
      <c r="A382" s="540" t="n"/>
      <c r="B382" s="540" t="inlineStr">
        <is>
          <t>补充</t>
        </is>
      </c>
      <c r="C382" s="540" t="inlineStr">
        <is>
          <t>餐饮六分部</t>
        </is>
      </c>
      <c r="D382" s="540" t="inlineStr">
        <is>
          <t>CF479</t>
        </is>
      </c>
      <c r="E382" s="540" t="inlineStr">
        <is>
          <t>江苏省交通技师学院第一食堂</t>
        </is>
      </c>
      <c r="F382" s="540" t="inlineStr">
        <is>
          <t>分组作业</t>
        </is>
      </c>
      <c r="G382" s="540" t="inlineStr">
        <is>
          <t>卫屹</t>
        </is>
      </c>
      <c r="H382" s="540" t="inlineStr">
        <is>
          <t>第十一班组</t>
        </is>
      </c>
      <c r="I382" s="540" t="inlineStr">
        <is>
          <t>掉渣饼</t>
        </is>
      </c>
      <c r="J382" s="540" t="inlineStr">
        <is>
          <t>姚杨</t>
        </is>
      </c>
    </row>
    <row r="383">
      <c r="A383" s="540" t="n"/>
      <c r="B383" s="540" t="inlineStr">
        <is>
          <t>补充</t>
        </is>
      </c>
      <c r="C383" s="540" t="inlineStr">
        <is>
          <t>餐饮六分部</t>
        </is>
      </c>
      <c r="D383" s="540" t="inlineStr">
        <is>
          <t>CF479</t>
        </is>
      </c>
      <c r="E383" s="540" t="inlineStr">
        <is>
          <t>江苏省交通技师学院第一食堂</t>
        </is>
      </c>
      <c r="F383" s="540" t="inlineStr">
        <is>
          <t>分组作业</t>
        </is>
      </c>
      <c r="G383" s="540" t="inlineStr">
        <is>
          <t>卫屹</t>
        </is>
      </c>
      <c r="H383" s="540" t="inlineStr">
        <is>
          <t>第十二班组</t>
        </is>
      </c>
      <c r="I383" s="540" t="inlineStr">
        <is>
          <t>临榆炸鸡腿</t>
        </is>
      </c>
      <c r="J383" s="540" t="inlineStr">
        <is>
          <t>俞磊</t>
        </is>
      </c>
    </row>
    <row r="384">
      <c r="A384" s="540" t="n"/>
      <c r="B384" s="540" t="inlineStr">
        <is>
          <t>补充</t>
        </is>
      </c>
      <c r="C384" s="540" t="inlineStr">
        <is>
          <t>餐饮三分部</t>
        </is>
      </c>
      <c r="D384" s="540" t="inlineStr">
        <is>
          <t>CF320</t>
        </is>
      </c>
      <c r="E384" s="540" t="inlineStr">
        <is>
          <t>江苏财经梅园食堂</t>
        </is>
      </c>
      <c r="F384" s="540" t="inlineStr">
        <is>
          <t>分组作业</t>
        </is>
      </c>
      <c r="G384" s="540" t="inlineStr">
        <is>
          <t>徐敏娟</t>
        </is>
      </c>
      <c r="H384" s="540" t="n"/>
      <c r="I384" s="540" t="inlineStr">
        <is>
          <t>茶香鸡</t>
        </is>
      </c>
      <c r="J384" s="540" t="inlineStr">
        <is>
          <t>王兆飞</t>
        </is>
      </c>
    </row>
    <row r="385">
      <c r="A385" s="540" t="n"/>
      <c r="B385" s="540" t="inlineStr">
        <is>
          <t>补充</t>
        </is>
      </c>
      <c r="C385" s="540" t="inlineStr">
        <is>
          <t>餐饮三分部</t>
        </is>
      </c>
      <c r="D385" s="540" t="inlineStr">
        <is>
          <t>CF320</t>
        </is>
      </c>
      <c r="E385" s="540" t="inlineStr">
        <is>
          <t>江苏财经梅园食堂</t>
        </is>
      </c>
      <c r="F385" s="540" t="inlineStr">
        <is>
          <t>分组作业</t>
        </is>
      </c>
      <c r="G385" s="540" t="inlineStr">
        <is>
          <t>徐敏娟</t>
        </is>
      </c>
      <c r="H385" s="540" t="n"/>
      <c r="I385" s="540" t="inlineStr">
        <is>
          <t>酥肉小锅</t>
        </is>
      </c>
      <c r="J385" s="540" t="inlineStr">
        <is>
          <t>周功源</t>
        </is>
      </c>
    </row>
    <row r="386">
      <c r="A386" s="540" t="n"/>
      <c r="B386" s="540" t="inlineStr">
        <is>
          <t>补充</t>
        </is>
      </c>
      <c r="C386" s="540" t="inlineStr">
        <is>
          <t>餐饮三分部</t>
        </is>
      </c>
      <c r="D386" s="540" t="inlineStr">
        <is>
          <t>CF320</t>
        </is>
      </c>
      <c r="E386" s="540" t="inlineStr">
        <is>
          <t>江苏财经梅园食堂</t>
        </is>
      </c>
      <c r="F386" s="540" t="inlineStr">
        <is>
          <t>分组作业</t>
        </is>
      </c>
      <c r="G386" s="540" t="inlineStr">
        <is>
          <t>徐敏娟</t>
        </is>
      </c>
      <c r="H386" s="540" t="n"/>
      <c r="I386" s="540" t="inlineStr">
        <is>
          <t>大哈恰饭</t>
        </is>
      </c>
      <c r="J386" s="540" t="inlineStr">
        <is>
          <t>陈海</t>
        </is>
      </c>
    </row>
    <row r="387">
      <c r="A387" s="540" t="n"/>
      <c r="B387" s="540" t="inlineStr">
        <is>
          <t>补充</t>
        </is>
      </c>
      <c r="C387" s="540" t="inlineStr">
        <is>
          <t>餐饮三分部</t>
        </is>
      </c>
      <c r="D387" s="540" t="inlineStr">
        <is>
          <t>CF320</t>
        </is>
      </c>
      <c r="E387" s="540" t="inlineStr">
        <is>
          <t>江苏财经梅园食堂</t>
        </is>
      </c>
      <c r="F387" s="540" t="inlineStr">
        <is>
          <t>分组作业</t>
        </is>
      </c>
      <c r="G387" s="540" t="inlineStr">
        <is>
          <t>徐敏娟</t>
        </is>
      </c>
      <c r="H387" s="540" t="n"/>
      <c r="I387" s="540" t="inlineStr">
        <is>
          <t>大碗面</t>
        </is>
      </c>
      <c r="J387" s="540" t="inlineStr">
        <is>
          <t>李龙</t>
        </is>
      </c>
    </row>
    <row r="388">
      <c r="A388" s="540" t="n"/>
      <c r="B388" s="540" t="inlineStr">
        <is>
          <t>补充</t>
        </is>
      </c>
      <c r="C388" s="540" t="inlineStr">
        <is>
          <t>餐饮三分部</t>
        </is>
      </c>
      <c r="D388" s="540" t="inlineStr">
        <is>
          <t>CF320</t>
        </is>
      </c>
      <c r="E388" s="540" t="inlineStr">
        <is>
          <t>江苏财经梅园食堂</t>
        </is>
      </c>
      <c r="F388" s="540" t="inlineStr">
        <is>
          <t>分组作业</t>
        </is>
      </c>
      <c r="G388" s="540" t="inlineStr">
        <is>
          <t>徐敏娟</t>
        </is>
      </c>
      <c r="H388" s="540" t="n"/>
      <c r="I388" s="540" t="inlineStr">
        <is>
          <t>庆雪美食</t>
        </is>
      </c>
      <c r="J388" s="540" t="inlineStr">
        <is>
          <t>李嵩</t>
        </is>
      </c>
    </row>
    <row r="389">
      <c r="A389" s="540" t="n"/>
      <c r="B389" s="540" t="inlineStr">
        <is>
          <t>补充</t>
        </is>
      </c>
      <c r="C389" s="540" t="inlineStr">
        <is>
          <t>餐饮三分部</t>
        </is>
      </c>
      <c r="D389" s="540" t="inlineStr">
        <is>
          <t>CF320</t>
        </is>
      </c>
      <c r="E389" s="540" t="inlineStr">
        <is>
          <t>江苏财经梅园食堂</t>
        </is>
      </c>
      <c r="F389" s="540" t="inlineStr">
        <is>
          <t>分组作业</t>
        </is>
      </c>
      <c r="G389" s="540" t="inlineStr">
        <is>
          <t>徐敏娟</t>
        </is>
      </c>
      <c r="H389" s="540" t="n"/>
      <c r="I389" s="540" t="inlineStr">
        <is>
          <t>早餐</t>
        </is>
      </c>
      <c r="J389" s="540" t="inlineStr">
        <is>
          <t>冀爱菊</t>
        </is>
      </c>
    </row>
    <row r="390">
      <c r="A390" s="540" t="n"/>
      <c r="B390" s="540" t="inlineStr">
        <is>
          <t>补充</t>
        </is>
      </c>
      <c r="C390" s="540" t="inlineStr">
        <is>
          <t>餐饮二分部</t>
        </is>
      </c>
      <c r="D390" s="540" t="inlineStr">
        <is>
          <t>CF364</t>
        </is>
      </c>
      <c r="E390" s="540" t="inlineStr">
        <is>
          <t>江苏航运思本轩食堂</t>
        </is>
      </c>
      <c r="F390" s="540" t="inlineStr">
        <is>
          <t>分组作业</t>
        </is>
      </c>
      <c r="G390" s="540" t="inlineStr">
        <is>
          <t>郑虎</t>
        </is>
      </c>
      <c r="H390" s="540" t="n"/>
      <c r="I390" s="540" t="inlineStr">
        <is>
          <t>大碗面</t>
        </is>
      </c>
      <c r="J390" s="540" t="inlineStr">
        <is>
          <t>张义丛</t>
        </is>
      </c>
    </row>
    <row r="391">
      <c r="A391" s="540" t="n"/>
      <c r="B391" s="540" t="inlineStr">
        <is>
          <t>补充</t>
        </is>
      </c>
      <c r="C391" s="540" t="inlineStr">
        <is>
          <t>餐饮三分部</t>
        </is>
      </c>
      <c r="D391" s="540" t="inlineStr">
        <is>
          <t>CF251</t>
        </is>
      </c>
      <c r="E391" s="540" t="inlineStr">
        <is>
          <t>苏州职大二食堂</t>
        </is>
      </c>
      <c r="F391" s="540" t="inlineStr">
        <is>
          <t>分组作业</t>
        </is>
      </c>
      <c r="G391" s="540" t="inlineStr">
        <is>
          <t>张镁镁</t>
        </is>
      </c>
      <c r="H391" s="540" t="inlineStr">
        <is>
          <t>第十四班组</t>
        </is>
      </c>
      <c r="I391" s="540" t="inlineStr">
        <is>
          <t>米线</t>
        </is>
      </c>
      <c r="J391" s="540" t="inlineStr">
        <is>
          <t>张郁磊</t>
        </is>
      </c>
    </row>
    <row r="392">
      <c r="A392" s="540" t="n"/>
      <c r="B392" s="540" t="inlineStr">
        <is>
          <t>补充</t>
        </is>
      </c>
      <c r="C392" s="540" t="inlineStr">
        <is>
          <t>餐饮三分部</t>
        </is>
      </c>
      <c r="D392" s="540" t="inlineStr">
        <is>
          <t>CF251</t>
        </is>
      </c>
      <c r="E392" s="540" t="inlineStr">
        <is>
          <t>苏州职大二食堂</t>
        </is>
      </c>
      <c r="F392" s="540" t="inlineStr">
        <is>
          <t>分组作业</t>
        </is>
      </c>
      <c r="G392" s="540" t="inlineStr">
        <is>
          <t>张镁镁</t>
        </is>
      </c>
      <c r="H392" s="540" t="inlineStr">
        <is>
          <t>第一班组</t>
        </is>
      </c>
      <c r="I392" s="540" t="inlineStr">
        <is>
          <t>烘焙</t>
        </is>
      </c>
      <c r="J392" s="540" t="inlineStr">
        <is>
          <t>彭家谋</t>
        </is>
      </c>
    </row>
    <row r="393">
      <c r="A393" s="540" t="n"/>
      <c r="B393" s="540" t="inlineStr">
        <is>
          <t>补充</t>
        </is>
      </c>
      <c r="C393" s="540" t="inlineStr">
        <is>
          <t>餐饮三分部</t>
        </is>
      </c>
      <c r="D393" s="540" t="inlineStr">
        <is>
          <t>CF251</t>
        </is>
      </c>
      <c r="E393" s="540" t="inlineStr">
        <is>
          <t>苏州职大二食堂</t>
        </is>
      </c>
      <c r="F393" s="540" t="inlineStr">
        <is>
          <t>分组作业</t>
        </is>
      </c>
      <c r="G393" s="540" t="inlineStr">
        <is>
          <t>张镁镁</t>
        </is>
      </c>
      <c r="H393" s="540" t="inlineStr">
        <is>
          <t>第三班组</t>
        </is>
      </c>
      <c r="I393" s="540" t="inlineStr">
        <is>
          <t>快餐</t>
        </is>
      </c>
      <c r="J393" s="540" t="inlineStr">
        <is>
          <t>郭四喜</t>
        </is>
      </c>
    </row>
    <row r="394">
      <c r="A394" s="540" t="n"/>
      <c r="B394" s="540" t="inlineStr">
        <is>
          <t>补充</t>
        </is>
      </c>
      <c r="C394" s="540" t="inlineStr">
        <is>
          <t>餐饮三分部</t>
        </is>
      </c>
      <c r="D394" s="540" t="inlineStr">
        <is>
          <t>CF641</t>
        </is>
      </c>
      <c r="E394" s="540" t="inlineStr">
        <is>
          <t>中山大学北学二食堂</t>
        </is>
      </c>
      <c r="F394" s="540" t="inlineStr">
        <is>
          <t>分组作业</t>
        </is>
      </c>
      <c r="G394" s="540" t="inlineStr">
        <is>
          <t>徐敏娟</t>
        </is>
      </c>
      <c r="H394" s="540" t="inlineStr">
        <is>
          <t>第七班组</t>
        </is>
      </c>
      <c r="I394" s="540" t="inlineStr">
        <is>
          <t>烧腊</t>
        </is>
      </c>
      <c r="J394" s="540" t="inlineStr">
        <is>
          <t>黄海龙</t>
        </is>
      </c>
    </row>
    <row r="395">
      <c r="A395" s="540" t="n"/>
      <c r="B395" s="540" t="inlineStr">
        <is>
          <t>补充</t>
        </is>
      </c>
      <c r="C395" s="540" t="inlineStr">
        <is>
          <t>餐饮三分部</t>
        </is>
      </c>
      <c r="D395" s="540" t="inlineStr">
        <is>
          <t>CF641</t>
        </is>
      </c>
      <c r="E395" s="540" t="inlineStr">
        <is>
          <t>中山大学北学二食堂</t>
        </is>
      </c>
      <c r="F395" s="540" t="inlineStr">
        <is>
          <t>分组作业</t>
        </is>
      </c>
      <c r="G395" s="540" t="inlineStr">
        <is>
          <t>徐敏娟</t>
        </is>
      </c>
      <c r="H395" s="540" t="inlineStr">
        <is>
          <t>第九班组</t>
        </is>
      </c>
      <c r="I395" s="540" t="inlineStr">
        <is>
          <t>小馄饨</t>
        </is>
      </c>
      <c r="J395" s="540" t="inlineStr">
        <is>
          <t>林金新</t>
        </is>
      </c>
    </row>
    <row r="396">
      <c r="A396" s="540" t="n"/>
      <c r="B396" s="540" t="inlineStr">
        <is>
          <t>补充</t>
        </is>
      </c>
      <c r="C396" s="540" t="inlineStr">
        <is>
          <t>餐饮三分部</t>
        </is>
      </c>
      <c r="D396" s="540" t="inlineStr">
        <is>
          <t>CF641</t>
        </is>
      </c>
      <c r="E396" s="540" t="inlineStr">
        <is>
          <t>中山大学北学二食堂</t>
        </is>
      </c>
      <c r="F396" s="540" t="inlineStr">
        <is>
          <t>分组作业</t>
        </is>
      </c>
      <c r="G396" s="540" t="inlineStr">
        <is>
          <t>徐敏娟</t>
        </is>
      </c>
      <c r="H396" s="540" t="inlineStr">
        <is>
          <t>第六班组</t>
        </is>
      </c>
      <c r="I396" s="540" t="inlineStr">
        <is>
          <t>自选称重餐</t>
        </is>
      </c>
      <c r="J396" s="540" t="inlineStr">
        <is>
          <t>黄国青</t>
        </is>
      </c>
    </row>
    <row r="397">
      <c r="A397" s="540" t="n"/>
      <c r="B397" s="540" t="inlineStr">
        <is>
          <t>补充</t>
        </is>
      </c>
      <c r="C397" s="540" t="inlineStr">
        <is>
          <t>餐饮三分部</t>
        </is>
      </c>
      <c r="D397" s="540" t="inlineStr">
        <is>
          <t>CF641</t>
        </is>
      </c>
      <c r="E397" s="540" t="inlineStr">
        <is>
          <t>中山大学北学二食堂</t>
        </is>
      </c>
      <c r="F397" s="540" t="inlineStr">
        <is>
          <t>分组作业</t>
        </is>
      </c>
      <c r="G397" s="540" t="inlineStr">
        <is>
          <t>徐敏娟</t>
        </is>
      </c>
      <c r="H397" s="540" t="inlineStr">
        <is>
          <t>第七班组</t>
        </is>
      </c>
      <c r="I397" s="540" t="inlineStr">
        <is>
          <t>自选称重餐</t>
        </is>
      </c>
      <c r="J397" s="540" t="inlineStr">
        <is>
          <t>蒲久龙</t>
        </is>
      </c>
    </row>
    <row r="398">
      <c r="A398" s="540" t="n"/>
      <c r="B398" s="540" t="inlineStr">
        <is>
          <t>补充</t>
        </is>
      </c>
      <c r="C398" s="540" t="inlineStr">
        <is>
          <t>餐饮一分部</t>
        </is>
      </c>
      <c r="D398" s="540" t="inlineStr">
        <is>
          <t>CF477</t>
        </is>
      </c>
      <c r="E398" s="540" t="inlineStr">
        <is>
          <t>上海民航第一食堂</t>
        </is>
      </c>
      <c r="F398" s="540" t="inlineStr">
        <is>
          <t>分组作业</t>
        </is>
      </c>
      <c r="G398" s="540" t="inlineStr">
        <is>
          <t>卫屹</t>
        </is>
      </c>
      <c r="H398" s="540" t="inlineStr">
        <is>
          <t>第一班组</t>
        </is>
      </c>
      <c r="I398" s="540" t="inlineStr">
        <is>
          <t>早餐</t>
        </is>
      </c>
      <c r="J398" s="540" t="inlineStr">
        <is>
          <t>夏燕红</t>
        </is>
      </c>
    </row>
    <row r="399">
      <c r="A399" s="540" t="n"/>
      <c r="B399" s="540" t="inlineStr">
        <is>
          <t>补充</t>
        </is>
      </c>
      <c r="C399" s="540" t="inlineStr">
        <is>
          <t>餐饮一分部</t>
        </is>
      </c>
      <c r="D399" s="540" t="inlineStr">
        <is>
          <t>CF477</t>
        </is>
      </c>
      <c r="E399" s="540" t="inlineStr">
        <is>
          <t>上海民航第一食堂</t>
        </is>
      </c>
      <c r="F399" s="540" t="inlineStr">
        <is>
          <t>分组作业</t>
        </is>
      </c>
      <c r="G399" s="540" t="inlineStr">
        <is>
          <t>卫屹</t>
        </is>
      </c>
      <c r="H399" s="540" t="inlineStr">
        <is>
          <t>第五班组</t>
        </is>
      </c>
      <c r="I399" s="540" t="inlineStr">
        <is>
          <t>三楼风味</t>
        </is>
      </c>
      <c r="J399" s="540" t="inlineStr">
        <is>
          <t>卢翠连</t>
        </is>
      </c>
    </row>
    <row r="400">
      <c r="A400" s="540" t="n"/>
      <c r="B400" s="540" t="inlineStr">
        <is>
          <t>补充</t>
        </is>
      </c>
      <c r="C400" s="540" t="inlineStr">
        <is>
          <t>餐饮六分部</t>
        </is>
      </c>
      <c r="D400" s="540" t="inlineStr">
        <is>
          <t>CF293</t>
        </is>
      </c>
      <c r="E400" s="540" t="inlineStr">
        <is>
          <t>江苏二师石湫校区食堂</t>
        </is>
      </c>
      <c r="F400" s="540" t="inlineStr">
        <is>
          <t>分组作业</t>
        </is>
      </c>
      <c r="G400" s="540" t="inlineStr">
        <is>
          <t>徐敏娟</t>
        </is>
      </c>
      <c r="H400" s="540" t="n"/>
      <c r="I400" s="540" t="inlineStr">
        <is>
          <t>馄饨</t>
        </is>
      </c>
      <c r="J400" s="540" t="inlineStr">
        <is>
          <t>陈强</t>
        </is>
      </c>
    </row>
    <row r="401">
      <c r="A401" s="540" t="n"/>
      <c r="B401" s="540" t="inlineStr">
        <is>
          <t>补充</t>
        </is>
      </c>
      <c r="C401" s="540" t="inlineStr">
        <is>
          <t>餐饮六分部</t>
        </is>
      </c>
      <c r="D401" s="540" t="inlineStr">
        <is>
          <t>CF293</t>
        </is>
      </c>
      <c r="E401" s="540" t="inlineStr">
        <is>
          <t>江苏二师石湫校区食堂</t>
        </is>
      </c>
      <c r="F401" s="540" t="inlineStr">
        <is>
          <t>分组作业</t>
        </is>
      </c>
      <c r="G401" s="540" t="inlineStr">
        <is>
          <t>徐敏娟</t>
        </is>
      </c>
      <c r="H401" s="540" t="n"/>
      <c r="I401" s="540" t="inlineStr">
        <is>
          <t>幸运面</t>
        </is>
      </c>
      <c r="J401" s="540" t="inlineStr">
        <is>
          <t>李龙</t>
        </is>
      </c>
    </row>
    <row r="402">
      <c r="A402" s="540" t="n"/>
      <c r="B402" s="540" t="inlineStr">
        <is>
          <t>补充</t>
        </is>
      </c>
      <c r="C402" s="540" t="inlineStr">
        <is>
          <t>餐饮六分部</t>
        </is>
      </c>
      <c r="D402" s="540" t="inlineStr">
        <is>
          <t>CF293</t>
        </is>
      </c>
      <c r="E402" s="540" t="inlineStr">
        <is>
          <t>江苏二师石湫校区食堂</t>
        </is>
      </c>
      <c r="F402" s="540" t="inlineStr">
        <is>
          <t>分组作业</t>
        </is>
      </c>
      <c r="G402" s="540" t="inlineStr">
        <is>
          <t>徐敏娟</t>
        </is>
      </c>
      <c r="H402" s="540" t="n"/>
      <c r="I402" s="540" t="inlineStr">
        <is>
          <t>早餐</t>
        </is>
      </c>
      <c r="J402" s="540" t="inlineStr">
        <is>
          <t>陈定奎</t>
        </is>
      </c>
    </row>
    <row r="403">
      <c r="A403" s="540" t="n"/>
      <c r="B403" s="540" t="inlineStr">
        <is>
          <t>补充</t>
        </is>
      </c>
      <c r="C403" s="540" t="inlineStr">
        <is>
          <t>餐饮五分部</t>
        </is>
      </c>
      <c r="D403" s="540" t="inlineStr">
        <is>
          <t>CF134</t>
        </is>
      </c>
      <c r="E403" s="540" t="inlineStr">
        <is>
          <t>苏大独墅湖五食堂</t>
        </is>
      </c>
      <c r="F403" s="540" t="inlineStr">
        <is>
          <t>分组作业</t>
        </is>
      </c>
      <c r="G403" s="540" t="inlineStr">
        <is>
          <t>徐敏娟</t>
        </is>
      </c>
      <c r="H403" s="540" t="inlineStr">
        <is>
          <t>/</t>
        </is>
      </c>
      <c r="I403" s="540" t="inlineStr">
        <is>
          <t>昆明小吃</t>
        </is>
      </c>
      <c r="J403" s="540" t="inlineStr">
        <is>
          <t>王光芬</t>
        </is>
      </c>
    </row>
    <row r="404">
      <c r="A404" s="540" t="n"/>
      <c r="B404" s="540" t="inlineStr">
        <is>
          <t>补充</t>
        </is>
      </c>
      <c r="C404" s="540" t="inlineStr">
        <is>
          <t>餐饮五分部</t>
        </is>
      </c>
      <c r="D404" s="540" t="inlineStr">
        <is>
          <t>CF134</t>
        </is>
      </c>
      <c r="E404" s="540" t="inlineStr">
        <is>
          <t>苏大独墅湖五食堂</t>
        </is>
      </c>
      <c r="F404" s="540" t="inlineStr">
        <is>
          <t>分组作业</t>
        </is>
      </c>
      <c r="G404" s="540" t="inlineStr">
        <is>
          <t>徐敏娟</t>
        </is>
      </c>
      <c r="H404" s="540" t="inlineStr">
        <is>
          <t>/</t>
        </is>
      </c>
      <c r="I404" s="540" t="inlineStr">
        <is>
          <t>蒸菜</t>
        </is>
      </c>
      <c r="J404" s="540" t="inlineStr">
        <is>
          <t>岳磊</t>
        </is>
      </c>
    </row>
    <row r="405">
      <c r="A405" s="540" t="n"/>
      <c r="B405" s="540" t="inlineStr">
        <is>
          <t>补充</t>
        </is>
      </c>
      <c r="C405" s="540" t="inlineStr">
        <is>
          <t>餐饮二分部</t>
        </is>
      </c>
      <c r="D405" s="540" t="inlineStr">
        <is>
          <t>CF360</t>
        </is>
      </c>
      <c r="E405" s="540" t="inlineStr">
        <is>
          <t>南通师专新校区食堂</t>
        </is>
      </c>
      <c r="F405" s="540" t="inlineStr">
        <is>
          <t>分组作业</t>
        </is>
      </c>
      <c r="G405" s="540" t="inlineStr">
        <is>
          <t>郑虎</t>
        </is>
      </c>
      <c r="H405" s="540" t="inlineStr">
        <is>
          <t>第六班组</t>
        </is>
      </c>
      <c r="I405" s="540" t="inlineStr">
        <is>
          <t>辣椒炒肉</t>
        </is>
      </c>
      <c r="J405" s="540" t="inlineStr">
        <is>
          <t>吴康</t>
        </is>
      </c>
    </row>
    <row r="406">
      <c r="A406" s="540" t="n"/>
      <c r="B406" s="540" t="inlineStr">
        <is>
          <t>补充</t>
        </is>
      </c>
      <c r="C406" s="540" t="inlineStr">
        <is>
          <t>餐饮二分部</t>
        </is>
      </c>
      <c r="D406" s="540" t="inlineStr">
        <is>
          <t>CF450</t>
        </is>
      </c>
      <c r="E406" s="540" t="inlineStr">
        <is>
          <t>天津大学学二食堂</t>
        </is>
      </c>
      <c r="F406" s="540" t="inlineStr">
        <is>
          <t>强责</t>
        </is>
      </c>
      <c r="G406" s="540" t="inlineStr">
        <is>
          <t>徐敏捷</t>
        </is>
      </c>
      <c r="H406" s="540" t="inlineStr">
        <is>
          <t>/</t>
        </is>
      </c>
      <c r="I406" s="540" t="inlineStr">
        <is>
          <t xml:space="preserve"> 一楼第四班组</t>
        </is>
      </c>
      <c r="J406" s="540" t="inlineStr">
        <is>
          <t>郭宝义</t>
        </is>
      </c>
    </row>
    <row r="407">
      <c r="A407" s="540" t="n"/>
      <c r="B407" s="540" t="inlineStr">
        <is>
          <t>补充</t>
        </is>
      </c>
      <c r="C407" s="540" t="inlineStr">
        <is>
          <t>餐饮二分部</t>
        </is>
      </c>
      <c r="D407" s="540" t="inlineStr">
        <is>
          <t>CF450</t>
        </is>
      </c>
      <c r="E407" s="540" t="inlineStr">
        <is>
          <t>天津大学学二食堂</t>
        </is>
      </c>
      <c r="F407" s="540" t="inlineStr">
        <is>
          <t>强责</t>
        </is>
      </c>
      <c r="G407" s="540" t="inlineStr">
        <is>
          <t>徐敏捷</t>
        </is>
      </c>
      <c r="H407" s="540" t="inlineStr">
        <is>
          <t>/</t>
        </is>
      </c>
      <c r="I407" s="540" t="inlineStr">
        <is>
          <t xml:space="preserve"> 一楼第四班组</t>
        </is>
      </c>
      <c r="J407" s="540" t="inlineStr">
        <is>
          <t>郭宝义</t>
        </is>
      </c>
    </row>
    <row r="408">
      <c r="A408" s="540" t="n"/>
      <c r="B408" s="540" t="inlineStr">
        <is>
          <t>补充</t>
        </is>
      </c>
      <c r="C408" s="540" t="inlineStr">
        <is>
          <t>餐饮三分部</t>
        </is>
      </c>
      <c r="D408" s="540" t="inlineStr">
        <is>
          <t>CF699</t>
        </is>
      </c>
      <c r="E408" s="540" t="inlineStr">
        <is>
          <t>徐医大第一食堂</t>
        </is>
      </c>
      <c r="F408" s="540" t="inlineStr">
        <is>
          <t>分组作业</t>
        </is>
      </c>
      <c r="G408" s="540" t="inlineStr">
        <is>
          <t>徐敏捷</t>
        </is>
      </c>
      <c r="H408" s="540" t="n"/>
      <c r="I408" s="540" t="inlineStr">
        <is>
          <t>麻辣烫</t>
        </is>
      </c>
      <c r="J408" s="540" t="inlineStr">
        <is>
          <t>侯国安</t>
        </is>
      </c>
    </row>
    <row r="409">
      <c r="A409" s="540" t="n"/>
      <c r="B409" s="540" t="inlineStr">
        <is>
          <t>补充</t>
        </is>
      </c>
      <c r="C409" s="540" t="inlineStr">
        <is>
          <t>餐饮三分部</t>
        </is>
      </c>
      <c r="D409" s="540" t="inlineStr">
        <is>
          <t>CF699</t>
        </is>
      </c>
      <c r="E409" s="540" t="inlineStr">
        <is>
          <t>徐医大第一食堂</t>
        </is>
      </c>
      <c r="F409" s="540" t="inlineStr">
        <is>
          <t>分组作业</t>
        </is>
      </c>
      <c r="G409" s="540" t="inlineStr">
        <is>
          <t>徐敏捷</t>
        </is>
      </c>
      <c r="H409" s="540" t="n"/>
      <c r="I409" s="540" t="inlineStr">
        <is>
          <t>早餐</t>
        </is>
      </c>
      <c r="J409" s="540" t="inlineStr">
        <is>
          <t>马鲍林</t>
        </is>
      </c>
    </row>
    <row r="410">
      <c r="A410" s="540" t="n"/>
      <c r="B410" s="540" t="inlineStr">
        <is>
          <t>补充</t>
        </is>
      </c>
      <c r="C410" s="540" t="inlineStr">
        <is>
          <t>餐饮三分部</t>
        </is>
      </c>
      <c r="D410" s="540" t="inlineStr">
        <is>
          <t>CF699</t>
        </is>
      </c>
      <c r="E410" s="540" t="inlineStr">
        <is>
          <t>徐医大第一食堂</t>
        </is>
      </c>
      <c r="F410" s="540" t="inlineStr">
        <is>
          <t>分组作业</t>
        </is>
      </c>
      <c r="G410" s="540" t="inlineStr">
        <is>
          <t>徐敏捷</t>
        </is>
      </c>
      <c r="H410" s="540" t="n"/>
      <c r="I410" s="540" t="inlineStr">
        <is>
          <t>快餐</t>
        </is>
      </c>
      <c r="J410" s="540" t="inlineStr">
        <is>
          <t>郭璐</t>
        </is>
      </c>
    </row>
    <row r="411">
      <c r="A411" s="540" t="n"/>
      <c r="B411" s="540" t="inlineStr">
        <is>
          <t>补充</t>
        </is>
      </c>
      <c r="C411" s="540" t="inlineStr">
        <is>
          <t>餐饮三分部</t>
        </is>
      </c>
      <c r="D411" s="540" t="inlineStr">
        <is>
          <t>CF699</t>
        </is>
      </c>
      <c r="E411" s="540" t="inlineStr">
        <is>
          <t>徐医大第一食堂</t>
        </is>
      </c>
      <c r="F411" s="540" t="inlineStr">
        <is>
          <t>分组作业</t>
        </is>
      </c>
      <c r="G411" s="540" t="inlineStr">
        <is>
          <t>徐敏捷</t>
        </is>
      </c>
      <c r="H411" s="540" t="n"/>
      <c r="I411" s="540" t="inlineStr">
        <is>
          <t>精品套餐</t>
        </is>
      </c>
      <c r="J411" s="540" t="inlineStr">
        <is>
          <t>韦志得</t>
        </is>
      </c>
    </row>
    <row r="412">
      <c r="A412" s="540" t="n"/>
      <c r="B412" s="540" t="inlineStr">
        <is>
          <t>补充</t>
        </is>
      </c>
      <c r="C412" s="540" t="inlineStr">
        <is>
          <t>餐饮六分部</t>
        </is>
      </c>
      <c r="D412" s="540" t="inlineStr">
        <is>
          <t>CF480</t>
        </is>
      </c>
      <c r="E412" s="540" t="inlineStr">
        <is>
          <t>江苏旅游学生食堂二楼</t>
        </is>
      </c>
      <c r="F412" s="540" t="inlineStr">
        <is>
          <t>分组作业</t>
        </is>
      </c>
      <c r="G412" s="540" t="inlineStr">
        <is>
          <t>徐敏娟</t>
        </is>
      </c>
      <c r="H412" s="540" t="inlineStr">
        <is>
          <t>/</t>
        </is>
      </c>
      <c r="I412" s="540" t="inlineStr">
        <is>
          <t>米线</t>
        </is>
      </c>
      <c r="J412" s="540" t="inlineStr">
        <is>
          <t>杨萍</t>
        </is>
      </c>
    </row>
    <row r="413">
      <c r="A413" s="540" t="n"/>
      <c r="B413" s="540" t="inlineStr">
        <is>
          <t>补充</t>
        </is>
      </c>
      <c r="C413" s="540" t="inlineStr">
        <is>
          <t>餐饮六分部</t>
        </is>
      </c>
      <c r="D413" s="540" t="inlineStr">
        <is>
          <t>CF480</t>
        </is>
      </c>
      <c r="E413" s="540" t="inlineStr">
        <is>
          <t>江苏旅游学生食堂二楼</t>
        </is>
      </c>
      <c r="F413" s="540" t="inlineStr">
        <is>
          <t>分组作业</t>
        </is>
      </c>
      <c r="G413" s="540" t="inlineStr">
        <is>
          <t>徐敏娟</t>
        </is>
      </c>
      <c r="H413" s="540" t="inlineStr">
        <is>
          <t>/</t>
        </is>
      </c>
      <c r="I413" s="540" t="inlineStr">
        <is>
          <t>辣椒炒肉</t>
        </is>
      </c>
      <c r="J413" s="540" t="inlineStr">
        <is>
          <t>孙云伟</t>
        </is>
      </c>
    </row>
    <row r="414">
      <c r="A414" s="540" t="n"/>
      <c r="B414" s="540" t="inlineStr">
        <is>
          <t>补充</t>
        </is>
      </c>
      <c r="C414" s="540" t="inlineStr">
        <is>
          <t>餐饮六分部</t>
        </is>
      </c>
      <c r="D414" s="540" t="inlineStr">
        <is>
          <t>CF480</t>
        </is>
      </c>
      <c r="E414" s="540" t="inlineStr">
        <is>
          <t>江苏旅游学生食堂二楼</t>
        </is>
      </c>
      <c r="F414" s="540" t="inlineStr">
        <is>
          <t>分组作业</t>
        </is>
      </c>
      <c r="G414" s="540" t="inlineStr">
        <is>
          <t>徐敏娟</t>
        </is>
      </c>
      <c r="H414" s="540" t="inlineStr">
        <is>
          <t>/</t>
        </is>
      </c>
      <c r="I414" s="540" t="inlineStr">
        <is>
          <t>快餐自选</t>
        </is>
      </c>
      <c r="J414" s="540" t="inlineStr">
        <is>
          <t>李玉娇</t>
        </is>
      </c>
    </row>
    <row r="415">
      <c r="A415" s="540" t="n"/>
      <c r="B415" s="540" t="inlineStr">
        <is>
          <t>补充</t>
        </is>
      </c>
      <c r="C415" s="540" t="inlineStr">
        <is>
          <t>餐饮六分部</t>
        </is>
      </c>
      <c r="D415" s="540" t="inlineStr">
        <is>
          <t>CF480</t>
        </is>
      </c>
      <c r="E415" s="540" t="inlineStr">
        <is>
          <t>江苏旅游学生食堂二楼</t>
        </is>
      </c>
      <c r="F415" s="540" t="inlineStr">
        <is>
          <t>分组作业</t>
        </is>
      </c>
      <c r="G415" s="540" t="inlineStr">
        <is>
          <t>徐敏娟</t>
        </is>
      </c>
      <c r="H415" s="540" t="inlineStr">
        <is>
          <t>/</t>
        </is>
      </c>
      <c r="I415" s="540" t="inlineStr">
        <is>
          <t>虾仁捞饭</t>
        </is>
      </c>
      <c r="J415" s="540" t="inlineStr">
        <is>
          <t>周玉娟</t>
        </is>
      </c>
    </row>
    <row r="416">
      <c r="A416" s="540" t="n"/>
      <c r="B416" s="540" t="inlineStr">
        <is>
          <t>补充</t>
        </is>
      </c>
      <c r="C416" s="540" t="inlineStr">
        <is>
          <t>餐饮六分部</t>
        </is>
      </c>
      <c r="D416" s="540" t="inlineStr">
        <is>
          <t>CF480</t>
        </is>
      </c>
      <c r="E416" s="540" t="inlineStr">
        <is>
          <t>江苏旅游学生食堂二楼</t>
        </is>
      </c>
      <c r="F416" s="540" t="inlineStr">
        <is>
          <t>分组作业</t>
        </is>
      </c>
      <c r="G416" s="540" t="inlineStr">
        <is>
          <t>徐敏娟</t>
        </is>
      </c>
      <c r="H416" s="540" t="inlineStr">
        <is>
          <t>/</t>
        </is>
      </c>
      <c r="I416" s="540" t="inlineStr">
        <is>
          <t>大大大碗面</t>
        </is>
      </c>
      <c r="J416" s="540" t="inlineStr">
        <is>
          <t>夏发军</t>
        </is>
      </c>
    </row>
    <row r="417">
      <c r="A417" s="540" t="n"/>
      <c r="B417" s="540" t="inlineStr">
        <is>
          <t>补充</t>
        </is>
      </c>
      <c r="C417" s="540" t="inlineStr">
        <is>
          <t>餐饮二分部</t>
        </is>
      </c>
      <c r="D417" s="540" t="inlineStr">
        <is>
          <t>CF182</t>
        </is>
      </c>
      <c r="E417" s="540" t="inlineStr">
        <is>
          <t>无锡工艺第二食堂</t>
        </is>
      </c>
      <c r="F417" s="540" t="inlineStr">
        <is>
          <t>分组作业</t>
        </is>
      </c>
      <c r="G417" s="540" t="inlineStr">
        <is>
          <t>徐敏娟</t>
        </is>
      </c>
      <c r="H417" s="540" t="n"/>
      <c r="I417" s="540" t="inlineStr">
        <is>
          <t>兔哥热卤饭</t>
        </is>
      </c>
      <c r="J417" s="540" t="inlineStr">
        <is>
          <t>王国莹</t>
        </is>
      </c>
    </row>
    <row r="418">
      <c r="A418" s="540" t="n"/>
      <c r="B418" s="540" t="inlineStr">
        <is>
          <t>补充</t>
        </is>
      </c>
      <c r="C418" s="540" t="inlineStr">
        <is>
          <t>餐饮二分部</t>
        </is>
      </c>
      <c r="D418" s="540" t="inlineStr">
        <is>
          <t>CF182</t>
        </is>
      </c>
      <c r="E418" s="540" t="inlineStr">
        <is>
          <t>无锡工艺第二食堂</t>
        </is>
      </c>
      <c r="F418" s="540" t="inlineStr">
        <is>
          <t>分组作业</t>
        </is>
      </c>
      <c r="G418" s="540" t="inlineStr">
        <is>
          <t>徐敏娟</t>
        </is>
      </c>
      <c r="H418" s="540" t="n"/>
      <c r="I418" s="540" t="inlineStr">
        <is>
          <t>早点</t>
        </is>
      </c>
      <c r="J418" s="540" t="inlineStr">
        <is>
          <t>何星星</t>
        </is>
      </c>
    </row>
    <row r="419">
      <c r="A419" s="540" t="n"/>
      <c r="B419" s="540" t="inlineStr">
        <is>
          <t>补充</t>
        </is>
      </c>
      <c r="C419" s="540" t="inlineStr">
        <is>
          <t>餐饮六分部</t>
        </is>
      </c>
      <c r="D419" s="540" t="inlineStr">
        <is>
          <t>CF341</t>
        </is>
      </c>
      <c r="E419" s="540" t="inlineStr">
        <is>
          <t>扬大荷花池校区二楼食堂</t>
        </is>
      </c>
      <c r="F419" s="540" t="inlineStr">
        <is>
          <t>人员服务外包</t>
        </is>
      </c>
      <c r="G419" s="540" t="inlineStr">
        <is>
          <t>徐敏娟</t>
        </is>
      </c>
      <c r="H419" s="540" t="inlineStr">
        <is>
          <t>第六班组</t>
        </is>
      </c>
      <c r="I419" s="540" t="inlineStr">
        <is>
          <t>炒鸡饭</t>
        </is>
      </c>
      <c r="J419" s="540" t="inlineStr">
        <is>
          <t>褚子豪</t>
        </is>
      </c>
    </row>
    <row r="420">
      <c r="A420" s="540" t="n"/>
      <c r="B420" s="540" t="inlineStr">
        <is>
          <t>补充</t>
        </is>
      </c>
      <c r="C420" s="540" t="inlineStr">
        <is>
          <t>餐饮六分部</t>
        </is>
      </c>
      <c r="D420" s="540" t="inlineStr">
        <is>
          <t>CF341</t>
        </is>
      </c>
      <c r="E420" s="540" t="inlineStr">
        <is>
          <t>扬大荷花池校区二楼食堂</t>
        </is>
      </c>
      <c r="F420" s="540" t="inlineStr">
        <is>
          <t>人员服务外包</t>
        </is>
      </c>
      <c r="G420" s="540" t="inlineStr">
        <is>
          <t>徐敏娟</t>
        </is>
      </c>
      <c r="H420" s="540" t="inlineStr">
        <is>
          <t>第七班组</t>
        </is>
      </c>
      <c r="I420" s="540" t="inlineStr">
        <is>
          <t>炸鸡</t>
        </is>
      </c>
      <c r="J420" s="540" t="inlineStr">
        <is>
          <t>俞磊</t>
        </is>
      </c>
    </row>
    <row r="421">
      <c r="A421" s="540" t="n"/>
      <c r="B421" s="540" t="inlineStr">
        <is>
          <t>补充</t>
        </is>
      </c>
      <c r="C421" s="540" t="inlineStr">
        <is>
          <t>餐饮六分部</t>
        </is>
      </c>
      <c r="D421" s="540" t="inlineStr">
        <is>
          <t>CF341</t>
        </is>
      </c>
      <c r="E421" s="540" t="inlineStr">
        <is>
          <t>扬大荷花池校区二楼食堂</t>
        </is>
      </c>
      <c r="F421" s="540" t="inlineStr">
        <is>
          <t>人员服务外包</t>
        </is>
      </c>
      <c r="G421" s="540" t="inlineStr">
        <is>
          <t>徐敏娟</t>
        </is>
      </c>
      <c r="H421" s="540" t="inlineStr">
        <is>
          <t>第九班组</t>
        </is>
      </c>
      <c r="I421" s="540" t="inlineStr">
        <is>
          <t>叉烧饭</t>
        </is>
      </c>
      <c r="J421" s="540" t="inlineStr">
        <is>
          <t>梁沈阳</t>
        </is>
      </c>
    </row>
    <row r="422">
      <c r="A422" s="540" t="n"/>
      <c r="B422" s="540" t="inlineStr">
        <is>
          <t>补充</t>
        </is>
      </c>
      <c r="C422" s="540" t="inlineStr">
        <is>
          <t>餐饮六分部</t>
        </is>
      </c>
      <c r="D422" s="540" t="inlineStr">
        <is>
          <t>CF341</t>
        </is>
      </c>
      <c r="E422" s="540" t="inlineStr">
        <is>
          <t>扬大荷花池校区二楼食堂</t>
        </is>
      </c>
      <c r="F422" s="540" t="inlineStr">
        <is>
          <t>人员服务外包</t>
        </is>
      </c>
      <c r="G422" s="540" t="inlineStr">
        <is>
          <t>徐敏娟</t>
        </is>
      </c>
      <c r="H422" s="540" t="inlineStr">
        <is>
          <t>第十一班组</t>
        </is>
      </c>
      <c r="I422" s="540" t="inlineStr">
        <is>
          <t>羊杂面</t>
        </is>
      </c>
      <c r="J422" s="540" t="inlineStr">
        <is>
          <t>甘春野</t>
        </is>
      </c>
    </row>
    <row r="423">
      <c r="A423" s="540" t="n"/>
      <c r="B423" s="540" t="inlineStr">
        <is>
          <t>补充</t>
        </is>
      </c>
      <c r="C423" s="540" t="inlineStr">
        <is>
          <t>餐饮三分部</t>
        </is>
      </c>
      <c r="D423" s="540" t="inlineStr">
        <is>
          <t>CF781</t>
        </is>
      </c>
      <c r="E423" s="540" t="inlineStr">
        <is>
          <t>苏食院第一学生食堂</t>
        </is>
      </c>
      <c r="F423" s="540" t="inlineStr">
        <is>
          <t>分组作业</t>
        </is>
      </c>
      <c r="G423" s="540" t="inlineStr">
        <is>
          <t>徐敏娟</t>
        </is>
      </c>
      <c r="H423" s="540" t="n"/>
      <c r="I423" s="540" t="inlineStr">
        <is>
          <t>匠心卤</t>
        </is>
      </c>
      <c r="J423" s="540" t="inlineStr">
        <is>
          <t>李小龙</t>
        </is>
      </c>
    </row>
    <row r="424">
      <c r="A424" s="540" t="n"/>
      <c r="B424" s="540" t="inlineStr">
        <is>
          <t>补充</t>
        </is>
      </c>
      <c r="C424" s="540" t="inlineStr">
        <is>
          <t>餐饮三分部</t>
        </is>
      </c>
      <c r="D424" s="540" t="inlineStr">
        <is>
          <t>CF782</t>
        </is>
      </c>
      <c r="E424" s="540" t="inlineStr">
        <is>
          <t>苏食院第一学生食堂</t>
        </is>
      </c>
      <c r="F424" s="540" t="inlineStr">
        <is>
          <t>分组作业</t>
        </is>
      </c>
      <c r="G424" s="540" t="inlineStr">
        <is>
          <t>徐敏娟</t>
        </is>
      </c>
      <c r="H424" s="540" t="n"/>
      <c r="I424" s="540" t="inlineStr">
        <is>
          <t>兰州拉面</t>
        </is>
      </c>
      <c r="J424" s="540" t="inlineStr">
        <is>
          <t>海贵云</t>
        </is>
      </c>
    </row>
    <row r="425">
      <c r="A425" s="540" t="n"/>
      <c r="B425" s="540" t="inlineStr">
        <is>
          <t>补充</t>
        </is>
      </c>
      <c r="C425" s="540" t="inlineStr">
        <is>
          <t>餐饮三分部</t>
        </is>
      </c>
      <c r="D425" s="540" t="inlineStr">
        <is>
          <t>CF783</t>
        </is>
      </c>
      <c r="E425" s="540" t="inlineStr">
        <is>
          <t>苏食院第一学生食堂</t>
        </is>
      </c>
      <c r="F425" s="540" t="inlineStr">
        <is>
          <t>分组作业</t>
        </is>
      </c>
      <c r="G425" s="540" t="inlineStr">
        <is>
          <t>徐敏娟</t>
        </is>
      </c>
      <c r="H425" s="540" t="n"/>
      <c r="I425" s="540" t="inlineStr">
        <is>
          <t>铁板烧</t>
        </is>
      </c>
      <c r="J425" s="540" t="inlineStr">
        <is>
          <t>葛莹</t>
        </is>
      </c>
    </row>
    <row r="426">
      <c r="A426" s="540" t="n"/>
      <c r="B426" s="540" t="inlineStr">
        <is>
          <t>补充</t>
        </is>
      </c>
      <c r="C426" s="540" t="inlineStr">
        <is>
          <t>餐饮三分部</t>
        </is>
      </c>
      <c r="D426" s="540" t="inlineStr">
        <is>
          <t>CF784</t>
        </is>
      </c>
      <c r="E426" s="540" t="inlineStr">
        <is>
          <t>苏食院第一学生食堂</t>
        </is>
      </c>
      <c r="F426" s="540" t="inlineStr">
        <is>
          <t>分组作业</t>
        </is>
      </c>
      <c r="G426" s="540" t="inlineStr">
        <is>
          <t>徐敏娟</t>
        </is>
      </c>
      <c r="H426" s="540" t="n"/>
      <c r="I426" s="540" t="inlineStr">
        <is>
          <t>酸菜鱼</t>
        </is>
      </c>
      <c r="J426" s="540" t="inlineStr">
        <is>
          <t>赵良保</t>
        </is>
      </c>
    </row>
    <row r="427">
      <c r="A427" s="540" t="n"/>
      <c r="B427" s="540" t="inlineStr">
        <is>
          <t>补充</t>
        </is>
      </c>
      <c r="C427" s="540" t="inlineStr">
        <is>
          <t>餐饮三分部</t>
        </is>
      </c>
      <c r="D427" s="540" t="inlineStr">
        <is>
          <t>CF785</t>
        </is>
      </c>
      <c r="E427" s="540" t="inlineStr">
        <is>
          <t>苏食院第一学生食堂</t>
        </is>
      </c>
      <c r="F427" s="540" t="inlineStr">
        <is>
          <t>分组作业</t>
        </is>
      </c>
      <c r="G427" s="540" t="inlineStr">
        <is>
          <t>徐敏娟</t>
        </is>
      </c>
      <c r="H427" s="540" t="n"/>
      <c r="I427" s="540" t="inlineStr">
        <is>
          <t>麻辣烫</t>
        </is>
      </c>
      <c r="J427" s="540" t="inlineStr">
        <is>
          <t>陈军</t>
        </is>
      </c>
    </row>
    <row r="428">
      <c r="A428" s="540" t="n"/>
      <c r="B428" s="540" t="inlineStr">
        <is>
          <t>补充</t>
        </is>
      </c>
      <c r="C428" s="540" t="inlineStr">
        <is>
          <t>餐饮三分部</t>
        </is>
      </c>
      <c r="D428" s="540" t="inlineStr">
        <is>
          <t>CF276</t>
        </is>
      </c>
      <c r="E428" s="540" t="inlineStr">
        <is>
          <t>苏州经贸二食堂</t>
        </is>
      </c>
      <c r="F428" s="540" t="inlineStr">
        <is>
          <t>分组作业</t>
        </is>
      </c>
      <c r="G428" s="540" t="inlineStr">
        <is>
          <t>郑虎</t>
        </is>
      </c>
      <c r="H428" s="540" t="inlineStr">
        <is>
          <t>已撤场</t>
        </is>
      </c>
      <c r="I428" s="540" t="inlineStr">
        <is>
          <t>千里香</t>
        </is>
      </c>
      <c r="J428" s="540" t="inlineStr">
        <is>
          <t>戴国强</t>
        </is>
      </c>
    </row>
    <row r="429">
      <c r="A429" s="540" t="n"/>
      <c r="B429" s="540" t="inlineStr">
        <is>
          <t>补充</t>
        </is>
      </c>
      <c r="C429" s="540" t="inlineStr">
        <is>
          <t>餐饮三分部</t>
        </is>
      </c>
      <c r="D429" s="540" t="inlineStr">
        <is>
          <t>CF276</t>
        </is>
      </c>
      <c r="E429" s="540" t="inlineStr">
        <is>
          <t>苏州经贸二食堂</t>
        </is>
      </c>
      <c r="F429" s="540" t="inlineStr">
        <is>
          <t>分组作业</t>
        </is>
      </c>
      <c r="G429" s="540" t="inlineStr">
        <is>
          <t>郑虎</t>
        </is>
      </c>
      <c r="H429" s="540" t="inlineStr">
        <is>
          <t>已撤场</t>
        </is>
      </c>
      <c r="I429" s="540" t="inlineStr">
        <is>
          <t>五谷鱼粉</t>
        </is>
      </c>
      <c r="J429" s="540" t="inlineStr">
        <is>
          <t>徐亮</t>
        </is>
      </c>
    </row>
    <row r="430">
      <c r="A430" s="540" t="n"/>
      <c r="B430" s="540" t="inlineStr">
        <is>
          <t>补充</t>
        </is>
      </c>
      <c r="C430" s="540" t="inlineStr">
        <is>
          <t>餐饮五分部</t>
        </is>
      </c>
      <c r="D430" s="540" t="inlineStr">
        <is>
          <t>CF108</t>
        </is>
      </c>
      <c r="E430" s="540" t="inlineStr">
        <is>
          <t>苏大北区六食堂</t>
        </is>
      </c>
      <c r="F430" s="540" t="inlineStr">
        <is>
          <t>分组作业</t>
        </is>
      </c>
      <c r="G430" s="540" t="inlineStr">
        <is>
          <t>卫屹</t>
        </is>
      </c>
      <c r="H430" s="540" t="n"/>
      <c r="I430" s="540" t="inlineStr">
        <is>
          <t>脆皮鸭</t>
        </is>
      </c>
      <c r="J430" s="540" t="inlineStr">
        <is>
          <t>刘立强</t>
        </is>
      </c>
    </row>
    <row r="431">
      <c r="A431" s="540" t="n"/>
      <c r="B431" s="540" t="inlineStr">
        <is>
          <t>补充</t>
        </is>
      </c>
      <c r="C431" s="540" t="inlineStr">
        <is>
          <t>餐饮五分部</t>
        </is>
      </c>
      <c r="D431" s="540" t="inlineStr">
        <is>
          <t>CF108</t>
        </is>
      </c>
      <c r="E431" s="540" t="inlineStr">
        <is>
          <t>苏大北区六食堂</t>
        </is>
      </c>
      <c r="F431" s="540" t="inlineStr">
        <is>
          <t>分组作业</t>
        </is>
      </c>
      <c r="G431" s="540" t="inlineStr">
        <is>
          <t>卫屹</t>
        </is>
      </c>
      <c r="H431" s="540" t="n"/>
      <c r="I431" s="540" t="inlineStr">
        <is>
          <t>香锅</t>
        </is>
      </c>
      <c r="J431" s="540" t="inlineStr">
        <is>
          <t>吕亚臣</t>
        </is>
      </c>
    </row>
    <row r="432">
      <c r="A432" s="540" t="n"/>
      <c r="B432" s="540" t="inlineStr">
        <is>
          <t>补充</t>
        </is>
      </c>
      <c r="C432" s="540" t="inlineStr">
        <is>
          <t>餐饮五分部</t>
        </is>
      </c>
      <c r="D432" s="540" t="inlineStr">
        <is>
          <t>CF108</t>
        </is>
      </c>
      <c r="E432" s="540" t="inlineStr">
        <is>
          <t>苏大北区六食堂</t>
        </is>
      </c>
      <c r="F432" s="540" t="inlineStr">
        <is>
          <t>分组作业</t>
        </is>
      </c>
      <c r="G432" s="540" t="inlineStr">
        <is>
          <t>卫屹</t>
        </is>
      </c>
      <c r="H432" s="540" t="n"/>
      <c r="I432" s="540" t="inlineStr">
        <is>
          <t>盖浇饭</t>
        </is>
      </c>
      <c r="J432" s="540" t="inlineStr">
        <is>
          <t>吕金春</t>
        </is>
      </c>
    </row>
    <row r="433">
      <c r="A433" s="540" t="n"/>
      <c r="B433" s="540" t="inlineStr">
        <is>
          <t>补充</t>
        </is>
      </c>
      <c r="C433" s="540" t="inlineStr">
        <is>
          <t>餐饮五分部</t>
        </is>
      </c>
      <c r="D433" s="540" t="inlineStr">
        <is>
          <t>CF102</t>
        </is>
      </c>
      <c r="E433" s="540" t="inlineStr">
        <is>
          <t>苏大东区四食堂</t>
        </is>
      </c>
      <c r="F433" s="540" t="inlineStr">
        <is>
          <t>分组作业</t>
        </is>
      </c>
      <c r="G433" s="540" t="inlineStr">
        <is>
          <t>卫屹</t>
        </is>
      </c>
      <c r="H433" s="540" t="n"/>
      <c r="I433" s="540" t="inlineStr">
        <is>
          <t>深夜大食堂</t>
        </is>
      </c>
      <c r="J433" s="540" t="n"/>
    </row>
    <row r="434">
      <c r="A434" s="540" t="n"/>
      <c r="B434" s="540" t="inlineStr">
        <is>
          <t>补充</t>
        </is>
      </c>
      <c r="C434" s="540" t="inlineStr">
        <is>
          <t>餐饮二分部</t>
        </is>
      </c>
      <c r="D434" s="540" t="inlineStr">
        <is>
          <t>CF364</t>
        </is>
      </c>
      <c r="E434" s="540" t="inlineStr">
        <is>
          <t>江苏航运思本轩食堂</t>
        </is>
      </c>
      <c r="F434" s="540" t="inlineStr">
        <is>
          <t>分组作业</t>
        </is>
      </c>
      <c r="G434" s="540" t="inlineStr">
        <is>
          <t>郑虎</t>
        </is>
      </c>
      <c r="H434" s="540" t="inlineStr">
        <is>
          <t>第十二班组</t>
        </is>
      </c>
      <c r="I434" s="540" t="inlineStr">
        <is>
          <t>炸串</t>
        </is>
      </c>
      <c r="J434" s="540" t="inlineStr">
        <is>
          <t>陆水花</t>
        </is>
      </c>
    </row>
    <row r="435">
      <c r="A435" s="540" t="n"/>
      <c r="B435" s="540" t="inlineStr">
        <is>
          <t>补充</t>
        </is>
      </c>
      <c r="C435" s="540" t="inlineStr">
        <is>
          <t>餐饮二分部</t>
        </is>
      </c>
      <c r="D435" s="540" t="inlineStr">
        <is>
          <t>CF364</t>
        </is>
      </c>
      <c r="E435" s="540" t="inlineStr">
        <is>
          <t>江苏航运思本轩食堂</t>
        </is>
      </c>
      <c r="F435" s="540" t="inlineStr">
        <is>
          <t>分组作业</t>
        </is>
      </c>
      <c r="G435" s="540" t="inlineStr">
        <is>
          <t>郑虎</t>
        </is>
      </c>
      <c r="H435" s="540" t="inlineStr">
        <is>
          <t>第十三班组</t>
        </is>
      </c>
      <c r="I435" s="540" t="inlineStr">
        <is>
          <t>马玉涛麻辣烫</t>
        </is>
      </c>
      <c r="J435" s="540" t="inlineStr">
        <is>
          <t>陆爱军</t>
        </is>
      </c>
    </row>
    <row r="436">
      <c r="A436" s="540" t="n"/>
      <c r="B436" s="540" t="inlineStr">
        <is>
          <t>补充</t>
        </is>
      </c>
      <c r="C436" s="540" t="inlineStr">
        <is>
          <t>餐饮六分部</t>
        </is>
      </c>
      <c r="D436" s="540" t="inlineStr">
        <is>
          <t>CF293</t>
        </is>
      </c>
      <c r="E436" s="540" t="inlineStr">
        <is>
          <t>江苏二师石湫校区食堂</t>
        </is>
      </c>
      <c r="F436" s="540" t="inlineStr">
        <is>
          <t>分组作业</t>
        </is>
      </c>
      <c r="G436" s="540" t="inlineStr">
        <is>
          <t>徐敏娟</t>
        </is>
      </c>
      <c r="H436" s="540" t="inlineStr">
        <is>
          <t>/</t>
        </is>
      </c>
      <c r="I436" s="540" t="inlineStr">
        <is>
          <t>猪脚饭</t>
        </is>
      </c>
      <c r="J436" s="540" t="inlineStr">
        <is>
          <t>孙仲弘</t>
        </is>
      </c>
    </row>
    <row r="437">
      <c r="A437" s="540" t="n"/>
      <c r="B437" s="540" t="inlineStr">
        <is>
          <t>补充</t>
        </is>
      </c>
      <c r="C437" s="540" t="inlineStr">
        <is>
          <t>餐饮六分部</t>
        </is>
      </c>
      <c r="D437" s="540" t="inlineStr">
        <is>
          <t>CF479</t>
        </is>
      </c>
      <c r="E437" s="540" t="inlineStr">
        <is>
          <t>江苏省交通技师学院第一食堂</t>
        </is>
      </c>
      <c r="F437" s="540" t="inlineStr">
        <is>
          <t>分组作业</t>
        </is>
      </c>
      <c r="G437" s="540" t="inlineStr">
        <is>
          <t>卫屹</t>
        </is>
      </c>
      <c r="H437" s="540" t="inlineStr">
        <is>
          <t>/</t>
        </is>
      </c>
      <c r="I437" s="540" t="inlineStr">
        <is>
          <t>自选称重</t>
        </is>
      </c>
      <c r="J437" s="540" t="inlineStr">
        <is>
          <t>周俊帅</t>
        </is>
      </c>
    </row>
    <row r="438">
      <c r="A438" s="540" t="n"/>
      <c r="B438" s="540" t="inlineStr">
        <is>
          <t>补充</t>
        </is>
      </c>
      <c r="C438" s="540" t="inlineStr">
        <is>
          <t>餐饮六分部</t>
        </is>
      </c>
      <c r="D438" s="540" t="inlineStr">
        <is>
          <t>CF479</t>
        </is>
      </c>
      <c r="E438" s="540" t="inlineStr">
        <is>
          <t>江苏省交通技师学院第一食堂</t>
        </is>
      </c>
      <c r="F438" s="540" t="inlineStr">
        <is>
          <t>分组作业</t>
        </is>
      </c>
      <c r="G438" s="540" t="inlineStr">
        <is>
          <t>卫屹</t>
        </is>
      </c>
      <c r="H438" s="540" t="inlineStr">
        <is>
          <t>第十二班组</t>
        </is>
      </c>
      <c r="I438" s="540" t="inlineStr">
        <is>
          <t>自选称重</t>
        </is>
      </c>
      <c r="J438" s="540" t="inlineStr">
        <is>
          <t>周俊帅</t>
        </is>
      </c>
    </row>
    <row r="439">
      <c r="A439" s="540" t="n"/>
      <c r="B439" s="540" t="inlineStr">
        <is>
          <t>补充</t>
        </is>
      </c>
      <c r="C439" s="540" t="inlineStr">
        <is>
          <t>餐饮五分部</t>
        </is>
      </c>
      <c r="D439" s="540" t="inlineStr">
        <is>
          <t>CF108</t>
        </is>
      </c>
      <c r="E439" s="540" t="inlineStr">
        <is>
          <t>苏大北区六食堂</t>
        </is>
      </c>
      <c r="F439" s="540" t="inlineStr">
        <is>
          <t>自营</t>
        </is>
      </c>
      <c r="G439" s="540" t="inlineStr">
        <is>
          <t>卫屹</t>
        </is>
      </c>
      <c r="H439" s="540" t="n"/>
      <c r="I439" s="540" t="inlineStr">
        <is>
          <t>民族餐厅</t>
        </is>
      </c>
      <c r="J439" s="540" t="inlineStr">
        <is>
          <t>/</t>
        </is>
      </c>
    </row>
    <row r="440">
      <c r="A440" s="540" t="n"/>
      <c r="B440" s="540" t="inlineStr">
        <is>
          <t>补充</t>
        </is>
      </c>
      <c r="C440" s="540" t="inlineStr">
        <is>
          <t>餐饮五分部</t>
        </is>
      </c>
      <c r="D440" s="540" t="n"/>
      <c r="E440" s="540" t="inlineStr">
        <is>
          <t>苏大东区四食堂</t>
        </is>
      </c>
      <c r="F440" s="540" t="inlineStr">
        <is>
          <t>分组作业</t>
        </is>
      </c>
      <c r="G440" s="540" t="inlineStr">
        <is>
          <t>卫屹</t>
        </is>
      </c>
      <c r="H440" s="540" t="inlineStr">
        <is>
          <t>/</t>
        </is>
      </c>
      <c r="I440" s="540" t="inlineStr">
        <is>
          <t>深夜大食堂</t>
        </is>
      </c>
      <c r="J440" s="540" t="inlineStr">
        <is>
          <t>左伟</t>
        </is>
      </c>
    </row>
    <row r="441">
      <c r="A441" s="540" t="n"/>
      <c r="B441" s="540" t="inlineStr">
        <is>
          <t>补充</t>
        </is>
      </c>
      <c r="C441" s="540" t="inlineStr">
        <is>
          <t>餐饮三分部</t>
        </is>
      </c>
      <c r="D441" s="540" t="inlineStr">
        <is>
          <t>CF699</t>
        </is>
      </c>
      <c r="E441" s="540" t="inlineStr">
        <is>
          <t>徐医大第一食堂</t>
        </is>
      </c>
      <c r="F441" s="540" t="inlineStr">
        <is>
          <t>分组作业</t>
        </is>
      </c>
      <c r="G441" s="540" t="inlineStr">
        <is>
          <t>徐敏捷</t>
        </is>
      </c>
      <c r="H441" s="540" t="inlineStr">
        <is>
          <t>/</t>
        </is>
      </c>
      <c r="I441" s="540" t="inlineStr">
        <is>
          <t>悦轻荷</t>
        </is>
      </c>
      <c r="J441" s="540" t="inlineStr">
        <is>
          <t>王于于</t>
        </is>
      </c>
    </row>
    <row r="442">
      <c r="A442" s="540" t="n"/>
      <c r="B442" s="540" t="inlineStr">
        <is>
          <t>补充</t>
        </is>
      </c>
      <c r="C442" s="540" t="inlineStr">
        <is>
          <t>餐饮三分部</t>
        </is>
      </c>
      <c r="D442" s="540" t="inlineStr">
        <is>
          <t>CF780</t>
        </is>
      </c>
      <c r="E442" s="540" t="inlineStr">
        <is>
          <t>吉建大二食堂</t>
        </is>
      </c>
      <c r="F442" s="540" t="inlineStr">
        <is>
          <t>分组作业</t>
        </is>
      </c>
      <c r="G442" s="540" t="inlineStr">
        <is>
          <t>徐敏娟</t>
        </is>
      </c>
      <c r="H442" s="540" t="inlineStr">
        <is>
          <t>/</t>
        </is>
      </c>
      <c r="I442" s="540" t="inlineStr">
        <is>
          <t>板烧厨房</t>
        </is>
      </c>
      <c r="J442" s="540" t="inlineStr">
        <is>
          <t>徐红月</t>
        </is>
      </c>
    </row>
    <row r="443">
      <c r="A443" s="540" t="n"/>
      <c r="B443" s="540" t="inlineStr">
        <is>
          <t>补充</t>
        </is>
      </c>
      <c r="C443" s="540" t="inlineStr">
        <is>
          <t>餐饮六分部</t>
        </is>
      </c>
      <c r="D443" s="540" t="inlineStr">
        <is>
          <t>CF293</t>
        </is>
      </c>
      <c r="E443" s="540" t="inlineStr">
        <is>
          <t>江苏二师石湫校区食堂</t>
        </is>
      </c>
      <c r="F443" s="540" t="inlineStr">
        <is>
          <t>分组作业</t>
        </is>
      </c>
      <c r="G443" s="540" t="inlineStr">
        <is>
          <t>徐敏娟</t>
        </is>
      </c>
      <c r="H443" s="540" t="inlineStr">
        <is>
          <t>第二班组</t>
        </is>
      </c>
      <c r="I443" s="540" t="inlineStr">
        <is>
          <t>猪脚饭</t>
        </is>
      </c>
      <c r="J443" s="540" t="inlineStr">
        <is>
          <t>孙仲弘</t>
        </is>
      </c>
    </row>
    <row r="444">
      <c r="A444" s="540" t="n"/>
      <c r="B444" s="540" t="inlineStr">
        <is>
          <t>补充</t>
        </is>
      </c>
      <c r="C444" s="540" t="inlineStr">
        <is>
          <t>餐饮六分部</t>
        </is>
      </c>
      <c r="D444" s="540" t="inlineStr">
        <is>
          <t>CF293</t>
        </is>
      </c>
      <c r="E444" s="540" t="inlineStr">
        <is>
          <t>江苏二师石湫校区食堂</t>
        </is>
      </c>
      <c r="F444" s="540" t="inlineStr">
        <is>
          <t>分组作业</t>
        </is>
      </c>
      <c r="G444" s="540" t="inlineStr">
        <is>
          <t>徐敏娟</t>
        </is>
      </c>
      <c r="H444" s="540" t="inlineStr">
        <is>
          <t>第四班组</t>
        </is>
      </c>
      <c r="I444" s="540" t="inlineStr">
        <is>
          <t>铁锅炖</t>
        </is>
      </c>
      <c r="J444" s="540" t="inlineStr">
        <is>
          <t>夏金涛</t>
        </is>
      </c>
    </row>
    <row r="445">
      <c r="A445" s="540" t="n">
        <v>3</v>
      </c>
      <c r="B445" s="540" t="inlineStr">
        <is>
          <t>KQCY0003</t>
        </is>
      </c>
      <c r="C445" s="540" t="inlineStr">
        <is>
          <t>餐饮一分部</t>
        </is>
      </c>
      <c r="D445" s="540" t="inlineStr">
        <is>
          <t>CF478</t>
        </is>
      </c>
      <c r="E445" s="540" t="inlineStr">
        <is>
          <t>苏州华杨电子餐厅</t>
        </is>
      </c>
      <c r="F445" s="540" t="inlineStr">
        <is>
          <t>强责</t>
        </is>
      </c>
      <c r="G445" s="540" t="inlineStr">
        <is>
          <t>徐敏捷</t>
        </is>
      </c>
      <c r="H445" s="540" t="inlineStr">
        <is>
          <t>/</t>
        </is>
      </c>
      <c r="I445" s="540" t="inlineStr">
        <is>
          <t>/</t>
        </is>
      </c>
      <c r="J445" s="540" t="inlineStr">
        <is>
          <t>武良军</t>
        </is>
      </c>
    </row>
    <row r="446">
      <c r="A446" s="540" t="n">
        <v>5</v>
      </c>
      <c r="B446" s="540" t="inlineStr">
        <is>
          <t>KQCY0005</t>
        </is>
      </c>
      <c r="C446" s="540" t="inlineStr">
        <is>
          <t>餐饮一分部</t>
        </is>
      </c>
      <c r="D446" s="540" t="inlineStr">
        <is>
          <t>CF474</t>
        </is>
      </c>
      <c r="E446" s="540" t="inlineStr">
        <is>
          <t>安工大七食堂</t>
        </is>
      </c>
      <c r="F446" s="540" t="inlineStr">
        <is>
          <t>强责</t>
        </is>
      </c>
      <c r="G446" s="540" t="inlineStr">
        <is>
          <t>卫屹</t>
        </is>
      </c>
      <c r="H446" s="540" t="inlineStr">
        <is>
          <t>/</t>
        </is>
      </c>
      <c r="I446" s="540" t="inlineStr">
        <is>
          <t>/</t>
        </is>
      </c>
      <c r="J446" s="540" t="inlineStr">
        <is>
          <t>李俊彦</t>
        </is>
      </c>
    </row>
    <row r="447">
      <c r="A447" s="540" t="n">
        <v>116</v>
      </c>
      <c r="B447" s="540" t="inlineStr">
        <is>
          <t>KQCY0116</t>
        </is>
      </c>
      <c r="C447" s="540" t="inlineStr">
        <is>
          <t>餐饮二分部</t>
        </is>
      </c>
      <c r="D447" s="540" t="inlineStr">
        <is>
          <t>CF450</t>
        </is>
      </c>
      <c r="E447" s="540" t="inlineStr">
        <is>
          <t>天津大学学二食堂</t>
        </is>
      </c>
      <c r="F447" s="540" t="inlineStr">
        <is>
          <t>强责</t>
        </is>
      </c>
      <c r="G447" s="540" t="inlineStr">
        <is>
          <t>徐敏捷</t>
        </is>
      </c>
      <c r="H447" s="540" t="inlineStr">
        <is>
          <t>/</t>
        </is>
      </c>
      <c r="I447" s="540" t="inlineStr">
        <is>
          <t>/</t>
        </is>
      </c>
      <c r="J447" s="540" t="inlineStr">
        <is>
          <t>张宪</t>
        </is>
      </c>
    </row>
    <row r="448">
      <c r="A448" s="540" t="n">
        <v>287</v>
      </c>
      <c r="B448" s="540" t="inlineStr">
        <is>
          <t>KQCY0287</t>
        </is>
      </c>
      <c r="C448" s="540" t="inlineStr">
        <is>
          <t>餐饮五分部</t>
        </is>
      </c>
      <c r="D448" s="540" t="inlineStr">
        <is>
          <t>CF620</t>
        </is>
      </c>
      <c r="E448" s="540" t="inlineStr">
        <is>
          <t>山西大学B6食堂三层</t>
        </is>
      </c>
      <c r="F448" s="540" t="inlineStr">
        <is>
          <t>强责</t>
        </is>
      </c>
      <c r="G448" s="540" t="inlineStr">
        <is>
          <t>徐敏捷</t>
        </is>
      </c>
      <c r="H448" s="540" t="inlineStr">
        <is>
          <t>/</t>
        </is>
      </c>
      <c r="I448" s="540" t="inlineStr">
        <is>
          <t>冒菜</t>
        </is>
      </c>
      <c r="J448" s="540" t="inlineStr">
        <is>
          <t>陈祥</t>
        </is>
      </c>
    </row>
    <row r="449">
      <c r="A449" s="540" t="n">
        <v>288</v>
      </c>
      <c r="B449" s="540" t="inlineStr">
        <is>
          <t>KQCY0288</t>
        </is>
      </c>
      <c r="C449" s="540" t="inlineStr">
        <is>
          <t>餐饮五分部</t>
        </is>
      </c>
      <c r="D449" s="540" t="inlineStr">
        <is>
          <t>CF620</t>
        </is>
      </c>
      <c r="E449" s="540" t="inlineStr">
        <is>
          <t>山西大学B6食堂三层</t>
        </is>
      </c>
      <c r="F449" s="540" t="inlineStr">
        <is>
          <t>强责</t>
        </is>
      </c>
      <c r="G449" s="540" t="inlineStr">
        <is>
          <t>徐敏捷</t>
        </is>
      </c>
      <c r="H449" s="540" t="inlineStr">
        <is>
          <t>/</t>
        </is>
      </c>
      <c r="I449" s="540" t="inlineStr">
        <is>
          <t>烤盘菜</t>
        </is>
      </c>
      <c r="J449" s="540" t="inlineStr">
        <is>
          <t>陈祥</t>
        </is>
      </c>
    </row>
    <row r="450">
      <c r="A450" s="540" t="n">
        <v>289</v>
      </c>
      <c r="B450" s="540" t="inlineStr">
        <is>
          <t>KQCY0289</t>
        </is>
      </c>
      <c r="C450" s="540" t="inlineStr">
        <is>
          <t>餐饮五分部</t>
        </is>
      </c>
      <c r="D450" s="540" t="inlineStr">
        <is>
          <t>CF620</t>
        </is>
      </c>
      <c r="E450" s="540" t="inlineStr">
        <is>
          <t>山西大学B6食堂三层</t>
        </is>
      </c>
      <c r="F450" s="540" t="inlineStr">
        <is>
          <t>强责</t>
        </is>
      </c>
      <c r="G450" s="540" t="inlineStr">
        <is>
          <t>徐敏捷</t>
        </is>
      </c>
      <c r="H450" s="540" t="inlineStr">
        <is>
          <t>/</t>
        </is>
      </c>
      <c r="I450" s="540" t="inlineStr">
        <is>
          <t>大盘鸡</t>
        </is>
      </c>
      <c r="J450" s="540" t="inlineStr">
        <is>
          <t>陈祥</t>
        </is>
      </c>
    </row>
    <row r="451">
      <c r="A451" s="540" t="n">
        <v>290</v>
      </c>
      <c r="B451" s="540" t="inlineStr">
        <is>
          <t>KQCY0290</t>
        </is>
      </c>
      <c r="C451" s="540" t="inlineStr">
        <is>
          <t>餐饮五分部</t>
        </is>
      </c>
      <c r="D451" s="540" t="inlineStr">
        <is>
          <t>CF620</t>
        </is>
      </c>
      <c r="E451" s="540" t="inlineStr">
        <is>
          <t>山西大学B6食堂三层</t>
        </is>
      </c>
      <c r="F451" s="540" t="inlineStr">
        <is>
          <t>强责</t>
        </is>
      </c>
      <c r="G451" s="540" t="inlineStr">
        <is>
          <t>徐敏捷</t>
        </is>
      </c>
      <c r="H451" s="540" t="inlineStr">
        <is>
          <t>/</t>
        </is>
      </c>
      <c r="I451" s="540" t="inlineStr">
        <is>
          <t>小碗菜</t>
        </is>
      </c>
      <c r="J451" s="540" t="inlineStr">
        <is>
          <t>陈祥</t>
        </is>
      </c>
    </row>
    <row r="452">
      <c r="A452" s="540" t="n">
        <v>343</v>
      </c>
      <c r="B452" s="540" t="inlineStr">
        <is>
          <t>KQCY0343</t>
        </is>
      </c>
      <c r="C452" s="540" t="inlineStr">
        <is>
          <t>餐饮五分部</t>
        </is>
      </c>
      <c r="D452" s="540" t="inlineStr">
        <is>
          <t>CF101</t>
        </is>
      </c>
      <c r="E452" s="540" t="inlineStr">
        <is>
          <t>苏大本部方塔食堂</t>
        </is>
      </c>
      <c r="F452" s="540" t="inlineStr">
        <is>
          <t>强责</t>
        </is>
      </c>
      <c r="G452" s="540" t="inlineStr">
        <is>
          <t>卫屹</t>
        </is>
      </c>
      <c r="H452" s="540" t="inlineStr">
        <is>
          <t>/</t>
        </is>
      </c>
      <c r="I452" s="540" t="inlineStr">
        <is>
          <t>/</t>
        </is>
      </c>
      <c r="J452" s="540" t="inlineStr">
        <is>
          <t>蒋德生</t>
        </is>
      </c>
    </row>
    <row r="453">
      <c r="A453" s="540" t="n">
        <v>345</v>
      </c>
      <c r="B453" s="540" t="inlineStr">
        <is>
          <t>KQCY0345</t>
        </is>
      </c>
      <c r="C453" s="540" t="inlineStr">
        <is>
          <t>餐饮五分部</t>
        </is>
      </c>
      <c r="D453" s="540" t="inlineStr">
        <is>
          <t>CF120</t>
        </is>
      </c>
      <c r="E453" s="540" t="inlineStr">
        <is>
          <t>苏大独墅湖一食堂</t>
        </is>
      </c>
      <c r="F453" s="540" t="inlineStr">
        <is>
          <t>强责</t>
        </is>
      </c>
      <c r="G453" s="540" t="inlineStr">
        <is>
          <t>徐敏娟</t>
        </is>
      </c>
      <c r="H453" s="540" t="inlineStr">
        <is>
          <t>/</t>
        </is>
      </c>
      <c r="I453" s="540" t="inlineStr">
        <is>
          <t>/</t>
        </is>
      </c>
      <c r="J453" s="540" t="inlineStr">
        <is>
          <t>杨登钟</t>
        </is>
      </c>
    </row>
    <row r="454">
      <c r="A454" s="540" t="n">
        <v>348</v>
      </c>
      <c r="B454" s="540" t="inlineStr">
        <is>
          <t>KQCY0348</t>
        </is>
      </c>
      <c r="C454" s="540" t="inlineStr">
        <is>
          <t>餐饮五分部</t>
        </is>
      </c>
      <c r="D454" s="540" t="inlineStr">
        <is>
          <t>CF121</t>
        </is>
      </c>
      <c r="E454" s="540" t="inlineStr">
        <is>
          <t>苏大独墅湖六食堂</t>
        </is>
      </c>
      <c r="F454" s="540" t="inlineStr">
        <is>
          <t>强责</t>
        </is>
      </c>
      <c r="G454" s="540" t="inlineStr">
        <is>
          <t>徐敏娟</t>
        </is>
      </c>
      <c r="H454" s="540" t="inlineStr">
        <is>
          <t>/</t>
        </is>
      </c>
      <c r="I454" s="540" t="inlineStr">
        <is>
          <t>/</t>
        </is>
      </c>
      <c r="J454" s="540" t="inlineStr">
        <is>
          <t>杨登钟</t>
        </is>
      </c>
    </row>
    <row r="455">
      <c r="A455" s="540" t="n">
        <v>350</v>
      </c>
      <c r="B455" s="540" t="inlineStr">
        <is>
          <t>KQCY0350</t>
        </is>
      </c>
      <c r="C455" s="540" t="inlineStr">
        <is>
          <t>餐饮五分部</t>
        </is>
      </c>
      <c r="D455" s="540" t="inlineStr">
        <is>
          <t>CF121</t>
        </is>
      </c>
      <c r="E455" s="540" t="inlineStr">
        <is>
          <t>苏大独墅湖二食堂</t>
        </is>
      </c>
      <c r="F455" s="540" t="inlineStr">
        <is>
          <t>强责</t>
        </is>
      </c>
      <c r="G455" s="540" t="inlineStr">
        <is>
          <t>徐敏娟</t>
        </is>
      </c>
      <c r="H455" s="540" t="inlineStr">
        <is>
          <t>/</t>
        </is>
      </c>
      <c r="I455" s="540" t="inlineStr">
        <is>
          <t>/</t>
        </is>
      </c>
      <c r="J455" s="540" t="inlineStr">
        <is>
          <t>徐小林</t>
        </is>
      </c>
    </row>
    <row r="456">
      <c r="A456" s="540" t="n"/>
      <c r="B456" s="540" t="inlineStr">
        <is>
          <t>补充</t>
        </is>
      </c>
      <c r="C456" s="540" t="inlineStr">
        <is>
          <t>餐饮五分部</t>
        </is>
      </c>
      <c r="D456" s="540" t="inlineStr">
        <is>
          <t>CF700</t>
        </is>
      </c>
      <c r="E456" s="540" t="inlineStr">
        <is>
          <t>北理工长三角研究院(嘉兴）食堂</t>
        </is>
      </c>
      <c r="F456" s="540" t="inlineStr">
        <is>
          <t>分组作业</t>
        </is>
      </c>
      <c r="G456" s="540" t="inlineStr">
        <is>
          <t>徐敏捷</t>
        </is>
      </c>
      <c r="H456" s="540" t="inlineStr">
        <is>
          <t>自选快餐面条</t>
        </is>
      </c>
      <c r="I456" s="540" t="n"/>
      <c r="J456" s="540" t="n"/>
    </row>
    <row r="457">
      <c r="A457" s="540" t="n"/>
      <c r="B457" s="540" t="inlineStr">
        <is>
          <t>补充</t>
        </is>
      </c>
      <c r="C457" s="540" t="inlineStr">
        <is>
          <t>餐饮三分部</t>
        </is>
      </c>
      <c r="D457" s="540" t="inlineStr">
        <is>
          <t>CF699</t>
        </is>
      </c>
      <c r="E457" s="540" t="inlineStr">
        <is>
          <t>徐医大第一食堂</t>
        </is>
      </c>
      <c r="F457" s="540" t="inlineStr">
        <is>
          <t>分组作业</t>
        </is>
      </c>
      <c r="G457" s="540" t="inlineStr">
        <is>
          <t>徐敏捷</t>
        </is>
      </c>
      <c r="H457" s="540" t="inlineStr">
        <is>
          <t>/</t>
        </is>
      </c>
      <c r="I457" s="540" t="inlineStr">
        <is>
          <t>快餐</t>
        </is>
      </c>
      <c r="J457" s="540" t="inlineStr">
        <is>
          <t>张振</t>
        </is>
      </c>
    </row>
    <row r="458">
      <c r="A458" s="540" t="n"/>
      <c r="B458" s="540" t="inlineStr">
        <is>
          <t>补充</t>
        </is>
      </c>
      <c r="C458" s="540" t="inlineStr">
        <is>
          <t>餐饮二分部</t>
        </is>
      </c>
      <c r="D458" s="540" t="inlineStr">
        <is>
          <t>Q021</t>
        </is>
      </c>
      <c r="E458" s="540" t="inlineStr">
        <is>
          <t>苏州星塘医院餐厅</t>
        </is>
      </c>
      <c r="F458" s="540" t="inlineStr">
        <is>
          <t>人员服务外包</t>
        </is>
      </c>
      <c r="G458" s="540" t="inlineStr">
        <is>
          <t>卫屹</t>
        </is>
      </c>
      <c r="H458" s="540" t="inlineStr">
        <is>
          <t>/</t>
        </is>
      </c>
      <c r="I458" s="540" t="inlineStr">
        <is>
          <t>/</t>
        </is>
      </c>
      <c r="J458" s="540" t="inlineStr">
        <is>
          <t>/</t>
        </is>
      </c>
    </row>
    <row r="459">
      <c r="A459" s="540" t="n"/>
      <c r="B459" s="540" t="inlineStr">
        <is>
          <t>补充</t>
        </is>
      </c>
      <c r="C459" s="540" t="inlineStr">
        <is>
          <t>餐饮二分部</t>
        </is>
      </c>
      <c r="D459" s="540" t="inlineStr">
        <is>
          <t>CF516</t>
        </is>
      </c>
      <c r="E459" s="540" t="inlineStr">
        <is>
          <t>苏州北美国际高级中学餐厅</t>
        </is>
      </c>
      <c r="F459" s="540" t="inlineStr">
        <is>
          <t>分组作业</t>
        </is>
      </c>
      <c r="G459" s="540" t="inlineStr">
        <is>
          <t>徐敏捷</t>
        </is>
      </c>
      <c r="H459" s="540" t="n"/>
      <c r="I459" s="540" t="inlineStr">
        <is>
          <t>个体</t>
        </is>
      </c>
      <c r="J459" s="540" t="n"/>
    </row>
    <row r="460">
      <c r="A460" s="540" t="n"/>
      <c r="B460" s="540" t="inlineStr">
        <is>
          <t>补充</t>
        </is>
      </c>
      <c r="C460" s="540" t="inlineStr">
        <is>
          <t>餐饮二分部</t>
        </is>
      </c>
      <c r="D460" s="540" t="inlineStr">
        <is>
          <t>CF450</t>
        </is>
      </c>
      <c r="E460" s="540" t="inlineStr">
        <is>
          <t>天津大学学二食堂</t>
        </is>
      </c>
      <c r="F460" s="540" t="inlineStr">
        <is>
          <t>强责</t>
        </is>
      </c>
      <c r="G460" s="540" t="inlineStr">
        <is>
          <t>徐敏捷</t>
        </is>
      </c>
      <c r="H460" s="540" t="inlineStr">
        <is>
          <t>/</t>
        </is>
      </c>
      <c r="I460" s="540" t="inlineStr">
        <is>
          <t>牛肉面</t>
        </is>
      </c>
      <c r="J460" s="540" t="inlineStr">
        <is>
          <t>何元双</t>
        </is>
      </c>
    </row>
    <row r="461">
      <c r="A461" s="540" t="n"/>
      <c r="B461" s="540" t="inlineStr">
        <is>
          <t>补充</t>
        </is>
      </c>
      <c r="C461" s="540" t="inlineStr">
        <is>
          <t>餐饮三分部</t>
        </is>
      </c>
      <c r="D461" s="540" t="inlineStr">
        <is>
          <t>CF780</t>
        </is>
      </c>
      <c r="E461" s="540" t="inlineStr">
        <is>
          <t>吉建大二食堂</t>
        </is>
      </c>
      <c r="F461" s="540" t="inlineStr">
        <is>
          <t>分组作业</t>
        </is>
      </c>
      <c r="G461" s="540" t="inlineStr">
        <is>
          <t>徐敏娟</t>
        </is>
      </c>
      <c r="H461" s="540" t="inlineStr">
        <is>
          <t>/</t>
        </is>
      </c>
      <c r="I461" s="540" t="inlineStr">
        <is>
          <t xml:space="preserve"> 手工鲜水饺 </t>
        </is>
      </c>
      <c r="J461" s="540" t="inlineStr">
        <is>
          <t>王洪伟</t>
        </is>
      </c>
    </row>
    <row r="462">
      <c r="A462" s="540" t="n"/>
      <c r="B462" s="540" t="inlineStr">
        <is>
          <t>补充</t>
        </is>
      </c>
      <c r="C462" s="540" t="inlineStr">
        <is>
          <t>餐饮三分部</t>
        </is>
      </c>
      <c r="D462" s="540" t="inlineStr">
        <is>
          <t>CF780</t>
        </is>
      </c>
      <c r="E462" s="540" t="inlineStr">
        <is>
          <t>吉建大二食堂</t>
        </is>
      </c>
      <c r="F462" s="540" t="inlineStr">
        <is>
          <t>分组作业</t>
        </is>
      </c>
      <c r="G462" s="540" t="inlineStr">
        <is>
          <t>徐敏娟</t>
        </is>
      </c>
      <c r="H462" s="540" t="inlineStr">
        <is>
          <t>/</t>
        </is>
      </c>
      <c r="I462" s="540" t="inlineStr">
        <is>
          <t xml:space="preserve"> 荔枝鸡饭 </t>
        </is>
      </c>
      <c r="J462" s="540" t="inlineStr">
        <is>
          <t>陈志国</t>
        </is>
      </c>
    </row>
    <row r="463">
      <c r="A463" s="540" t="n"/>
      <c r="B463" s="540" t="inlineStr">
        <is>
          <t>补充</t>
        </is>
      </c>
      <c r="C463" s="540" t="inlineStr">
        <is>
          <t>餐饮三分部</t>
        </is>
      </c>
      <c r="D463" s="540" t="inlineStr">
        <is>
          <t>CF780</t>
        </is>
      </c>
      <c r="E463" s="540" t="inlineStr">
        <is>
          <t>吉建大二食堂</t>
        </is>
      </c>
      <c r="F463" s="540" t="inlineStr">
        <is>
          <t>分组作业</t>
        </is>
      </c>
      <c r="G463" s="540" t="inlineStr">
        <is>
          <t>徐敏娟</t>
        </is>
      </c>
      <c r="H463" s="540" t="inlineStr">
        <is>
          <t>/</t>
        </is>
      </c>
      <c r="I463" s="540" t="inlineStr">
        <is>
          <t>土豆泥拌饭</t>
        </is>
      </c>
      <c r="J463" s="540" t="inlineStr">
        <is>
          <t>徐启航</t>
        </is>
      </c>
    </row>
    <row r="464">
      <c r="A464" s="540" t="n"/>
      <c r="B464" s="540" t="inlineStr">
        <is>
          <t>补充</t>
        </is>
      </c>
      <c r="C464" s="540" t="inlineStr">
        <is>
          <t>餐饮五分部</t>
        </is>
      </c>
      <c r="D464" s="540" t="inlineStr">
        <is>
          <t>CF698</t>
        </is>
      </c>
      <c r="E464" s="540" t="inlineStr">
        <is>
          <t>兰理工兰工坪校区一食堂</t>
        </is>
      </c>
      <c r="F464" s="540" t="inlineStr">
        <is>
          <t>分组作业</t>
        </is>
      </c>
      <c r="G464" s="540" t="inlineStr">
        <is>
          <t>徐敏捷</t>
        </is>
      </c>
      <c r="H464" s="540" t="inlineStr">
        <is>
          <t>/</t>
        </is>
      </c>
      <c r="I464" s="540" t="inlineStr">
        <is>
          <t>小碗菜</t>
        </is>
      </c>
      <c r="J464" s="540" t="inlineStr">
        <is>
          <t>宋玉琴</t>
        </is>
      </c>
    </row>
    <row r="465">
      <c r="A465" s="540" t="n"/>
      <c r="B465" s="540" t="inlineStr">
        <is>
          <t>补充</t>
        </is>
      </c>
      <c r="C465" s="540" t="inlineStr">
        <is>
          <t>餐饮三分部</t>
        </is>
      </c>
      <c r="D465" s="540" t="inlineStr">
        <is>
          <t>CF781</t>
        </is>
      </c>
      <c r="E465" s="540" t="inlineStr">
        <is>
          <t>苏食院第一学生食堂</t>
        </is>
      </c>
      <c r="F465" s="540" t="inlineStr">
        <is>
          <t>分组作业</t>
        </is>
      </c>
      <c r="G465" s="540" t="inlineStr">
        <is>
          <t>徐敏娟</t>
        </is>
      </c>
      <c r="H465" s="540" t="inlineStr">
        <is>
          <t>/</t>
        </is>
      </c>
      <c r="I465" s="540" t="inlineStr">
        <is>
          <t>烤鸭饭</t>
        </is>
      </c>
      <c r="J465" s="540" t="inlineStr">
        <is>
          <t>刘太华</t>
        </is>
      </c>
    </row>
    <row r="466">
      <c r="A466" s="540" t="n"/>
      <c r="B466" s="540" t="inlineStr">
        <is>
          <t>补充</t>
        </is>
      </c>
      <c r="C466" s="540" t="inlineStr">
        <is>
          <t>餐饮三分部</t>
        </is>
      </c>
      <c r="D466" s="540" t="inlineStr">
        <is>
          <t>CF781</t>
        </is>
      </c>
      <c r="E466" s="540" t="inlineStr">
        <is>
          <t>苏食院第一学生食堂</t>
        </is>
      </c>
      <c r="F466" s="540" t="inlineStr">
        <is>
          <t>分组作业</t>
        </is>
      </c>
      <c r="G466" s="540" t="inlineStr">
        <is>
          <t>徐敏娟</t>
        </is>
      </c>
      <c r="H466" s="540" t="inlineStr">
        <is>
          <t>/</t>
        </is>
      </c>
      <c r="I466" s="540" t="inlineStr">
        <is>
          <t>现炒浇头</t>
        </is>
      </c>
      <c r="J466" s="540" t="inlineStr">
        <is>
          <t>匡雷</t>
        </is>
      </c>
    </row>
    <row r="467">
      <c r="A467" s="540" t="n"/>
      <c r="B467" s="540" t="inlineStr">
        <is>
          <t>补充</t>
        </is>
      </c>
      <c r="C467" s="540" t="inlineStr">
        <is>
          <t>餐饮三分部</t>
        </is>
      </c>
      <c r="D467" s="540" t="inlineStr">
        <is>
          <t>CF781</t>
        </is>
      </c>
      <c r="E467" s="540" t="inlineStr">
        <is>
          <t>苏食院第一学生食堂</t>
        </is>
      </c>
      <c r="F467" s="540" t="inlineStr">
        <is>
          <t>分组作业</t>
        </is>
      </c>
      <c r="G467" s="540" t="inlineStr">
        <is>
          <t>徐敏娟</t>
        </is>
      </c>
      <c r="H467" s="540" t="inlineStr">
        <is>
          <t>/</t>
        </is>
      </c>
      <c r="I467" s="540" t="inlineStr">
        <is>
          <t>库迪咖啡</t>
        </is>
      </c>
      <c r="J467" s="540" t="inlineStr">
        <is>
          <t>张凌子</t>
        </is>
      </c>
    </row>
    <row r="468">
      <c r="A468" s="540" t="n"/>
      <c r="B468" s="540" t="inlineStr">
        <is>
          <t>补充</t>
        </is>
      </c>
      <c r="C468" s="540" t="inlineStr">
        <is>
          <t>餐饮三分部</t>
        </is>
      </c>
      <c r="D468" s="540" t="inlineStr">
        <is>
          <t>CF781</t>
        </is>
      </c>
      <c r="E468" s="540" t="inlineStr">
        <is>
          <t>苏食院第一学生食堂</t>
        </is>
      </c>
      <c r="F468" s="540" t="inlineStr">
        <is>
          <t>分组作业</t>
        </is>
      </c>
      <c r="G468" s="540" t="inlineStr">
        <is>
          <t>徐敏娟</t>
        </is>
      </c>
      <c r="H468" s="540" t="inlineStr">
        <is>
          <t>/</t>
        </is>
      </c>
      <c r="I468" s="540" t="inlineStr">
        <is>
          <t>水果捞</t>
        </is>
      </c>
      <c r="J468" s="540" t="inlineStr">
        <is>
          <t>徐星</t>
        </is>
      </c>
    </row>
    <row r="469">
      <c r="A469" s="540" t="n"/>
      <c r="B469" s="540" t="inlineStr">
        <is>
          <t>补充</t>
        </is>
      </c>
      <c r="C469" s="540" t="inlineStr">
        <is>
          <t>餐饮三分部</t>
        </is>
      </c>
      <c r="D469" s="540" t="inlineStr">
        <is>
          <t>CF781</t>
        </is>
      </c>
      <c r="E469" s="540" t="inlineStr">
        <is>
          <t>苏食院第一学生食堂</t>
        </is>
      </c>
      <c r="F469" s="540" t="inlineStr">
        <is>
          <t>分组作业</t>
        </is>
      </c>
      <c r="G469" s="540" t="inlineStr">
        <is>
          <t>徐敏娟</t>
        </is>
      </c>
      <c r="H469" s="540" t="inlineStr">
        <is>
          <t>/</t>
        </is>
      </c>
      <c r="I469" s="540" t="inlineStr">
        <is>
          <t>自选菜</t>
        </is>
      </c>
      <c r="J469" s="540" t="inlineStr">
        <is>
          <t>王功成</t>
        </is>
      </c>
    </row>
    <row r="470">
      <c r="A470" s="540" t="n"/>
      <c r="B470" s="540" t="inlineStr">
        <is>
          <t>补充</t>
        </is>
      </c>
      <c r="C470" s="540" t="inlineStr">
        <is>
          <t>餐饮三分部</t>
        </is>
      </c>
      <c r="D470" s="540" t="inlineStr">
        <is>
          <t>CF781</t>
        </is>
      </c>
      <c r="E470" s="540" t="inlineStr">
        <is>
          <t>苏食院第一学生食堂</t>
        </is>
      </c>
      <c r="F470" s="540" t="inlineStr">
        <is>
          <t>分组作业</t>
        </is>
      </c>
      <c r="G470" s="540" t="inlineStr">
        <is>
          <t>徐敏娟</t>
        </is>
      </c>
      <c r="H470" s="540" t="inlineStr">
        <is>
          <t>/</t>
        </is>
      </c>
      <c r="I470" s="540" t="inlineStr">
        <is>
          <t>麻辣烫</t>
        </is>
      </c>
      <c r="J470" s="540" t="inlineStr">
        <is>
          <t>胡长江</t>
        </is>
      </c>
    </row>
    <row r="471">
      <c r="A471" s="540" t="n"/>
      <c r="B471" s="540" t="inlineStr">
        <is>
          <t>补充</t>
        </is>
      </c>
      <c r="C471" s="540" t="inlineStr">
        <is>
          <t>餐饮三分部</t>
        </is>
      </c>
      <c r="D471" s="540" t="inlineStr">
        <is>
          <t>CF781</t>
        </is>
      </c>
      <c r="E471" s="540" t="inlineStr">
        <is>
          <t>苏食院第一学生食堂</t>
        </is>
      </c>
      <c r="F471" s="540" t="inlineStr">
        <is>
          <t>分组作业</t>
        </is>
      </c>
      <c r="G471" s="540" t="inlineStr">
        <is>
          <t>徐敏娟</t>
        </is>
      </c>
      <c r="H471" s="540" t="inlineStr">
        <is>
          <t>/</t>
        </is>
      </c>
      <c r="I471" s="540" t="inlineStr">
        <is>
          <t>水吧</t>
        </is>
      </c>
      <c r="J471" s="540" t="inlineStr">
        <is>
          <t>刘飞</t>
        </is>
      </c>
    </row>
    <row r="472">
      <c r="A472" s="540" t="n"/>
      <c r="B472" s="540" t="inlineStr">
        <is>
          <t>补充</t>
        </is>
      </c>
      <c r="C472" s="540" t="inlineStr">
        <is>
          <t>餐饮三分部</t>
        </is>
      </c>
      <c r="D472" s="540" t="inlineStr">
        <is>
          <t>CF781</t>
        </is>
      </c>
      <c r="E472" s="540" t="inlineStr">
        <is>
          <t>苏食院第一学生食堂</t>
        </is>
      </c>
      <c r="F472" s="540" t="inlineStr">
        <is>
          <t>分组作业</t>
        </is>
      </c>
      <c r="G472" s="540" t="inlineStr">
        <is>
          <t>徐敏娟</t>
        </is>
      </c>
      <c r="H472" s="540" t="inlineStr">
        <is>
          <t>/</t>
        </is>
      </c>
      <c r="I472" s="540" t="inlineStr">
        <is>
          <t>西点</t>
        </is>
      </c>
      <c r="J472" s="540" t="inlineStr">
        <is>
          <t>吴贵华</t>
        </is>
      </c>
    </row>
    <row r="473">
      <c r="A473" s="540" t="n"/>
      <c r="B473" s="540" t="inlineStr">
        <is>
          <t>补充</t>
        </is>
      </c>
      <c r="C473" s="540" t="inlineStr">
        <is>
          <t>餐饮三分部</t>
        </is>
      </c>
      <c r="D473" s="540" t="inlineStr">
        <is>
          <t>CF781</t>
        </is>
      </c>
      <c r="E473" s="540" t="inlineStr">
        <is>
          <t>苏食院第一学生食堂</t>
        </is>
      </c>
      <c r="F473" s="540" t="inlineStr">
        <is>
          <t>分组作业</t>
        </is>
      </c>
      <c r="G473" s="540" t="inlineStr">
        <is>
          <t>徐敏娟</t>
        </is>
      </c>
      <c r="H473" s="540" t="inlineStr">
        <is>
          <t>/</t>
        </is>
      </c>
      <c r="I473" s="540" t="inlineStr">
        <is>
          <t>烤鸡饭</t>
        </is>
      </c>
      <c r="J473" s="540" t="inlineStr">
        <is>
          <t>刘太华</t>
        </is>
      </c>
    </row>
    <row r="474">
      <c r="A474" s="540" t="n"/>
      <c r="B474" s="540" t="inlineStr">
        <is>
          <t>补充</t>
        </is>
      </c>
      <c r="C474" s="540" t="inlineStr">
        <is>
          <t>餐饮三分部</t>
        </is>
      </c>
      <c r="D474" s="540" t="inlineStr">
        <is>
          <t>CF320</t>
        </is>
      </c>
      <c r="E474" s="540" t="inlineStr">
        <is>
          <t>江苏财经梅园食堂</t>
        </is>
      </c>
      <c r="F474" s="540" t="inlineStr">
        <is>
          <t>分组作业</t>
        </is>
      </c>
      <c r="G474" s="540" t="inlineStr">
        <is>
          <t>徐敏娟</t>
        </is>
      </c>
      <c r="H474" s="540" t="inlineStr">
        <is>
          <t>/</t>
        </is>
      </c>
      <c r="I474" s="540" t="inlineStr">
        <is>
          <t>牛肉汤</t>
        </is>
      </c>
      <c r="J474" s="540" t="inlineStr">
        <is>
          <t>张然</t>
        </is>
      </c>
    </row>
    <row r="475">
      <c r="A475" s="540" t="n"/>
      <c r="B475" s="540" t="inlineStr">
        <is>
          <t>补充</t>
        </is>
      </c>
      <c r="C475" s="540" t="inlineStr">
        <is>
          <t>餐饮三分部</t>
        </is>
      </c>
      <c r="D475" s="540" t="inlineStr">
        <is>
          <t>CF320</t>
        </is>
      </c>
      <c r="E475" s="540" t="inlineStr">
        <is>
          <t>江苏财经梅园食堂</t>
        </is>
      </c>
      <c r="F475" s="540" t="inlineStr">
        <is>
          <t>分组作业</t>
        </is>
      </c>
      <c r="G475" s="540" t="inlineStr">
        <is>
          <t>徐敏娟</t>
        </is>
      </c>
      <c r="H475" s="540" t="inlineStr">
        <is>
          <t>/</t>
        </is>
      </c>
      <c r="I475" s="540" t="inlineStr">
        <is>
          <t>港式烤鸭饭</t>
        </is>
      </c>
      <c r="J475" s="540" t="inlineStr">
        <is>
          <t>籍明明</t>
        </is>
      </c>
    </row>
    <row r="476">
      <c r="A476" s="540" t="n"/>
      <c r="B476" s="540" t="inlineStr">
        <is>
          <t>补充</t>
        </is>
      </c>
      <c r="C476" s="540" t="inlineStr">
        <is>
          <t>餐饮三分部</t>
        </is>
      </c>
      <c r="D476" s="540" t="inlineStr">
        <is>
          <t>CF320</t>
        </is>
      </c>
      <c r="E476" s="540" t="inlineStr">
        <is>
          <t>江苏财经梅园食堂</t>
        </is>
      </c>
      <c r="F476" s="540" t="inlineStr">
        <is>
          <t>分组作业</t>
        </is>
      </c>
      <c r="G476" s="540" t="inlineStr">
        <is>
          <t>徐敏娟</t>
        </is>
      </c>
      <c r="H476" s="540" t="inlineStr">
        <is>
          <t>/</t>
        </is>
      </c>
      <c r="I476" s="540" t="inlineStr">
        <is>
          <t>黄焖鸡</t>
        </is>
      </c>
      <c r="J476" s="540" t="inlineStr">
        <is>
          <t>曹学云</t>
        </is>
      </c>
    </row>
    <row r="477">
      <c r="A477" s="540" t="n"/>
      <c r="B477" s="540" t="inlineStr">
        <is>
          <t>补充</t>
        </is>
      </c>
      <c r="C477" s="540" t="inlineStr">
        <is>
          <t>餐饮三分部</t>
        </is>
      </c>
      <c r="D477" s="540" t="inlineStr">
        <is>
          <t>CF320</t>
        </is>
      </c>
      <c r="E477" s="540" t="inlineStr">
        <is>
          <t>江苏财经梅园食堂</t>
        </is>
      </c>
      <c r="F477" s="540" t="inlineStr">
        <is>
          <t>分组作业</t>
        </is>
      </c>
      <c r="G477" s="540" t="inlineStr">
        <is>
          <t>徐敏娟</t>
        </is>
      </c>
      <c r="H477" s="540" t="inlineStr">
        <is>
          <t>/</t>
        </is>
      </c>
      <c r="I477" s="540" t="inlineStr">
        <is>
          <t>有味拉面</t>
        </is>
      </c>
      <c r="J477" s="540" t="inlineStr">
        <is>
          <t>刘万众</t>
        </is>
      </c>
    </row>
    <row r="478">
      <c r="A478" s="540" t="n"/>
      <c r="B478" s="540" t="inlineStr">
        <is>
          <t>补充</t>
        </is>
      </c>
      <c r="C478" s="540" t="inlineStr">
        <is>
          <t>餐饮三分部</t>
        </is>
      </c>
      <c r="D478" s="540" t="inlineStr">
        <is>
          <t>CF320</t>
        </is>
      </c>
      <c r="E478" s="540" t="inlineStr">
        <is>
          <t>江苏财经梅园食堂</t>
        </is>
      </c>
      <c r="F478" s="540" t="inlineStr">
        <is>
          <t>分组作业</t>
        </is>
      </c>
      <c r="G478" s="540" t="inlineStr">
        <is>
          <t>徐敏娟</t>
        </is>
      </c>
      <c r="H478" s="540" t="inlineStr">
        <is>
          <t>/</t>
        </is>
      </c>
      <c r="I478" s="540" t="inlineStr">
        <is>
          <t>现炒浇头</t>
        </is>
      </c>
      <c r="J478" s="540" t="inlineStr">
        <is>
          <t>朱潮</t>
        </is>
      </c>
    </row>
    <row r="479">
      <c r="A479" s="540" t="n"/>
      <c r="B479" s="540" t="inlineStr">
        <is>
          <t>补充</t>
        </is>
      </c>
      <c r="C479" s="540" t="inlineStr">
        <is>
          <t>餐饮三分部</t>
        </is>
      </c>
      <c r="D479" s="540" t="inlineStr">
        <is>
          <t>CF320</t>
        </is>
      </c>
      <c r="E479" s="540" t="inlineStr">
        <is>
          <t>江苏财经梅园食堂</t>
        </is>
      </c>
      <c r="F479" s="540" t="inlineStr">
        <is>
          <t>分组作业</t>
        </is>
      </c>
      <c r="G479" s="540" t="inlineStr">
        <is>
          <t>徐敏娟</t>
        </is>
      </c>
      <c r="H479" s="540" t="inlineStr">
        <is>
          <t>/</t>
        </is>
      </c>
      <c r="I479" s="540" t="inlineStr">
        <is>
          <t>面包</t>
        </is>
      </c>
      <c r="J479" s="540" t="inlineStr">
        <is>
          <t>吴桂华</t>
        </is>
      </c>
    </row>
    <row r="480">
      <c r="A480" s="540" t="n"/>
      <c r="B480" s="540" t="inlineStr">
        <is>
          <t>补充</t>
        </is>
      </c>
      <c r="C480" s="540" t="inlineStr">
        <is>
          <t>餐饮三分部</t>
        </is>
      </c>
      <c r="D480" s="540" t="inlineStr">
        <is>
          <t>CF320</t>
        </is>
      </c>
      <c r="E480" s="540" t="inlineStr">
        <is>
          <t>江苏财经梅园食堂</t>
        </is>
      </c>
      <c r="F480" s="540" t="inlineStr">
        <is>
          <t>分组作业</t>
        </is>
      </c>
      <c r="G480" s="540" t="inlineStr">
        <is>
          <t>徐敏娟</t>
        </is>
      </c>
      <c r="H480" s="540" t="inlineStr">
        <is>
          <t>/</t>
        </is>
      </c>
      <c r="I480" s="540" t="inlineStr">
        <is>
          <t>江晓笼</t>
        </is>
      </c>
      <c r="J480" s="540" t="inlineStr">
        <is>
          <t>廖文</t>
        </is>
      </c>
    </row>
    <row r="481">
      <c r="A481" s="540" t="n"/>
      <c r="B481" s="540" t="inlineStr">
        <is>
          <t>补充</t>
        </is>
      </c>
      <c r="C481" s="540" t="inlineStr">
        <is>
          <t>餐饮六分部</t>
        </is>
      </c>
      <c r="D481" s="540" t="inlineStr">
        <is>
          <t>CF275</t>
        </is>
      </c>
      <c r="E481" s="540" t="inlineStr">
        <is>
          <t>南大苏州校区西区二食堂</t>
        </is>
      </c>
      <c r="F481" s="540" t="inlineStr">
        <is>
          <t>分组作业</t>
        </is>
      </c>
      <c r="G481" s="540" t="inlineStr">
        <is>
          <t>郑虎</t>
        </is>
      </c>
      <c r="H481" s="540" t="inlineStr">
        <is>
          <t>第十三班组</t>
        </is>
      </c>
      <c r="I481" s="540" t="inlineStr">
        <is>
          <t>西餐</t>
        </is>
      </c>
      <c r="J481" s="540" t="n"/>
    </row>
    <row r="482">
      <c r="A482" s="540" t="n"/>
      <c r="B482" s="540" t="inlineStr">
        <is>
          <t>补充</t>
        </is>
      </c>
      <c r="C482" s="540" t="inlineStr">
        <is>
          <t>餐饮三分部</t>
        </is>
      </c>
      <c r="D482" s="540" t="inlineStr">
        <is>
          <t>CF699</t>
        </is>
      </c>
      <c r="E482" s="540" t="inlineStr">
        <is>
          <t>徐医大第一食堂</t>
        </is>
      </c>
      <c r="F482" s="540" t="inlineStr">
        <is>
          <t>分组作业</t>
        </is>
      </c>
      <c r="G482" s="540" t="inlineStr">
        <is>
          <t>徐敏捷</t>
        </is>
      </c>
      <c r="H482" s="540" t="inlineStr">
        <is>
          <t>/</t>
        </is>
      </c>
      <c r="I482" s="540" t="inlineStr">
        <is>
          <t>炸串卷饼拌饭</t>
        </is>
      </c>
      <c r="J482" s="540" t="inlineStr">
        <is>
          <t>王倩</t>
        </is>
      </c>
    </row>
    <row r="483">
      <c r="A483" s="540" t="n"/>
      <c r="B483" s="540" t="inlineStr">
        <is>
          <t>补充</t>
        </is>
      </c>
      <c r="C483" s="540" t="inlineStr">
        <is>
          <t>餐饮三分部</t>
        </is>
      </c>
      <c r="D483" s="540" t="inlineStr">
        <is>
          <t>CF699</t>
        </is>
      </c>
      <c r="E483" s="540" t="inlineStr">
        <is>
          <t>徐医大第一食堂</t>
        </is>
      </c>
      <c r="F483" s="540" t="inlineStr">
        <is>
          <t>分组作业</t>
        </is>
      </c>
      <c r="G483" s="540" t="inlineStr">
        <is>
          <t>徐敏捷</t>
        </is>
      </c>
      <c r="H483" s="540" t="inlineStr">
        <is>
          <t>/</t>
        </is>
      </c>
      <c r="I483" s="540" t="inlineStr">
        <is>
          <t>鸡架拌面</t>
        </is>
      </c>
      <c r="J483" s="540" t="inlineStr">
        <is>
          <t>姜艳芳</t>
        </is>
      </c>
    </row>
    <row r="484">
      <c r="A484" s="540" t="n"/>
      <c r="B484" s="540" t="inlineStr">
        <is>
          <t>补充</t>
        </is>
      </c>
      <c r="C484" s="540" t="inlineStr">
        <is>
          <t>餐饮三分部</t>
        </is>
      </c>
      <c r="D484" s="540" t="inlineStr">
        <is>
          <t>CF320</t>
        </is>
      </c>
      <c r="E484" s="540" t="inlineStr">
        <is>
          <t>江苏财经梅园食堂</t>
        </is>
      </c>
      <c r="F484" s="540" t="inlineStr">
        <is>
          <t>分组作业</t>
        </is>
      </c>
      <c r="G484" s="540" t="inlineStr">
        <is>
          <t>徐敏娟</t>
        </is>
      </c>
      <c r="H484" s="540" t="inlineStr">
        <is>
          <t>第十六班组</t>
        </is>
      </c>
      <c r="I484" s="540" t="inlineStr">
        <is>
          <t>酷堡王</t>
        </is>
      </c>
      <c r="J484" s="540" t="inlineStr">
        <is>
          <t>王得志</t>
        </is>
      </c>
    </row>
    <row r="485">
      <c r="A485" s="540" t="n"/>
      <c r="B485" s="540" t="inlineStr">
        <is>
          <t>补充</t>
        </is>
      </c>
      <c r="C485" s="540" t="inlineStr">
        <is>
          <t>餐饮五分部</t>
        </is>
      </c>
      <c r="D485" s="540" t="inlineStr">
        <is>
          <t>CF698</t>
        </is>
      </c>
      <c r="E485" s="540" t="inlineStr">
        <is>
          <t>兰理工兰工坪校区一食堂</t>
        </is>
      </c>
      <c r="F485" s="540" t="inlineStr">
        <is>
          <t>分组作业</t>
        </is>
      </c>
      <c r="G485" s="540" t="inlineStr">
        <is>
          <t>徐敏捷</t>
        </is>
      </c>
      <c r="H485" s="540" t="inlineStr">
        <is>
          <t>/</t>
        </is>
      </c>
      <c r="I485" s="540" t="inlineStr">
        <is>
          <t>早餐（包子、粥、馅饼、饺子）</t>
        </is>
      </c>
      <c r="J485" s="540" t="inlineStr">
        <is>
          <t>杨凤祥</t>
        </is>
      </c>
    </row>
    <row r="486">
      <c r="A486" s="540" t="n"/>
      <c r="B486" s="540" t="inlineStr">
        <is>
          <t>补充</t>
        </is>
      </c>
      <c r="C486" s="540" t="inlineStr">
        <is>
          <t>餐饮五分部</t>
        </is>
      </c>
      <c r="D486" s="540" t="inlineStr">
        <is>
          <t>CF698</t>
        </is>
      </c>
      <c r="E486" s="540" t="inlineStr">
        <is>
          <t>兰理工兰工坪校区一食堂</t>
        </is>
      </c>
      <c r="F486" s="540" t="inlineStr">
        <is>
          <t>分组作业</t>
        </is>
      </c>
      <c r="G486" s="540" t="inlineStr">
        <is>
          <t>徐敏捷</t>
        </is>
      </c>
      <c r="H486" s="540" t="inlineStr">
        <is>
          <t>/</t>
        </is>
      </c>
      <c r="I486" s="540" t="inlineStr">
        <is>
          <t>快餐（盖浇饭、锅仔）</t>
        </is>
      </c>
      <c r="J486" s="540" t="inlineStr">
        <is>
          <t>曾德彬</t>
        </is>
      </c>
    </row>
    <row r="487">
      <c r="A487" s="540" t="n"/>
      <c r="B487" s="540" t="inlineStr">
        <is>
          <t>补充</t>
        </is>
      </c>
      <c r="C487" s="540" t="inlineStr">
        <is>
          <t>餐饮五分部</t>
        </is>
      </c>
      <c r="D487" s="540" t="inlineStr">
        <is>
          <t>CF698</t>
        </is>
      </c>
      <c r="E487" s="540" t="inlineStr">
        <is>
          <t>兰理工兰工坪校区一食堂</t>
        </is>
      </c>
      <c r="F487" s="540" t="inlineStr">
        <is>
          <t>分组作业</t>
        </is>
      </c>
      <c r="G487" s="540" t="inlineStr">
        <is>
          <t>徐敏捷</t>
        </is>
      </c>
      <c r="H487" s="540" t="inlineStr">
        <is>
          <t>/</t>
        </is>
      </c>
      <c r="I487" s="540" t="inlineStr">
        <is>
          <t>香肉拌饭</t>
        </is>
      </c>
      <c r="J487" s="540" t="inlineStr">
        <is>
          <t>尚晓刚</t>
        </is>
      </c>
    </row>
    <row r="488">
      <c r="A488" s="540" t="n"/>
      <c r="B488" s="540" t="inlineStr">
        <is>
          <t>补充</t>
        </is>
      </c>
      <c r="C488" s="540" t="inlineStr">
        <is>
          <t>餐饮五分部</t>
        </is>
      </c>
      <c r="D488" s="540" t="inlineStr">
        <is>
          <t>CF698</t>
        </is>
      </c>
      <c r="E488" s="540" t="inlineStr">
        <is>
          <t>兰理工兰工坪校区一食堂</t>
        </is>
      </c>
      <c r="F488" s="540" t="inlineStr">
        <is>
          <t>分组作业</t>
        </is>
      </c>
      <c r="G488" s="540" t="inlineStr">
        <is>
          <t>徐敏捷</t>
        </is>
      </c>
      <c r="H488" s="540" t="inlineStr">
        <is>
          <t>/</t>
        </is>
      </c>
      <c r="I488" s="540" t="inlineStr">
        <is>
          <t>面小福菜拌面</t>
        </is>
      </c>
      <c r="J488" s="540" t="inlineStr">
        <is>
          <t>周颖</t>
        </is>
      </c>
    </row>
    <row r="489">
      <c r="A489" s="540" t="n"/>
      <c r="B489" s="540" t="inlineStr">
        <is>
          <t>补充</t>
        </is>
      </c>
      <c r="C489" s="540" t="inlineStr">
        <is>
          <t>餐饮五分部</t>
        </is>
      </c>
      <c r="D489" s="540" t="inlineStr">
        <is>
          <t>CF698</t>
        </is>
      </c>
      <c r="E489" s="540" t="inlineStr">
        <is>
          <t>兰理工兰工坪校区一食堂</t>
        </is>
      </c>
      <c r="F489" s="540" t="inlineStr">
        <is>
          <t>分组作业</t>
        </is>
      </c>
      <c r="G489" s="540" t="inlineStr">
        <is>
          <t>徐敏捷</t>
        </is>
      </c>
      <c r="H489" s="540" t="inlineStr">
        <is>
          <t>/</t>
        </is>
      </c>
      <c r="I489" s="540" t="inlineStr">
        <is>
          <t>一纸鸡牛肉饭</t>
        </is>
      </c>
      <c r="J489" s="540" t="inlineStr">
        <is>
          <t>蔡晓娟</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M4"/>
  <sheetViews>
    <sheetView showGridLines="0" workbookViewId="0">
      <pane ySplit="3" topLeftCell="A4" activePane="bottomLeft" state="frozen"/>
      <selection pane="bottomLeft" activeCell="A1" sqref="A1"/>
    </sheetView>
  </sheetViews>
  <sheetFormatPr baseColWidth="8" defaultRowHeight="15"/>
  <cols>
    <col width="16" customWidth="1" style="537" min="1" max="1"/>
    <col width="12" customWidth="1" style="537" min="2" max="2"/>
    <col width="10" customWidth="1" style="537" min="3" max="3"/>
    <col width="16" customWidth="1" style="537" min="4" max="4"/>
    <col width="18" customWidth="1" style="537" min="5" max="5"/>
    <col width="14" customWidth="1" style="537" min="6" max="6"/>
    <col width="30" customWidth="1" style="537" min="7" max="7"/>
    <col width="14" customWidth="1" style="537" min="8" max="8"/>
    <col width="18" customWidth="1" style="537" min="9" max="9"/>
    <col width="34" customWidth="1" style="537" min="10" max="10"/>
    <col width="14" customWidth="1" style="537" min="11" max="11"/>
    <col width="18" customWidth="1" style="537" min="12" max="12"/>
    <col width="34" customWidth="1" style="537" min="13" max="13"/>
  </cols>
  <sheetData>
    <row r="1">
      <c r="A1" s="638" t="inlineStr">
        <is>
          <t>函数目标输出（无需手工填数）</t>
        </is>
      </c>
    </row>
    <row r="2">
      <c r="A2" s="639" t="inlineStr">
        <is>
          <t>以下数据由“营业额数据源”和“人工营业额覆盖”实时计算；新增窗口与责任人变更自动追加。</t>
        </is>
      </c>
    </row>
    <row r="3">
      <c r="A3" s="640" t="inlineStr">
        <is>
          <t>状态</t>
        </is>
      </c>
      <c r="B3" s="640" t="inlineStr">
        <is>
          <t>数据源行</t>
        </is>
      </c>
      <c r="C3" s="640" t="inlineStr">
        <is>
          <t>标记</t>
        </is>
      </c>
      <c r="D3" s="640" t="inlineStr">
        <is>
          <t>档口唯一标志</t>
        </is>
      </c>
      <c r="E3" s="640" t="inlineStr">
        <is>
          <t>分部名称</t>
        </is>
      </c>
      <c r="F3" s="640" t="inlineStr">
        <is>
          <t>项目代码</t>
        </is>
      </c>
      <c r="G3" s="640" t="inlineStr">
        <is>
          <t>项目名称</t>
        </is>
      </c>
      <c r="H3" s="640" t="inlineStr">
        <is>
          <t>项目类型</t>
        </is>
      </c>
      <c r="I3" s="640" t="inlineStr">
        <is>
          <t>分组作业名称</t>
        </is>
      </c>
      <c r="J3" s="640" t="inlineStr">
        <is>
          <t>分组作业窗口名称</t>
        </is>
      </c>
      <c r="K3" s="640" t="inlineStr">
        <is>
          <t>责任人</t>
        </is>
      </c>
      <c r="L3" s="640" t="inlineStr">
        <is>
          <t>当月营业额</t>
        </is>
      </c>
      <c r="M3" s="640" t="inlineStr">
        <is>
          <t>说明</t>
        </is>
      </c>
    </row>
    <row r="4">
      <c r="A4">
        <f>LET(m,tblRevenueInput[档口唯一标志]&lt;&gt;"",sid,FILTER(tblRevenueInput[档口唯一标志],m,""),sbranch,FILTER(tblRevenueInput[分部名称],m,""),scode,FILTER(tblRevenueInput[项目代码],m,""),sname,FILTER(tblRevenueInput[项目名称],m,""),stype,FILTER(tblRevenueInput[项目类型],m,""),sgroup,FILTER(tblRevenueInput[分组作业名称],m,""),swindow,FILTER(tblRevenueInput[分组作业窗口名称],m,""),ssigner,FILTER(tblRevenueInput[签订人],m,""),samount,FILTER(tblRevenueInput[全额营业额合计],m,""),srow,FILTER(ROW(tblRevenueInput[档口唯一标志]),m,""),sk,scode&amp;"|"&amp;sname&amp;"|"&amp;sgroup&amp;"|"&amp;swindow&amp;"|"&amp;ssigner,sf,scode&amp;"|"&amp;sname&amp;"|"&amp;sgroup&amp;"|"&amp;swindow,bk,tblTargetBase[项目代码]&amp;"|"&amp;tblTargetBase[项目名称]&amp;"|"&amp;tblTargetBase[分组作业名称]&amp;"|"&amp;tblTargetBase[分组作业窗口名称]&amp;"|"&amp;tblTargetBase[责任人],bf,tblTargetBase[项目代码]&amp;"|"&amp;tblTargetBase[项目名称]&amp;"|"&amp;tblTargetBase[分组作业名称]&amp;"|"&amp;tblTargetBase[分组作业窗口名称],om,tblRevenueOverride[项目代码]&lt;&gt;"",ok,FILTER(tblRevenueOverride[项目代码]&amp;"|"&amp;tblRevenueOverride[项目名称]&amp;"|"&amp;tblRevenueOverride[分组作业名称]&amp;"|"&amp;tblRevenueOverride[分组作业窗口名称]&amp;"|"&amp;tblRevenueOverride[责任人],om,""),oa,FILTER(tblRevenueOverride[营业额覆盖],om,""),ov,IFERROR(XLOOKUP(bk,ok,oa,""),""),sr,IFERROR(XLOOKUP(bk,sk,srow,""),""),sa,IFERROR(XLOOKUP(bk,sk,samount,""),""),amount,IF(ov&lt;&gt;"",ov,sa),status,IF(ov&lt;&gt;"","保留人工录入",IF(sr&lt;&gt;"","正常","待核验")), mark,IF(tblTargetBase[档口唯一标志]&lt;&gt;"","原目标",""),note,IF(status="待核验","原稿未匹配",IF(status="保留人工录入","按人工覆盖值保留","五项键精确匹配")), baseOut,HSTACK(status,sr,mark,tblTargetBase[档口唯一标志],tblTargetBase[分部名称],tblTargetBase[项目代码],tblTargetBase[项目名称],tblTargetBase[项目类型],tblTargetBase[分组作业名称],tblTargetBase[分组作业窗口名称],tblTargetBase[责任人],amount,note),newMask,ISNA(XMATCH(sk,bk)), newStatus,IF(ISNUMBER(XMATCH(sf,bf)),"新增（责任人变更）","新增窗口"),newOut,IFERROR(HSTACK(FILTER(newStatus,newMask),FILTER(srow,newMask),FILTER(IF(sid&lt;&gt;"","新增",""),newMask),FILTER(sid,newMask),FILTER(sbranch,newMask),FILTER(scode,newMask),FILTER(sname,newMask),FILTER(stype,newMask),FILTER(sgroup,newMask),FILTER(swindow,newMask),FILTER(ssigner,newMask),FILTER(samount,newMask),FILTER(IF(newStatus="新增（责任人变更）","同窗口责任人变更，单独新增","原稿新增窗口"),newMask)),""),allRows,VSTACK(baseOut,newOut),FILTER(allRows,INDEX(allRows,,4)&lt;&gt;""))</f>
        <v/>
      </c>
      <c r="L4" s="64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2026-07-11T08:40:00Z</dcterms:created>
  <dcterms:modified xmlns:dcterms="http://purl.org/dc/terms/" xmlns:xsi="http://www.w3.org/2001/XMLSchema-instance" xsi:type="dcterms:W3CDTF">2026-09-16T06:04:58Z</dcterms:modified>
  <cp:lastModifiedBy>云端的故事</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B5C79F58CE174A39B1A31BB1862DBCF5_13</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0</vt:i4>
  </property>
</Properties>
</file>